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46188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46188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46188</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46188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46188</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46188</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46188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46188</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46188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21652-2026</t>
        </is>
      </c>
      <c r="B11" s="1" t="n">
        <v>46149.4491087963</v>
      </c>
      <c r="C11" s="1" t="n">
        <v>46188</v>
      </c>
      <c r="D11" t="inlineStr">
        <is>
          <t>SKÅNE LÄN</t>
        </is>
      </c>
      <c r="E11" t="inlineStr">
        <is>
          <t>HÄSSLEHOLM</t>
        </is>
      </c>
      <c r="G11" t="n">
        <v>2.3</v>
      </c>
      <c r="H11" t="n">
        <v>2</v>
      </c>
      <c r="I11" t="n">
        <v>0</v>
      </c>
      <c r="J11" t="n">
        <v>1</v>
      </c>
      <c r="K11" t="n">
        <v>0</v>
      </c>
      <c r="L11" t="n">
        <v>1</v>
      </c>
      <c r="M11" t="n">
        <v>0</v>
      </c>
      <c r="N11" t="n">
        <v>0</v>
      </c>
      <c r="O11" t="n">
        <v>2</v>
      </c>
      <c r="P11" t="n">
        <v>1</v>
      </c>
      <c r="Q11" t="n">
        <v>3</v>
      </c>
      <c r="R11" s="2" t="inlineStr">
        <is>
          <t>Ask
Svartvit flugsnappare
Trana</t>
        </is>
      </c>
      <c r="S11">
        <f>HYPERLINK("https://klasma.github.io/Logging_1293/artfynd/A 21652-2026 artfynd.xlsx", "A 21652-2026")</f>
        <v/>
      </c>
      <c r="T11">
        <f>HYPERLINK("https://klasma.github.io/Logging_1293/kartor/A 21652-2026 karta.png", "A 21652-2026")</f>
        <v/>
      </c>
      <c r="V11">
        <f>HYPERLINK("https://klasma.github.io/Logging_1293/klagomål/A 21652-2026 FSC-klagomål.docx", "A 21652-2026")</f>
        <v/>
      </c>
      <c r="W11">
        <f>HYPERLINK("https://klasma.github.io/Logging_1293/klagomålsmail/A 21652-2026 FSC-klagomål mail.docx", "A 21652-2026")</f>
        <v/>
      </c>
      <c r="X11">
        <f>HYPERLINK("https://klasma.github.io/Logging_1293/tillsyn/A 21652-2026 tillsynsbegäran.docx", "A 21652-2026")</f>
        <v/>
      </c>
      <c r="Y11">
        <f>HYPERLINK("https://klasma.github.io/Logging_1293/tillsynsmail/A 21652-2026 tillsynsbegäran mail.docx", "A 21652-2026")</f>
        <v/>
      </c>
      <c r="Z11">
        <f>HYPERLINK("https://klasma.github.io/Logging_1293/fåglar/A 21652-2026 prioriterade fågelarter.docx", "A 21652-2026")</f>
        <v/>
      </c>
    </row>
    <row r="12" ht="15" customHeight="1">
      <c r="A12" t="inlineStr">
        <is>
          <t>A 8253-2025</t>
        </is>
      </c>
      <c r="B12" s="1" t="n">
        <v>45708.49460648148</v>
      </c>
      <c r="C12" s="1" t="n">
        <v>46188</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46188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46188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4595-2025</t>
        </is>
      </c>
      <c r="B15" s="1" t="n">
        <v>45687</v>
      </c>
      <c r="C15" s="1" t="n">
        <v>46188</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21659-2026</t>
        </is>
      </c>
      <c r="B16" s="1" t="n">
        <v>46149.4594212963</v>
      </c>
      <c r="C16" s="1" t="n">
        <v>46188</v>
      </c>
      <c r="D16" t="inlineStr">
        <is>
          <t>SKÅNE LÄN</t>
        </is>
      </c>
      <c r="E16" t="inlineStr">
        <is>
          <t>HÄSSLEHOLM</t>
        </is>
      </c>
      <c r="G16" t="n">
        <v>1.8</v>
      </c>
      <c r="H16" t="n">
        <v>2</v>
      </c>
      <c r="I16" t="n">
        <v>0</v>
      </c>
      <c r="J16" t="n">
        <v>0</v>
      </c>
      <c r="K16" t="n">
        <v>0</v>
      </c>
      <c r="L16" t="n">
        <v>0</v>
      </c>
      <c r="M16" t="n">
        <v>0</v>
      </c>
      <c r="N16" t="n">
        <v>0</v>
      </c>
      <c r="O16" t="n">
        <v>0</v>
      </c>
      <c r="P16" t="n">
        <v>0</v>
      </c>
      <c r="Q16" t="n">
        <v>2</v>
      </c>
      <c r="R16" s="2" t="inlineStr">
        <is>
          <t>Göktyta
Skogsduva</t>
        </is>
      </c>
      <c r="S16">
        <f>HYPERLINK("https://klasma.github.io/Logging_1293/artfynd/A 21659-2026 artfynd.xlsx", "A 21659-2026")</f>
        <v/>
      </c>
      <c r="T16">
        <f>HYPERLINK("https://klasma.github.io/Logging_1293/kartor/A 21659-2026 karta.png", "A 21659-2026")</f>
        <v/>
      </c>
      <c r="V16">
        <f>HYPERLINK("https://klasma.github.io/Logging_1293/klagomål/A 21659-2026 FSC-klagomål.docx", "A 21659-2026")</f>
        <v/>
      </c>
      <c r="W16">
        <f>HYPERLINK("https://klasma.github.io/Logging_1293/klagomålsmail/A 21659-2026 FSC-klagomål mail.docx", "A 21659-2026")</f>
        <v/>
      </c>
      <c r="X16">
        <f>HYPERLINK("https://klasma.github.io/Logging_1293/tillsyn/A 21659-2026 tillsynsbegäran.docx", "A 21659-2026")</f>
        <v/>
      </c>
      <c r="Y16">
        <f>HYPERLINK("https://klasma.github.io/Logging_1293/tillsynsmail/A 21659-2026 tillsynsbegäran mail.docx", "A 21659-2026")</f>
        <v/>
      </c>
      <c r="Z16">
        <f>HYPERLINK("https://klasma.github.io/Logging_1293/fåglar/A 21659-2026 prioriterade fågelarter.docx", "A 21659-2026")</f>
        <v/>
      </c>
    </row>
    <row r="17" ht="15" customHeight="1">
      <c r="A17" t="inlineStr">
        <is>
          <t>A 24907-2026</t>
        </is>
      </c>
      <c r="B17" s="1" t="n">
        <v>46174</v>
      </c>
      <c r="C17" s="1" t="n">
        <v>46188</v>
      </c>
      <c r="D17" t="inlineStr">
        <is>
          <t>SKÅNE LÄN</t>
        </is>
      </c>
      <c r="E17" t="inlineStr">
        <is>
          <t>HÄSSLEHOLM</t>
        </is>
      </c>
      <c r="G17" t="n">
        <v>36.7</v>
      </c>
      <c r="H17" t="n">
        <v>0</v>
      </c>
      <c r="I17" t="n">
        <v>2</v>
      </c>
      <c r="J17" t="n">
        <v>0</v>
      </c>
      <c r="K17" t="n">
        <v>0</v>
      </c>
      <c r="L17" t="n">
        <v>0</v>
      </c>
      <c r="M17" t="n">
        <v>0</v>
      </c>
      <c r="N17" t="n">
        <v>0</v>
      </c>
      <c r="O17" t="n">
        <v>0</v>
      </c>
      <c r="P17" t="n">
        <v>0</v>
      </c>
      <c r="Q17" t="n">
        <v>2</v>
      </c>
      <c r="R17" s="2" t="inlineStr">
        <is>
          <t>Murgröna
Västlig hakmossa</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row>
    <row r="18" ht="15" customHeight="1">
      <c r="A18" t="inlineStr">
        <is>
          <t>A 8257-2025</t>
        </is>
      </c>
      <c r="B18" s="1" t="n">
        <v>45708.49938657408</v>
      </c>
      <c r="C18" s="1" t="n">
        <v>46188</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46188</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61707-2024</t>
        </is>
      </c>
      <c r="B20" s="1" t="n">
        <v>45648.61747685185</v>
      </c>
      <c r="C20" s="1" t="n">
        <v>46188</v>
      </c>
      <c r="D20" t="inlineStr">
        <is>
          <t>SKÅNE LÄN</t>
        </is>
      </c>
      <c r="E20" t="inlineStr">
        <is>
          <t>HÄSSLEHOLM</t>
        </is>
      </c>
      <c r="G20" t="n">
        <v>3.2</v>
      </c>
      <c r="H20" t="n">
        <v>0</v>
      </c>
      <c r="I20" t="n">
        <v>0</v>
      </c>
      <c r="J20" t="n">
        <v>1</v>
      </c>
      <c r="K20" t="n">
        <v>0</v>
      </c>
      <c r="L20" t="n">
        <v>0</v>
      </c>
      <c r="M20" t="n">
        <v>0</v>
      </c>
      <c r="N20" t="n">
        <v>0</v>
      </c>
      <c r="O20" t="n">
        <v>1</v>
      </c>
      <c r="P20" t="n">
        <v>0</v>
      </c>
      <c r="Q20" t="n">
        <v>1</v>
      </c>
      <c r="R20" s="2" t="inlineStr">
        <is>
          <t>Rödlånke</t>
        </is>
      </c>
      <c r="S20">
        <f>HYPERLINK("https://klasma.github.io/Logging_1293/artfynd/A 61707-2024 artfynd.xlsx", "A 61707-2024")</f>
        <v/>
      </c>
      <c r="T20">
        <f>HYPERLINK("https://klasma.github.io/Logging_1293/kartor/A 61707-2024 karta.png", "A 61707-2024")</f>
        <v/>
      </c>
      <c r="V20">
        <f>HYPERLINK("https://klasma.github.io/Logging_1293/klagomål/A 61707-2024 FSC-klagomål.docx", "A 61707-2024")</f>
        <v/>
      </c>
      <c r="W20">
        <f>HYPERLINK("https://klasma.github.io/Logging_1293/klagomålsmail/A 61707-2024 FSC-klagomål mail.docx", "A 61707-2024")</f>
        <v/>
      </c>
      <c r="X20">
        <f>HYPERLINK("https://klasma.github.io/Logging_1293/tillsyn/A 61707-2024 tillsynsbegäran.docx", "A 61707-2024")</f>
        <v/>
      </c>
      <c r="Y20">
        <f>HYPERLINK("https://klasma.github.io/Logging_1293/tillsynsmail/A 61707-2024 tillsynsbegäran mail.docx", "A 61707-2024")</f>
        <v/>
      </c>
    </row>
    <row r="21" ht="15" customHeight="1">
      <c r="A21" t="inlineStr">
        <is>
          <t>A 40613-2025</t>
        </is>
      </c>
      <c r="B21" s="1" t="n">
        <v>45896</v>
      </c>
      <c r="C21" s="1" t="n">
        <v>46188</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6634-2024</t>
        </is>
      </c>
      <c r="B22" s="1" t="n">
        <v>45341</v>
      </c>
      <c r="C22" s="1" t="n">
        <v>46188</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46188</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57533-2025</t>
        </is>
      </c>
      <c r="B24" s="1" t="n">
        <v>45980.63923611111</v>
      </c>
      <c r="C24" s="1" t="n">
        <v>46188</v>
      </c>
      <c r="D24" t="inlineStr">
        <is>
          <t>SKÅNE LÄN</t>
        </is>
      </c>
      <c r="E24" t="inlineStr">
        <is>
          <t>HÄSSLEHOLM</t>
        </is>
      </c>
      <c r="G24" t="n">
        <v>0.9</v>
      </c>
      <c r="H24" t="n">
        <v>0</v>
      </c>
      <c r="I24" t="n">
        <v>1</v>
      </c>
      <c r="J24" t="n">
        <v>0</v>
      </c>
      <c r="K24" t="n">
        <v>0</v>
      </c>
      <c r="L24" t="n">
        <v>0</v>
      </c>
      <c r="M24" t="n">
        <v>0</v>
      </c>
      <c r="N24" t="n">
        <v>0</v>
      </c>
      <c r="O24" t="n">
        <v>0</v>
      </c>
      <c r="P24" t="n">
        <v>0</v>
      </c>
      <c r="Q24" t="n">
        <v>1</v>
      </c>
      <c r="R24" s="2" t="inlineStr">
        <is>
          <t>Strutbräken</t>
        </is>
      </c>
      <c r="S24">
        <f>HYPERLINK("https://klasma.github.io/Logging_1293/artfynd/A 57533-2025 artfynd.xlsx", "A 57533-2025")</f>
        <v/>
      </c>
      <c r="T24">
        <f>HYPERLINK("https://klasma.github.io/Logging_1293/kartor/A 57533-2025 karta.png", "A 57533-2025")</f>
        <v/>
      </c>
      <c r="V24">
        <f>HYPERLINK("https://klasma.github.io/Logging_1293/klagomål/A 57533-2025 FSC-klagomål.docx", "A 57533-2025")</f>
        <v/>
      </c>
      <c r="W24">
        <f>HYPERLINK("https://klasma.github.io/Logging_1293/klagomålsmail/A 57533-2025 FSC-klagomål mail.docx", "A 57533-2025")</f>
        <v/>
      </c>
      <c r="X24">
        <f>HYPERLINK("https://klasma.github.io/Logging_1293/tillsyn/A 57533-2025 tillsynsbegäran.docx", "A 57533-2025")</f>
        <v/>
      </c>
      <c r="Y24">
        <f>HYPERLINK("https://klasma.github.io/Logging_1293/tillsynsmail/A 57533-2025 tillsynsbegäran mail.docx", "A 57533-2025")</f>
        <v/>
      </c>
    </row>
    <row r="25" ht="15" customHeight="1">
      <c r="A25" t="inlineStr">
        <is>
          <t>A 9289-2025</t>
        </is>
      </c>
      <c r="B25" s="1" t="n">
        <v>45714</v>
      </c>
      <c r="C25" s="1" t="n">
        <v>46188</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54523-2024</t>
        </is>
      </c>
      <c r="B26" s="1" t="n">
        <v>45617</v>
      </c>
      <c r="C26" s="1" t="n">
        <v>46188</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46188</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13894-2026</t>
        </is>
      </c>
      <c r="B28" s="1" t="n">
        <v>46098</v>
      </c>
      <c r="C28" s="1" t="n">
        <v>46188</v>
      </c>
      <c r="D28" t="inlineStr">
        <is>
          <t>SKÅNE LÄN</t>
        </is>
      </c>
      <c r="E28" t="inlineStr">
        <is>
          <t>HÄSSLEHOLM</t>
        </is>
      </c>
      <c r="G28" t="n">
        <v>2.6</v>
      </c>
      <c r="H28" t="n">
        <v>1</v>
      </c>
      <c r="I28" t="n">
        <v>0</v>
      </c>
      <c r="J28" t="n">
        <v>1</v>
      </c>
      <c r="K28" t="n">
        <v>0</v>
      </c>
      <c r="L28" t="n">
        <v>0</v>
      </c>
      <c r="M28" t="n">
        <v>0</v>
      </c>
      <c r="N28" t="n">
        <v>0</v>
      </c>
      <c r="O28" t="n">
        <v>1</v>
      </c>
      <c r="P28" t="n">
        <v>0</v>
      </c>
      <c r="Q28" t="n">
        <v>1</v>
      </c>
      <c r="R28" s="2" t="inlineStr">
        <is>
          <t>Entita</t>
        </is>
      </c>
      <c r="S28">
        <f>HYPERLINK("https://klasma.github.io/Logging_1293/artfynd/A 13894-2026 artfynd.xlsx", "A 13894-2026")</f>
        <v/>
      </c>
      <c r="T28">
        <f>HYPERLINK("https://klasma.github.io/Logging_1293/kartor/A 13894-2026 karta.png", "A 13894-2026")</f>
        <v/>
      </c>
      <c r="V28">
        <f>HYPERLINK("https://klasma.github.io/Logging_1293/klagomål/A 13894-2026 FSC-klagomål.docx", "A 13894-2026")</f>
        <v/>
      </c>
      <c r="W28">
        <f>HYPERLINK("https://klasma.github.io/Logging_1293/klagomålsmail/A 13894-2026 FSC-klagomål mail.docx", "A 13894-2026")</f>
        <v/>
      </c>
      <c r="X28">
        <f>HYPERLINK("https://klasma.github.io/Logging_1293/tillsyn/A 13894-2026 tillsynsbegäran.docx", "A 13894-2026")</f>
        <v/>
      </c>
      <c r="Y28">
        <f>HYPERLINK("https://klasma.github.io/Logging_1293/tillsynsmail/A 13894-2026 tillsynsbegäran mail.docx", "A 13894-2026")</f>
        <v/>
      </c>
      <c r="Z28">
        <f>HYPERLINK("https://klasma.github.io/Logging_1293/fåglar/A 13894-2026 prioriterade fågelarter.docx", "A 13894-2026")</f>
        <v/>
      </c>
    </row>
    <row r="29" ht="15" customHeight="1">
      <c r="A29" t="inlineStr">
        <is>
          <t>A 7862-2024</t>
        </is>
      </c>
      <c r="B29" s="1" t="n">
        <v>45348</v>
      </c>
      <c r="C29" s="1" t="n">
        <v>46188</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8223-2025</t>
        </is>
      </c>
      <c r="B30" s="1" t="n">
        <v>45708.46127314815</v>
      </c>
      <c r="C30" s="1" t="n">
        <v>46188</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29272-2023</t>
        </is>
      </c>
      <c r="B31" s="1" t="n">
        <v>45105</v>
      </c>
      <c r="C31" s="1" t="n">
        <v>46188</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43874-2022</t>
        </is>
      </c>
      <c r="B32" s="1" t="n">
        <v>44838.44738425926</v>
      </c>
      <c r="C32" s="1" t="n">
        <v>46188</v>
      </c>
      <c r="D32" t="inlineStr">
        <is>
          <t>SKÅNE LÄN</t>
        </is>
      </c>
      <c r="E32" t="inlineStr">
        <is>
          <t>HÄSSLEHOLM</t>
        </is>
      </c>
      <c r="G32" t="n">
        <v>2.1</v>
      </c>
      <c r="H32" t="n">
        <v>0</v>
      </c>
      <c r="I32" t="n">
        <v>0</v>
      </c>
      <c r="J32" t="n">
        <v>1</v>
      </c>
      <c r="K32" t="n">
        <v>0</v>
      </c>
      <c r="L32" t="n">
        <v>0</v>
      </c>
      <c r="M32" t="n">
        <v>0</v>
      </c>
      <c r="N32" t="n">
        <v>0</v>
      </c>
      <c r="O32" t="n">
        <v>1</v>
      </c>
      <c r="P32" t="n">
        <v>0</v>
      </c>
      <c r="Q32" t="n">
        <v>1</v>
      </c>
      <c r="R32" s="2" t="inlineStr">
        <is>
          <t>Igelkott</t>
        </is>
      </c>
      <c r="S32">
        <f>HYPERLINK("https://klasma.github.io/Logging_1293/artfynd/A 43874-2022 artfynd.xlsx", "A 43874-2022")</f>
        <v/>
      </c>
      <c r="T32">
        <f>HYPERLINK("https://klasma.github.io/Logging_1293/kartor/A 43874-2022 karta.png", "A 43874-2022")</f>
        <v/>
      </c>
      <c r="V32">
        <f>HYPERLINK("https://klasma.github.io/Logging_1293/klagomål/A 43874-2022 FSC-klagomål.docx", "A 43874-2022")</f>
        <v/>
      </c>
      <c r="W32">
        <f>HYPERLINK("https://klasma.github.io/Logging_1293/klagomålsmail/A 43874-2022 FSC-klagomål mail.docx", "A 43874-2022")</f>
        <v/>
      </c>
      <c r="X32">
        <f>HYPERLINK("https://klasma.github.io/Logging_1293/tillsyn/A 43874-2022 tillsynsbegäran.docx", "A 43874-2022")</f>
        <v/>
      </c>
      <c r="Y32">
        <f>HYPERLINK("https://klasma.github.io/Logging_1293/tillsynsmail/A 43874-2022 tillsynsbegäran mail.docx", "A 43874-2022")</f>
        <v/>
      </c>
    </row>
    <row r="33" ht="15" customHeight="1">
      <c r="A33" t="inlineStr">
        <is>
          <t>A 25944-2026</t>
        </is>
      </c>
      <c r="B33" s="1" t="n">
        <v>46181.32020833333</v>
      </c>
      <c r="C33" s="1" t="n">
        <v>46188</v>
      </c>
      <c r="D33" t="inlineStr">
        <is>
          <t>SKÅNE LÄN</t>
        </is>
      </c>
      <c r="E33" t="inlineStr">
        <is>
          <t>HÄSSLEHOLM</t>
        </is>
      </c>
      <c r="G33" t="n">
        <v>3.4</v>
      </c>
      <c r="H33" t="n">
        <v>0</v>
      </c>
      <c r="I33" t="n">
        <v>0</v>
      </c>
      <c r="J33" t="n">
        <v>1</v>
      </c>
      <c r="K33" t="n">
        <v>0</v>
      </c>
      <c r="L33" t="n">
        <v>0</v>
      </c>
      <c r="M33" t="n">
        <v>0</v>
      </c>
      <c r="N33" t="n">
        <v>0</v>
      </c>
      <c r="O33" t="n">
        <v>1</v>
      </c>
      <c r="P33" t="n">
        <v>0</v>
      </c>
      <c r="Q33" t="n">
        <v>1</v>
      </c>
      <c r="R33" s="2" t="inlineStr">
        <is>
          <t>Sydlig sotticka</t>
        </is>
      </c>
      <c r="S33">
        <f>HYPERLINK("https://klasma.github.io/Logging_1293/artfynd/A 25944-2026 artfynd.xlsx", "A 25944-2026")</f>
        <v/>
      </c>
      <c r="T33">
        <f>HYPERLINK("https://klasma.github.io/Logging_1293/kartor/A 25944-2026 karta.png", "A 25944-2026")</f>
        <v/>
      </c>
      <c r="V33">
        <f>HYPERLINK("https://klasma.github.io/Logging_1293/klagomål/A 25944-2026 FSC-klagomål.docx", "A 25944-2026")</f>
        <v/>
      </c>
      <c r="W33">
        <f>HYPERLINK("https://klasma.github.io/Logging_1293/klagomålsmail/A 25944-2026 FSC-klagomål mail.docx", "A 25944-2026")</f>
        <v/>
      </c>
      <c r="X33">
        <f>HYPERLINK("https://klasma.github.io/Logging_1293/tillsyn/A 25944-2026 tillsynsbegäran.docx", "A 25944-2026")</f>
        <v/>
      </c>
      <c r="Y33">
        <f>HYPERLINK("https://klasma.github.io/Logging_1293/tillsynsmail/A 25944-2026 tillsynsbegäran mail.docx", "A 25944-2026")</f>
        <v/>
      </c>
    </row>
    <row r="34" ht="15" customHeight="1">
      <c r="A34" t="inlineStr">
        <is>
          <t>A 24435-2026</t>
        </is>
      </c>
      <c r="B34" s="1" t="n">
        <v>46168</v>
      </c>
      <c r="C34" s="1" t="n">
        <v>46188</v>
      </c>
      <c r="D34" t="inlineStr">
        <is>
          <t>SKÅNE LÄN</t>
        </is>
      </c>
      <c r="E34" t="inlineStr">
        <is>
          <t>HÄSSLEHOLM</t>
        </is>
      </c>
      <c r="G34" t="n">
        <v>10.6</v>
      </c>
      <c r="H34" t="n">
        <v>0</v>
      </c>
      <c r="I34" t="n">
        <v>1</v>
      </c>
      <c r="J34" t="n">
        <v>0</v>
      </c>
      <c r="K34" t="n">
        <v>0</v>
      </c>
      <c r="L34" t="n">
        <v>0</v>
      </c>
      <c r="M34" t="n">
        <v>0</v>
      </c>
      <c r="N34" t="n">
        <v>0</v>
      </c>
      <c r="O34" t="n">
        <v>0</v>
      </c>
      <c r="P34" t="n">
        <v>0</v>
      </c>
      <c r="Q34" t="n">
        <v>1</v>
      </c>
      <c r="R34" s="2" t="inlineStr">
        <is>
          <t>Rostfläck</t>
        </is>
      </c>
      <c r="S34">
        <f>HYPERLINK("https://klasma.github.io/Logging_1293/artfynd/A 24435-2026 artfynd.xlsx", "A 24435-2026")</f>
        <v/>
      </c>
      <c r="T34">
        <f>HYPERLINK("https://klasma.github.io/Logging_1293/kartor/A 24435-2026 karta.png", "A 24435-2026")</f>
        <v/>
      </c>
      <c r="V34">
        <f>HYPERLINK("https://klasma.github.io/Logging_1293/klagomål/A 24435-2026 FSC-klagomål.docx", "A 24435-2026")</f>
        <v/>
      </c>
      <c r="W34">
        <f>HYPERLINK("https://klasma.github.io/Logging_1293/klagomålsmail/A 24435-2026 FSC-klagomål mail.docx", "A 24435-2026")</f>
        <v/>
      </c>
      <c r="X34">
        <f>HYPERLINK("https://klasma.github.io/Logging_1293/tillsyn/A 24435-2026 tillsynsbegäran.docx", "A 24435-2026")</f>
        <v/>
      </c>
      <c r="Y34">
        <f>HYPERLINK("https://klasma.github.io/Logging_1293/tillsynsmail/A 24435-2026 tillsynsbegäran mail.docx", "A 24435-2026")</f>
        <v/>
      </c>
    </row>
    <row r="35" ht="15" customHeight="1">
      <c r="A35" t="inlineStr">
        <is>
          <t>A 4619-2025</t>
        </is>
      </c>
      <c r="B35" s="1" t="n">
        <v>45687</v>
      </c>
      <c r="C35" s="1" t="n">
        <v>46188</v>
      </c>
      <c r="D35" t="inlineStr">
        <is>
          <t>SKÅNE LÄN</t>
        </is>
      </c>
      <c r="E35" t="inlineStr">
        <is>
          <t>HÄSSLEHOLM</t>
        </is>
      </c>
      <c r="G35" t="n">
        <v>2.2</v>
      </c>
      <c r="H35" t="n">
        <v>0</v>
      </c>
      <c r="I35" t="n">
        <v>0</v>
      </c>
      <c r="J35" t="n">
        <v>0</v>
      </c>
      <c r="K35" t="n">
        <v>1</v>
      </c>
      <c r="L35" t="n">
        <v>0</v>
      </c>
      <c r="M35" t="n">
        <v>0</v>
      </c>
      <c r="N35" t="n">
        <v>0</v>
      </c>
      <c r="O35" t="n">
        <v>1</v>
      </c>
      <c r="P35" t="n">
        <v>1</v>
      </c>
      <c r="Q35" t="n">
        <v>1</v>
      </c>
      <c r="R35" s="2" t="inlineStr">
        <is>
          <t>Vildris</t>
        </is>
      </c>
      <c r="S35">
        <f>HYPERLINK("https://klasma.github.io/Logging_1293/artfynd/A 4619-2025 artfynd.xlsx", "A 4619-2025")</f>
        <v/>
      </c>
      <c r="T35">
        <f>HYPERLINK("https://klasma.github.io/Logging_1293/kartor/A 4619-2025 karta.png", "A 4619-2025")</f>
        <v/>
      </c>
      <c r="V35">
        <f>HYPERLINK("https://klasma.github.io/Logging_1293/klagomål/A 4619-2025 FSC-klagomål.docx", "A 4619-2025")</f>
        <v/>
      </c>
      <c r="W35">
        <f>HYPERLINK("https://klasma.github.io/Logging_1293/klagomålsmail/A 4619-2025 FSC-klagomål mail.docx", "A 4619-2025")</f>
        <v/>
      </c>
      <c r="X35">
        <f>HYPERLINK("https://klasma.github.io/Logging_1293/tillsyn/A 4619-2025 tillsynsbegäran.docx", "A 4619-2025")</f>
        <v/>
      </c>
      <c r="Y35">
        <f>HYPERLINK("https://klasma.github.io/Logging_1293/tillsynsmail/A 4619-2025 tillsynsbegäran mail.docx", "A 4619-2025")</f>
        <v/>
      </c>
    </row>
    <row r="36" ht="15" customHeight="1">
      <c r="A36" t="inlineStr">
        <is>
          <t>A 49572-2022</t>
        </is>
      </c>
      <c r="B36" s="1" t="n">
        <v>44862.335</v>
      </c>
      <c r="C36" s="1" t="n">
        <v>46188</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14933-2023</t>
        </is>
      </c>
      <c r="B37" s="1" t="n">
        <v>45014</v>
      </c>
      <c r="C37" s="1" t="n">
        <v>46188</v>
      </c>
      <c r="D37" t="inlineStr">
        <is>
          <t>SKÅNE LÄN</t>
        </is>
      </c>
      <c r="E37" t="inlineStr">
        <is>
          <t>HÄSSLEHOLM</t>
        </is>
      </c>
      <c r="G37" t="n">
        <v>1.2</v>
      </c>
      <c r="H37" t="n">
        <v>0</v>
      </c>
      <c r="I37" t="n">
        <v>0</v>
      </c>
      <c r="J37" t="n">
        <v>0</v>
      </c>
      <c r="K37" t="n">
        <v>1</v>
      </c>
      <c r="L37" t="n">
        <v>0</v>
      </c>
      <c r="M37" t="n">
        <v>0</v>
      </c>
      <c r="N37" t="n">
        <v>0</v>
      </c>
      <c r="O37" t="n">
        <v>1</v>
      </c>
      <c r="P37" t="n">
        <v>1</v>
      </c>
      <c r="Q37" t="n">
        <v>1</v>
      </c>
      <c r="R37" s="2" t="inlineStr">
        <is>
          <t>Småvänderot</t>
        </is>
      </c>
      <c r="S37">
        <f>HYPERLINK("https://klasma.github.io/Logging_1293/artfynd/A 14933-2023 artfynd.xlsx", "A 14933-2023")</f>
        <v/>
      </c>
      <c r="T37">
        <f>HYPERLINK("https://klasma.github.io/Logging_1293/kartor/A 14933-2023 karta.png", "A 14933-2023")</f>
        <v/>
      </c>
      <c r="V37">
        <f>HYPERLINK("https://klasma.github.io/Logging_1293/klagomål/A 14933-2023 FSC-klagomål.docx", "A 14933-2023")</f>
        <v/>
      </c>
      <c r="W37">
        <f>HYPERLINK("https://klasma.github.io/Logging_1293/klagomålsmail/A 14933-2023 FSC-klagomål mail.docx", "A 14933-2023")</f>
        <v/>
      </c>
      <c r="X37">
        <f>HYPERLINK("https://klasma.github.io/Logging_1293/tillsyn/A 14933-2023 tillsynsbegäran.docx", "A 14933-2023")</f>
        <v/>
      </c>
      <c r="Y37">
        <f>HYPERLINK("https://klasma.github.io/Logging_1293/tillsynsmail/A 14933-2023 tillsynsbegäran mail.docx", "A 14933-2023")</f>
        <v/>
      </c>
    </row>
    <row r="38" ht="15" customHeight="1">
      <c r="A38" t="inlineStr">
        <is>
          <t>A 20280-2025</t>
        </is>
      </c>
      <c r="B38" s="1" t="n">
        <v>45774.38790509259</v>
      </c>
      <c r="C38" s="1" t="n">
        <v>46188</v>
      </c>
      <c r="D38" t="inlineStr">
        <is>
          <t>SKÅNE LÄN</t>
        </is>
      </c>
      <c r="E38" t="inlineStr">
        <is>
          <t>HÄSSLEHOLM</t>
        </is>
      </c>
      <c r="G38" t="n">
        <v>3</v>
      </c>
      <c r="H38" t="n">
        <v>0</v>
      </c>
      <c r="I38" t="n">
        <v>0</v>
      </c>
      <c r="J38" t="n">
        <v>0</v>
      </c>
      <c r="K38" t="n">
        <v>1</v>
      </c>
      <c r="L38" t="n">
        <v>0</v>
      </c>
      <c r="M38" t="n">
        <v>0</v>
      </c>
      <c r="N38" t="n">
        <v>0</v>
      </c>
      <c r="O38" t="n">
        <v>1</v>
      </c>
      <c r="P38" t="n">
        <v>1</v>
      </c>
      <c r="Q38" t="n">
        <v>1</v>
      </c>
      <c r="R38" s="2" t="inlineStr">
        <is>
          <t>Revig blodrot</t>
        </is>
      </c>
      <c r="S38">
        <f>HYPERLINK("https://klasma.github.io/Logging_1293/artfynd/A 20280-2025 artfynd.xlsx", "A 20280-2025")</f>
        <v/>
      </c>
      <c r="T38">
        <f>HYPERLINK("https://klasma.github.io/Logging_1293/kartor/A 20280-2025 karta.png", "A 20280-2025")</f>
        <v/>
      </c>
      <c r="V38">
        <f>HYPERLINK("https://klasma.github.io/Logging_1293/klagomål/A 20280-2025 FSC-klagomål.docx", "A 20280-2025")</f>
        <v/>
      </c>
      <c r="W38">
        <f>HYPERLINK("https://klasma.github.io/Logging_1293/klagomålsmail/A 20280-2025 FSC-klagomål mail.docx", "A 20280-2025")</f>
        <v/>
      </c>
      <c r="X38">
        <f>HYPERLINK("https://klasma.github.io/Logging_1293/tillsyn/A 20280-2025 tillsynsbegäran.docx", "A 20280-2025")</f>
        <v/>
      </c>
      <c r="Y38">
        <f>HYPERLINK("https://klasma.github.io/Logging_1293/tillsynsmail/A 20280-2025 tillsynsbegäran mail.docx", "A 20280-2025")</f>
        <v/>
      </c>
    </row>
    <row r="39" ht="15" customHeight="1">
      <c r="A39" t="inlineStr">
        <is>
          <t>A 46602-2023</t>
        </is>
      </c>
      <c r="B39" s="1" t="n">
        <v>45194</v>
      </c>
      <c r="C39" s="1" t="n">
        <v>46188</v>
      </c>
      <c r="D39" t="inlineStr">
        <is>
          <t>SKÅNE LÄN</t>
        </is>
      </c>
      <c r="E39" t="inlineStr">
        <is>
          <t>HÄSSLEHOLM</t>
        </is>
      </c>
      <c r="G39" t="n">
        <v>7.3</v>
      </c>
      <c r="H39" t="n">
        <v>0</v>
      </c>
      <c r="I39" t="n">
        <v>0</v>
      </c>
      <c r="J39" t="n">
        <v>0</v>
      </c>
      <c r="K39" t="n">
        <v>1</v>
      </c>
      <c r="L39" t="n">
        <v>0</v>
      </c>
      <c r="M39" t="n">
        <v>0</v>
      </c>
      <c r="N39" t="n">
        <v>0</v>
      </c>
      <c r="O39" t="n">
        <v>1</v>
      </c>
      <c r="P39" t="n">
        <v>1</v>
      </c>
      <c r="Q39" t="n">
        <v>1</v>
      </c>
      <c r="R39" s="2" t="inlineStr">
        <is>
          <t>Lungrot</t>
        </is>
      </c>
      <c r="S39">
        <f>HYPERLINK("https://klasma.github.io/Logging_1293/artfynd/A 46602-2023 artfynd.xlsx", "A 46602-2023")</f>
        <v/>
      </c>
      <c r="T39">
        <f>HYPERLINK("https://klasma.github.io/Logging_1293/kartor/A 46602-2023 karta.png", "A 46602-2023")</f>
        <v/>
      </c>
      <c r="V39">
        <f>HYPERLINK("https://klasma.github.io/Logging_1293/klagomål/A 46602-2023 FSC-klagomål.docx", "A 46602-2023")</f>
        <v/>
      </c>
      <c r="W39">
        <f>HYPERLINK("https://klasma.github.io/Logging_1293/klagomålsmail/A 46602-2023 FSC-klagomål mail.docx", "A 46602-2023")</f>
        <v/>
      </c>
      <c r="X39">
        <f>HYPERLINK("https://klasma.github.io/Logging_1293/tillsyn/A 46602-2023 tillsynsbegäran.docx", "A 46602-2023")</f>
        <v/>
      </c>
      <c r="Y39">
        <f>HYPERLINK("https://klasma.github.io/Logging_1293/tillsynsmail/A 46602-2023 tillsynsbegäran mail.docx", "A 46602-2023")</f>
        <v/>
      </c>
    </row>
    <row r="40" ht="15" customHeight="1">
      <c r="A40" t="inlineStr">
        <is>
          <t>A 37457-2022</t>
        </is>
      </c>
      <c r="B40" s="1" t="n">
        <v>44809</v>
      </c>
      <c r="C40" s="1" t="n">
        <v>46188</v>
      </c>
      <c r="D40" t="inlineStr">
        <is>
          <t>SKÅNE LÄN</t>
        </is>
      </c>
      <c r="E40" t="inlineStr">
        <is>
          <t>HÄSSLEHOLM</t>
        </is>
      </c>
      <c r="G40" t="n">
        <v>2.4</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46188</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46188</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46188</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46188</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35099-2022</t>
        </is>
      </c>
      <c r="B45" s="1" t="n">
        <v>44797</v>
      </c>
      <c r="C45" s="1" t="n">
        <v>46188</v>
      </c>
      <c r="D45" t="inlineStr">
        <is>
          <t>SKÅNE LÄN</t>
        </is>
      </c>
      <c r="E45" t="inlineStr">
        <is>
          <t>HÄSSLEHOLM</t>
        </is>
      </c>
      <c r="G45" t="n">
        <v>4.1</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46188</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46188</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46188</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46188</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46188</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46188</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46188</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220-2022</t>
        </is>
      </c>
      <c r="B53" s="1" t="n">
        <v>44564</v>
      </c>
      <c r="C53" s="1" t="n">
        <v>46188</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38372-2021</t>
        </is>
      </c>
      <c r="B54" s="1" t="n">
        <v>44406</v>
      </c>
      <c r="C54" s="1" t="n">
        <v>46188</v>
      </c>
      <c r="D54" t="inlineStr">
        <is>
          <t>SKÅNE LÄN</t>
        </is>
      </c>
      <c r="E54" t="inlineStr">
        <is>
          <t>HÄSSLEHOLM</t>
        </is>
      </c>
      <c r="F54" t="inlineStr">
        <is>
          <t>Kommuner</t>
        </is>
      </c>
      <c r="G54" t="n">
        <v>2.7</v>
      </c>
      <c r="H54" t="n">
        <v>0</v>
      </c>
      <c r="I54" t="n">
        <v>0</v>
      </c>
      <c r="J54" t="n">
        <v>0</v>
      </c>
      <c r="K54" t="n">
        <v>0</v>
      </c>
      <c r="L54" t="n">
        <v>0</v>
      </c>
      <c r="M54" t="n">
        <v>0</v>
      </c>
      <c r="N54" t="n">
        <v>0</v>
      </c>
      <c r="O54" t="n">
        <v>0</v>
      </c>
      <c r="P54" t="n">
        <v>0</v>
      </c>
      <c r="Q54" t="n">
        <v>0</v>
      </c>
      <c r="R54" s="2" t="inlineStr"/>
    </row>
    <row r="55" ht="15" customHeight="1">
      <c r="A55" t="inlineStr">
        <is>
          <t>A 35727-2022</t>
        </is>
      </c>
      <c r="B55" s="1" t="n">
        <v>44799.71708333334</v>
      </c>
      <c r="C55" s="1" t="n">
        <v>46188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54175-2021</t>
        </is>
      </c>
      <c r="B56" s="1" t="n">
        <v>44470</v>
      </c>
      <c r="C56" s="1" t="n">
        <v>46188</v>
      </c>
      <c r="D56" t="inlineStr">
        <is>
          <t>SKÅNE LÄN</t>
        </is>
      </c>
      <c r="E56" t="inlineStr">
        <is>
          <t>HÄSSLEHOLM</t>
        </is>
      </c>
      <c r="G56" t="n">
        <v>0.5</v>
      </c>
      <c r="H56" t="n">
        <v>0</v>
      </c>
      <c r="I56" t="n">
        <v>0</v>
      </c>
      <c r="J56" t="n">
        <v>0</v>
      </c>
      <c r="K56" t="n">
        <v>0</v>
      </c>
      <c r="L56" t="n">
        <v>0</v>
      </c>
      <c r="M56" t="n">
        <v>0</v>
      </c>
      <c r="N56" t="n">
        <v>0</v>
      </c>
      <c r="O56" t="n">
        <v>0</v>
      </c>
      <c r="P56" t="n">
        <v>0</v>
      </c>
      <c r="Q56" t="n">
        <v>0</v>
      </c>
      <c r="R56" s="2" t="inlineStr"/>
    </row>
    <row r="57" ht="15" customHeight="1">
      <c r="A57" t="inlineStr">
        <is>
          <t>A 49324-2021</t>
        </is>
      </c>
      <c r="B57" s="1" t="n">
        <v>44454.55060185185</v>
      </c>
      <c r="C57" s="1" t="n">
        <v>46188</v>
      </c>
      <c r="D57" t="inlineStr">
        <is>
          <t>SKÅNE LÄN</t>
        </is>
      </c>
      <c r="E57" t="inlineStr">
        <is>
          <t>HÄSSLEHOLM</t>
        </is>
      </c>
      <c r="G57" t="n">
        <v>0.9</v>
      </c>
      <c r="H57" t="n">
        <v>0</v>
      </c>
      <c r="I57" t="n">
        <v>0</v>
      </c>
      <c r="J57" t="n">
        <v>0</v>
      </c>
      <c r="K57" t="n">
        <v>0</v>
      </c>
      <c r="L57" t="n">
        <v>0</v>
      </c>
      <c r="M57" t="n">
        <v>0</v>
      </c>
      <c r="N57" t="n">
        <v>0</v>
      </c>
      <c r="O57" t="n">
        <v>0</v>
      </c>
      <c r="P57" t="n">
        <v>0</v>
      </c>
      <c r="Q57" t="n">
        <v>0</v>
      </c>
      <c r="R57" s="2" t="inlineStr"/>
    </row>
    <row r="58" ht="15" customHeight="1">
      <c r="A58" t="inlineStr">
        <is>
          <t>A 7249-2022</t>
        </is>
      </c>
      <c r="B58" s="1" t="n">
        <v>44606</v>
      </c>
      <c r="C58" s="1" t="n">
        <v>46188</v>
      </c>
      <c r="D58" t="inlineStr">
        <is>
          <t>SKÅNE LÄN</t>
        </is>
      </c>
      <c r="E58" t="inlineStr">
        <is>
          <t>HÄSSLEHOLM</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74294-2021</t>
        </is>
      </c>
      <c r="B59" s="1" t="n">
        <v>44558</v>
      </c>
      <c r="C59" s="1" t="n">
        <v>46188</v>
      </c>
      <c r="D59" t="inlineStr">
        <is>
          <t>SKÅNE LÄN</t>
        </is>
      </c>
      <c r="E59" t="inlineStr">
        <is>
          <t>HÄSSLEHOLM</t>
        </is>
      </c>
      <c r="F59" t="inlineStr">
        <is>
          <t>Kyrkan</t>
        </is>
      </c>
      <c r="G59" t="n">
        <v>16.2</v>
      </c>
      <c r="H59" t="n">
        <v>0</v>
      </c>
      <c r="I59" t="n">
        <v>0</v>
      </c>
      <c r="J59" t="n">
        <v>0</v>
      </c>
      <c r="K59" t="n">
        <v>0</v>
      </c>
      <c r="L59" t="n">
        <v>0</v>
      </c>
      <c r="M59" t="n">
        <v>0</v>
      </c>
      <c r="N59" t="n">
        <v>0</v>
      </c>
      <c r="O59" t="n">
        <v>0</v>
      </c>
      <c r="P59" t="n">
        <v>0</v>
      </c>
      <c r="Q59" t="n">
        <v>0</v>
      </c>
      <c r="R59" s="2" t="inlineStr"/>
    </row>
    <row r="60" ht="15" customHeight="1">
      <c r="A60" t="inlineStr">
        <is>
          <t>A 50094-2021</t>
        </is>
      </c>
      <c r="B60" s="1" t="n">
        <v>44456.6084375</v>
      </c>
      <c r="C60" s="1" t="n">
        <v>46188</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23962-2022</t>
        </is>
      </c>
      <c r="B61" s="1" t="n">
        <v>44722.70532407407</v>
      </c>
      <c r="C61" s="1" t="n">
        <v>46188</v>
      </c>
      <c r="D61" t="inlineStr">
        <is>
          <t>SKÅNE LÄN</t>
        </is>
      </c>
      <c r="E61" t="inlineStr">
        <is>
          <t>HÄSSLEHOLM</t>
        </is>
      </c>
      <c r="F61" t="inlineStr">
        <is>
          <t>Kyrkan</t>
        </is>
      </c>
      <c r="G61" t="n">
        <v>5.8</v>
      </c>
      <c r="H61" t="n">
        <v>0</v>
      </c>
      <c r="I61" t="n">
        <v>0</v>
      </c>
      <c r="J61" t="n">
        <v>0</v>
      </c>
      <c r="K61" t="n">
        <v>0</v>
      </c>
      <c r="L61" t="n">
        <v>0</v>
      </c>
      <c r="M61" t="n">
        <v>0</v>
      </c>
      <c r="N61" t="n">
        <v>0</v>
      </c>
      <c r="O61" t="n">
        <v>0</v>
      </c>
      <c r="P61" t="n">
        <v>0</v>
      </c>
      <c r="Q61" t="n">
        <v>0</v>
      </c>
      <c r="R61" s="2" t="inlineStr"/>
    </row>
    <row r="62" ht="15" customHeight="1">
      <c r="A62" t="inlineStr">
        <is>
          <t>A 32967-2021</t>
        </is>
      </c>
      <c r="B62" s="1" t="n">
        <v>44376.39391203703</v>
      </c>
      <c r="C62" s="1" t="n">
        <v>46188</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56424-2021</t>
        </is>
      </c>
      <c r="B63" s="1" t="n">
        <v>44480</v>
      </c>
      <c r="C63" s="1" t="n">
        <v>46188</v>
      </c>
      <c r="D63" t="inlineStr">
        <is>
          <t>SKÅNE LÄN</t>
        </is>
      </c>
      <c r="E63" t="inlineStr">
        <is>
          <t>HÄSSLEHOLM</t>
        </is>
      </c>
      <c r="F63" t="inlineStr">
        <is>
          <t>Kyrkan</t>
        </is>
      </c>
      <c r="G63" t="n">
        <v>3.4</v>
      </c>
      <c r="H63" t="n">
        <v>0</v>
      </c>
      <c r="I63" t="n">
        <v>0</v>
      </c>
      <c r="J63" t="n">
        <v>0</v>
      </c>
      <c r="K63" t="n">
        <v>0</v>
      </c>
      <c r="L63" t="n">
        <v>0</v>
      </c>
      <c r="M63" t="n">
        <v>0</v>
      </c>
      <c r="N63" t="n">
        <v>0</v>
      </c>
      <c r="O63" t="n">
        <v>0</v>
      </c>
      <c r="P63" t="n">
        <v>0</v>
      </c>
      <c r="Q63" t="n">
        <v>0</v>
      </c>
      <c r="R63" s="2" t="inlineStr"/>
    </row>
    <row r="64" ht="15" customHeight="1">
      <c r="A64" t="inlineStr">
        <is>
          <t>A 58566-2021</t>
        </is>
      </c>
      <c r="B64" s="1" t="n">
        <v>44488.85538194444</v>
      </c>
      <c r="C64" s="1" t="n">
        <v>46188</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56502-2021</t>
        </is>
      </c>
      <c r="B65" s="1" t="n">
        <v>44480</v>
      </c>
      <c r="C65" s="1" t="n">
        <v>46188</v>
      </c>
      <c r="D65" t="inlineStr">
        <is>
          <t>SKÅNE LÄN</t>
        </is>
      </c>
      <c r="E65" t="inlineStr">
        <is>
          <t>HÄSSLEHOLM</t>
        </is>
      </c>
      <c r="F65" t="inlineStr">
        <is>
          <t>Kyrkan</t>
        </is>
      </c>
      <c r="G65" t="n">
        <v>13.8</v>
      </c>
      <c r="H65" t="n">
        <v>0</v>
      </c>
      <c r="I65" t="n">
        <v>0</v>
      </c>
      <c r="J65" t="n">
        <v>0</v>
      </c>
      <c r="K65" t="n">
        <v>0</v>
      </c>
      <c r="L65" t="n">
        <v>0</v>
      </c>
      <c r="M65" t="n">
        <v>0</v>
      </c>
      <c r="N65" t="n">
        <v>0</v>
      </c>
      <c r="O65" t="n">
        <v>0</v>
      </c>
      <c r="P65" t="n">
        <v>0</v>
      </c>
      <c r="Q65" t="n">
        <v>0</v>
      </c>
      <c r="R65" s="2" t="inlineStr"/>
    </row>
    <row r="66" ht="15" customHeight="1">
      <c r="A66" t="inlineStr">
        <is>
          <t>A 58564-2021</t>
        </is>
      </c>
      <c r="B66" s="1" t="n">
        <v>44488.84940972222</v>
      </c>
      <c r="C66" s="1" t="n">
        <v>46188</v>
      </c>
      <c r="D66" t="inlineStr">
        <is>
          <t>SKÅNE LÄN</t>
        </is>
      </c>
      <c r="E66" t="inlineStr">
        <is>
          <t>HÄSSLEHOLM</t>
        </is>
      </c>
      <c r="G66" t="n">
        <v>1.5</v>
      </c>
      <c r="H66" t="n">
        <v>0</v>
      </c>
      <c r="I66" t="n">
        <v>0</v>
      </c>
      <c r="J66" t="n">
        <v>0</v>
      </c>
      <c r="K66" t="n">
        <v>0</v>
      </c>
      <c r="L66" t="n">
        <v>0</v>
      </c>
      <c r="M66" t="n">
        <v>0</v>
      </c>
      <c r="N66" t="n">
        <v>0</v>
      </c>
      <c r="O66" t="n">
        <v>0</v>
      </c>
      <c r="P66" t="n">
        <v>0</v>
      </c>
      <c r="Q66" t="n">
        <v>0</v>
      </c>
      <c r="R66" s="2" t="inlineStr"/>
    </row>
    <row r="67" ht="15" customHeight="1">
      <c r="A67" t="inlineStr">
        <is>
          <t>A 45284-2021</t>
        </is>
      </c>
      <c r="B67" s="1" t="n">
        <v>44439.65418981481</v>
      </c>
      <c r="C67" s="1" t="n">
        <v>46188</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8204-2022</t>
        </is>
      </c>
      <c r="B68" s="1" t="n">
        <v>44609.73251157408</v>
      </c>
      <c r="C68" s="1" t="n">
        <v>46188</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48553-2021</t>
        </is>
      </c>
      <c r="B69" s="1" t="n">
        <v>44452.45701388889</v>
      </c>
      <c r="C69" s="1" t="n">
        <v>46188</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3855-2022</t>
        </is>
      </c>
      <c r="B70" s="1" t="n">
        <v>44587</v>
      </c>
      <c r="C70" s="1" t="n">
        <v>46188</v>
      </c>
      <c r="D70" t="inlineStr">
        <is>
          <t>SKÅNE LÄN</t>
        </is>
      </c>
      <c r="E70" t="inlineStr">
        <is>
          <t>HÄSSLEHOLM</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54106-2022</t>
        </is>
      </c>
      <c r="B71" s="1" t="n">
        <v>44879</v>
      </c>
      <c r="C71" s="1" t="n">
        <v>46188</v>
      </c>
      <c r="D71" t="inlineStr">
        <is>
          <t>SKÅNE LÄN</t>
        </is>
      </c>
      <c r="E71" t="inlineStr">
        <is>
          <t>HÄSSLEHOLM</t>
        </is>
      </c>
      <c r="F71" t="inlineStr">
        <is>
          <t>Övriga Aktiebolag</t>
        </is>
      </c>
      <c r="G71" t="n">
        <v>0.7</v>
      </c>
      <c r="H71" t="n">
        <v>0</v>
      </c>
      <c r="I71" t="n">
        <v>0</v>
      </c>
      <c r="J71" t="n">
        <v>0</v>
      </c>
      <c r="K71" t="n">
        <v>0</v>
      </c>
      <c r="L71" t="n">
        <v>0</v>
      </c>
      <c r="M71" t="n">
        <v>0</v>
      </c>
      <c r="N71" t="n">
        <v>0</v>
      </c>
      <c r="O71" t="n">
        <v>0</v>
      </c>
      <c r="P71" t="n">
        <v>0</v>
      </c>
      <c r="Q71" t="n">
        <v>0</v>
      </c>
      <c r="R71" s="2" t="inlineStr"/>
    </row>
    <row r="72" ht="15" customHeight="1">
      <c r="A72" t="inlineStr">
        <is>
          <t>A 55364-2022</t>
        </is>
      </c>
      <c r="B72" s="1" t="n">
        <v>44887.50657407408</v>
      </c>
      <c r="C72" s="1" t="n">
        <v>46188</v>
      </c>
      <c r="D72" t="inlineStr">
        <is>
          <t>SKÅNE LÄN</t>
        </is>
      </c>
      <c r="E72" t="inlineStr">
        <is>
          <t>HÄSSLEHOLM</t>
        </is>
      </c>
      <c r="G72" t="n">
        <v>0.4</v>
      </c>
      <c r="H72" t="n">
        <v>0</v>
      </c>
      <c r="I72" t="n">
        <v>0</v>
      </c>
      <c r="J72" t="n">
        <v>0</v>
      </c>
      <c r="K72" t="n">
        <v>0</v>
      </c>
      <c r="L72" t="n">
        <v>0</v>
      </c>
      <c r="M72" t="n">
        <v>0</v>
      </c>
      <c r="N72" t="n">
        <v>0</v>
      </c>
      <c r="O72" t="n">
        <v>0</v>
      </c>
      <c r="P72" t="n">
        <v>0</v>
      </c>
      <c r="Q72" t="n">
        <v>0</v>
      </c>
      <c r="R72" s="2" t="inlineStr"/>
    </row>
    <row r="73" ht="15" customHeight="1">
      <c r="A73" t="inlineStr">
        <is>
          <t>A 50618-2021</t>
        </is>
      </c>
      <c r="B73" s="1" t="n">
        <v>44459</v>
      </c>
      <c r="C73" s="1" t="n">
        <v>46188</v>
      </c>
      <c r="D73" t="inlineStr">
        <is>
          <t>SKÅNE LÄN</t>
        </is>
      </c>
      <c r="E73" t="inlineStr">
        <is>
          <t>HÄSSLEHOLM</t>
        </is>
      </c>
      <c r="F73" t="inlineStr">
        <is>
          <t>Kyrkan</t>
        </is>
      </c>
      <c r="G73" t="n">
        <v>15.1</v>
      </c>
      <c r="H73" t="n">
        <v>0</v>
      </c>
      <c r="I73" t="n">
        <v>0</v>
      </c>
      <c r="J73" t="n">
        <v>0</v>
      </c>
      <c r="K73" t="n">
        <v>0</v>
      </c>
      <c r="L73" t="n">
        <v>0</v>
      </c>
      <c r="M73" t="n">
        <v>0</v>
      </c>
      <c r="N73" t="n">
        <v>0</v>
      </c>
      <c r="O73" t="n">
        <v>0</v>
      </c>
      <c r="P73" t="n">
        <v>0</v>
      </c>
      <c r="Q73" t="n">
        <v>0</v>
      </c>
      <c r="R73" s="2" t="inlineStr"/>
    </row>
    <row r="74" ht="15" customHeight="1">
      <c r="A74" t="inlineStr">
        <is>
          <t>A 69419-2021</t>
        </is>
      </c>
      <c r="B74" s="1" t="n">
        <v>44531</v>
      </c>
      <c r="C74" s="1" t="n">
        <v>46188</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14402-2022</t>
        </is>
      </c>
      <c r="B75" s="1" t="n">
        <v>44652</v>
      </c>
      <c r="C75" s="1" t="n">
        <v>46188</v>
      </c>
      <c r="D75" t="inlineStr">
        <is>
          <t>SKÅNE LÄN</t>
        </is>
      </c>
      <c r="E75" t="inlineStr">
        <is>
          <t>HÄSSLEHOLM</t>
        </is>
      </c>
      <c r="G75" t="n">
        <v>0.5</v>
      </c>
      <c r="H75" t="n">
        <v>0</v>
      </c>
      <c r="I75" t="n">
        <v>0</v>
      </c>
      <c r="J75" t="n">
        <v>0</v>
      </c>
      <c r="K75" t="n">
        <v>0</v>
      </c>
      <c r="L75" t="n">
        <v>0</v>
      </c>
      <c r="M75" t="n">
        <v>0</v>
      </c>
      <c r="N75" t="n">
        <v>0</v>
      </c>
      <c r="O75" t="n">
        <v>0</v>
      </c>
      <c r="P75" t="n">
        <v>0</v>
      </c>
      <c r="Q75" t="n">
        <v>0</v>
      </c>
      <c r="R75" s="2" t="inlineStr"/>
    </row>
    <row r="76" ht="15" customHeight="1">
      <c r="A76" t="inlineStr">
        <is>
          <t>A 26387-2022</t>
        </is>
      </c>
      <c r="B76" s="1" t="n">
        <v>44735.68328703703</v>
      </c>
      <c r="C76" s="1" t="n">
        <v>46188</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40764-2022</t>
        </is>
      </c>
      <c r="B77" s="1" t="n">
        <v>44820</v>
      </c>
      <c r="C77" s="1" t="n">
        <v>46188</v>
      </c>
      <c r="D77" t="inlineStr">
        <is>
          <t>SKÅNE LÄN</t>
        </is>
      </c>
      <c r="E77" t="inlineStr">
        <is>
          <t>HÄSSLEHOLM</t>
        </is>
      </c>
      <c r="G77" t="n">
        <v>0.3</v>
      </c>
      <c r="H77" t="n">
        <v>0</v>
      </c>
      <c r="I77" t="n">
        <v>0</v>
      </c>
      <c r="J77" t="n">
        <v>0</v>
      </c>
      <c r="K77" t="n">
        <v>0</v>
      </c>
      <c r="L77" t="n">
        <v>0</v>
      </c>
      <c r="M77" t="n">
        <v>0</v>
      </c>
      <c r="N77" t="n">
        <v>0</v>
      </c>
      <c r="O77" t="n">
        <v>0</v>
      </c>
      <c r="P77" t="n">
        <v>0</v>
      </c>
      <c r="Q77" t="n">
        <v>0</v>
      </c>
      <c r="R77" s="2" t="inlineStr"/>
    </row>
    <row r="78" ht="15" customHeight="1">
      <c r="A78" t="inlineStr">
        <is>
          <t>A 30992-2021</t>
        </is>
      </c>
      <c r="B78" s="1" t="n">
        <v>44366.36262731482</v>
      </c>
      <c r="C78" s="1" t="n">
        <v>46188</v>
      </c>
      <c r="D78" t="inlineStr">
        <is>
          <t>SKÅNE LÄN</t>
        </is>
      </c>
      <c r="E78" t="inlineStr">
        <is>
          <t>HÄSSLEHOLM</t>
        </is>
      </c>
      <c r="G78" t="n">
        <v>3.1</v>
      </c>
      <c r="H78" t="n">
        <v>0</v>
      </c>
      <c r="I78" t="n">
        <v>0</v>
      </c>
      <c r="J78" t="n">
        <v>0</v>
      </c>
      <c r="K78" t="n">
        <v>0</v>
      </c>
      <c r="L78" t="n">
        <v>0</v>
      </c>
      <c r="M78" t="n">
        <v>0</v>
      </c>
      <c r="N78" t="n">
        <v>0</v>
      </c>
      <c r="O78" t="n">
        <v>0</v>
      </c>
      <c r="P78" t="n">
        <v>0</v>
      </c>
      <c r="Q78" t="n">
        <v>0</v>
      </c>
      <c r="R78" s="2" t="inlineStr"/>
    </row>
    <row r="79" ht="15" customHeight="1">
      <c r="A79" t="inlineStr">
        <is>
          <t>A 44755-2021</t>
        </is>
      </c>
      <c r="B79" s="1" t="n">
        <v>44438</v>
      </c>
      <c r="C79" s="1" t="n">
        <v>46188</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44770-2021</t>
        </is>
      </c>
      <c r="B80" s="1" t="n">
        <v>44438</v>
      </c>
      <c r="C80" s="1" t="n">
        <v>46188</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61073-2021</t>
        </is>
      </c>
      <c r="B81" s="1" t="n">
        <v>44497.83447916667</v>
      </c>
      <c r="C81" s="1" t="n">
        <v>46188</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30879-2021</t>
        </is>
      </c>
      <c r="B82" s="1" t="n">
        <v>44365</v>
      </c>
      <c r="C82" s="1" t="n">
        <v>46188</v>
      </c>
      <c r="D82" t="inlineStr">
        <is>
          <t>SKÅNE LÄN</t>
        </is>
      </c>
      <c r="E82" t="inlineStr">
        <is>
          <t>HÄSSLEHOLM</t>
        </is>
      </c>
      <c r="G82" t="n">
        <v>1</v>
      </c>
      <c r="H82" t="n">
        <v>0</v>
      </c>
      <c r="I82" t="n">
        <v>0</v>
      </c>
      <c r="J82" t="n">
        <v>0</v>
      </c>
      <c r="K82" t="n">
        <v>0</v>
      </c>
      <c r="L82" t="n">
        <v>0</v>
      </c>
      <c r="M82" t="n">
        <v>0</v>
      </c>
      <c r="N82" t="n">
        <v>0</v>
      </c>
      <c r="O82" t="n">
        <v>0</v>
      </c>
      <c r="P82" t="n">
        <v>0</v>
      </c>
      <c r="Q82" t="n">
        <v>0</v>
      </c>
      <c r="R82" s="2" t="inlineStr"/>
    </row>
    <row r="83" ht="15" customHeight="1">
      <c r="A83" t="inlineStr">
        <is>
          <t>A 2765-2022</t>
        </is>
      </c>
      <c r="B83" s="1" t="n">
        <v>44580</v>
      </c>
      <c r="C83" s="1" t="n">
        <v>46188</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37181-2022</t>
        </is>
      </c>
      <c r="B84" s="1" t="n">
        <v>44806</v>
      </c>
      <c r="C84" s="1" t="n">
        <v>46188</v>
      </c>
      <c r="D84" t="inlineStr">
        <is>
          <t>SKÅNE LÄN</t>
        </is>
      </c>
      <c r="E84" t="inlineStr">
        <is>
          <t>HÄSSLEHOLM</t>
        </is>
      </c>
      <c r="F84" t="inlineStr">
        <is>
          <t>Kyrkan</t>
        </is>
      </c>
      <c r="G84" t="n">
        <v>3.5</v>
      </c>
      <c r="H84" t="n">
        <v>0</v>
      </c>
      <c r="I84" t="n">
        <v>0</v>
      </c>
      <c r="J84" t="n">
        <v>0</v>
      </c>
      <c r="K84" t="n">
        <v>0</v>
      </c>
      <c r="L84" t="n">
        <v>0</v>
      </c>
      <c r="M84" t="n">
        <v>0</v>
      </c>
      <c r="N84" t="n">
        <v>0</v>
      </c>
      <c r="O84" t="n">
        <v>0</v>
      </c>
      <c r="P84" t="n">
        <v>0</v>
      </c>
      <c r="Q84" t="n">
        <v>0</v>
      </c>
      <c r="R84" s="2" t="inlineStr"/>
    </row>
    <row r="85" ht="15" customHeight="1">
      <c r="A85" t="inlineStr">
        <is>
          <t>A 61072-2021</t>
        </is>
      </c>
      <c r="B85" s="1" t="n">
        <v>44497.83344907407</v>
      </c>
      <c r="C85" s="1" t="n">
        <v>46188</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34982-2022</t>
        </is>
      </c>
      <c r="B86" s="1" t="n">
        <v>44796.69055555556</v>
      </c>
      <c r="C86" s="1" t="n">
        <v>46188</v>
      </c>
      <c r="D86" t="inlineStr">
        <is>
          <t>SKÅNE LÄN</t>
        </is>
      </c>
      <c r="E86" t="inlineStr">
        <is>
          <t>HÄSSLEHOLM</t>
        </is>
      </c>
      <c r="F86" t="inlineStr">
        <is>
          <t>Kyrkan</t>
        </is>
      </c>
      <c r="G86" t="n">
        <v>3.4</v>
      </c>
      <c r="H86" t="n">
        <v>0</v>
      </c>
      <c r="I86" t="n">
        <v>0</v>
      </c>
      <c r="J86" t="n">
        <v>0</v>
      </c>
      <c r="K86" t="n">
        <v>0</v>
      </c>
      <c r="L86" t="n">
        <v>0</v>
      </c>
      <c r="M86" t="n">
        <v>0</v>
      </c>
      <c r="N86" t="n">
        <v>0</v>
      </c>
      <c r="O86" t="n">
        <v>0</v>
      </c>
      <c r="P86" t="n">
        <v>0</v>
      </c>
      <c r="Q86" t="n">
        <v>0</v>
      </c>
      <c r="R86" s="2" t="inlineStr"/>
    </row>
    <row r="87" ht="15" customHeight="1">
      <c r="A87" t="inlineStr">
        <is>
          <t>A 37170-2022</t>
        </is>
      </c>
      <c r="B87" s="1" t="n">
        <v>44806.61038194445</v>
      </c>
      <c r="C87" s="1" t="n">
        <v>46188</v>
      </c>
      <c r="D87" t="inlineStr">
        <is>
          <t>SKÅNE LÄN</t>
        </is>
      </c>
      <c r="E87" t="inlineStr">
        <is>
          <t>HÄSSLEHOLM</t>
        </is>
      </c>
      <c r="F87" t="inlineStr">
        <is>
          <t>Kyrkan</t>
        </is>
      </c>
      <c r="G87" t="n">
        <v>4.5</v>
      </c>
      <c r="H87" t="n">
        <v>0</v>
      </c>
      <c r="I87" t="n">
        <v>0</v>
      </c>
      <c r="J87" t="n">
        <v>0</v>
      </c>
      <c r="K87" t="n">
        <v>0</v>
      </c>
      <c r="L87" t="n">
        <v>0</v>
      </c>
      <c r="M87" t="n">
        <v>0</v>
      </c>
      <c r="N87" t="n">
        <v>0</v>
      </c>
      <c r="O87" t="n">
        <v>0</v>
      </c>
      <c r="P87" t="n">
        <v>0</v>
      </c>
      <c r="Q87" t="n">
        <v>0</v>
      </c>
      <c r="R87" s="2" t="inlineStr"/>
    </row>
    <row r="88" ht="15" customHeight="1">
      <c r="A88" t="inlineStr">
        <is>
          <t>A 55425-2022</t>
        </is>
      </c>
      <c r="B88" s="1" t="n">
        <v>44887.60577546297</v>
      </c>
      <c r="C88" s="1" t="n">
        <v>46188</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9292-2022</t>
        </is>
      </c>
      <c r="B89" s="1" t="n">
        <v>44616</v>
      </c>
      <c r="C89" s="1" t="n">
        <v>46188</v>
      </c>
      <c r="D89" t="inlineStr">
        <is>
          <t>SKÅNE LÄN</t>
        </is>
      </c>
      <c r="E89" t="inlineStr">
        <is>
          <t>HÄSSLEHOLM</t>
        </is>
      </c>
      <c r="G89" t="n">
        <v>1.6</v>
      </c>
      <c r="H89" t="n">
        <v>0</v>
      </c>
      <c r="I89" t="n">
        <v>0</v>
      </c>
      <c r="J89" t="n">
        <v>0</v>
      </c>
      <c r="K89" t="n">
        <v>0</v>
      </c>
      <c r="L89" t="n">
        <v>0</v>
      </c>
      <c r="M89" t="n">
        <v>0</v>
      </c>
      <c r="N89" t="n">
        <v>0</v>
      </c>
      <c r="O89" t="n">
        <v>0</v>
      </c>
      <c r="P89" t="n">
        <v>0</v>
      </c>
      <c r="Q89" t="n">
        <v>0</v>
      </c>
      <c r="R89" s="2" t="inlineStr"/>
    </row>
    <row r="90" ht="15" customHeight="1">
      <c r="A90" t="inlineStr">
        <is>
          <t>A 3277-2022</t>
        </is>
      </c>
      <c r="B90" s="1" t="n">
        <v>44584.41274305555</v>
      </c>
      <c r="C90" s="1" t="n">
        <v>46188</v>
      </c>
      <c r="D90" t="inlineStr">
        <is>
          <t>SKÅNE LÄN</t>
        </is>
      </c>
      <c r="E90" t="inlineStr">
        <is>
          <t>HÄSSLEHOLM</t>
        </is>
      </c>
      <c r="G90" t="n">
        <v>0.2</v>
      </c>
      <c r="H90" t="n">
        <v>0</v>
      </c>
      <c r="I90" t="n">
        <v>0</v>
      </c>
      <c r="J90" t="n">
        <v>0</v>
      </c>
      <c r="K90" t="n">
        <v>0</v>
      </c>
      <c r="L90" t="n">
        <v>0</v>
      </c>
      <c r="M90" t="n">
        <v>0</v>
      </c>
      <c r="N90" t="n">
        <v>0</v>
      </c>
      <c r="O90" t="n">
        <v>0</v>
      </c>
      <c r="P90" t="n">
        <v>0</v>
      </c>
      <c r="Q90" t="n">
        <v>0</v>
      </c>
      <c r="R90" s="2" t="inlineStr"/>
    </row>
    <row r="91" ht="15" customHeight="1">
      <c r="A91" t="inlineStr">
        <is>
          <t>A 4156-2022</t>
        </is>
      </c>
      <c r="B91" s="1" t="n">
        <v>44588</v>
      </c>
      <c r="C91" s="1" t="n">
        <v>46188</v>
      </c>
      <c r="D91" t="inlineStr">
        <is>
          <t>SKÅNE LÄN</t>
        </is>
      </c>
      <c r="E91" t="inlineStr">
        <is>
          <t>HÄSSLEHOLM</t>
        </is>
      </c>
      <c r="G91" t="n">
        <v>0.8</v>
      </c>
      <c r="H91" t="n">
        <v>0</v>
      </c>
      <c r="I91" t="n">
        <v>0</v>
      </c>
      <c r="J91" t="n">
        <v>0</v>
      </c>
      <c r="K91" t="n">
        <v>0</v>
      </c>
      <c r="L91" t="n">
        <v>0</v>
      </c>
      <c r="M91" t="n">
        <v>0</v>
      </c>
      <c r="N91" t="n">
        <v>0</v>
      </c>
      <c r="O91" t="n">
        <v>0</v>
      </c>
      <c r="P91" t="n">
        <v>0</v>
      </c>
      <c r="Q91" t="n">
        <v>0</v>
      </c>
      <c r="R91" s="2" t="inlineStr"/>
    </row>
    <row r="92" ht="15" customHeight="1">
      <c r="A92" t="inlineStr">
        <is>
          <t>A 41581-2021</t>
        </is>
      </c>
      <c r="B92" s="1" t="n">
        <v>44425.40167824074</v>
      </c>
      <c r="C92" s="1" t="n">
        <v>46188</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44328-2021</t>
        </is>
      </c>
      <c r="B93" s="1" t="n">
        <v>44435</v>
      </c>
      <c r="C93" s="1" t="n">
        <v>46188</v>
      </c>
      <c r="D93" t="inlineStr">
        <is>
          <t>SKÅNE LÄN</t>
        </is>
      </c>
      <c r="E93" t="inlineStr">
        <is>
          <t>HÄSSLEHOLM</t>
        </is>
      </c>
      <c r="G93" t="n">
        <v>2.7</v>
      </c>
      <c r="H93" t="n">
        <v>0</v>
      </c>
      <c r="I93" t="n">
        <v>0</v>
      </c>
      <c r="J93" t="n">
        <v>0</v>
      </c>
      <c r="K93" t="n">
        <v>0</v>
      </c>
      <c r="L93" t="n">
        <v>0</v>
      </c>
      <c r="M93" t="n">
        <v>0</v>
      </c>
      <c r="N93" t="n">
        <v>0</v>
      </c>
      <c r="O93" t="n">
        <v>0</v>
      </c>
      <c r="P93" t="n">
        <v>0</v>
      </c>
      <c r="Q93" t="n">
        <v>0</v>
      </c>
      <c r="R93" s="2" t="inlineStr"/>
    </row>
    <row r="94" ht="15" customHeight="1">
      <c r="A94" t="inlineStr">
        <is>
          <t>A 46217-2022</t>
        </is>
      </c>
      <c r="B94" s="1" t="n">
        <v>44846</v>
      </c>
      <c r="C94" s="1" t="n">
        <v>46188</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34684-2021</t>
        </is>
      </c>
      <c r="B95" s="1" t="n">
        <v>44382</v>
      </c>
      <c r="C95" s="1" t="n">
        <v>46188</v>
      </c>
      <c r="D95" t="inlineStr">
        <is>
          <t>SKÅNE LÄN</t>
        </is>
      </c>
      <c r="E95" t="inlineStr">
        <is>
          <t>HÄSSLEHOLM</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74293-2021</t>
        </is>
      </c>
      <c r="B96" s="1" t="n">
        <v>44558</v>
      </c>
      <c r="C96" s="1" t="n">
        <v>46188</v>
      </c>
      <c r="D96" t="inlineStr">
        <is>
          <t>SKÅNE LÄN</t>
        </is>
      </c>
      <c r="E96" t="inlineStr">
        <is>
          <t>HÄSSLEHOLM</t>
        </is>
      </c>
      <c r="F96" t="inlineStr">
        <is>
          <t>Kyrkan</t>
        </is>
      </c>
      <c r="G96" t="n">
        <v>3.3</v>
      </c>
      <c r="H96" t="n">
        <v>0</v>
      </c>
      <c r="I96" t="n">
        <v>0</v>
      </c>
      <c r="J96" t="n">
        <v>0</v>
      </c>
      <c r="K96" t="n">
        <v>0</v>
      </c>
      <c r="L96" t="n">
        <v>0</v>
      </c>
      <c r="M96" t="n">
        <v>0</v>
      </c>
      <c r="N96" t="n">
        <v>0</v>
      </c>
      <c r="O96" t="n">
        <v>0</v>
      </c>
      <c r="P96" t="n">
        <v>0</v>
      </c>
      <c r="Q96" t="n">
        <v>0</v>
      </c>
      <c r="R96" s="2" t="inlineStr"/>
    </row>
    <row r="97" ht="15" customHeight="1">
      <c r="A97" t="inlineStr">
        <is>
          <t>A 45349-2022</t>
        </is>
      </c>
      <c r="B97" s="1" t="n">
        <v>44844.6118287037</v>
      </c>
      <c r="C97" s="1" t="n">
        <v>46188</v>
      </c>
      <c r="D97" t="inlineStr">
        <is>
          <t>SKÅNE LÄN</t>
        </is>
      </c>
      <c r="E97" t="inlineStr">
        <is>
          <t>HÄSSLEHOLM</t>
        </is>
      </c>
      <c r="G97" t="n">
        <v>6.2</v>
      </c>
      <c r="H97" t="n">
        <v>0</v>
      </c>
      <c r="I97" t="n">
        <v>0</v>
      </c>
      <c r="J97" t="n">
        <v>0</v>
      </c>
      <c r="K97" t="n">
        <v>0</v>
      </c>
      <c r="L97" t="n">
        <v>0</v>
      </c>
      <c r="M97" t="n">
        <v>0</v>
      </c>
      <c r="N97" t="n">
        <v>0</v>
      </c>
      <c r="O97" t="n">
        <v>0</v>
      </c>
      <c r="P97" t="n">
        <v>0</v>
      </c>
      <c r="Q97" t="n">
        <v>0</v>
      </c>
      <c r="R97" s="2" t="inlineStr"/>
    </row>
    <row r="98" ht="15" customHeight="1">
      <c r="A98" t="inlineStr">
        <is>
          <t>A 15118-2022</t>
        </is>
      </c>
      <c r="B98" s="1" t="n">
        <v>44659</v>
      </c>
      <c r="C98" s="1" t="n">
        <v>46188</v>
      </c>
      <c r="D98" t="inlineStr">
        <is>
          <t>SKÅNE LÄN</t>
        </is>
      </c>
      <c r="E98" t="inlineStr">
        <is>
          <t>HÄSSLEHOLM</t>
        </is>
      </c>
      <c r="F98" t="inlineStr">
        <is>
          <t>Kyrkan</t>
        </is>
      </c>
      <c r="G98" t="n">
        <v>0.7</v>
      </c>
      <c r="H98" t="n">
        <v>0</v>
      </c>
      <c r="I98" t="n">
        <v>0</v>
      </c>
      <c r="J98" t="n">
        <v>0</v>
      </c>
      <c r="K98" t="n">
        <v>0</v>
      </c>
      <c r="L98" t="n">
        <v>0</v>
      </c>
      <c r="M98" t="n">
        <v>0</v>
      </c>
      <c r="N98" t="n">
        <v>0</v>
      </c>
      <c r="O98" t="n">
        <v>0</v>
      </c>
      <c r="P98" t="n">
        <v>0</v>
      </c>
      <c r="Q98" t="n">
        <v>0</v>
      </c>
      <c r="R98" s="2" t="inlineStr"/>
    </row>
    <row r="99" ht="15" customHeight="1">
      <c r="A99" t="inlineStr">
        <is>
          <t>A 43639-2021</t>
        </is>
      </c>
      <c r="B99" s="1" t="n">
        <v>44433</v>
      </c>
      <c r="C99" s="1" t="n">
        <v>46188</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3276-2022</t>
        </is>
      </c>
      <c r="B100" s="1" t="n">
        <v>44584.40916666666</v>
      </c>
      <c r="C100" s="1" t="n">
        <v>46188</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52461-2021</t>
        </is>
      </c>
      <c r="B101" s="1" t="n">
        <v>44466</v>
      </c>
      <c r="C101" s="1" t="n">
        <v>46188</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63972-2021</t>
        </is>
      </c>
      <c r="B102" s="1" t="n">
        <v>44509.89649305555</v>
      </c>
      <c r="C102" s="1" t="n">
        <v>46188</v>
      </c>
      <c r="D102" t="inlineStr">
        <is>
          <t>SKÅNE LÄN</t>
        </is>
      </c>
      <c r="E102" t="inlineStr">
        <is>
          <t>HÄSSLEHOLM</t>
        </is>
      </c>
      <c r="G102" t="n">
        <v>0.8</v>
      </c>
      <c r="H102" t="n">
        <v>0</v>
      </c>
      <c r="I102" t="n">
        <v>0</v>
      </c>
      <c r="J102" t="n">
        <v>0</v>
      </c>
      <c r="K102" t="n">
        <v>0</v>
      </c>
      <c r="L102" t="n">
        <v>0</v>
      </c>
      <c r="M102" t="n">
        <v>0</v>
      </c>
      <c r="N102" t="n">
        <v>0</v>
      </c>
      <c r="O102" t="n">
        <v>0</v>
      </c>
      <c r="P102" t="n">
        <v>0</v>
      </c>
      <c r="Q102" t="n">
        <v>0</v>
      </c>
      <c r="R102" s="2" t="inlineStr"/>
    </row>
    <row r="103" ht="15" customHeight="1">
      <c r="A103" t="inlineStr">
        <is>
          <t>A 5564-2022</t>
        </is>
      </c>
      <c r="B103" s="1" t="n">
        <v>44595</v>
      </c>
      <c r="C103" s="1" t="n">
        <v>46188</v>
      </c>
      <c r="D103" t="inlineStr">
        <is>
          <t>SKÅNE LÄN</t>
        </is>
      </c>
      <c r="E103" t="inlineStr">
        <is>
          <t>HÄSSLEHOLM</t>
        </is>
      </c>
      <c r="G103" t="n">
        <v>0.3</v>
      </c>
      <c r="H103" t="n">
        <v>0</v>
      </c>
      <c r="I103" t="n">
        <v>0</v>
      </c>
      <c r="J103" t="n">
        <v>0</v>
      </c>
      <c r="K103" t="n">
        <v>0</v>
      </c>
      <c r="L103" t="n">
        <v>0</v>
      </c>
      <c r="M103" t="n">
        <v>0</v>
      </c>
      <c r="N103" t="n">
        <v>0</v>
      </c>
      <c r="O103" t="n">
        <v>0</v>
      </c>
      <c r="P103" t="n">
        <v>0</v>
      </c>
      <c r="Q103" t="n">
        <v>0</v>
      </c>
      <c r="R103" s="2" t="inlineStr"/>
    </row>
    <row r="104" ht="15" customHeight="1">
      <c r="A104" t="inlineStr">
        <is>
          <t>A 37334-2021</t>
        </is>
      </c>
      <c r="B104" s="1" t="n">
        <v>44397.57800925926</v>
      </c>
      <c r="C104" s="1" t="n">
        <v>46188</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34027-2021</t>
        </is>
      </c>
      <c r="B105" s="1" t="n">
        <v>44379</v>
      </c>
      <c r="C105" s="1" t="n">
        <v>46188</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32792-2021</t>
        </is>
      </c>
      <c r="B106" s="1" t="n">
        <v>44375</v>
      </c>
      <c r="C106" s="1" t="n">
        <v>46188</v>
      </c>
      <c r="D106" t="inlineStr">
        <is>
          <t>SKÅNE LÄN</t>
        </is>
      </c>
      <c r="E106" t="inlineStr">
        <is>
          <t>HÄSSLEHOLM</t>
        </is>
      </c>
      <c r="G106" t="n">
        <v>1</v>
      </c>
      <c r="H106" t="n">
        <v>0</v>
      </c>
      <c r="I106" t="n">
        <v>0</v>
      </c>
      <c r="J106" t="n">
        <v>0</v>
      </c>
      <c r="K106" t="n">
        <v>0</v>
      </c>
      <c r="L106" t="n">
        <v>0</v>
      </c>
      <c r="M106" t="n">
        <v>0</v>
      </c>
      <c r="N106" t="n">
        <v>0</v>
      </c>
      <c r="O106" t="n">
        <v>0</v>
      </c>
      <c r="P106" t="n">
        <v>0</v>
      </c>
      <c r="Q106" t="n">
        <v>0</v>
      </c>
      <c r="R106" s="2" t="inlineStr"/>
    </row>
    <row r="107" ht="15" customHeight="1">
      <c r="A107" t="inlineStr">
        <is>
          <t>A 3167-2022</t>
        </is>
      </c>
      <c r="B107" s="1" t="n">
        <v>44582</v>
      </c>
      <c r="C107" s="1" t="n">
        <v>46188</v>
      </c>
      <c r="D107" t="inlineStr">
        <is>
          <t>SKÅNE LÄN</t>
        </is>
      </c>
      <c r="E107" t="inlineStr">
        <is>
          <t>HÄSSLEHOLM</t>
        </is>
      </c>
      <c r="F107" t="inlineStr">
        <is>
          <t>Kommuner</t>
        </is>
      </c>
      <c r="G107" t="n">
        <v>1.5</v>
      </c>
      <c r="H107" t="n">
        <v>0</v>
      </c>
      <c r="I107" t="n">
        <v>0</v>
      </c>
      <c r="J107" t="n">
        <v>0</v>
      </c>
      <c r="K107" t="n">
        <v>0</v>
      </c>
      <c r="L107" t="n">
        <v>0</v>
      </c>
      <c r="M107" t="n">
        <v>0</v>
      </c>
      <c r="N107" t="n">
        <v>0</v>
      </c>
      <c r="O107" t="n">
        <v>0</v>
      </c>
      <c r="P107" t="n">
        <v>0</v>
      </c>
      <c r="Q107" t="n">
        <v>0</v>
      </c>
      <c r="R107" s="2" t="inlineStr"/>
    </row>
    <row r="108" ht="15" customHeight="1">
      <c r="A108" t="inlineStr">
        <is>
          <t>A 33736-2021</t>
        </is>
      </c>
      <c r="B108" s="1" t="n">
        <v>44378</v>
      </c>
      <c r="C108" s="1" t="n">
        <v>46188</v>
      </c>
      <c r="D108" t="inlineStr">
        <is>
          <t>SKÅNE LÄN</t>
        </is>
      </c>
      <c r="E108" t="inlineStr">
        <is>
          <t>HÄSSLEHOLM</t>
        </is>
      </c>
      <c r="G108" t="n">
        <v>7.6</v>
      </c>
      <c r="H108" t="n">
        <v>0</v>
      </c>
      <c r="I108" t="n">
        <v>0</v>
      </c>
      <c r="J108" t="n">
        <v>0</v>
      </c>
      <c r="K108" t="n">
        <v>0</v>
      </c>
      <c r="L108" t="n">
        <v>0</v>
      </c>
      <c r="M108" t="n">
        <v>0</v>
      </c>
      <c r="N108" t="n">
        <v>0</v>
      </c>
      <c r="O108" t="n">
        <v>0</v>
      </c>
      <c r="P108" t="n">
        <v>0</v>
      </c>
      <c r="Q108" t="n">
        <v>0</v>
      </c>
      <c r="R108" s="2" t="inlineStr"/>
    </row>
    <row r="109" ht="15" customHeight="1">
      <c r="A109" t="inlineStr">
        <is>
          <t>A 34679-2021</t>
        </is>
      </c>
      <c r="B109" s="1" t="n">
        <v>44382</v>
      </c>
      <c r="C109" s="1" t="n">
        <v>46188</v>
      </c>
      <c r="D109" t="inlineStr">
        <is>
          <t>SKÅNE LÄN</t>
        </is>
      </c>
      <c r="E109" t="inlineStr">
        <is>
          <t>HÄSSLEHOLM</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4161-2022</t>
        </is>
      </c>
      <c r="B110" s="1" t="n">
        <v>44588</v>
      </c>
      <c r="C110" s="1" t="n">
        <v>46188</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40702-2021</t>
        </is>
      </c>
      <c r="B111" s="1" t="n">
        <v>44420.61719907408</v>
      </c>
      <c r="C111" s="1" t="n">
        <v>46188</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1535-2022</t>
        </is>
      </c>
      <c r="B112" s="1" t="n">
        <v>44573</v>
      </c>
      <c r="C112" s="1" t="n">
        <v>46188</v>
      </c>
      <c r="D112" t="inlineStr">
        <is>
          <t>SKÅNE LÄN</t>
        </is>
      </c>
      <c r="E112" t="inlineStr">
        <is>
          <t>HÄSSLEHOLM</t>
        </is>
      </c>
      <c r="G112" t="n">
        <v>15</v>
      </c>
      <c r="H112" t="n">
        <v>0</v>
      </c>
      <c r="I112" t="n">
        <v>0</v>
      </c>
      <c r="J112" t="n">
        <v>0</v>
      </c>
      <c r="K112" t="n">
        <v>0</v>
      </c>
      <c r="L112" t="n">
        <v>0</v>
      </c>
      <c r="M112" t="n">
        <v>0</v>
      </c>
      <c r="N112" t="n">
        <v>0</v>
      </c>
      <c r="O112" t="n">
        <v>0</v>
      </c>
      <c r="P112" t="n">
        <v>0</v>
      </c>
      <c r="Q112" t="n">
        <v>0</v>
      </c>
      <c r="R112" s="2" t="inlineStr"/>
    </row>
    <row r="113" ht="15" customHeight="1">
      <c r="A113" t="inlineStr">
        <is>
          <t>A 64607-2021</t>
        </is>
      </c>
      <c r="B113" s="1" t="n">
        <v>44511</v>
      </c>
      <c r="C113" s="1" t="n">
        <v>46188</v>
      </c>
      <c r="D113" t="inlineStr">
        <is>
          <t>SKÅNE LÄN</t>
        </is>
      </c>
      <c r="E113" t="inlineStr">
        <is>
          <t>HÄSSLEHOLM</t>
        </is>
      </c>
      <c r="G113" t="n">
        <v>1.5</v>
      </c>
      <c r="H113" t="n">
        <v>0</v>
      </c>
      <c r="I113" t="n">
        <v>0</v>
      </c>
      <c r="J113" t="n">
        <v>0</v>
      </c>
      <c r="K113" t="n">
        <v>0</v>
      </c>
      <c r="L113" t="n">
        <v>0</v>
      </c>
      <c r="M113" t="n">
        <v>0</v>
      </c>
      <c r="N113" t="n">
        <v>0</v>
      </c>
      <c r="O113" t="n">
        <v>0</v>
      </c>
      <c r="P113" t="n">
        <v>0</v>
      </c>
      <c r="Q113" t="n">
        <v>0</v>
      </c>
      <c r="R113" s="2" t="inlineStr"/>
    </row>
    <row r="114" ht="15" customHeight="1">
      <c r="A114" t="inlineStr">
        <is>
          <t>A 2631-2022</t>
        </is>
      </c>
      <c r="B114" s="1" t="n">
        <v>44580</v>
      </c>
      <c r="C114" s="1" t="n">
        <v>46188</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15423-2022</t>
        </is>
      </c>
      <c r="B115" s="1" t="n">
        <v>44659</v>
      </c>
      <c r="C115" s="1" t="n">
        <v>46188</v>
      </c>
      <c r="D115" t="inlineStr">
        <is>
          <t>SKÅNE LÄN</t>
        </is>
      </c>
      <c r="E115" t="inlineStr">
        <is>
          <t>HÄSSLEHOLM</t>
        </is>
      </c>
      <c r="F115" t="inlineStr">
        <is>
          <t>Kyrkan</t>
        </is>
      </c>
      <c r="G115" t="n">
        <v>0.9</v>
      </c>
      <c r="H115" t="n">
        <v>0</v>
      </c>
      <c r="I115" t="n">
        <v>0</v>
      </c>
      <c r="J115" t="n">
        <v>0</v>
      </c>
      <c r="K115" t="n">
        <v>0</v>
      </c>
      <c r="L115" t="n">
        <v>0</v>
      </c>
      <c r="M115" t="n">
        <v>0</v>
      </c>
      <c r="N115" t="n">
        <v>0</v>
      </c>
      <c r="O115" t="n">
        <v>0</v>
      </c>
      <c r="P115" t="n">
        <v>0</v>
      </c>
      <c r="Q115" t="n">
        <v>0</v>
      </c>
      <c r="R115" s="2" t="inlineStr"/>
    </row>
    <row r="116" ht="15" customHeight="1">
      <c r="A116" t="inlineStr">
        <is>
          <t>A 56989-2021</t>
        </is>
      </c>
      <c r="B116" s="1" t="n">
        <v>44482</v>
      </c>
      <c r="C116" s="1" t="n">
        <v>46188</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51159-2021</t>
        </is>
      </c>
      <c r="B117" s="1" t="n">
        <v>44461</v>
      </c>
      <c r="C117" s="1" t="n">
        <v>46188</v>
      </c>
      <c r="D117" t="inlineStr">
        <is>
          <t>SKÅNE LÄN</t>
        </is>
      </c>
      <c r="E117" t="inlineStr">
        <is>
          <t>HÄSSLEHOLM</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354-2022</t>
        </is>
      </c>
      <c r="B118" s="1" t="n">
        <v>44565.62510416667</v>
      </c>
      <c r="C118" s="1" t="n">
        <v>46188</v>
      </c>
      <c r="D118" t="inlineStr">
        <is>
          <t>SKÅNE LÄN</t>
        </is>
      </c>
      <c r="E118" t="inlineStr">
        <is>
          <t>HÄSSLEHOLM</t>
        </is>
      </c>
      <c r="G118" t="n">
        <v>2.4</v>
      </c>
      <c r="H118" t="n">
        <v>0</v>
      </c>
      <c r="I118" t="n">
        <v>0</v>
      </c>
      <c r="J118" t="n">
        <v>0</v>
      </c>
      <c r="K118" t="n">
        <v>0</v>
      </c>
      <c r="L118" t="n">
        <v>0</v>
      </c>
      <c r="M118" t="n">
        <v>0</v>
      </c>
      <c r="N118" t="n">
        <v>0</v>
      </c>
      <c r="O118" t="n">
        <v>0</v>
      </c>
      <c r="P118" t="n">
        <v>0</v>
      </c>
      <c r="Q118" t="n">
        <v>0</v>
      </c>
      <c r="R118" s="2" t="inlineStr"/>
    </row>
    <row r="119" ht="15" customHeight="1">
      <c r="A119" t="inlineStr">
        <is>
          <t>A 32892-2021</t>
        </is>
      </c>
      <c r="B119" s="1" t="n">
        <v>44375</v>
      </c>
      <c r="C119" s="1" t="n">
        <v>46188</v>
      </c>
      <c r="D119" t="inlineStr">
        <is>
          <t>SKÅNE LÄN</t>
        </is>
      </c>
      <c r="E119" t="inlineStr">
        <is>
          <t>HÄSSLEHOLM</t>
        </is>
      </c>
      <c r="G119" t="n">
        <v>2.9</v>
      </c>
      <c r="H119" t="n">
        <v>0</v>
      </c>
      <c r="I119" t="n">
        <v>0</v>
      </c>
      <c r="J119" t="n">
        <v>0</v>
      </c>
      <c r="K119" t="n">
        <v>0</v>
      </c>
      <c r="L119" t="n">
        <v>0</v>
      </c>
      <c r="M119" t="n">
        <v>0</v>
      </c>
      <c r="N119" t="n">
        <v>0</v>
      </c>
      <c r="O119" t="n">
        <v>0</v>
      </c>
      <c r="P119" t="n">
        <v>0</v>
      </c>
      <c r="Q119" t="n">
        <v>0</v>
      </c>
      <c r="R119" s="2" t="inlineStr"/>
    </row>
    <row r="120" ht="15" customHeight="1">
      <c r="A120" t="inlineStr">
        <is>
          <t>A 39102-2022</t>
        </is>
      </c>
      <c r="B120" s="1" t="n">
        <v>44817.43260416666</v>
      </c>
      <c r="C120" s="1" t="n">
        <v>46188</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47112-2021</t>
        </is>
      </c>
      <c r="B121" s="1" t="n">
        <v>44446</v>
      </c>
      <c r="C121" s="1" t="n">
        <v>46188</v>
      </c>
      <c r="D121" t="inlineStr">
        <is>
          <t>SKÅNE LÄN</t>
        </is>
      </c>
      <c r="E121" t="inlineStr">
        <is>
          <t>HÄSSLEHOLM</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6414-2022</t>
        </is>
      </c>
      <c r="B122" s="1" t="n">
        <v>44600</v>
      </c>
      <c r="C122" s="1" t="n">
        <v>46188</v>
      </c>
      <c r="D122" t="inlineStr">
        <is>
          <t>SKÅNE LÄN</t>
        </is>
      </c>
      <c r="E122" t="inlineStr">
        <is>
          <t>HÄSSLEHOLM</t>
        </is>
      </c>
      <c r="G122" t="n">
        <v>2.9</v>
      </c>
      <c r="H122" t="n">
        <v>0</v>
      </c>
      <c r="I122" t="n">
        <v>0</v>
      </c>
      <c r="J122" t="n">
        <v>0</v>
      </c>
      <c r="K122" t="n">
        <v>0</v>
      </c>
      <c r="L122" t="n">
        <v>0</v>
      </c>
      <c r="M122" t="n">
        <v>0</v>
      </c>
      <c r="N122" t="n">
        <v>0</v>
      </c>
      <c r="O122" t="n">
        <v>0</v>
      </c>
      <c r="P122" t="n">
        <v>0</v>
      </c>
      <c r="Q122" t="n">
        <v>0</v>
      </c>
      <c r="R122" s="2" t="inlineStr"/>
    </row>
    <row r="123" ht="15" customHeight="1">
      <c r="A123" t="inlineStr">
        <is>
          <t>A 56431-2021</t>
        </is>
      </c>
      <c r="B123" s="1" t="n">
        <v>44480</v>
      </c>
      <c r="C123" s="1" t="n">
        <v>46188</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52567-2021</t>
        </is>
      </c>
      <c r="B124" s="1" t="n">
        <v>44466</v>
      </c>
      <c r="C124" s="1" t="n">
        <v>46188</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74297-2021</t>
        </is>
      </c>
      <c r="B125" s="1" t="n">
        <v>44558</v>
      </c>
      <c r="C125" s="1" t="n">
        <v>46188</v>
      </c>
      <c r="D125" t="inlineStr">
        <is>
          <t>SKÅNE LÄN</t>
        </is>
      </c>
      <c r="E125" t="inlineStr">
        <is>
          <t>HÄSSLEHOLM</t>
        </is>
      </c>
      <c r="F125" t="inlineStr">
        <is>
          <t>Kyrkan</t>
        </is>
      </c>
      <c r="G125" t="n">
        <v>3.8</v>
      </c>
      <c r="H125" t="n">
        <v>0</v>
      </c>
      <c r="I125" t="n">
        <v>0</v>
      </c>
      <c r="J125" t="n">
        <v>0</v>
      </c>
      <c r="K125" t="n">
        <v>0</v>
      </c>
      <c r="L125" t="n">
        <v>0</v>
      </c>
      <c r="M125" t="n">
        <v>0</v>
      </c>
      <c r="N125" t="n">
        <v>0</v>
      </c>
      <c r="O125" t="n">
        <v>0</v>
      </c>
      <c r="P125" t="n">
        <v>0</v>
      </c>
      <c r="Q125" t="n">
        <v>0</v>
      </c>
      <c r="R125" s="2" t="inlineStr"/>
    </row>
    <row r="126" ht="15" customHeight="1">
      <c r="A126" t="inlineStr">
        <is>
          <t>A 52295-2021</t>
        </is>
      </c>
      <c r="B126" s="1" t="n">
        <v>44463</v>
      </c>
      <c r="C126" s="1" t="n">
        <v>46188</v>
      </c>
      <c r="D126" t="inlineStr">
        <is>
          <t>SKÅNE LÄN</t>
        </is>
      </c>
      <c r="E126" t="inlineStr">
        <is>
          <t>HÄSSLEHOLM</t>
        </is>
      </c>
      <c r="G126" t="n">
        <v>0.3</v>
      </c>
      <c r="H126" t="n">
        <v>0</v>
      </c>
      <c r="I126" t="n">
        <v>0</v>
      </c>
      <c r="J126" t="n">
        <v>0</v>
      </c>
      <c r="K126" t="n">
        <v>0</v>
      </c>
      <c r="L126" t="n">
        <v>0</v>
      </c>
      <c r="M126" t="n">
        <v>0</v>
      </c>
      <c r="N126" t="n">
        <v>0</v>
      </c>
      <c r="O126" t="n">
        <v>0</v>
      </c>
      <c r="P126" t="n">
        <v>0</v>
      </c>
      <c r="Q126" t="n">
        <v>0</v>
      </c>
      <c r="R126" s="2" t="inlineStr"/>
    </row>
    <row r="127" ht="15" customHeight="1">
      <c r="A127" t="inlineStr">
        <is>
          <t>A 68909-2021</t>
        </is>
      </c>
      <c r="B127" s="1" t="n">
        <v>44530.46730324074</v>
      </c>
      <c r="C127" s="1" t="n">
        <v>46188</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5091-2022</t>
        </is>
      </c>
      <c r="B128" s="1" t="n">
        <v>44593.85114583333</v>
      </c>
      <c r="C128" s="1" t="n">
        <v>46188</v>
      </c>
      <c r="D128" t="inlineStr">
        <is>
          <t>SKÅNE LÄN</t>
        </is>
      </c>
      <c r="E128" t="inlineStr">
        <is>
          <t>HÄSSLEHOLM</t>
        </is>
      </c>
      <c r="G128" t="n">
        <v>2.5</v>
      </c>
      <c r="H128" t="n">
        <v>0</v>
      </c>
      <c r="I128" t="n">
        <v>0</v>
      </c>
      <c r="J128" t="n">
        <v>0</v>
      </c>
      <c r="K128" t="n">
        <v>0</v>
      </c>
      <c r="L128" t="n">
        <v>0</v>
      </c>
      <c r="M128" t="n">
        <v>0</v>
      </c>
      <c r="N128" t="n">
        <v>0</v>
      </c>
      <c r="O128" t="n">
        <v>0</v>
      </c>
      <c r="P128" t="n">
        <v>0</v>
      </c>
      <c r="Q128" t="n">
        <v>0</v>
      </c>
      <c r="R128" s="2" t="inlineStr"/>
    </row>
    <row r="129" ht="15" customHeight="1">
      <c r="A129" t="inlineStr">
        <is>
          <t>A 60260-2021</t>
        </is>
      </c>
      <c r="B129" s="1" t="n">
        <v>44495</v>
      </c>
      <c r="C129" s="1" t="n">
        <v>46188</v>
      </c>
      <c r="D129" t="inlineStr">
        <is>
          <t>SKÅNE LÄN</t>
        </is>
      </c>
      <c r="E129" t="inlineStr">
        <is>
          <t>HÄSSLEHOLM</t>
        </is>
      </c>
      <c r="G129" t="n">
        <v>2.1</v>
      </c>
      <c r="H129" t="n">
        <v>0</v>
      </c>
      <c r="I129" t="n">
        <v>0</v>
      </c>
      <c r="J129" t="n">
        <v>0</v>
      </c>
      <c r="K129" t="n">
        <v>0</v>
      </c>
      <c r="L129" t="n">
        <v>0</v>
      </c>
      <c r="M129" t="n">
        <v>0</v>
      </c>
      <c r="N129" t="n">
        <v>0</v>
      </c>
      <c r="O129" t="n">
        <v>0</v>
      </c>
      <c r="P129" t="n">
        <v>0</v>
      </c>
      <c r="Q129" t="n">
        <v>0</v>
      </c>
      <c r="R129" s="2" t="inlineStr"/>
    </row>
    <row r="130" ht="15" customHeight="1">
      <c r="A130" t="inlineStr">
        <is>
          <t>A 15986-2022</t>
        </is>
      </c>
      <c r="B130" s="1" t="n">
        <v>44664</v>
      </c>
      <c r="C130" s="1" t="n">
        <v>46188</v>
      </c>
      <c r="D130" t="inlineStr">
        <is>
          <t>SKÅNE LÄN</t>
        </is>
      </c>
      <c r="E130" t="inlineStr">
        <is>
          <t>HÄSSLEHOLM</t>
        </is>
      </c>
      <c r="F130" t="inlineStr">
        <is>
          <t>Kyrkan</t>
        </is>
      </c>
      <c r="G130" t="n">
        <v>6</v>
      </c>
      <c r="H130" t="n">
        <v>0</v>
      </c>
      <c r="I130" t="n">
        <v>0</v>
      </c>
      <c r="J130" t="n">
        <v>0</v>
      </c>
      <c r="K130" t="n">
        <v>0</v>
      </c>
      <c r="L130" t="n">
        <v>0</v>
      </c>
      <c r="M130" t="n">
        <v>0</v>
      </c>
      <c r="N130" t="n">
        <v>0</v>
      </c>
      <c r="O130" t="n">
        <v>0</v>
      </c>
      <c r="P130" t="n">
        <v>0</v>
      </c>
      <c r="Q130" t="n">
        <v>0</v>
      </c>
      <c r="R130" s="2" t="inlineStr"/>
    </row>
    <row r="131" ht="15" customHeight="1">
      <c r="A131" t="inlineStr">
        <is>
          <t>A 52786-2021</t>
        </is>
      </c>
      <c r="B131" s="1" t="n">
        <v>44467.36061342592</v>
      </c>
      <c r="C131" s="1" t="n">
        <v>46188</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51888-2021</t>
        </is>
      </c>
      <c r="B132" s="1" t="n">
        <v>44462</v>
      </c>
      <c r="C132" s="1" t="n">
        <v>46188</v>
      </c>
      <c r="D132" t="inlineStr">
        <is>
          <t>SKÅNE LÄN</t>
        </is>
      </c>
      <c r="E132" t="inlineStr">
        <is>
          <t>HÄSSLEHOLM</t>
        </is>
      </c>
      <c r="G132" t="n">
        <v>5.6</v>
      </c>
      <c r="H132" t="n">
        <v>0</v>
      </c>
      <c r="I132" t="n">
        <v>0</v>
      </c>
      <c r="J132" t="n">
        <v>0</v>
      </c>
      <c r="K132" t="n">
        <v>0</v>
      </c>
      <c r="L132" t="n">
        <v>0</v>
      </c>
      <c r="M132" t="n">
        <v>0</v>
      </c>
      <c r="N132" t="n">
        <v>0</v>
      </c>
      <c r="O132" t="n">
        <v>0</v>
      </c>
      <c r="P132" t="n">
        <v>0</v>
      </c>
      <c r="Q132" t="n">
        <v>0</v>
      </c>
      <c r="R132" s="2" t="inlineStr"/>
    </row>
    <row r="133" ht="15" customHeight="1">
      <c r="A133" t="inlineStr">
        <is>
          <t>A 26386-2022</t>
        </is>
      </c>
      <c r="B133" s="1" t="n">
        <v>44735.6803125</v>
      </c>
      <c r="C133" s="1" t="n">
        <v>46188</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25469-2022</t>
        </is>
      </c>
      <c r="B134" s="1" t="n">
        <v>44732</v>
      </c>
      <c r="C134" s="1" t="n">
        <v>46188</v>
      </c>
      <c r="D134" t="inlineStr">
        <is>
          <t>SKÅNE LÄN</t>
        </is>
      </c>
      <c r="E134" t="inlineStr">
        <is>
          <t>HÄSSLEHOLM</t>
        </is>
      </c>
      <c r="G134" t="n">
        <v>4.2</v>
      </c>
      <c r="H134" t="n">
        <v>0</v>
      </c>
      <c r="I134" t="n">
        <v>0</v>
      </c>
      <c r="J134" t="n">
        <v>0</v>
      </c>
      <c r="K134" t="n">
        <v>0</v>
      </c>
      <c r="L134" t="n">
        <v>0</v>
      </c>
      <c r="M134" t="n">
        <v>0</v>
      </c>
      <c r="N134" t="n">
        <v>0</v>
      </c>
      <c r="O134" t="n">
        <v>0</v>
      </c>
      <c r="P134" t="n">
        <v>0</v>
      </c>
      <c r="Q134" t="n">
        <v>0</v>
      </c>
      <c r="R134" s="2" t="inlineStr"/>
    </row>
    <row r="135" ht="15" customHeight="1">
      <c r="A135" t="inlineStr">
        <is>
          <t>A 73513-2021</t>
        </is>
      </c>
      <c r="B135" s="1" t="n">
        <v>44551.69012731482</v>
      </c>
      <c r="C135" s="1" t="n">
        <v>46188</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27959-2022</t>
        </is>
      </c>
      <c r="B136" s="1" t="n">
        <v>44744</v>
      </c>
      <c r="C136" s="1" t="n">
        <v>46188</v>
      </c>
      <c r="D136" t="inlineStr">
        <is>
          <t>SKÅNE LÄN</t>
        </is>
      </c>
      <c r="E136" t="inlineStr">
        <is>
          <t>HÄSSLEHOLM</t>
        </is>
      </c>
      <c r="G136" t="n">
        <v>3</v>
      </c>
      <c r="H136" t="n">
        <v>0</v>
      </c>
      <c r="I136" t="n">
        <v>0</v>
      </c>
      <c r="J136" t="n">
        <v>0</v>
      </c>
      <c r="K136" t="n">
        <v>0</v>
      </c>
      <c r="L136" t="n">
        <v>0</v>
      </c>
      <c r="M136" t="n">
        <v>0</v>
      </c>
      <c r="N136" t="n">
        <v>0</v>
      </c>
      <c r="O136" t="n">
        <v>0</v>
      </c>
      <c r="P136" t="n">
        <v>0</v>
      </c>
      <c r="Q136" t="n">
        <v>0</v>
      </c>
      <c r="R136" s="2" t="inlineStr"/>
    </row>
    <row r="137" ht="15" customHeight="1">
      <c r="A137" t="inlineStr">
        <is>
          <t>A 2858-2022</t>
        </is>
      </c>
      <c r="B137" s="1" t="n">
        <v>44581</v>
      </c>
      <c r="C137" s="1" t="n">
        <v>46188</v>
      </c>
      <c r="D137" t="inlineStr">
        <is>
          <t>SKÅNE LÄN</t>
        </is>
      </c>
      <c r="E137" t="inlineStr">
        <is>
          <t>HÄSSLEHOLM</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418-2022</t>
        </is>
      </c>
      <c r="B138" s="1" t="n">
        <v>44565.84958333334</v>
      </c>
      <c r="C138" s="1" t="n">
        <v>46188</v>
      </c>
      <c r="D138" t="inlineStr">
        <is>
          <t>SKÅNE LÄN</t>
        </is>
      </c>
      <c r="E138" t="inlineStr">
        <is>
          <t>HÄSSLEHOLM</t>
        </is>
      </c>
      <c r="G138" t="n">
        <v>0</v>
      </c>
      <c r="H138" t="n">
        <v>0</v>
      </c>
      <c r="I138" t="n">
        <v>0</v>
      </c>
      <c r="J138" t="n">
        <v>0</v>
      </c>
      <c r="K138" t="n">
        <v>0</v>
      </c>
      <c r="L138" t="n">
        <v>0</v>
      </c>
      <c r="M138" t="n">
        <v>0</v>
      </c>
      <c r="N138" t="n">
        <v>0</v>
      </c>
      <c r="O138" t="n">
        <v>0</v>
      </c>
      <c r="P138" t="n">
        <v>0</v>
      </c>
      <c r="Q138" t="n">
        <v>0</v>
      </c>
      <c r="R138" s="2" t="inlineStr"/>
    </row>
    <row r="139" ht="15" customHeight="1">
      <c r="A139" t="inlineStr">
        <is>
          <t>A 51893-2021</t>
        </is>
      </c>
      <c r="B139" s="1" t="n">
        <v>44462</v>
      </c>
      <c r="C139" s="1" t="n">
        <v>46188</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55394-2022</t>
        </is>
      </c>
      <c r="B140" s="1" t="n">
        <v>44887.57112268519</v>
      </c>
      <c r="C140" s="1" t="n">
        <v>46188</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45357-2022</t>
        </is>
      </c>
      <c r="B141" s="1" t="n">
        <v>44844.61952546296</v>
      </c>
      <c r="C141" s="1" t="n">
        <v>46188</v>
      </c>
      <c r="D141" t="inlineStr">
        <is>
          <t>SKÅNE LÄN</t>
        </is>
      </c>
      <c r="E141" t="inlineStr">
        <is>
          <t>HÄSSLEHOLM</t>
        </is>
      </c>
      <c r="G141" t="n">
        <v>5.8</v>
      </c>
      <c r="H141" t="n">
        <v>0</v>
      </c>
      <c r="I141" t="n">
        <v>0</v>
      </c>
      <c r="J141" t="n">
        <v>0</v>
      </c>
      <c r="K141" t="n">
        <v>0</v>
      </c>
      <c r="L141" t="n">
        <v>0</v>
      </c>
      <c r="M141" t="n">
        <v>0</v>
      </c>
      <c r="N141" t="n">
        <v>0</v>
      </c>
      <c r="O141" t="n">
        <v>0</v>
      </c>
      <c r="P141" t="n">
        <v>0</v>
      </c>
      <c r="Q141" t="n">
        <v>0</v>
      </c>
      <c r="R141" s="2" t="inlineStr"/>
    </row>
    <row r="142" ht="15" customHeight="1">
      <c r="A142" t="inlineStr">
        <is>
          <t>A 45989-2021</t>
        </is>
      </c>
      <c r="B142" s="1" t="n">
        <v>44441.74627314815</v>
      </c>
      <c r="C142" s="1" t="n">
        <v>46188</v>
      </c>
      <c r="D142" t="inlineStr">
        <is>
          <t>SKÅNE LÄN</t>
        </is>
      </c>
      <c r="E142" t="inlineStr">
        <is>
          <t>HÄSSLEHOLM</t>
        </is>
      </c>
      <c r="G142" t="n">
        <v>1</v>
      </c>
      <c r="H142" t="n">
        <v>0</v>
      </c>
      <c r="I142" t="n">
        <v>0</v>
      </c>
      <c r="J142" t="n">
        <v>0</v>
      </c>
      <c r="K142" t="n">
        <v>0</v>
      </c>
      <c r="L142" t="n">
        <v>0</v>
      </c>
      <c r="M142" t="n">
        <v>0</v>
      </c>
      <c r="N142" t="n">
        <v>0</v>
      </c>
      <c r="O142" t="n">
        <v>0</v>
      </c>
      <c r="P142" t="n">
        <v>0</v>
      </c>
      <c r="Q142" t="n">
        <v>0</v>
      </c>
      <c r="R142" s="2" t="inlineStr"/>
    </row>
    <row r="143" ht="15" customHeight="1">
      <c r="A143" t="inlineStr">
        <is>
          <t>A 7904-2022</t>
        </is>
      </c>
      <c r="B143" s="1" t="n">
        <v>44607</v>
      </c>
      <c r="C143" s="1" t="n">
        <v>46188</v>
      </c>
      <c r="D143" t="inlineStr">
        <is>
          <t>SKÅNE LÄN</t>
        </is>
      </c>
      <c r="E143" t="inlineStr">
        <is>
          <t>HÄSSLEHOLM</t>
        </is>
      </c>
      <c r="F143" t="inlineStr">
        <is>
          <t>Kyrkan</t>
        </is>
      </c>
      <c r="G143" t="n">
        <v>3.9</v>
      </c>
      <c r="H143" t="n">
        <v>0</v>
      </c>
      <c r="I143" t="n">
        <v>0</v>
      </c>
      <c r="J143" t="n">
        <v>0</v>
      </c>
      <c r="K143" t="n">
        <v>0</v>
      </c>
      <c r="L143" t="n">
        <v>0</v>
      </c>
      <c r="M143" t="n">
        <v>0</v>
      </c>
      <c r="N143" t="n">
        <v>0</v>
      </c>
      <c r="O143" t="n">
        <v>0</v>
      </c>
      <c r="P143" t="n">
        <v>0</v>
      </c>
      <c r="Q143" t="n">
        <v>0</v>
      </c>
      <c r="R143" s="2" t="inlineStr"/>
    </row>
    <row r="144" ht="15" customHeight="1">
      <c r="A144" t="inlineStr">
        <is>
          <t>A 7250-2022</t>
        </is>
      </c>
      <c r="B144" s="1" t="n">
        <v>44606</v>
      </c>
      <c r="C144" s="1" t="n">
        <v>46188</v>
      </c>
      <c r="D144" t="inlineStr">
        <is>
          <t>SKÅNE LÄN</t>
        </is>
      </c>
      <c r="E144" t="inlineStr">
        <is>
          <t>HÄSSLEHOLM</t>
        </is>
      </c>
      <c r="F144" t="inlineStr">
        <is>
          <t>Övriga Aktiebolag</t>
        </is>
      </c>
      <c r="G144" t="n">
        <v>2.6</v>
      </c>
      <c r="H144" t="n">
        <v>0</v>
      </c>
      <c r="I144" t="n">
        <v>0</v>
      </c>
      <c r="J144" t="n">
        <v>0</v>
      </c>
      <c r="K144" t="n">
        <v>0</v>
      </c>
      <c r="L144" t="n">
        <v>0</v>
      </c>
      <c r="M144" t="n">
        <v>0</v>
      </c>
      <c r="N144" t="n">
        <v>0</v>
      </c>
      <c r="O144" t="n">
        <v>0</v>
      </c>
      <c r="P144" t="n">
        <v>0</v>
      </c>
      <c r="Q144" t="n">
        <v>0</v>
      </c>
      <c r="R144" s="2" t="inlineStr"/>
    </row>
    <row r="145" ht="15" customHeight="1">
      <c r="A145" t="inlineStr">
        <is>
          <t>A 51895-2021</t>
        </is>
      </c>
      <c r="B145" s="1" t="n">
        <v>44462</v>
      </c>
      <c r="C145" s="1" t="n">
        <v>46188</v>
      </c>
      <c r="D145" t="inlineStr">
        <is>
          <t>SKÅNE LÄN</t>
        </is>
      </c>
      <c r="E145" t="inlineStr">
        <is>
          <t>HÄSSLEHOLM</t>
        </is>
      </c>
      <c r="G145" t="n">
        <v>5.7</v>
      </c>
      <c r="H145" t="n">
        <v>0</v>
      </c>
      <c r="I145" t="n">
        <v>0</v>
      </c>
      <c r="J145" t="n">
        <v>0</v>
      </c>
      <c r="K145" t="n">
        <v>0</v>
      </c>
      <c r="L145" t="n">
        <v>0</v>
      </c>
      <c r="M145" t="n">
        <v>0</v>
      </c>
      <c r="N145" t="n">
        <v>0</v>
      </c>
      <c r="O145" t="n">
        <v>0</v>
      </c>
      <c r="P145" t="n">
        <v>0</v>
      </c>
      <c r="Q145" t="n">
        <v>0</v>
      </c>
      <c r="R145" s="2" t="inlineStr"/>
    </row>
    <row r="146" ht="15" customHeight="1">
      <c r="A146" t="inlineStr">
        <is>
          <t>A 219-2022</t>
        </is>
      </c>
      <c r="B146" s="1" t="n">
        <v>44564</v>
      </c>
      <c r="C146" s="1" t="n">
        <v>46188</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6048-2022</t>
        </is>
      </c>
      <c r="B147" s="1" t="n">
        <v>44599.5174537037</v>
      </c>
      <c r="C147" s="1" t="n">
        <v>46188</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55412-2022</t>
        </is>
      </c>
      <c r="B148" s="1" t="n">
        <v>44882</v>
      </c>
      <c r="C148" s="1" t="n">
        <v>46188</v>
      </c>
      <c r="D148" t="inlineStr">
        <is>
          <t>SKÅNE LÄN</t>
        </is>
      </c>
      <c r="E148" t="inlineStr">
        <is>
          <t>HÄSSLEHOLM</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53576-2022</t>
        </is>
      </c>
      <c r="B149" s="1" t="n">
        <v>44875</v>
      </c>
      <c r="C149" s="1" t="n">
        <v>46188</v>
      </c>
      <c r="D149" t="inlineStr">
        <is>
          <t>SKÅNE LÄN</t>
        </is>
      </c>
      <c r="E149" t="inlineStr">
        <is>
          <t>HÄSSLEHOLM</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6253-2022</t>
        </is>
      </c>
      <c r="B150" s="1" t="n">
        <v>44600</v>
      </c>
      <c r="C150" s="1" t="n">
        <v>46188</v>
      </c>
      <c r="D150" t="inlineStr">
        <is>
          <t>SKÅNE LÄN</t>
        </is>
      </c>
      <c r="E150" t="inlineStr">
        <is>
          <t>HÄSSLEHOLM</t>
        </is>
      </c>
      <c r="G150" t="n">
        <v>0.9</v>
      </c>
      <c r="H150" t="n">
        <v>0</v>
      </c>
      <c r="I150" t="n">
        <v>0</v>
      </c>
      <c r="J150" t="n">
        <v>0</v>
      </c>
      <c r="K150" t="n">
        <v>0</v>
      </c>
      <c r="L150" t="n">
        <v>0</v>
      </c>
      <c r="M150" t="n">
        <v>0</v>
      </c>
      <c r="N150" t="n">
        <v>0</v>
      </c>
      <c r="O150" t="n">
        <v>0</v>
      </c>
      <c r="P150" t="n">
        <v>0</v>
      </c>
      <c r="Q150" t="n">
        <v>0</v>
      </c>
      <c r="R150" s="2" t="inlineStr"/>
    </row>
    <row r="151" ht="15" customHeight="1">
      <c r="A151" t="inlineStr">
        <is>
          <t>A 7262-2022</t>
        </is>
      </c>
      <c r="B151" s="1" t="n">
        <v>44606</v>
      </c>
      <c r="C151" s="1" t="n">
        <v>46188</v>
      </c>
      <c r="D151" t="inlineStr">
        <is>
          <t>SKÅNE LÄN</t>
        </is>
      </c>
      <c r="E151" t="inlineStr">
        <is>
          <t>HÄSSLEHOLM</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64826-2021</t>
        </is>
      </c>
      <c r="B152" s="1" t="n">
        <v>44512.55935185185</v>
      </c>
      <c r="C152" s="1" t="n">
        <v>46188</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8177-2022</t>
        </is>
      </c>
      <c r="B153" s="1" t="n">
        <v>44607</v>
      </c>
      <c r="C153" s="1" t="n">
        <v>46188</v>
      </c>
      <c r="D153" t="inlineStr">
        <is>
          <t>SKÅNE LÄN</t>
        </is>
      </c>
      <c r="E153" t="inlineStr">
        <is>
          <t>HÄSSLEHOLM</t>
        </is>
      </c>
      <c r="F153" t="inlineStr">
        <is>
          <t>Kyrkan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25464-2022</t>
        </is>
      </c>
      <c r="B154" s="1" t="n">
        <v>44729</v>
      </c>
      <c r="C154" s="1" t="n">
        <v>46188</v>
      </c>
      <c r="D154" t="inlineStr">
        <is>
          <t>SKÅNE LÄN</t>
        </is>
      </c>
      <c r="E154" t="inlineStr">
        <is>
          <t>HÄSSLEHOLM</t>
        </is>
      </c>
      <c r="G154" t="n">
        <v>21</v>
      </c>
      <c r="H154" t="n">
        <v>0</v>
      </c>
      <c r="I154" t="n">
        <v>0</v>
      </c>
      <c r="J154" t="n">
        <v>0</v>
      </c>
      <c r="K154" t="n">
        <v>0</v>
      </c>
      <c r="L154" t="n">
        <v>0</v>
      </c>
      <c r="M154" t="n">
        <v>0</v>
      </c>
      <c r="N154" t="n">
        <v>0</v>
      </c>
      <c r="O154" t="n">
        <v>0</v>
      </c>
      <c r="P154" t="n">
        <v>0</v>
      </c>
      <c r="Q154" t="n">
        <v>0</v>
      </c>
      <c r="R154" s="2" t="inlineStr"/>
    </row>
    <row r="155" ht="15" customHeight="1">
      <c r="A155" t="inlineStr">
        <is>
          <t>A 30344-2022</t>
        </is>
      </c>
      <c r="B155" s="1" t="n">
        <v>44760.50783564815</v>
      </c>
      <c r="C155" s="1" t="n">
        <v>46188</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56527-2021</t>
        </is>
      </c>
      <c r="B156" s="1" t="n">
        <v>44480</v>
      </c>
      <c r="C156" s="1" t="n">
        <v>46188</v>
      </c>
      <c r="D156" t="inlineStr">
        <is>
          <t>SKÅNE LÄN</t>
        </is>
      </c>
      <c r="E156" t="inlineStr">
        <is>
          <t>HÄSSLEHOLM</t>
        </is>
      </c>
      <c r="F156" t="inlineStr">
        <is>
          <t>Kyrkan</t>
        </is>
      </c>
      <c r="G156" t="n">
        <v>2.7</v>
      </c>
      <c r="H156" t="n">
        <v>0</v>
      </c>
      <c r="I156" t="n">
        <v>0</v>
      </c>
      <c r="J156" t="n">
        <v>0</v>
      </c>
      <c r="K156" t="n">
        <v>0</v>
      </c>
      <c r="L156" t="n">
        <v>0</v>
      </c>
      <c r="M156" t="n">
        <v>0</v>
      </c>
      <c r="N156" t="n">
        <v>0</v>
      </c>
      <c r="O156" t="n">
        <v>0</v>
      </c>
      <c r="P156" t="n">
        <v>0</v>
      </c>
      <c r="Q156" t="n">
        <v>0</v>
      </c>
      <c r="R156" s="2" t="inlineStr"/>
    </row>
    <row r="157" ht="15" customHeight="1">
      <c r="A157" t="inlineStr">
        <is>
          <t>A 3992-2022</t>
        </is>
      </c>
      <c r="B157" s="1" t="n">
        <v>44587</v>
      </c>
      <c r="C157" s="1" t="n">
        <v>46188</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25955-2022</t>
        </is>
      </c>
      <c r="B158" s="1" t="n">
        <v>44734</v>
      </c>
      <c r="C158" s="1" t="n">
        <v>46188</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20657-2022</t>
        </is>
      </c>
      <c r="B159" s="1" t="n">
        <v>44700</v>
      </c>
      <c r="C159" s="1" t="n">
        <v>46188</v>
      </c>
      <c r="D159" t="inlineStr">
        <is>
          <t>SKÅNE LÄN</t>
        </is>
      </c>
      <c r="E159" t="inlineStr">
        <is>
          <t>HÄSSLEHOLM</t>
        </is>
      </c>
      <c r="G159" t="n">
        <v>3.8</v>
      </c>
      <c r="H159" t="n">
        <v>0</v>
      </c>
      <c r="I159" t="n">
        <v>0</v>
      </c>
      <c r="J159" t="n">
        <v>0</v>
      </c>
      <c r="K159" t="n">
        <v>0</v>
      </c>
      <c r="L159" t="n">
        <v>0</v>
      </c>
      <c r="M159" t="n">
        <v>0</v>
      </c>
      <c r="N159" t="n">
        <v>0</v>
      </c>
      <c r="O159" t="n">
        <v>0</v>
      </c>
      <c r="P159" t="n">
        <v>0</v>
      </c>
      <c r="Q159" t="n">
        <v>0</v>
      </c>
      <c r="R159" s="2" t="inlineStr"/>
    </row>
    <row r="160" ht="15" customHeight="1">
      <c r="A160" t="inlineStr">
        <is>
          <t>A 23950-2023</t>
        </is>
      </c>
      <c r="B160" s="1" t="n">
        <v>45078.61771990741</v>
      </c>
      <c r="C160" s="1" t="n">
        <v>46188</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23952-2023</t>
        </is>
      </c>
      <c r="B161" s="1" t="n">
        <v>45078.62064814815</v>
      </c>
      <c r="C161" s="1" t="n">
        <v>46188</v>
      </c>
      <c r="D161" t="inlineStr">
        <is>
          <t>SKÅNE LÄN</t>
        </is>
      </c>
      <c r="E161" t="inlineStr">
        <is>
          <t>HÄSSLEHOLM</t>
        </is>
      </c>
      <c r="G161" t="n">
        <v>0.4</v>
      </c>
      <c r="H161" t="n">
        <v>0</v>
      </c>
      <c r="I161" t="n">
        <v>0</v>
      </c>
      <c r="J161" t="n">
        <v>0</v>
      </c>
      <c r="K161" t="n">
        <v>0</v>
      </c>
      <c r="L161" t="n">
        <v>0</v>
      </c>
      <c r="M161" t="n">
        <v>0</v>
      </c>
      <c r="N161" t="n">
        <v>0</v>
      </c>
      <c r="O161" t="n">
        <v>0</v>
      </c>
      <c r="P161" t="n">
        <v>0</v>
      </c>
      <c r="Q161" t="n">
        <v>0</v>
      </c>
      <c r="R161" s="2" t="inlineStr"/>
    </row>
    <row r="162" ht="15" customHeight="1">
      <c r="A162" t="inlineStr">
        <is>
          <t>A 7890-2024</t>
        </is>
      </c>
      <c r="B162" s="1" t="n">
        <v>45350.40780092592</v>
      </c>
      <c r="C162" s="1" t="n">
        <v>46188</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35974-2022</t>
        </is>
      </c>
      <c r="B163" s="1" t="n">
        <v>44802</v>
      </c>
      <c r="C163" s="1" t="n">
        <v>46188</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23956-2023</t>
        </is>
      </c>
      <c r="B164" s="1" t="n">
        <v>45078.62302083334</v>
      </c>
      <c r="C164" s="1" t="n">
        <v>46188</v>
      </c>
      <c r="D164" t="inlineStr">
        <is>
          <t>SKÅNE LÄN</t>
        </is>
      </c>
      <c r="E164" t="inlineStr">
        <is>
          <t>HÄSSLEHOLM</t>
        </is>
      </c>
      <c r="G164" t="n">
        <v>0.1</v>
      </c>
      <c r="H164" t="n">
        <v>0</v>
      </c>
      <c r="I164" t="n">
        <v>0</v>
      </c>
      <c r="J164" t="n">
        <v>0</v>
      </c>
      <c r="K164" t="n">
        <v>0</v>
      </c>
      <c r="L164" t="n">
        <v>0</v>
      </c>
      <c r="M164" t="n">
        <v>0</v>
      </c>
      <c r="N164" t="n">
        <v>0</v>
      </c>
      <c r="O164" t="n">
        <v>0</v>
      </c>
      <c r="P164" t="n">
        <v>0</v>
      </c>
      <c r="Q164" t="n">
        <v>0</v>
      </c>
      <c r="R164" s="2" t="inlineStr"/>
    </row>
    <row r="165" ht="15" customHeight="1">
      <c r="A165" t="inlineStr">
        <is>
          <t>A 24241-2023</t>
        </is>
      </c>
      <c r="B165" s="1" t="n">
        <v>45079.61476851852</v>
      </c>
      <c r="C165" s="1" t="n">
        <v>46188</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1619-2022</t>
        </is>
      </c>
      <c r="B166" s="1" t="n">
        <v>44573</v>
      </c>
      <c r="C166" s="1" t="n">
        <v>46188</v>
      </c>
      <c r="D166" t="inlineStr">
        <is>
          <t>SKÅNE LÄN</t>
        </is>
      </c>
      <c r="E166" t="inlineStr">
        <is>
          <t>HÄSSLEHOLM</t>
        </is>
      </c>
      <c r="G166" t="n">
        <v>1.8</v>
      </c>
      <c r="H166" t="n">
        <v>0</v>
      </c>
      <c r="I166" t="n">
        <v>0</v>
      </c>
      <c r="J166" t="n">
        <v>0</v>
      </c>
      <c r="K166" t="n">
        <v>0</v>
      </c>
      <c r="L166" t="n">
        <v>0</v>
      </c>
      <c r="M166" t="n">
        <v>0</v>
      </c>
      <c r="N166" t="n">
        <v>0</v>
      </c>
      <c r="O166" t="n">
        <v>0</v>
      </c>
      <c r="P166" t="n">
        <v>0</v>
      </c>
      <c r="Q166" t="n">
        <v>0</v>
      </c>
      <c r="R166" s="2" t="inlineStr"/>
    </row>
    <row r="167" ht="15" customHeight="1">
      <c r="A167" t="inlineStr">
        <is>
          <t>A 41874-2024</t>
        </is>
      </c>
      <c r="B167" s="1" t="n">
        <v>45561</v>
      </c>
      <c r="C167" s="1" t="n">
        <v>46188</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14674-2025</t>
        </is>
      </c>
      <c r="B168" s="1" t="n">
        <v>45742.55548611111</v>
      </c>
      <c r="C168" s="1" t="n">
        <v>46188</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14702-2025</t>
        </is>
      </c>
      <c r="B169" s="1" t="n">
        <v>45742.60403935185</v>
      </c>
      <c r="C169" s="1" t="n">
        <v>46188</v>
      </c>
      <c r="D169" t="inlineStr">
        <is>
          <t>SKÅNE LÄN</t>
        </is>
      </c>
      <c r="E169" t="inlineStr">
        <is>
          <t>HÄSSLEHOLM</t>
        </is>
      </c>
      <c r="G169" t="n">
        <v>1.8</v>
      </c>
      <c r="H169" t="n">
        <v>0</v>
      </c>
      <c r="I169" t="n">
        <v>0</v>
      </c>
      <c r="J169" t="n">
        <v>0</v>
      </c>
      <c r="K169" t="n">
        <v>0</v>
      </c>
      <c r="L169" t="n">
        <v>0</v>
      </c>
      <c r="M169" t="n">
        <v>0</v>
      </c>
      <c r="N169" t="n">
        <v>0</v>
      </c>
      <c r="O169" t="n">
        <v>0</v>
      </c>
      <c r="P169" t="n">
        <v>0</v>
      </c>
      <c r="Q169" t="n">
        <v>0</v>
      </c>
      <c r="R169" s="2" t="inlineStr"/>
    </row>
    <row r="170" ht="15" customHeight="1">
      <c r="A170" t="inlineStr">
        <is>
          <t>A 16388-2025</t>
        </is>
      </c>
      <c r="B170" s="1" t="n">
        <v>45751.42787037037</v>
      </c>
      <c r="C170" s="1" t="n">
        <v>46188</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33597-2023</t>
        </is>
      </c>
      <c r="B171" s="1" t="n">
        <v>45132</v>
      </c>
      <c r="C171" s="1" t="n">
        <v>46188</v>
      </c>
      <c r="D171" t="inlineStr">
        <is>
          <t>SKÅNE LÄN</t>
        </is>
      </c>
      <c r="E171" t="inlineStr">
        <is>
          <t>HÄSSLEHOLM</t>
        </is>
      </c>
      <c r="G171" t="n">
        <v>3.9</v>
      </c>
      <c r="H171" t="n">
        <v>0</v>
      </c>
      <c r="I171" t="n">
        <v>0</v>
      </c>
      <c r="J171" t="n">
        <v>0</v>
      </c>
      <c r="K171" t="n">
        <v>0</v>
      </c>
      <c r="L171" t="n">
        <v>0</v>
      </c>
      <c r="M171" t="n">
        <v>0</v>
      </c>
      <c r="N171" t="n">
        <v>0</v>
      </c>
      <c r="O171" t="n">
        <v>0</v>
      </c>
      <c r="P171" t="n">
        <v>0</v>
      </c>
      <c r="Q171" t="n">
        <v>0</v>
      </c>
      <c r="R171" s="2" t="inlineStr"/>
    </row>
    <row r="172" ht="15" customHeight="1">
      <c r="A172" t="inlineStr">
        <is>
          <t>A 33599-2023</t>
        </is>
      </c>
      <c r="B172" s="1" t="n">
        <v>45132</v>
      </c>
      <c r="C172" s="1" t="n">
        <v>46188</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27173-2024</t>
        </is>
      </c>
      <c r="B173" s="1" t="n">
        <v>45471.57048611111</v>
      </c>
      <c r="C173" s="1" t="n">
        <v>46188</v>
      </c>
      <c r="D173" t="inlineStr">
        <is>
          <t>SKÅNE LÄN</t>
        </is>
      </c>
      <c r="E173" t="inlineStr">
        <is>
          <t>HÄSSLEHOLM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55284-2023</t>
        </is>
      </c>
      <c r="B174" s="1" t="n">
        <v>45237.74259259259</v>
      </c>
      <c r="C174" s="1" t="n">
        <v>46188</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5284-2023</t>
        </is>
      </c>
      <c r="B175" s="1" t="n">
        <v>44959.50608796296</v>
      </c>
      <c r="C175" s="1" t="n">
        <v>46188</v>
      </c>
      <c r="D175" t="inlineStr">
        <is>
          <t>SKÅNE LÄN</t>
        </is>
      </c>
      <c r="E175" t="inlineStr">
        <is>
          <t>HÄSSLEHOLM</t>
        </is>
      </c>
      <c r="G175" t="n">
        <v>0.4</v>
      </c>
      <c r="H175" t="n">
        <v>0</v>
      </c>
      <c r="I175" t="n">
        <v>0</v>
      </c>
      <c r="J175" t="n">
        <v>0</v>
      </c>
      <c r="K175" t="n">
        <v>0</v>
      </c>
      <c r="L175" t="n">
        <v>0</v>
      </c>
      <c r="M175" t="n">
        <v>0</v>
      </c>
      <c r="N175" t="n">
        <v>0</v>
      </c>
      <c r="O175" t="n">
        <v>0</v>
      </c>
      <c r="P175" t="n">
        <v>0</v>
      </c>
      <c r="Q175" t="n">
        <v>0</v>
      </c>
      <c r="R175" s="2" t="inlineStr"/>
    </row>
    <row r="176" ht="15" customHeight="1">
      <c r="A176" t="inlineStr">
        <is>
          <t>A 5285-2023</t>
        </is>
      </c>
      <c r="B176" s="1" t="n">
        <v>44959.50783564815</v>
      </c>
      <c r="C176" s="1" t="n">
        <v>46188</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34888-2023</t>
        </is>
      </c>
      <c r="B177" s="1" t="n">
        <v>45142.388125</v>
      </c>
      <c r="C177" s="1" t="n">
        <v>46188</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70087-2021</t>
        </is>
      </c>
      <c r="B178" s="1" t="n">
        <v>44533</v>
      </c>
      <c r="C178" s="1" t="n">
        <v>46188</v>
      </c>
      <c r="D178" t="inlineStr">
        <is>
          <t>SKÅNE LÄN</t>
        </is>
      </c>
      <c r="E178" t="inlineStr">
        <is>
          <t>HÄSSLEHOLM</t>
        </is>
      </c>
      <c r="G178" t="n">
        <v>5</v>
      </c>
      <c r="H178" t="n">
        <v>0</v>
      </c>
      <c r="I178" t="n">
        <v>0</v>
      </c>
      <c r="J178" t="n">
        <v>0</v>
      </c>
      <c r="K178" t="n">
        <v>0</v>
      </c>
      <c r="L178" t="n">
        <v>0</v>
      </c>
      <c r="M178" t="n">
        <v>0</v>
      </c>
      <c r="N178" t="n">
        <v>0</v>
      </c>
      <c r="O178" t="n">
        <v>0</v>
      </c>
      <c r="P178" t="n">
        <v>0</v>
      </c>
      <c r="Q178" t="n">
        <v>0</v>
      </c>
      <c r="R178" s="2" t="inlineStr"/>
    </row>
    <row r="179" ht="15" customHeight="1">
      <c r="A179" t="inlineStr">
        <is>
          <t>A 20566-2023</t>
        </is>
      </c>
      <c r="B179" s="1" t="n">
        <v>45057</v>
      </c>
      <c r="C179" s="1" t="n">
        <v>46188</v>
      </c>
      <c r="D179" t="inlineStr">
        <is>
          <t>SKÅNE LÄN</t>
        </is>
      </c>
      <c r="E179" t="inlineStr">
        <is>
          <t>HÄSSLEHOLM</t>
        </is>
      </c>
      <c r="G179" t="n">
        <v>5.2</v>
      </c>
      <c r="H179" t="n">
        <v>0</v>
      </c>
      <c r="I179" t="n">
        <v>0</v>
      </c>
      <c r="J179" t="n">
        <v>0</v>
      </c>
      <c r="K179" t="n">
        <v>0</v>
      </c>
      <c r="L179" t="n">
        <v>0</v>
      </c>
      <c r="M179" t="n">
        <v>0</v>
      </c>
      <c r="N179" t="n">
        <v>0</v>
      </c>
      <c r="O179" t="n">
        <v>0</v>
      </c>
      <c r="P179" t="n">
        <v>0</v>
      </c>
      <c r="Q179" t="n">
        <v>0</v>
      </c>
      <c r="R179" s="2" t="inlineStr"/>
    </row>
    <row r="180" ht="15" customHeight="1">
      <c r="A180" t="inlineStr">
        <is>
          <t>A 21867-2023</t>
        </is>
      </c>
      <c r="B180" s="1" t="n">
        <v>45063</v>
      </c>
      <c r="C180" s="1" t="n">
        <v>46188</v>
      </c>
      <c r="D180" t="inlineStr">
        <is>
          <t>SKÅNE LÄN</t>
        </is>
      </c>
      <c r="E180" t="inlineStr">
        <is>
          <t>HÄSSLEHOLM</t>
        </is>
      </c>
      <c r="G180" t="n">
        <v>7.6</v>
      </c>
      <c r="H180" t="n">
        <v>0</v>
      </c>
      <c r="I180" t="n">
        <v>0</v>
      </c>
      <c r="J180" t="n">
        <v>0</v>
      </c>
      <c r="K180" t="n">
        <v>0</v>
      </c>
      <c r="L180" t="n">
        <v>0</v>
      </c>
      <c r="M180" t="n">
        <v>0</v>
      </c>
      <c r="N180" t="n">
        <v>0</v>
      </c>
      <c r="O180" t="n">
        <v>0</v>
      </c>
      <c r="P180" t="n">
        <v>0</v>
      </c>
      <c r="Q180" t="n">
        <v>0</v>
      </c>
      <c r="R180" s="2" t="inlineStr"/>
    </row>
    <row r="181" ht="15" customHeight="1">
      <c r="A181" t="inlineStr">
        <is>
          <t>A 54435-2024</t>
        </is>
      </c>
      <c r="B181" s="1" t="n">
        <v>45617.49494212963</v>
      </c>
      <c r="C181" s="1" t="n">
        <v>46188</v>
      </c>
      <c r="D181" t="inlineStr">
        <is>
          <t>SKÅNE LÄN</t>
        </is>
      </c>
      <c r="E181" t="inlineStr">
        <is>
          <t>HÄSSLEHOLM</t>
        </is>
      </c>
      <c r="G181" t="n">
        <v>2.3</v>
      </c>
      <c r="H181" t="n">
        <v>0</v>
      </c>
      <c r="I181" t="n">
        <v>0</v>
      </c>
      <c r="J181" t="n">
        <v>0</v>
      </c>
      <c r="K181" t="n">
        <v>0</v>
      </c>
      <c r="L181" t="n">
        <v>0</v>
      </c>
      <c r="M181" t="n">
        <v>0</v>
      </c>
      <c r="N181" t="n">
        <v>0</v>
      </c>
      <c r="O181" t="n">
        <v>0</v>
      </c>
      <c r="P181" t="n">
        <v>0</v>
      </c>
      <c r="Q181" t="n">
        <v>0</v>
      </c>
      <c r="R181" s="2" t="inlineStr"/>
    </row>
    <row r="182" ht="15" customHeight="1">
      <c r="A182" t="inlineStr">
        <is>
          <t>A 58886-2024</t>
        </is>
      </c>
      <c r="B182" s="1" t="n">
        <v>45636.45380787037</v>
      </c>
      <c r="C182" s="1" t="n">
        <v>46188</v>
      </c>
      <c r="D182" t="inlineStr">
        <is>
          <t>SKÅNE LÄN</t>
        </is>
      </c>
      <c r="E182" t="inlineStr">
        <is>
          <t>HÄSSLEHOLM</t>
        </is>
      </c>
      <c r="G182" t="n">
        <v>1.9</v>
      </c>
      <c r="H182" t="n">
        <v>0</v>
      </c>
      <c r="I182" t="n">
        <v>0</v>
      </c>
      <c r="J182" t="n">
        <v>0</v>
      </c>
      <c r="K182" t="n">
        <v>0</v>
      </c>
      <c r="L182" t="n">
        <v>0</v>
      </c>
      <c r="M182" t="n">
        <v>0</v>
      </c>
      <c r="N182" t="n">
        <v>0</v>
      </c>
      <c r="O182" t="n">
        <v>0</v>
      </c>
      <c r="P182" t="n">
        <v>0</v>
      </c>
      <c r="Q182" t="n">
        <v>0</v>
      </c>
      <c r="R182" s="2" t="inlineStr"/>
    </row>
    <row r="183" ht="15" customHeight="1">
      <c r="A183" t="inlineStr">
        <is>
          <t>A 13087-2023</t>
        </is>
      </c>
      <c r="B183" s="1" t="n">
        <v>45001</v>
      </c>
      <c r="C183" s="1" t="n">
        <v>46188</v>
      </c>
      <c r="D183" t="inlineStr">
        <is>
          <t>SKÅNE LÄN</t>
        </is>
      </c>
      <c r="E183" t="inlineStr">
        <is>
          <t>HÄSSLEHOLM</t>
        </is>
      </c>
      <c r="G183" t="n">
        <v>3.8</v>
      </c>
      <c r="H183" t="n">
        <v>0</v>
      </c>
      <c r="I183" t="n">
        <v>0</v>
      </c>
      <c r="J183" t="n">
        <v>0</v>
      </c>
      <c r="K183" t="n">
        <v>0</v>
      </c>
      <c r="L183" t="n">
        <v>0</v>
      </c>
      <c r="M183" t="n">
        <v>0</v>
      </c>
      <c r="N183" t="n">
        <v>0</v>
      </c>
      <c r="O183" t="n">
        <v>0</v>
      </c>
      <c r="P183" t="n">
        <v>0</v>
      </c>
      <c r="Q183" t="n">
        <v>0</v>
      </c>
      <c r="R183" s="2" t="inlineStr"/>
    </row>
    <row r="184" ht="15" customHeight="1">
      <c r="A184" t="inlineStr">
        <is>
          <t>A 20666-2023</t>
        </is>
      </c>
      <c r="B184" s="1" t="n">
        <v>45058.35664351852</v>
      </c>
      <c r="C184" s="1" t="n">
        <v>46188</v>
      </c>
      <c r="D184" t="inlineStr">
        <is>
          <t>SKÅNE LÄN</t>
        </is>
      </c>
      <c r="E184" t="inlineStr">
        <is>
          <t>HÄSSLEHOLM</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34886-2023</t>
        </is>
      </c>
      <c r="B185" s="1" t="n">
        <v>45142.38450231482</v>
      </c>
      <c r="C185" s="1" t="n">
        <v>46188</v>
      </c>
      <c r="D185" t="inlineStr">
        <is>
          <t>SKÅNE LÄN</t>
        </is>
      </c>
      <c r="E185" t="inlineStr">
        <is>
          <t>HÄSSLEHOLM</t>
        </is>
      </c>
      <c r="G185" t="n">
        <v>1.3</v>
      </c>
      <c r="H185" t="n">
        <v>0</v>
      </c>
      <c r="I185" t="n">
        <v>0</v>
      </c>
      <c r="J185" t="n">
        <v>0</v>
      </c>
      <c r="K185" t="n">
        <v>0</v>
      </c>
      <c r="L185" t="n">
        <v>0</v>
      </c>
      <c r="M185" t="n">
        <v>0</v>
      </c>
      <c r="N185" t="n">
        <v>0</v>
      </c>
      <c r="O185" t="n">
        <v>0</v>
      </c>
      <c r="P185" t="n">
        <v>0</v>
      </c>
      <c r="Q185" t="n">
        <v>0</v>
      </c>
      <c r="R185" s="2" t="inlineStr"/>
    </row>
    <row r="186" ht="15" customHeight="1">
      <c r="A186" t="inlineStr">
        <is>
          <t>A 48747-2022</t>
        </is>
      </c>
      <c r="B186" s="1" t="n">
        <v>44859</v>
      </c>
      <c r="C186" s="1" t="n">
        <v>46188</v>
      </c>
      <c r="D186" t="inlineStr">
        <is>
          <t>SKÅNE LÄN</t>
        </is>
      </c>
      <c r="E186" t="inlineStr">
        <is>
          <t>HÄSSLEHOLM</t>
        </is>
      </c>
      <c r="G186" t="n">
        <v>1.9</v>
      </c>
      <c r="H186" t="n">
        <v>0</v>
      </c>
      <c r="I186" t="n">
        <v>0</v>
      </c>
      <c r="J186" t="n">
        <v>0</v>
      </c>
      <c r="K186" t="n">
        <v>0</v>
      </c>
      <c r="L186" t="n">
        <v>0</v>
      </c>
      <c r="M186" t="n">
        <v>0</v>
      </c>
      <c r="N186" t="n">
        <v>0</v>
      </c>
      <c r="O186" t="n">
        <v>0</v>
      </c>
      <c r="P186" t="n">
        <v>0</v>
      </c>
      <c r="Q186" t="n">
        <v>0</v>
      </c>
      <c r="R186" s="2" t="inlineStr"/>
    </row>
    <row r="187" ht="15" customHeight="1">
      <c r="A187" t="inlineStr">
        <is>
          <t>A 59028-2023</t>
        </is>
      </c>
      <c r="B187" s="1" t="n">
        <v>45252.67900462963</v>
      </c>
      <c r="C187" s="1" t="n">
        <v>46188</v>
      </c>
      <c r="D187" t="inlineStr">
        <is>
          <t>SKÅNE LÄN</t>
        </is>
      </c>
      <c r="E187" t="inlineStr">
        <is>
          <t>HÄSSLEHOLM</t>
        </is>
      </c>
      <c r="G187" t="n">
        <v>2.5</v>
      </c>
      <c r="H187" t="n">
        <v>0</v>
      </c>
      <c r="I187" t="n">
        <v>0</v>
      </c>
      <c r="J187" t="n">
        <v>0</v>
      </c>
      <c r="K187" t="n">
        <v>0</v>
      </c>
      <c r="L187" t="n">
        <v>0</v>
      </c>
      <c r="M187" t="n">
        <v>0</v>
      </c>
      <c r="N187" t="n">
        <v>0</v>
      </c>
      <c r="O187" t="n">
        <v>0</v>
      </c>
      <c r="P187" t="n">
        <v>0</v>
      </c>
      <c r="Q187" t="n">
        <v>0</v>
      </c>
      <c r="R187" s="2" t="inlineStr"/>
    </row>
    <row r="188" ht="15" customHeight="1">
      <c r="A188" t="inlineStr">
        <is>
          <t>A 2596-2024</t>
        </is>
      </c>
      <c r="B188" s="1" t="n">
        <v>45313.69969907407</v>
      </c>
      <c r="C188" s="1" t="n">
        <v>46188</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8250-2023</t>
        </is>
      </c>
      <c r="B189" s="1" t="n">
        <v>44974</v>
      </c>
      <c r="C189" s="1" t="n">
        <v>46188</v>
      </c>
      <c r="D189" t="inlineStr">
        <is>
          <t>SKÅNE LÄN</t>
        </is>
      </c>
      <c r="E189" t="inlineStr">
        <is>
          <t>HÄSSLEHOLM</t>
        </is>
      </c>
      <c r="G189" t="n">
        <v>3</v>
      </c>
      <c r="H189" t="n">
        <v>0</v>
      </c>
      <c r="I189" t="n">
        <v>0</v>
      </c>
      <c r="J189" t="n">
        <v>0</v>
      </c>
      <c r="K189" t="n">
        <v>0</v>
      </c>
      <c r="L189" t="n">
        <v>0</v>
      </c>
      <c r="M189" t="n">
        <v>0</v>
      </c>
      <c r="N189" t="n">
        <v>0</v>
      </c>
      <c r="O189" t="n">
        <v>0</v>
      </c>
      <c r="P189" t="n">
        <v>0</v>
      </c>
      <c r="Q189" t="n">
        <v>0</v>
      </c>
      <c r="R189" s="2" t="inlineStr"/>
    </row>
    <row r="190" ht="15" customHeight="1">
      <c r="A190" t="inlineStr">
        <is>
          <t>A 7153-2025</t>
        </is>
      </c>
      <c r="B190" s="1" t="n">
        <v>45702.38512731482</v>
      </c>
      <c r="C190" s="1" t="n">
        <v>46188</v>
      </c>
      <c r="D190" t="inlineStr">
        <is>
          <t>SKÅNE LÄN</t>
        </is>
      </c>
      <c r="E190" t="inlineStr">
        <is>
          <t>HÄSSLEHOLM</t>
        </is>
      </c>
      <c r="G190" t="n">
        <v>2.7</v>
      </c>
      <c r="H190" t="n">
        <v>0</v>
      </c>
      <c r="I190" t="n">
        <v>0</v>
      </c>
      <c r="J190" t="n">
        <v>0</v>
      </c>
      <c r="K190" t="n">
        <v>0</v>
      </c>
      <c r="L190" t="n">
        <v>0</v>
      </c>
      <c r="M190" t="n">
        <v>0</v>
      </c>
      <c r="N190" t="n">
        <v>0</v>
      </c>
      <c r="O190" t="n">
        <v>0</v>
      </c>
      <c r="P190" t="n">
        <v>0</v>
      </c>
      <c r="Q190" t="n">
        <v>0</v>
      </c>
      <c r="R190" s="2" t="inlineStr"/>
    </row>
    <row r="191" ht="15" customHeight="1">
      <c r="A191" t="inlineStr">
        <is>
          <t>A 6842-2023</t>
        </is>
      </c>
      <c r="B191" s="1" t="n">
        <v>44967</v>
      </c>
      <c r="C191" s="1" t="n">
        <v>46188</v>
      </c>
      <c r="D191" t="inlineStr">
        <is>
          <t>SKÅNE LÄN</t>
        </is>
      </c>
      <c r="E191" t="inlineStr">
        <is>
          <t>HÄSSLEHOLM</t>
        </is>
      </c>
      <c r="G191" t="n">
        <v>1.9</v>
      </c>
      <c r="H191" t="n">
        <v>0</v>
      </c>
      <c r="I191" t="n">
        <v>0</v>
      </c>
      <c r="J191" t="n">
        <v>0</v>
      </c>
      <c r="K191" t="n">
        <v>0</v>
      </c>
      <c r="L191" t="n">
        <v>0</v>
      </c>
      <c r="M191" t="n">
        <v>0</v>
      </c>
      <c r="N191" t="n">
        <v>0</v>
      </c>
      <c r="O191" t="n">
        <v>0</v>
      </c>
      <c r="P191" t="n">
        <v>0</v>
      </c>
      <c r="Q191" t="n">
        <v>0</v>
      </c>
      <c r="R191" s="2" t="inlineStr"/>
    </row>
    <row r="192" ht="15" customHeight="1">
      <c r="A192" t="inlineStr">
        <is>
          <t>A 57079-2022</t>
        </is>
      </c>
      <c r="B192" s="1" t="n">
        <v>44895</v>
      </c>
      <c r="C192" s="1" t="n">
        <v>46188</v>
      </c>
      <c r="D192" t="inlineStr">
        <is>
          <t>SKÅNE LÄN</t>
        </is>
      </c>
      <c r="E192" t="inlineStr">
        <is>
          <t>HÄSSLEHOLM</t>
        </is>
      </c>
      <c r="G192" t="n">
        <v>2.6</v>
      </c>
      <c r="H192" t="n">
        <v>0</v>
      </c>
      <c r="I192" t="n">
        <v>0</v>
      </c>
      <c r="J192" t="n">
        <v>0</v>
      </c>
      <c r="K192" t="n">
        <v>0</v>
      </c>
      <c r="L192" t="n">
        <v>0</v>
      </c>
      <c r="M192" t="n">
        <v>0</v>
      </c>
      <c r="N192" t="n">
        <v>0</v>
      </c>
      <c r="O192" t="n">
        <v>0</v>
      </c>
      <c r="P192" t="n">
        <v>0</v>
      </c>
      <c r="Q192" t="n">
        <v>0</v>
      </c>
      <c r="R192" s="2" t="inlineStr"/>
    </row>
    <row r="193" ht="15" customHeight="1">
      <c r="A193" t="inlineStr">
        <is>
          <t>A 15698-2023</t>
        </is>
      </c>
      <c r="B193" s="1" t="n">
        <v>45021</v>
      </c>
      <c r="C193" s="1" t="n">
        <v>46188</v>
      </c>
      <c r="D193" t="inlineStr">
        <is>
          <t>SKÅNE LÄN</t>
        </is>
      </c>
      <c r="E193" t="inlineStr">
        <is>
          <t>HÄSSLEHOLM</t>
        </is>
      </c>
      <c r="F193" t="inlineStr">
        <is>
          <t>Kommuner</t>
        </is>
      </c>
      <c r="G193" t="n">
        <v>5.5</v>
      </c>
      <c r="H193" t="n">
        <v>0</v>
      </c>
      <c r="I193" t="n">
        <v>0</v>
      </c>
      <c r="J193" t="n">
        <v>0</v>
      </c>
      <c r="K193" t="n">
        <v>0</v>
      </c>
      <c r="L193" t="n">
        <v>0</v>
      </c>
      <c r="M193" t="n">
        <v>0</v>
      </c>
      <c r="N193" t="n">
        <v>0</v>
      </c>
      <c r="O193" t="n">
        <v>0</v>
      </c>
      <c r="P193" t="n">
        <v>0</v>
      </c>
      <c r="Q193" t="n">
        <v>0</v>
      </c>
      <c r="R193" s="2" t="inlineStr"/>
    </row>
    <row r="194" ht="15" customHeight="1">
      <c r="A194" t="inlineStr">
        <is>
          <t>A 34342-2021</t>
        </is>
      </c>
      <c r="B194" s="1" t="n">
        <v>44379</v>
      </c>
      <c r="C194" s="1" t="n">
        <v>46188</v>
      </c>
      <c r="D194" t="inlineStr">
        <is>
          <t>SKÅNE LÄN</t>
        </is>
      </c>
      <c r="E194" t="inlineStr">
        <is>
          <t>HÄSSLEHOLM</t>
        </is>
      </c>
      <c r="G194" t="n">
        <v>7</v>
      </c>
      <c r="H194" t="n">
        <v>0</v>
      </c>
      <c r="I194" t="n">
        <v>0</v>
      </c>
      <c r="J194" t="n">
        <v>0</v>
      </c>
      <c r="K194" t="n">
        <v>0</v>
      </c>
      <c r="L194" t="n">
        <v>0</v>
      </c>
      <c r="M194" t="n">
        <v>0</v>
      </c>
      <c r="N194" t="n">
        <v>0</v>
      </c>
      <c r="O194" t="n">
        <v>0</v>
      </c>
      <c r="P194" t="n">
        <v>0</v>
      </c>
      <c r="Q194" t="n">
        <v>0</v>
      </c>
      <c r="R194" s="2" t="inlineStr"/>
    </row>
    <row r="195" ht="15" customHeight="1">
      <c r="A195" t="inlineStr">
        <is>
          <t>A 48185-2025</t>
        </is>
      </c>
      <c r="B195" s="1" t="n">
        <v>45933.46434027778</v>
      </c>
      <c r="C195" s="1" t="n">
        <v>46188</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1557-2023</t>
        </is>
      </c>
      <c r="B196" s="1" t="n">
        <v>44937</v>
      </c>
      <c r="C196" s="1" t="n">
        <v>46188</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50899-2024</t>
        </is>
      </c>
      <c r="B197" s="1" t="n">
        <v>45602.68584490741</v>
      </c>
      <c r="C197" s="1" t="n">
        <v>46188</v>
      </c>
      <c r="D197" t="inlineStr">
        <is>
          <t>SKÅNE LÄN</t>
        </is>
      </c>
      <c r="E197" t="inlineStr">
        <is>
          <t>HÄSSLEHOLM</t>
        </is>
      </c>
      <c r="G197" t="n">
        <v>1.7</v>
      </c>
      <c r="H197" t="n">
        <v>0</v>
      </c>
      <c r="I197" t="n">
        <v>0</v>
      </c>
      <c r="J197" t="n">
        <v>0</v>
      </c>
      <c r="K197" t="n">
        <v>0</v>
      </c>
      <c r="L197" t="n">
        <v>0</v>
      </c>
      <c r="M197" t="n">
        <v>0</v>
      </c>
      <c r="N197" t="n">
        <v>0</v>
      </c>
      <c r="O197" t="n">
        <v>0</v>
      </c>
      <c r="P197" t="n">
        <v>0</v>
      </c>
      <c r="Q197" t="n">
        <v>0</v>
      </c>
      <c r="R197" s="2" t="inlineStr"/>
    </row>
    <row r="198" ht="15" customHeight="1">
      <c r="A198" t="inlineStr">
        <is>
          <t>A 9239-2025</t>
        </is>
      </c>
      <c r="B198" s="1" t="n">
        <v>45714</v>
      </c>
      <c r="C198" s="1" t="n">
        <v>46188</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48722-2025</t>
        </is>
      </c>
      <c r="B199" s="1" t="n">
        <v>45935</v>
      </c>
      <c r="C199" s="1" t="n">
        <v>46188</v>
      </c>
      <c r="D199" t="inlineStr">
        <is>
          <t>SKÅNE LÄN</t>
        </is>
      </c>
      <c r="E199" t="inlineStr">
        <is>
          <t>HÄSSLEHOLM</t>
        </is>
      </c>
      <c r="G199" t="n">
        <v>4.3</v>
      </c>
      <c r="H199" t="n">
        <v>0</v>
      </c>
      <c r="I199" t="n">
        <v>0</v>
      </c>
      <c r="J199" t="n">
        <v>0</v>
      </c>
      <c r="K199" t="n">
        <v>0</v>
      </c>
      <c r="L199" t="n">
        <v>0</v>
      </c>
      <c r="M199" t="n">
        <v>0</v>
      </c>
      <c r="N199" t="n">
        <v>0</v>
      </c>
      <c r="O199" t="n">
        <v>0</v>
      </c>
      <c r="P199" t="n">
        <v>0</v>
      </c>
      <c r="Q199" t="n">
        <v>0</v>
      </c>
      <c r="R199" s="2" t="inlineStr"/>
    </row>
    <row r="200" ht="15" customHeight="1">
      <c r="A200" t="inlineStr">
        <is>
          <t>A 13198-2025</t>
        </is>
      </c>
      <c r="B200" s="1" t="n">
        <v>45735</v>
      </c>
      <c r="C200" s="1" t="n">
        <v>46188</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48771-2024</t>
        </is>
      </c>
      <c r="B201" s="1" t="n">
        <v>45593.61284722222</v>
      </c>
      <c r="C201" s="1" t="n">
        <v>46188</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49137-2025</t>
        </is>
      </c>
      <c r="B202" s="1" t="n">
        <v>45938.05672453704</v>
      </c>
      <c r="C202" s="1" t="n">
        <v>46188</v>
      </c>
      <c r="D202" t="inlineStr">
        <is>
          <t>SKÅNE LÄN</t>
        </is>
      </c>
      <c r="E202" t="inlineStr">
        <is>
          <t>HÄSSLEHOLM</t>
        </is>
      </c>
      <c r="G202" t="n">
        <v>1.8</v>
      </c>
      <c r="H202" t="n">
        <v>0</v>
      </c>
      <c r="I202" t="n">
        <v>0</v>
      </c>
      <c r="J202" t="n">
        <v>0</v>
      </c>
      <c r="K202" t="n">
        <v>0</v>
      </c>
      <c r="L202" t="n">
        <v>0</v>
      </c>
      <c r="M202" t="n">
        <v>0</v>
      </c>
      <c r="N202" t="n">
        <v>0</v>
      </c>
      <c r="O202" t="n">
        <v>0</v>
      </c>
      <c r="P202" t="n">
        <v>0</v>
      </c>
      <c r="Q202" t="n">
        <v>0</v>
      </c>
      <c r="R202" s="2" t="inlineStr"/>
    </row>
    <row r="203" ht="15" customHeight="1">
      <c r="A203" t="inlineStr">
        <is>
          <t>A 12344-2023</t>
        </is>
      </c>
      <c r="B203" s="1" t="n">
        <v>44999</v>
      </c>
      <c r="C203" s="1" t="n">
        <v>46188</v>
      </c>
      <c r="D203" t="inlineStr">
        <is>
          <t>SKÅNE LÄN</t>
        </is>
      </c>
      <c r="E203" t="inlineStr">
        <is>
          <t>HÄSSLEHOLM</t>
        </is>
      </c>
      <c r="G203" t="n">
        <v>2.4</v>
      </c>
      <c r="H203" t="n">
        <v>0</v>
      </c>
      <c r="I203" t="n">
        <v>0</v>
      </c>
      <c r="J203" t="n">
        <v>0</v>
      </c>
      <c r="K203" t="n">
        <v>0</v>
      </c>
      <c r="L203" t="n">
        <v>0</v>
      </c>
      <c r="M203" t="n">
        <v>0</v>
      </c>
      <c r="N203" t="n">
        <v>0</v>
      </c>
      <c r="O203" t="n">
        <v>0</v>
      </c>
      <c r="P203" t="n">
        <v>0</v>
      </c>
      <c r="Q203" t="n">
        <v>0</v>
      </c>
      <c r="R203" s="2" t="inlineStr"/>
    </row>
    <row r="204" ht="15" customHeight="1">
      <c r="A204" t="inlineStr">
        <is>
          <t>A 50616-2023</t>
        </is>
      </c>
      <c r="B204" s="1" t="n">
        <v>45210</v>
      </c>
      <c r="C204" s="1" t="n">
        <v>46188</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61197-2024</t>
        </is>
      </c>
      <c r="B205" s="1" t="n">
        <v>45645.63184027778</v>
      </c>
      <c r="C205" s="1" t="n">
        <v>46188</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6165-2023</t>
        </is>
      </c>
      <c r="B206" s="1" t="n">
        <v>44964.67114583333</v>
      </c>
      <c r="C206" s="1" t="n">
        <v>46188</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33938-2023</t>
        </is>
      </c>
      <c r="B207" s="1" t="n">
        <v>45124</v>
      </c>
      <c r="C207" s="1" t="n">
        <v>46188</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26403-2024</t>
        </is>
      </c>
      <c r="B208" s="1" t="n">
        <v>45469.44505787037</v>
      </c>
      <c r="C208" s="1" t="n">
        <v>46188</v>
      </c>
      <c r="D208" t="inlineStr">
        <is>
          <t>SKÅNE LÄN</t>
        </is>
      </c>
      <c r="E208" t="inlineStr">
        <is>
          <t>HÄSSLEHOLM</t>
        </is>
      </c>
      <c r="G208" t="n">
        <v>2.6</v>
      </c>
      <c r="H208" t="n">
        <v>0</v>
      </c>
      <c r="I208" t="n">
        <v>0</v>
      </c>
      <c r="J208" t="n">
        <v>0</v>
      </c>
      <c r="K208" t="n">
        <v>0</v>
      </c>
      <c r="L208" t="n">
        <v>0</v>
      </c>
      <c r="M208" t="n">
        <v>0</v>
      </c>
      <c r="N208" t="n">
        <v>0</v>
      </c>
      <c r="O208" t="n">
        <v>0</v>
      </c>
      <c r="P208" t="n">
        <v>0</v>
      </c>
      <c r="Q208" t="n">
        <v>0</v>
      </c>
      <c r="R208" s="2" t="inlineStr"/>
    </row>
    <row r="209" ht="15" customHeight="1">
      <c r="A209" t="inlineStr">
        <is>
          <t>A 26403-2024</t>
        </is>
      </c>
      <c r="B209" s="1" t="n">
        <v>45469.44505787037</v>
      </c>
      <c r="C209" s="1" t="n">
        <v>46188</v>
      </c>
      <c r="D209" t="inlineStr">
        <is>
          <t>SKÅNE LÄN</t>
        </is>
      </c>
      <c r="E209" t="inlineStr">
        <is>
          <t>HÄSSLEHOLM</t>
        </is>
      </c>
      <c r="G209" t="n">
        <v>2.6</v>
      </c>
      <c r="H209" t="n">
        <v>0</v>
      </c>
      <c r="I209" t="n">
        <v>0</v>
      </c>
      <c r="J209" t="n">
        <v>0</v>
      </c>
      <c r="K209" t="n">
        <v>0</v>
      </c>
      <c r="L209" t="n">
        <v>0</v>
      </c>
      <c r="M209" t="n">
        <v>0</v>
      </c>
      <c r="N209" t="n">
        <v>0</v>
      </c>
      <c r="O209" t="n">
        <v>0</v>
      </c>
      <c r="P209" t="n">
        <v>0</v>
      </c>
      <c r="Q209" t="n">
        <v>0</v>
      </c>
      <c r="R209" s="2" t="inlineStr"/>
    </row>
    <row r="210" ht="15" customHeight="1">
      <c r="A210" t="inlineStr">
        <is>
          <t>A 677-2024</t>
        </is>
      </c>
      <c r="B210" s="1" t="n">
        <v>45300</v>
      </c>
      <c r="C210" s="1" t="n">
        <v>46188</v>
      </c>
      <c r="D210" t="inlineStr">
        <is>
          <t>SKÅNE LÄN</t>
        </is>
      </c>
      <c r="E210" t="inlineStr">
        <is>
          <t>HÄSSLEHOLM</t>
        </is>
      </c>
      <c r="G210" t="n">
        <v>6.8</v>
      </c>
      <c r="H210" t="n">
        <v>0</v>
      </c>
      <c r="I210" t="n">
        <v>0</v>
      </c>
      <c r="J210" t="n">
        <v>0</v>
      </c>
      <c r="K210" t="n">
        <v>0</v>
      </c>
      <c r="L210" t="n">
        <v>0</v>
      </c>
      <c r="M210" t="n">
        <v>0</v>
      </c>
      <c r="N210" t="n">
        <v>0</v>
      </c>
      <c r="O210" t="n">
        <v>0</v>
      </c>
      <c r="P210" t="n">
        <v>0</v>
      </c>
      <c r="Q210" t="n">
        <v>0</v>
      </c>
      <c r="R210" s="2" t="inlineStr"/>
    </row>
    <row r="211" ht="15" customHeight="1">
      <c r="A211" t="inlineStr">
        <is>
          <t>A 49107-2023</t>
        </is>
      </c>
      <c r="B211" s="1" t="n">
        <v>45210.44337962963</v>
      </c>
      <c r="C211" s="1" t="n">
        <v>46188</v>
      </c>
      <c r="D211" t="inlineStr">
        <is>
          <t>SKÅNE LÄN</t>
        </is>
      </c>
      <c r="E211" t="inlineStr">
        <is>
          <t>HÄSSLEHOLM</t>
        </is>
      </c>
      <c r="G211" t="n">
        <v>0.3</v>
      </c>
      <c r="H211" t="n">
        <v>0</v>
      </c>
      <c r="I211" t="n">
        <v>0</v>
      </c>
      <c r="J211" t="n">
        <v>0</v>
      </c>
      <c r="K211" t="n">
        <v>0</v>
      </c>
      <c r="L211" t="n">
        <v>0</v>
      </c>
      <c r="M211" t="n">
        <v>0</v>
      </c>
      <c r="N211" t="n">
        <v>0</v>
      </c>
      <c r="O211" t="n">
        <v>0</v>
      </c>
      <c r="P211" t="n">
        <v>0</v>
      </c>
      <c r="Q211" t="n">
        <v>0</v>
      </c>
      <c r="R211" s="2" t="inlineStr"/>
    </row>
    <row r="212" ht="15" customHeight="1">
      <c r="A212" t="inlineStr">
        <is>
          <t>A 16860-2025</t>
        </is>
      </c>
      <c r="B212" s="1" t="n">
        <v>45751</v>
      </c>
      <c r="C212" s="1" t="n">
        <v>46188</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49845-2025</t>
        </is>
      </c>
      <c r="B213" s="1" t="n">
        <v>45940.48015046296</v>
      </c>
      <c r="C213" s="1" t="n">
        <v>46188</v>
      </c>
      <c r="D213" t="inlineStr">
        <is>
          <t>SKÅNE LÄN</t>
        </is>
      </c>
      <c r="E213" t="inlineStr">
        <is>
          <t>HÄSSLEHOLM</t>
        </is>
      </c>
      <c r="G213" t="n">
        <v>1.1</v>
      </c>
      <c r="H213" t="n">
        <v>0</v>
      </c>
      <c r="I213" t="n">
        <v>0</v>
      </c>
      <c r="J213" t="n">
        <v>0</v>
      </c>
      <c r="K213" t="n">
        <v>0</v>
      </c>
      <c r="L213" t="n">
        <v>0</v>
      </c>
      <c r="M213" t="n">
        <v>0</v>
      </c>
      <c r="N213" t="n">
        <v>0</v>
      </c>
      <c r="O213" t="n">
        <v>0</v>
      </c>
      <c r="P213" t="n">
        <v>0</v>
      </c>
      <c r="Q213" t="n">
        <v>0</v>
      </c>
      <c r="R213" s="2" t="inlineStr"/>
    </row>
    <row r="214" ht="15" customHeight="1">
      <c r="A214" t="inlineStr">
        <is>
          <t>A 1886-2025</t>
        </is>
      </c>
      <c r="B214" s="1" t="n">
        <v>45671</v>
      </c>
      <c r="C214" s="1" t="n">
        <v>46188</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15536-2025</t>
        </is>
      </c>
      <c r="B215" s="1" t="n">
        <v>45747</v>
      </c>
      <c r="C215" s="1" t="n">
        <v>46188</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24904-2025</t>
        </is>
      </c>
      <c r="B216" s="1" t="n">
        <v>45799</v>
      </c>
      <c r="C216" s="1" t="n">
        <v>46188</v>
      </c>
      <c r="D216" t="inlineStr">
        <is>
          <t>SKÅNE LÄN</t>
        </is>
      </c>
      <c r="E216" t="inlineStr">
        <is>
          <t>HÄSSLEHOLM</t>
        </is>
      </c>
      <c r="G216" t="n">
        <v>2.2</v>
      </c>
      <c r="H216" t="n">
        <v>0</v>
      </c>
      <c r="I216" t="n">
        <v>0</v>
      </c>
      <c r="J216" t="n">
        <v>0</v>
      </c>
      <c r="K216" t="n">
        <v>0</v>
      </c>
      <c r="L216" t="n">
        <v>0</v>
      </c>
      <c r="M216" t="n">
        <v>0</v>
      </c>
      <c r="N216" t="n">
        <v>0</v>
      </c>
      <c r="O216" t="n">
        <v>0</v>
      </c>
      <c r="P216" t="n">
        <v>0</v>
      </c>
      <c r="Q216" t="n">
        <v>0</v>
      </c>
      <c r="R216" s="2" t="inlineStr"/>
    </row>
    <row r="217" ht="15" customHeight="1">
      <c r="A217" t="inlineStr">
        <is>
          <t>A 65235-2021</t>
        </is>
      </c>
      <c r="B217" s="1" t="n">
        <v>44515</v>
      </c>
      <c r="C217" s="1" t="n">
        <v>46188</v>
      </c>
      <c r="D217" t="inlineStr">
        <is>
          <t>SKÅNE LÄN</t>
        </is>
      </c>
      <c r="E217" t="inlineStr">
        <is>
          <t>HÄSSLEHOLM</t>
        </is>
      </c>
      <c r="G217" t="n">
        <v>2.5</v>
      </c>
      <c r="H217" t="n">
        <v>0</v>
      </c>
      <c r="I217" t="n">
        <v>0</v>
      </c>
      <c r="J217" t="n">
        <v>0</v>
      </c>
      <c r="K217" t="n">
        <v>0</v>
      </c>
      <c r="L217" t="n">
        <v>0</v>
      </c>
      <c r="M217" t="n">
        <v>0</v>
      </c>
      <c r="N217" t="n">
        <v>0</v>
      </c>
      <c r="O217" t="n">
        <v>0</v>
      </c>
      <c r="P217" t="n">
        <v>0</v>
      </c>
      <c r="Q217" t="n">
        <v>0</v>
      </c>
      <c r="R217" s="2" t="inlineStr"/>
    </row>
    <row r="218" ht="15" customHeight="1">
      <c r="A218" t="inlineStr">
        <is>
          <t>A 51245-2023</t>
        </is>
      </c>
      <c r="B218" s="1" t="n">
        <v>45212</v>
      </c>
      <c r="C218" s="1" t="n">
        <v>46188</v>
      </c>
      <c r="D218" t="inlineStr">
        <is>
          <t>SKÅNE LÄN</t>
        </is>
      </c>
      <c r="E218" t="inlineStr">
        <is>
          <t>HÄSSLEHOLM</t>
        </is>
      </c>
      <c r="G218" t="n">
        <v>2.1</v>
      </c>
      <c r="H218" t="n">
        <v>0</v>
      </c>
      <c r="I218" t="n">
        <v>0</v>
      </c>
      <c r="J218" t="n">
        <v>0</v>
      </c>
      <c r="K218" t="n">
        <v>0</v>
      </c>
      <c r="L218" t="n">
        <v>0</v>
      </c>
      <c r="M218" t="n">
        <v>0</v>
      </c>
      <c r="N218" t="n">
        <v>0</v>
      </c>
      <c r="O218" t="n">
        <v>0</v>
      </c>
      <c r="P218" t="n">
        <v>0</v>
      </c>
      <c r="Q218" t="n">
        <v>0</v>
      </c>
      <c r="R218" s="2" t="inlineStr"/>
    </row>
    <row r="219" ht="15" customHeight="1">
      <c r="A219" t="inlineStr">
        <is>
          <t>A 31934-2024</t>
        </is>
      </c>
      <c r="B219" s="1" t="n">
        <v>45510.41177083334</v>
      </c>
      <c r="C219" s="1" t="n">
        <v>46188</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21206-2025</t>
        </is>
      </c>
      <c r="B220" s="1" t="n">
        <v>45779.48318287037</v>
      </c>
      <c r="C220" s="1" t="n">
        <v>46188</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49824-2024</t>
        </is>
      </c>
      <c r="B221" s="1" t="n">
        <v>45597</v>
      </c>
      <c r="C221" s="1" t="n">
        <v>46188</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50678-2025</t>
        </is>
      </c>
      <c r="B222" s="1" t="n">
        <v>45945</v>
      </c>
      <c r="C222" s="1" t="n">
        <v>46188</v>
      </c>
      <c r="D222" t="inlineStr">
        <is>
          <t>SKÅNE LÄN</t>
        </is>
      </c>
      <c r="E222" t="inlineStr">
        <is>
          <t>HÄSSLEHOLM</t>
        </is>
      </c>
      <c r="G222" t="n">
        <v>1.2</v>
      </c>
      <c r="H222" t="n">
        <v>0</v>
      </c>
      <c r="I222" t="n">
        <v>0</v>
      </c>
      <c r="J222" t="n">
        <v>0</v>
      </c>
      <c r="K222" t="n">
        <v>0</v>
      </c>
      <c r="L222" t="n">
        <v>0</v>
      </c>
      <c r="M222" t="n">
        <v>0</v>
      </c>
      <c r="N222" t="n">
        <v>0</v>
      </c>
      <c r="O222" t="n">
        <v>0</v>
      </c>
      <c r="P222" t="n">
        <v>0</v>
      </c>
      <c r="Q222" t="n">
        <v>0</v>
      </c>
      <c r="R222" s="2" t="inlineStr"/>
    </row>
    <row r="223" ht="15" customHeight="1">
      <c r="A223" t="inlineStr">
        <is>
          <t>A 50834-2025</t>
        </is>
      </c>
      <c r="B223" s="1" t="n">
        <v>45946.55746527778</v>
      </c>
      <c r="C223" s="1" t="n">
        <v>46188</v>
      </c>
      <c r="D223" t="inlineStr">
        <is>
          <t>SKÅNE LÄN</t>
        </is>
      </c>
      <c r="E223" t="inlineStr">
        <is>
          <t>HÄSSLEHOLM</t>
        </is>
      </c>
      <c r="G223" t="n">
        <v>0.7</v>
      </c>
      <c r="H223" t="n">
        <v>0</v>
      </c>
      <c r="I223" t="n">
        <v>0</v>
      </c>
      <c r="J223" t="n">
        <v>0</v>
      </c>
      <c r="K223" t="n">
        <v>0</v>
      </c>
      <c r="L223" t="n">
        <v>0</v>
      </c>
      <c r="M223" t="n">
        <v>0</v>
      </c>
      <c r="N223" t="n">
        <v>0</v>
      </c>
      <c r="O223" t="n">
        <v>0</v>
      </c>
      <c r="P223" t="n">
        <v>0</v>
      </c>
      <c r="Q223" t="n">
        <v>0</v>
      </c>
      <c r="R223" s="2" t="inlineStr"/>
    </row>
    <row r="224" ht="15" customHeight="1">
      <c r="A224" t="inlineStr">
        <is>
          <t>A 51024-2025</t>
        </is>
      </c>
      <c r="B224" s="1" t="n">
        <v>45947.395</v>
      </c>
      <c r="C224" s="1" t="n">
        <v>46188</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59429-2023</t>
        </is>
      </c>
      <c r="B225" s="1" t="n">
        <v>45254.2875</v>
      </c>
      <c r="C225" s="1" t="n">
        <v>46188</v>
      </c>
      <c r="D225" t="inlineStr">
        <is>
          <t>SKÅNE LÄN</t>
        </is>
      </c>
      <c r="E225" t="inlineStr">
        <is>
          <t>HÄSSLEHOLM</t>
        </is>
      </c>
      <c r="G225" t="n">
        <v>0</v>
      </c>
      <c r="H225" t="n">
        <v>0</v>
      </c>
      <c r="I225" t="n">
        <v>0</v>
      </c>
      <c r="J225" t="n">
        <v>0</v>
      </c>
      <c r="K225" t="n">
        <v>0</v>
      </c>
      <c r="L225" t="n">
        <v>0</v>
      </c>
      <c r="M225" t="n">
        <v>0</v>
      </c>
      <c r="N225" t="n">
        <v>0</v>
      </c>
      <c r="O225" t="n">
        <v>0</v>
      </c>
      <c r="P225" t="n">
        <v>0</v>
      </c>
      <c r="Q225" t="n">
        <v>0</v>
      </c>
      <c r="R225" s="2" t="inlineStr"/>
    </row>
    <row r="226" ht="15" customHeight="1">
      <c r="A226" t="inlineStr">
        <is>
          <t>A 21091-2025</t>
        </is>
      </c>
      <c r="B226" s="1" t="n">
        <v>45777</v>
      </c>
      <c r="C226" s="1" t="n">
        <v>46188</v>
      </c>
      <c r="D226" t="inlineStr">
        <is>
          <t>SKÅNE LÄN</t>
        </is>
      </c>
      <c r="E226" t="inlineStr">
        <is>
          <t>HÄSSLEHOLM</t>
        </is>
      </c>
      <c r="G226" t="n">
        <v>3.4</v>
      </c>
      <c r="H226" t="n">
        <v>0</v>
      </c>
      <c r="I226" t="n">
        <v>0</v>
      </c>
      <c r="J226" t="n">
        <v>0</v>
      </c>
      <c r="K226" t="n">
        <v>0</v>
      </c>
      <c r="L226" t="n">
        <v>0</v>
      </c>
      <c r="M226" t="n">
        <v>0</v>
      </c>
      <c r="N226" t="n">
        <v>0</v>
      </c>
      <c r="O226" t="n">
        <v>0</v>
      </c>
      <c r="P226" t="n">
        <v>0</v>
      </c>
      <c r="Q226" t="n">
        <v>0</v>
      </c>
      <c r="R226" s="2" t="inlineStr"/>
    </row>
    <row r="227" ht="15" customHeight="1">
      <c r="A227" t="inlineStr">
        <is>
          <t>A 317-2025</t>
        </is>
      </c>
      <c r="B227" s="1" t="n">
        <v>45660</v>
      </c>
      <c r="C227" s="1" t="n">
        <v>46188</v>
      </c>
      <c r="D227" t="inlineStr">
        <is>
          <t>SKÅNE LÄN</t>
        </is>
      </c>
      <c r="E227" t="inlineStr">
        <is>
          <t>HÄSSLEHOLM</t>
        </is>
      </c>
      <c r="G227" t="n">
        <v>1.6</v>
      </c>
      <c r="H227" t="n">
        <v>0</v>
      </c>
      <c r="I227" t="n">
        <v>0</v>
      </c>
      <c r="J227" t="n">
        <v>0</v>
      </c>
      <c r="K227" t="n">
        <v>0</v>
      </c>
      <c r="L227" t="n">
        <v>0</v>
      </c>
      <c r="M227" t="n">
        <v>0</v>
      </c>
      <c r="N227" t="n">
        <v>0</v>
      </c>
      <c r="O227" t="n">
        <v>0</v>
      </c>
      <c r="P227" t="n">
        <v>0</v>
      </c>
      <c r="Q227" t="n">
        <v>0</v>
      </c>
      <c r="R227" s="2" t="inlineStr"/>
    </row>
    <row r="228" ht="15" customHeight="1">
      <c r="A228" t="inlineStr">
        <is>
          <t>A 51097-2025</t>
        </is>
      </c>
      <c r="B228" s="1" t="n">
        <v>45947.48018518519</v>
      </c>
      <c r="C228" s="1" t="n">
        <v>46188</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60959-2022</t>
        </is>
      </c>
      <c r="B229" s="1" t="n">
        <v>44914.64777777778</v>
      </c>
      <c r="C229" s="1" t="n">
        <v>46188</v>
      </c>
      <c r="D229" t="inlineStr">
        <is>
          <t>SKÅNE LÄN</t>
        </is>
      </c>
      <c r="E229" t="inlineStr">
        <is>
          <t>HÄSSLEHOLM</t>
        </is>
      </c>
      <c r="G229" t="n">
        <v>0.9</v>
      </c>
      <c r="H229" t="n">
        <v>0</v>
      </c>
      <c r="I229" t="n">
        <v>0</v>
      </c>
      <c r="J229" t="n">
        <v>0</v>
      </c>
      <c r="K229" t="n">
        <v>0</v>
      </c>
      <c r="L229" t="n">
        <v>0</v>
      </c>
      <c r="M229" t="n">
        <v>0</v>
      </c>
      <c r="N229" t="n">
        <v>0</v>
      </c>
      <c r="O229" t="n">
        <v>0</v>
      </c>
      <c r="P229" t="n">
        <v>0</v>
      </c>
      <c r="Q229" t="n">
        <v>0</v>
      </c>
      <c r="R229" s="2" t="inlineStr"/>
    </row>
    <row r="230" ht="15" customHeight="1">
      <c r="A230" t="inlineStr">
        <is>
          <t>A 51640-2025</t>
        </is>
      </c>
      <c r="B230" s="1" t="n">
        <v>45951.44361111111</v>
      </c>
      <c r="C230" s="1" t="n">
        <v>46188</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42906-2022</t>
        </is>
      </c>
      <c r="B231" s="1" t="n">
        <v>44833</v>
      </c>
      <c r="C231" s="1" t="n">
        <v>46188</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31931-2024</t>
        </is>
      </c>
      <c r="B232" s="1" t="n">
        <v>45510.40878472223</v>
      </c>
      <c r="C232" s="1" t="n">
        <v>46188</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15133-2023</t>
        </is>
      </c>
      <c r="B233" s="1" t="n">
        <v>45016</v>
      </c>
      <c r="C233" s="1" t="n">
        <v>46188</v>
      </c>
      <c r="D233" t="inlineStr">
        <is>
          <t>SKÅNE LÄN</t>
        </is>
      </c>
      <c r="E233" t="inlineStr">
        <is>
          <t>HÄSSLEHOLM</t>
        </is>
      </c>
      <c r="G233" t="n">
        <v>7.8</v>
      </c>
      <c r="H233" t="n">
        <v>0</v>
      </c>
      <c r="I233" t="n">
        <v>0</v>
      </c>
      <c r="J233" t="n">
        <v>0</v>
      </c>
      <c r="K233" t="n">
        <v>0</v>
      </c>
      <c r="L233" t="n">
        <v>0</v>
      </c>
      <c r="M233" t="n">
        <v>0</v>
      </c>
      <c r="N233" t="n">
        <v>0</v>
      </c>
      <c r="O233" t="n">
        <v>0</v>
      </c>
      <c r="P233" t="n">
        <v>0</v>
      </c>
      <c r="Q233" t="n">
        <v>0</v>
      </c>
      <c r="R233" s="2" t="inlineStr"/>
    </row>
    <row r="234" ht="15" customHeight="1">
      <c r="A234" t="inlineStr">
        <is>
          <t>A 34883-2023</t>
        </is>
      </c>
      <c r="B234" s="1" t="n">
        <v>45142.37902777778</v>
      </c>
      <c r="C234" s="1" t="n">
        <v>46188</v>
      </c>
      <c r="D234" t="inlineStr">
        <is>
          <t>SKÅNE LÄN</t>
        </is>
      </c>
      <c r="E234" t="inlineStr">
        <is>
          <t>HÄSSLEHOLM</t>
        </is>
      </c>
      <c r="G234" t="n">
        <v>2.5</v>
      </c>
      <c r="H234" t="n">
        <v>0</v>
      </c>
      <c r="I234" t="n">
        <v>0</v>
      </c>
      <c r="J234" t="n">
        <v>0</v>
      </c>
      <c r="K234" t="n">
        <v>0</v>
      </c>
      <c r="L234" t="n">
        <v>0</v>
      </c>
      <c r="M234" t="n">
        <v>0</v>
      </c>
      <c r="N234" t="n">
        <v>0</v>
      </c>
      <c r="O234" t="n">
        <v>0</v>
      </c>
      <c r="P234" t="n">
        <v>0</v>
      </c>
      <c r="Q234" t="n">
        <v>0</v>
      </c>
      <c r="R234" s="2" t="inlineStr"/>
    </row>
    <row r="235" ht="15" customHeight="1">
      <c r="A235" t="inlineStr">
        <is>
          <t>A 1560-2023</t>
        </is>
      </c>
      <c r="B235" s="1" t="n">
        <v>44937</v>
      </c>
      <c r="C235" s="1" t="n">
        <v>46188</v>
      </c>
      <c r="D235" t="inlineStr">
        <is>
          <t>SKÅNE LÄN</t>
        </is>
      </c>
      <c r="E235" t="inlineStr">
        <is>
          <t>HÄSSLEHOLM</t>
        </is>
      </c>
      <c r="G235" t="n">
        <v>6.8</v>
      </c>
      <c r="H235" t="n">
        <v>0</v>
      </c>
      <c r="I235" t="n">
        <v>0</v>
      </c>
      <c r="J235" t="n">
        <v>0</v>
      </c>
      <c r="K235" t="n">
        <v>0</v>
      </c>
      <c r="L235" t="n">
        <v>0</v>
      </c>
      <c r="M235" t="n">
        <v>0</v>
      </c>
      <c r="N235" t="n">
        <v>0</v>
      </c>
      <c r="O235" t="n">
        <v>0</v>
      </c>
      <c r="P235" t="n">
        <v>0</v>
      </c>
      <c r="Q235" t="n">
        <v>0</v>
      </c>
      <c r="R235" s="2" t="inlineStr"/>
    </row>
    <row r="236" ht="15" customHeight="1">
      <c r="A236" t="inlineStr">
        <is>
          <t>A 20187-2023</t>
        </is>
      </c>
      <c r="B236" s="1" t="n">
        <v>45055.57027777778</v>
      </c>
      <c r="C236" s="1" t="n">
        <v>46188</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58618-2024</t>
        </is>
      </c>
      <c r="B237" s="1" t="n">
        <v>45635.56150462963</v>
      </c>
      <c r="C237" s="1" t="n">
        <v>46188</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39366-2025</t>
        </is>
      </c>
      <c r="B238" s="1" t="n">
        <v>45889</v>
      </c>
      <c r="C238" s="1" t="n">
        <v>46188</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16121-2025</t>
        </is>
      </c>
      <c r="B239" s="1" t="n">
        <v>45750.40384259259</v>
      </c>
      <c r="C239" s="1" t="n">
        <v>46188</v>
      </c>
      <c r="D239" t="inlineStr">
        <is>
          <t>SKÅNE LÄN</t>
        </is>
      </c>
      <c r="E239" t="inlineStr">
        <is>
          <t>HÄSSLEHOLM</t>
        </is>
      </c>
      <c r="G239" t="n">
        <v>1.6</v>
      </c>
      <c r="H239" t="n">
        <v>0</v>
      </c>
      <c r="I239" t="n">
        <v>0</v>
      </c>
      <c r="J239" t="n">
        <v>0</v>
      </c>
      <c r="K239" t="n">
        <v>0</v>
      </c>
      <c r="L239" t="n">
        <v>0</v>
      </c>
      <c r="M239" t="n">
        <v>0</v>
      </c>
      <c r="N239" t="n">
        <v>0</v>
      </c>
      <c r="O239" t="n">
        <v>0</v>
      </c>
      <c r="P239" t="n">
        <v>0</v>
      </c>
      <c r="Q239" t="n">
        <v>0</v>
      </c>
      <c r="R239" s="2" t="inlineStr"/>
    </row>
    <row r="240" ht="15" customHeight="1">
      <c r="A240" t="inlineStr">
        <is>
          <t>A 11266-2025</t>
        </is>
      </c>
      <c r="B240" s="1" t="n">
        <v>45726</v>
      </c>
      <c r="C240" s="1" t="n">
        <v>46188</v>
      </c>
      <c r="D240" t="inlineStr">
        <is>
          <t>SKÅNE LÄN</t>
        </is>
      </c>
      <c r="E240" t="inlineStr">
        <is>
          <t>HÄSSLEHOLM</t>
        </is>
      </c>
      <c r="G240" t="n">
        <v>0.3</v>
      </c>
      <c r="H240" t="n">
        <v>0</v>
      </c>
      <c r="I240" t="n">
        <v>0</v>
      </c>
      <c r="J240" t="n">
        <v>0</v>
      </c>
      <c r="K240" t="n">
        <v>0</v>
      </c>
      <c r="L240" t="n">
        <v>0</v>
      </c>
      <c r="M240" t="n">
        <v>0</v>
      </c>
      <c r="N240" t="n">
        <v>0</v>
      </c>
      <c r="O240" t="n">
        <v>0</v>
      </c>
      <c r="P240" t="n">
        <v>0</v>
      </c>
      <c r="Q240" t="n">
        <v>0</v>
      </c>
      <c r="R240" s="2" t="inlineStr"/>
    </row>
    <row r="241" ht="15" customHeight="1">
      <c r="A241" t="inlineStr">
        <is>
          <t>A 24776-2025</t>
        </is>
      </c>
      <c r="B241" s="1" t="n">
        <v>45799.40640046296</v>
      </c>
      <c r="C241" s="1" t="n">
        <v>46188</v>
      </c>
      <c r="D241" t="inlineStr">
        <is>
          <t>SKÅNE LÄN</t>
        </is>
      </c>
      <c r="E241" t="inlineStr">
        <is>
          <t>HÄSSLEHOLM</t>
        </is>
      </c>
      <c r="G241" t="n">
        <v>5.4</v>
      </c>
      <c r="H241" t="n">
        <v>0</v>
      </c>
      <c r="I241" t="n">
        <v>0</v>
      </c>
      <c r="J241" t="n">
        <v>0</v>
      </c>
      <c r="K241" t="n">
        <v>0</v>
      </c>
      <c r="L241" t="n">
        <v>0</v>
      </c>
      <c r="M241" t="n">
        <v>0</v>
      </c>
      <c r="N241" t="n">
        <v>0</v>
      </c>
      <c r="O241" t="n">
        <v>0</v>
      </c>
      <c r="P241" t="n">
        <v>0</v>
      </c>
      <c r="Q241" t="n">
        <v>0</v>
      </c>
      <c r="R241" s="2" t="inlineStr"/>
    </row>
    <row r="242" ht="15" customHeight="1">
      <c r="A242" t="inlineStr">
        <is>
          <t>A 39453-2025</t>
        </is>
      </c>
      <c r="B242" s="1" t="n">
        <v>45889</v>
      </c>
      <c r="C242" s="1" t="n">
        <v>46188</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32794-2021</t>
        </is>
      </c>
      <c r="B243" s="1" t="n">
        <v>44375</v>
      </c>
      <c r="C243" s="1" t="n">
        <v>46188</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39937-2025</t>
        </is>
      </c>
      <c r="B244" s="1" t="n">
        <v>45891.73162037037</v>
      </c>
      <c r="C244" s="1" t="n">
        <v>46188</v>
      </c>
      <c r="D244" t="inlineStr">
        <is>
          <t>SKÅNE LÄN</t>
        </is>
      </c>
      <c r="E244" t="inlineStr">
        <is>
          <t>HÄSSLEHOLM</t>
        </is>
      </c>
      <c r="G244" t="n">
        <v>4.5</v>
      </c>
      <c r="H244" t="n">
        <v>0</v>
      </c>
      <c r="I244" t="n">
        <v>0</v>
      </c>
      <c r="J244" t="n">
        <v>0</v>
      </c>
      <c r="K244" t="n">
        <v>0</v>
      </c>
      <c r="L244" t="n">
        <v>0</v>
      </c>
      <c r="M244" t="n">
        <v>0</v>
      </c>
      <c r="N244" t="n">
        <v>0</v>
      </c>
      <c r="O244" t="n">
        <v>0</v>
      </c>
      <c r="P244" t="n">
        <v>0</v>
      </c>
      <c r="Q244" t="n">
        <v>0</v>
      </c>
      <c r="R244" s="2" t="inlineStr"/>
    </row>
    <row r="245" ht="15" customHeight="1">
      <c r="A245" t="inlineStr">
        <is>
          <t>A 12843-2023</t>
        </is>
      </c>
      <c r="B245" s="1" t="n">
        <v>45001.48423611111</v>
      </c>
      <c r="C245" s="1" t="n">
        <v>46188</v>
      </c>
      <c r="D245" t="inlineStr">
        <is>
          <t>SKÅNE LÄN</t>
        </is>
      </c>
      <c r="E245" t="inlineStr">
        <is>
          <t>HÄSSLEHOLM</t>
        </is>
      </c>
      <c r="G245" t="n">
        <v>3.9</v>
      </c>
      <c r="H245" t="n">
        <v>0</v>
      </c>
      <c r="I245" t="n">
        <v>0</v>
      </c>
      <c r="J245" t="n">
        <v>0</v>
      </c>
      <c r="K245" t="n">
        <v>0</v>
      </c>
      <c r="L245" t="n">
        <v>0</v>
      </c>
      <c r="M245" t="n">
        <v>0</v>
      </c>
      <c r="N245" t="n">
        <v>0</v>
      </c>
      <c r="O245" t="n">
        <v>0</v>
      </c>
      <c r="P245" t="n">
        <v>0</v>
      </c>
      <c r="Q245" t="n">
        <v>0</v>
      </c>
      <c r="R245" s="2" t="inlineStr"/>
    </row>
    <row r="246" ht="15" customHeight="1">
      <c r="A246" t="inlineStr">
        <is>
          <t>A 53424-2025</t>
        </is>
      </c>
      <c r="B246" s="1" t="n">
        <v>45959</v>
      </c>
      <c r="C246" s="1" t="n">
        <v>46188</v>
      </c>
      <c r="D246" t="inlineStr">
        <is>
          <t>SKÅNE LÄN</t>
        </is>
      </c>
      <c r="E246" t="inlineStr">
        <is>
          <t>HÄSSLEHOLM</t>
        </is>
      </c>
      <c r="G246" t="n">
        <v>3.4</v>
      </c>
      <c r="H246" t="n">
        <v>0</v>
      </c>
      <c r="I246" t="n">
        <v>0</v>
      </c>
      <c r="J246" t="n">
        <v>0</v>
      </c>
      <c r="K246" t="n">
        <v>0</v>
      </c>
      <c r="L246" t="n">
        <v>0</v>
      </c>
      <c r="M246" t="n">
        <v>0</v>
      </c>
      <c r="N246" t="n">
        <v>0</v>
      </c>
      <c r="O246" t="n">
        <v>0</v>
      </c>
      <c r="P246" t="n">
        <v>0</v>
      </c>
      <c r="Q246" t="n">
        <v>0</v>
      </c>
      <c r="R246" s="2" t="inlineStr"/>
    </row>
    <row r="247" ht="15" customHeight="1">
      <c r="A247" t="inlineStr">
        <is>
          <t>A 53018-2025</t>
        </is>
      </c>
      <c r="B247" s="1" t="n">
        <v>45957.90064814815</v>
      </c>
      <c r="C247" s="1" t="n">
        <v>46188</v>
      </c>
      <c r="D247" t="inlineStr">
        <is>
          <t>SKÅNE LÄN</t>
        </is>
      </c>
      <c r="E247" t="inlineStr">
        <is>
          <t>HÄSSLEHOLM</t>
        </is>
      </c>
      <c r="G247" t="n">
        <v>2.2</v>
      </c>
      <c r="H247" t="n">
        <v>0</v>
      </c>
      <c r="I247" t="n">
        <v>0</v>
      </c>
      <c r="J247" t="n">
        <v>0</v>
      </c>
      <c r="K247" t="n">
        <v>0</v>
      </c>
      <c r="L247" t="n">
        <v>0</v>
      </c>
      <c r="M247" t="n">
        <v>0</v>
      </c>
      <c r="N247" t="n">
        <v>0</v>
      </c>
      <c r="O247" t="n">
        <v>0</v>
      </c>
      <c r="P247" t="n">
        <v>0</v>
      </c>
      <c r="Q247" t="n">
        <v>0</v>
      </c>
      <c r="R247" s="2" t="inlineStr"/>
    </row>
    <row r="248" ht="15" customHeight="1">
      <c r="A248" t="inlineStr">
        <is>
          <t>A 53056-2025</t>
        </is>
      </c>
      <c r="B248" s="1" t="n">
        <v>45958.36518518518</v>
      </c>
      <c r="C248" s="1" t="n">
        <v>46188</v>
      </c>
      <c r="D248" t="inlineStr">
        <is>
          <t>SKÅNE LÄN</t>
        </is>
      </c>
      <c r="E248" t="inlineStr">
        <is>
          <t>HÄSSLEHOLM</t>
        </is>
      </c>
      <c r="G248" t="n">
        <v>1.5</v>
      </c>
      <c r="H248" t="n">
        <v>0</v>
      </c>
      <c r="I248" t="n">
        <v>0</v>
      </c>
      <c r="J248" t="n">
        <v>0</v>
      </c>
      <c r="K248" t="n">
        <v>0</v>
      </c>
      <c r="L248" t="n">
        <v>0</v>
      </c>
      <c r="M248" t="n">
        <v>0</v>
      </c>
      <c r="N248" t="n">
        <v>0</v>
      </c>
      <c r="O248" t="n">
        <v>0</v>
      </c>
      <c r="P248" t="n">
        <v>0</v>
      </c>
      <c r="Q248" t="n">
        <v>0</v>
      </c>
      <c r="R248" s="2" t="inlineStr"/>
    </row>
    <row r="249" ht="15" customHeight="1">
      <c r="A249" t="inlineStr">
        <is>
          <t>A 2479-2024</t>
        </is>
      </c>
      <c r="B249" s="1" t="n">
        <v>45313.40148148148</v>
      </c>
      <c r="C249" s="1" t="n">
        <v>46188</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39111-2023</t>
        </is>
      </c>
      <c r="B250" s="1" t="n">
        <v>45164.87140046297</v>
      </c>
      <c r="C250" s="1" t="n">
        <v>46188</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26397-2023</t>
        </is>
      </c>
      <c r="B251" s="1" t="n">
        <v>45087</v>
      </c>
      <c r="C251" s="1" t="n">
        <v>46188</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1119-2024</t>
        </is>
      </c>
      <c r="B252" s="1" t="n">
        <v>45302</v>
      </c>
      <c r="C252" s="1" t="n">
        <v>46188</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58888-2024</t>
        </is>
      </c>
      <c r="B253" s="1" t="n">
        <v>45636.45962962963</v>
      </c>
      <c r="C253" s="1" t="n">
        <v>46188</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16334-2024</t>
        </is>
      </c>
      <c r="B254" s="1" t="n">
        <v>45407.54856481482</v>
      </c>
      <c r="C254" s="1" t="n">
        <v>46188</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3663-2024</t>
        </is>
      </c>
      <c r="B255" s="1" t="n">
        <v>45321.34775462963</v>
      </c>
      <c r="C255" s="1" t="n">
        <v>46188</v>
      </c>
      <c r="D255" t="inlineStr">
        <is>
          <t>SKÅNE LÄN</t>
        </is>
      </c>
      <c r="E255" t="inlineStr">
        <is>
          <t>HÄSSLEHOLM</t>
        </is>
      </c>
      <c r="G255" t="n">
        <v>0.4</v>
      </c>
      <c r="H255" t="n">
        <v>0</v>
      </c>
      <c r="I255" t="n">
        <v>0</v>
      </c>
      <c r="J255" t="n">
        <v>0</v>
      </c>
      <c r="K255" t="n">
        <v>0</v>
      </c>
      <c r="L255" t="n">
        <v>0</v>
      </c>
      <c r="M255" t="n">
        <v>0</v>
      </c>
      <c r="N255" t="n">
        <v>0</v>
      </c>
      <c r="O255" t="n">
        <v>0</v>
      </c>
      <c r="P255" t="n">
        <v>0</v>
      </c>
      <c r="Q255" t="n">
        <v>0</v>
      </c>
      <c r="R255" s="2" t="inlineStr"/>
    </row>
    <row r="256" ht="15" customHeight="1">
      <c r="A256" t="inlineStr">
        <is>
          <t>A 47161-2025</t>
        </is>
      </c>
      <c r="B256" s="1" t="n">
        <v>45929</v>
      </c>
      <c r="C256" s="1" t="n">
        <v>46188</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60851-2024</t>
        </is>
      </c>
      <c r="B257" s="1" t="n">
        <v>45644.66182870371</v>
      </c>
      <c r="C257" s="1" t="n">
        <v>46188</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7818-2024</t>
        </is>
      </c>
      <c r="B258" s="1" t="n">
        <v>45349.68872685185</v>
      </c>
      <c r="C258" s="1" t="n">
        <v>46188</v>
      </c>
      <c r="D258" t="inlineStr">
        <is>
          <t>SKÅNE LÄN</t>
        </is>
      </c>
      <c r="E258" t="inlineStr">
        <is>
          <t>HÄSSLEHOLM</t>
        </is>
      </c>
      <c r="G258" t="n">
        <v>2.5</v>
      </c>
      <c r="H258" t="n">
        <v>0</v>
      </c>
      <c r="I258" t="n">
        <v>0</v>
      </c>
      <c r="J258" t="n">
        <v>0</v>
      </c>
      <c r="K258" t="n">
        <v>0</v>
      </c>
      <c r="L258" t="n">
        <v>0</v>
      </c>
      <c r="M258" t="n">
        <v>0</v>
      </c>
      <c r="N258" t="n">
        <v>0</v>
      </c>
      <c r="O258" t="n">
        <v>0</v>
      </c>
      <c r="P258" t="n">
        <v>0</v>
      </c>
      <c r="Q258" t="n">
        <v>0</v>
      </c>
      <c r="R258" s="2" t="inlineStr"/>
    </row>
    <row r="259" ht="15" customHeight="1">
      <c r="A259" t="inlineStr">
        <is>
          <t>A 13149-2024</t>
        </is>
      </c>
      <c r="B259" s="1" t="n">
        <v>45386</v>
      </c>
      <c r="C259" s="1" t="n">
        <v>46188</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29845-2024</t>
        </is>
      </c>
      <c r="B260" s="1" t="n">
        <v>45485.6212037037</v>
      </c>
      <c r="C260" s="1" t="n">
        <v>46188</v>
      </c>
      <c r="D260" t="inlineStr">
        <is>
          <t>SKÅNE LÄN</t>
        </is>
      </c>
      <c r="E260" t="inlineStr">
        <is>
          <t>HÄSSLEHOLM</t>
        </is>
      </c>
      <c r="G260" t="n">
        <v>1.3</v>
      </c>
      <c r="H260" t="n">
        <v>0</v>
      </c>
      <c r="I260" t="n">
        <v>0</v>
      </c>
      <c r="J260" t="n">
        <v>0</v>
      </c>
      <c r="K260" t="n">
        <v>0</v>
      </c>
      <c r="L260" t="n">
        <v>0</v>
      </c>
      <c r="M260" t="n">
        <v>0</v>
      </c>
      <c r="N260" t="n">
        <v>0</v>
      </c>
      <c r="O260" t="n">
        <v>0</v>
      </c>
      <c r="P260" t="n">
        <v>0</v>
      </c>
      <c r="Q260" t="n">
        <v>0</v>
      </c>
      <c r="R260" s="2" t="inlineStr"/>
    </row>
    <row r="261" ht="15" customHeight="1">
      <c r="A261" t="inlineStr">
        <is>
          <t>A 1703-2025</t>
        </is>
      </c>
      <c r="B261" s="1" t="n">
        <v>45670.80732638889</v>
      </c>
      <c r="C261" s="1" t="n">
        <v>46188</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9393-2025</t>
        </is>
      </c>
      <c r="B262" s="1" t="n">
        <v>45715.36230324074</v>
      </c>
      <c r="C262" s="1" t="n">
        <v>46188</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53466-2024</t>
        </is>
      </c>
      <c r="B263" s="1" t="n">
        <v>45614.55304398148</v>
      </c>
      <c r="C263" s="1" t="n">
        <v>46188</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15897-2025</t>
        </is>
      </c>
      <c r="B264" s="1" t="n">
        <v>45749.41598379629</v>
      </c>
      <c r="C264" s="1" t="n">
        <v>46188</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61533-2024</t>
        </is>
      </c>
      <c r="B265" s="1" t="n">
        <v>45646</v>
      </c>
      <c r="C265" s="1" t="n">
        <v>46188</v>
      </c>
      <c r="D265" t="inlineStr">
        <is>
          <t>SKÅNE LÄN</t>
        </is>
      </c>
      <c r="E265" t="inlineStr">
        <is>
          <t>HÄSSLEHOLM</t>
        </is>
      </c>
      <c r="G265" t="n">
        <v>4.5</v>
      </c>
      <c r="H265" t="n">
        <v>0</v>
      </c>
      <c r="I265" t="n">
        <v>0</v>
      </c>
      <c r="J265" t="n">
        <v>0</v>
      </c>
      <c r="K265" t="n">
        <v>0</v>
      </c>
      <c r="L265" t="n">
        <v>0</v>
      </c>
      <c r="M265" t="n">
        <v>0</v>
      </c>
      <c r="N265" t="n">
        <v>0</v>
      </c>
      <c r="O265" t="n">
        <v>0</v>
      </c>
      <c r="P265" t="n">
        <v>0</v>
      </c>
      <c r="Q265" t="n">
        <v>0</v>
      </c>
      <c r="R265" s="2" t="inlineStr"/>
    </row>
    <row r="266" ht="15" customHeight="1">
      <c r="A266" t="inlineStr">
        <is>
          <t>A 54982-2024</t>
        </is>
      </c>
      <c r="B266" s="1" t="n">
        <v>45620.7580787037</v>
      </c>
      <c r="C266" s="1" t="n">
        <v>46188</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41400-2025</t>
        </is>
      </c>
      <c r="B267" s="1" t="n">
        <v>45901</v>
      </c>
      <c r="C267" s="1" t="n">
        <v>46188</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61182-2024</t>
        </is>
      </c>
      <c r="B268" s="1" t="n">
        <v>45645</v>
      </c>
      <c r="C268" s="1" t="n">
        <v>46188</v>
      </c>
      <c r="D268" t="inlineStr">
        <is>
          <t>SKÅNE LÄN</t>
        </is>
      </c>
      <c r="E268" t="inlineStr">
        <is>
          <t>HÄSSLEHOLM</t>
        </is>
      </c>
      <c r="G268" t="n">
        <v>3.2</v>
      </c>
      <c r="H268" t="n">
        <v>0</v>
      </c>
      <c r="I268" t="n">
        <v>0</v>
      </c>
      <c r="J268" t="n">
        <v>0</v>
      </c>
      <c r="K268" t="n">
        <v>0</v>
      </c>
      <c r="L268" t="n">
        <v>0</v>
      </c>
      <c r="M268" t="n">
        <v>0</v>
      </c>
      <c r="N268" t="n">
        <v>0</v>
      </c>
      <c r="O268" t="n">
        <v>0</v>
      </c>
      <c r="P268" t="n">
        <v>0</v>
      </c>
      <c r="Q268" t="n">
        <v>0</v>
      </c>
      <c r="R268" s="2" t="inlineStr"/>
    </row>
    <row r="269" ht="15" customHeight="1">
      <c r="A269" t="inlineStr">
        <is>
          <t>A 19735-2023</t>
        </is>
      </c>
      <c r="B269" s="1" t="n">
        <v>45051.52199074074</v>
      </c>
      <c r="C269" s="1" t="n">
        <v>46188</v>
      </c>
      <c r="D269" t="inlineStr">
        <is>
          <t>SKÅNE LÄN</t>
        </is>
      </c>
      <c r="E269" t="inlineStr">
        <is>
          <t>HÄSSLEHOLM</t>
        </is>
      </c>
      <c r="G269" t="n">
        <v>4</v>
      </c>
      <c r="H269" t="n">
        <v>0</v>
      </c>
      <c r="I269" t="n">
        <v>0</v>
      </c>
      <c r="J269" t="n">
        <v>0</v>
      </c>
      <c r="K269" t="n">
        <v>0</v>
      </c>
      <c r="L269" t="n">
        <v>0</v>
      </c>
      <c r="M269" t="n">
        <v>0</v>
      </c>
      <c r="N269" t="n">
        <v>0</v>
      </c>
      <c r="O269" t="n">
        <v>0</v>
      </c>
      <c r="P269" t="n">
        <v>0</v>
      </c>
      <c r="Q269" t="n">
        <v>0</v>
      </c>
      <c r="R269" s="2" t="inlineStr"/>
    </row>
    <row r="270" ht="15" customHeight="1">
      <c r="A270" t="inlineStr">
        <is>
          <t>A 41401-2025</t>
        </is>
      </c>
      <c r="B270" s="1" t="n">
        <v>45901</v>
      </c>
      <c r="C270" s="1" t="n">
        <v>46188</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2490-2024</t>
        </is>
      </c>
      <c r="B271" s="1" t="n">
        <v>45313.43649305555</v>
      </c>
      <c r="C271" s="1" t="n">
        <v>46188</v>
      </c>
      <c r="D271" t="inlineStr">
        <is>
          <t>SKÅNE LÄN</t>
        </is>
      </c>
      <c r="E271" t="inlineStr">
        <is>
          <t>HÄSSLEHOLM</t>
        </is>
      </c>
      <c r="G271" t="n">
        <v>4</v>
      </c>
      <c r="H271" t="n">
        <v>0</v>
      </c>
      <c r="I271" t="n">
        <v>0</v>
      </c>
      <c r="J271" t="n">
        <v>0</v>
      </c>
      <c r="K271" t="n">
        <v>0</v>
      </c>
      <c r="L271" t="n">
        <v>0</v>
      </c>
      <c r="M271" t="n">
        <v>0</v>
      </c>
      <c r="N271" t="n">
        <v>0</v>
      </c>
      <c r="O271" t="n">
        <v>0</v>
      </c>
      <c r="P271" t="n">
        <v>0</v>
      </c>
      <c r="Q271" t="n">
        <v>0</v>
      </c>
      <c r="R271" s="2" t="inlineStr"/>
    </row>
    <row r="272" ht="15" customHeight="1">
      <c r="A272" t="inlineStr">
        <is>
          <t>A 61537-2024</t>
        </is>
      </c>
      <c r="B272" s="1" t="n">
        <v>45646</v>
      </c>
      <c r="C272" s="1" t="n">
        <v>46188</v>
      </c>
      <c r="D272" t="inlineStr">
        <is>
          <t>SKÅNE LÄN</t>
        </is>
      </c>
      <c r="E272" t="inlineStr">
        <is>
          <t>HÄSSLEHOLM</t>
        </is>
      </c>
      <c r="G272" t="n">
        <v>3.7</v>
      </c>
      <c r="H272" t="n">
        <v>0</v>
      </c>
      <c r="I272" t="n">
        <v>0</v>
      </c>
      <c r="J272" t="n">
        <v>0</v>
      </c>
      <c r="K272" t="n">
        <v>0</v>
      </c>
      <c r="L272" t="n">
        <v>0</v>
      </c>
      <c r="M272" t="n">
        <v>0</v>
      </c>
      <c r="N272" t="n">
        <v>0</v>
      </c>
      <c r="O272" t="n">
        <v>0</v>
      </c>
      <c r="P272" t="n">
        <v>0</v>
      </c>
      <c r="Q272" t="n">
        <v>0</v>
      </c>
      <c r="R272" s="2" t="inlineStr"/>
    </row>
    <row r="273" ht="15" customHeight="1">
      <c r="A273" t="inlineStr">
        <is>
          <t>A 34890-2023</t>
        </is>
      </c>
      <c r="B273" s="1" t="n">
        <v>45142.39475694444</v>
      </c>
      <c r="C273" s="1" t="n">
        <v>46188</v>
      </c>
      <c r="D273" t="inlineStr">
        <is>
          <t>SKÅNE LÄN</t>
        </is>
      </c>
      <c r="E273" t="inlineStr">
        <is>
          <t>HÄSSLEHOLM</t>
        </is>
      </c>
      <c r="G273" t="n">
        <v>4</v>
      </c>
      <c r="H273" t="n">
        <v>0</v>
      </c>
      <c r="I273" t="n">
        <v>0</v>
      </c>
      <c r="J273" t="n">
        <v>0</v>
      </c>
      <c r="K273" t="n">
        <v>0</v>
      </c>
      <c r="L273" t="n">
        <v>0</v>
      </c>
      <c r="M273" t="n">
        <v>0</v>
      </c>
      <c r="N273" t="n">
        <v>0</v>
      </c>
      <c r="O273" t="n">
        <v>0</v>
      </c>
      <c r="P273" t="n">
        <v>0</v>
      </c>
      <c r="Q273" t="n">
        <v>0</v>
      </c>
      <c r="R273" s="2" t="inlineStr"/>
    </row>
    <row r="274" ht="15" customHeight="1">
      <c r="A274" t="inlineStr">
        <is>
          <t>A 22024-2025</t>
        </is>
      </c>
      <c r="B274" s="1" t="n">
        <v>45784.85322916666</v>
      </c>
      <c r="C274" s="1" t="n">
        <v>46188</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20006-2025</t>
        </is>
      </c>
      <c r="B275" s="1" t="n">
        <v>45772.05032407407</v>
      </c>
      <c r="C275" s="1" t="n">
        <v>46188</v>
      </c>
      <c r="D275" t="inlineStr">
        <is>
          <t>SKÅNE LÄN</t>
        </is>
      </c>
      <c r="E275" t="inlineStr">
        <is>
          <t>HÄSSLEHOLM</t>
        </is>
      </c>
      <c r="G275" t="n">
        <v>3.9</v>
      </c>
      <c r="H275" t="n">
        <v>0</v>
      </c>
      <c r="I275" t="n">
        <v>0</v>
      </c>
      <c r="J275" t="n">
        <v>0</v>
      </c>
      <c r="K275" t="n">
        <v>0</v>
      </c>
      <c r="L275" t="n">
        <v>0</v>
      </c>
      <c r="M275" t="n">
        <v>0</v>
      </c>
      <c r="N275" t="n">
        <v>0</v>
      </c>
      <c r="O275" t="n">
        <v>0</v>
      </c>
      <c r="P275" t="n">
        <v>0</v>
      </c>
      <c r="Q275" t="n">
        <v>0</v>
      </c>
      <c r="R275" s="2" t="inlineStr"/>
    </row>
    <row r="276" ht="15" customHeight="1">
      <c r="A276" t="inlineStr">
        <is>
          <t>A 14255-2024</t>
        </is>
      </c>
      <c r="B276" s="1" t="n">
        <v>45393</v>
      </c>
      <c r="C276" s="1" t="n">
        <v>46188</v>
      </c>
      <c r="D276" t="inlineStr">
        <is>
          <t>SKÅNE LÄN</t>
        </is>
      </c>
      <c r="E276" t="inlineStr">
        <is>
          <t>HÄSSLEHOLM</t>
        </is>
      </c>
      <c r="G276" t="n">
        <v>11.9</v>
      </c>
      <c r="H276" t="n">
        <v>0</v>
      </c>
      <c r="I276" t="n">
        <v>0</v>
      </c>
      <c r="J276" t="n">
        <v>0</v>
      </c>
      <c r="K276" t="n">
        <v>0</v>
      </c>
      <c r="L276" t="n">
        <v>0</v>
      </c>
      <c r="M276" t="n">
        <v>0</v>
      </c>
      <c r="N276" t="n">
        <v>0</v>
      </c>
      <c r="O276" t="n">
        <v>0</v>
      </c>
      <c r="P276" t="n">
        <v>0</v>
      </c>
      <c r="Q276" t="n">
        <v>0</v>
      </c>
      <c r="R276" s="2" t="inlineStr"/>
    </row>
    <row r="277" ht="15" customHeight="1">
      <c r="A277" t="inlineStr">
        <is>
          <t>A 27297-2023</t>
        </is>
      </c>
      <c r="B277" s="1" t="n">
        <v>45096</v>
      </c>
      <c r="C277" s="1" t="n">
        <v>46188</v>
      </c>
      <c r="D277" t="inlineStr">
        <is>
          <t>SKÅNE LÄN</t>
        </is>
      </c>
      <c r="E277" t="inlineStr">
        <is>
          <t>HÄSSLEHOLM</t>
        </is>
      </c>
      <c r="G277" t="n">
        <v>1.3</v>
      </c>
      <c r="H277" t="n">
        <v>0</v>
      </c>
      <c r="I277" t="n">
        <v>0</v>
      </c>
      <c r="J277" t="n">
        <v>0</v>
      </c>
      <c r="K277" t="n">
        <v>0</v>
      </c>
      <c r="L277" t="n">
        <v>0</v>
      </c>
      <c r="M277" t="n">
        <v>0</v>
      </c>
      <c r="N277" t="n">
        <v>0</v>
      </c>
      <c r="O277" t="n">
        <v>0</v>
      </c>
      <c r="P277" t="n">
        <v>0</v>
      </c>
      <c r="Q277" t="n">
        <v>0</v>
      </c>
      <c r="R277" s="2" t="inlineStr"/>
    </row>
    <row r="278" ht="15" customHeight="1">
      <c r="A278" t="inlineStr">
        <is>
          <t>A 9747-2024</t>
        </is>
      </c>
      <c r="B278" s="1" t="n">
        <v>45362</v>
      </c>
      <c r="C278" s="1" t="n">
        <v>46188</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12338-2024</t>
        </is>
      </c>
      <c r="B279" s="1" t="n">
        <v>45378.72869212963</v>
      </c>
      <c r="C279" s="1" t="n">
        <v>46188</v>
      </c>
      <c r="D279" t="inlineStr">
        <is>
          <t>SKÅNE LÄN</t>
        </is>
      </c>
      <c r="E279" t="inlineStr">
        <is>
          <t>HÄSSLEHOLM</t>
        </is>
      </c>
      <c r="G279" t="n">
        <v>1.8</v>
      </c>
      <c r="H279" t="n">
        <v>0</v>
      </c>
      <c r="I279" t="n">
        <v>0</v>
      </c>
      <c r="J279" t="n">
        <v>0</v>
      </c>
      <c r="K279" t="n">
        <v>0</v>
      </c>
      <c r="L279" t="n">
        <v>0</v>
      </c>
      <c r="M279" t="n">
        <v>0</v>
      </c>
      <c r="N279" t="n">
        <v>0</v>
      </c>
      <c r="O279" t="n">
        <v>0</v>
      </c>
      <c r="P279" t="n">
        <v>0</v>
      </c>
      <c r="Q279" t="n">
        <v>0</v>
      </c>
      <c r="R279" s="2" t="inlineStr"/>
    </row>
    <row r="280" ht="15" customHeight="1">
      <c r="A280" t="inlineStr">
        <is>
          <t>A 56735-2024</t>
        </is>
      </c>
      <c r="B280" s="1" t="n">
        <v>45628.36234953703</v>
      </c>
      <c r="C280" s="1" t="n">
        <v>46188</v>
      </c>
      <c r="D280" t="inlineStr">
        <is>
          <t>SKÅNE LÄN</t>
        </is>
      </c>
      <c r="E280" t="inlineStr">
        <is>
          <t>HÄSSLEHOLM</t>
        </is>
      </c>
      <c r="G280" t="n">
        <v>0.7</v>
      </c>
      <c r="H280" t="n">
        <v>0</v>
      </c>
      <c r="I280" t="n">
        <v>0</v>
      </c>
      <c r="J280" t="n">
        <v>0</v>
      </c>
      <c r="K280" t="n">
        <v>0</v>
      </c>
      <c r="L280" t="n">
        <v>0</v>
      </c>
      <c r="M280" t="n">
        <v>0</v>
      </c>
      <c r="N280" t="n">
        <v>0</v>
      </c>
      <c r="O280" t="n">
        <v>0</v>
      </c>
      <c r="P280" t="n">
        <v>0</v>
      </c>
      <c r="Q280" t="n">
        <v>0</v>
      </c>
      <c r="R280" s="2" t="inlineStr"/>
    </row>
    <row r="281" ht="15" customHeight="1">
      <c r="A281" t="inlineStr">
        <is>
          <t>A 29844-2024</t>
        </is>
      </c>
      <c r="B281" s="1" t="n">
        <v>45485</v>
      </c>
      <c r="C281" s="1" t="n">
        <v>46188</v>
      </c>
      <c r="D281" t="inlineStr">
        <is>
          <t>SKÅNE LÄN</t>
        </is>
      </c>
      <c r="E281" t="inlineStr">
        <is>
          <t>HÄSSLEHOLM</t>
        </is>
      </c>
      <c r="G281" t="n">
        <v>1.9</v>
      </c>
      <c r="H281" t="n">
        <v>0</v>
      </c>
      <c r="I281" t="n">
        <v>0</v>
      </c>
      <c r="J281" t="n">
        <v>0</v>
      </c>
      <c r="K281" t="n">
        <v>0</v>
      </c>
      <c r="L281" t="n">
        <v>0</v>
      </c>
      <c r="M281" t="n">
        <v>0</v>
      </c>
      <c r="N281" t="n">
        <v>0</v>
      </c>
      <c r="O281" t="n">
        <v>0</v>
      </c>
      <c r="P281" t="n">
        <v>0</v>
      </c>
      <c r="Q281" t="n">
        <v>0</v>
      </c>
      <c r="R281" s="2" t="inlineStr"/>
    </row>
    <row r="282" ht="15" customHeight="1">
      <c r="A282" t="inlineStr">
        <is>
          <t>A 55268-2025</t>
        </is>
      </c>
      <c r="B282" s="1" t="n">
        <v>45968.6715625</v>
      </c>
      <c r="C282" s="1" t="n">
        <v>46188</v>
      </c>
      <c r="D282" t="inlineStr">
        <is>
          <t>SKÅNE LÄN</t>
        </is>
      </c>
      <c r="E282" t="inlineStr">
        <is>
          <t>HÄSSLEHOLM</t>
        </is>
      </c>
      <c r="G282" t="n">
        <v>2.8</v>
      </c>
      <c r="H282" t="n">
        <v>0</v>
      </c>
      <c r="I282" t="n">
        <v>0</v>
      </c>
      <c r="J282" t="n">
        <v>0</v>
      </c>
      <c r="K282" t="n">
        <v>0</v>
      </c>
      <c r="L282" t="n">
        <v>0</v>
      </c>
      <c r="M282" t="n">
        <v>0</v>
      </c>
      <c r="N282" t="n">
        <v>0</v>
      </c>
      <c r="O282" t="n">
        <v>0</v>
      </c>
      <c r="P282" t="n">
        <v>0</v>
      </c>
      <c r="Q282" t="n">
        <v>0</v>
      </c>
      <c r="R282" s="2" t="inlineStr"/>
    </row>
    <row r="283" ht="15" customHeight="1">
      <c r="A283" t="inlineStr">
        <is>
          <t>A 42520-2025</t>
        </is>
      </c>
      <c r="B283" s="1" t="n">
        <v>45905.54846064815</v>
      </c>
      <c r="C283" s="1" t="n">
        <v>46188</v>
      </c>
      <c r="D283" t="inlineStr">
        <is>
          <t>SKÅNE LÄN</t>
        </is>
      </c>
      <c r="E283" t="inlineStr">
        <is>
          <t>HÄSSLEHOLM</t>
        </is>
      </c>
      <c r="G283" t="n">
        <v>2.5</v>
      </c>
      <c r="H283" t="n">
        <v>0</v>
      </c>
      <c r="I283" t="n">
        <v>0</v>
      </c>
      <c r="J283" t="n">
        <v>0</v>
      </c>
      <c r="K283" t="n">
        <v>0</v>
      </c>
      <c r="L283" t="n">
        <v>0</v>
      </c>
      <c r="M283" t="n">
        <v>0</v>
      </c>
      <c r="N283" t="n">
        <v>0</v>
      </c>
      <c r="O283" t="n">
        <v>0</v>
      </c>
      <c r="P283" t="n">
        <v>0</v>
      </c>
      <c r="Q283" t="n">
        <v>0</v>
      </c>
      <c r="R283" s="2" t="inlineStr"/>
    </row>
    <row r="284" ht="15" customHeight="1">
      <c r="A284" t="inlineStr">
        <is>
          <t>A 55549-2025</t>
        </is>
      </c>
      <c r="B284" s="1" t="n">
        <v>45971.63805555556</v>
      </c>
      <c r="C284" s="1" t="n">
        <v>46188</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55662-2022</t>
        </is>
      </c>
      <c r="B285" s="1" t="n">
        <v>44883</v>
      </c>
      <c r="C285" s="1" t="n">
        <v>46188</v>
      </c>
      <c r="D285" t="inlineStr">
        <is>
          <t>SKÅNE LÄN</t>
        </is>
      </c>
      <c r="E285" t="inlineStr">
        <is>
          <t>HÄSSLEHOLM</t>
        </is>
      </c>
      <c r="F285" t="inlineStr">
        <is>
          <t>Övriga Aktiebolag</t>
        </is>
      </c>
      <c r="G285" t="n">
        <v>2.6</v>
      </c>
      <c r="H285" t="n">
        <v>0</v>
      </c>
      <c r="I285" t="n">
        <v>0</v>
      </c>
      <c r="J285" t="n">
        <v>0</v>
      </c>
      <c r="K285" t="n">
        <v>0</v>
      </c>
      <c r="L285" t="n">
        <v>0</v>
      </c>
      <c r="M285" t="n">
        <v>0</v>
      </c>
      <c r="N285" t="n">
        <v>0</v>
      </c>
      <c r="O285" t="n">
        <v>0</v>
      </c>
      <c r="P285" t="n">
        <v>0</v>
      </c>
      <c r="Q285" t="n">
        <v>0</v>
      </c>
      <c r="R285" s="2" t="inlineStr"/>
    </row>
    <row r="286" ht="15" customHeight="1">
      <c r="A286" t="inlineStr">
        <is>
          <t>A 3886-2024</t>
        </is>
      </c>
      <c r="B286" s="1" t="n">
        <v>45322.44539351852</v>
      </c>
      <c r="C286" s="1" t="n">
        <v>46188</v>
      </c>
      <c r="D286" t="inlineStr">
        <is>
          <t>SKÅNE LÄN</t>
        </is>
      </c>
      <c r="E286" t="inlineStr">
        <is>
          <t>HÄSSLEHOLM</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9924-2025</t>
        </is>
      </c>
      <c r="B287" s="1" t="n">
        <v>45717.72505787037</v>
      </c>
      <c r="C287" s="1" t="n">
        <v>46188</v>
      </c>
      <c r="D287" t="inlineStr">
        <is>
          <t>SKÅNE LÄN</t>
        </is>
      </c>
      <c r="E287" t="inlineStr">
        <is>
          <t>HÄSSLEHOLM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15055-2023</t>
        </is>
      </c>
      <c r="B288" s="1" t="n">
        <v>45015</v>
      </c>
      <c r="C288" s="1" t="n">
        <v>46188</v>
      </c>
      <c r="D288" t="inlineStr">
        <is>
          <t>SKÅNE LÄN</t>
        </is>
      </c>
      <c r="E288" t="inlineStr">
        <is>
          <t>HÄSSLEHOLM</t>
        </is>
      </c>
      <c r="G288" t="n">
        <v>1.9</v>
      </c>
      <c r="H288" t="n">
        <v>0</v>
      </c>
      <c r="I288" t="n">
        <v>0</v>
      </c>
      <c r="J288" t="n">
        <v>0</v>
      </c>
      <c r="K288" t="n">
        <v>0</v>
      </c>
      <c r="L288" t="n">
        <v>0</v>
      </c>
      <c r="M288" t="n">
        <v>0</v>
      </c>
      <c r="N288" t="n">
        <v>0</v>
      </c>
      <c r="O288" t="n">
        <v>0</v>
      </c>
      <c r="P288" t="n">
        <v>0</v>
      </c>
      <c r="Q288" t="n">
        <v>0</v>
      </c>
      <c r="R288" s="2" t="inlineStr"/>
    </row>
    <row r="289" ht="15" customHeight="1">
      <c r="A289" t="inlineStr">
        <is>
          <t>A 60920-2024</t>
        </is>
      </c>
      <c r="B289" s="1" t="n">
        <v>45645.34442129629</v>
      </c>
      <c r="C289" s="1" t="n">
        <v>46188</v>
      </c>
      <c r="D289" t="inlineStr">
        <is>
          <t>SKÅNE LÄN</t>
        </is>
      </c>
      <c r="E289" t="inlineStr">
        <is>
          <t>HÄSSLEHOLM</t>
        </is>
      </c>
      <c r="G289" t="n">
        <v>2.6</v>
      </c>
      <c r="H289" t="n">
        <v>0</v>
      </c>
      <c r="I289" t="n">
        <v>0</v>
      </c>
      <c r="J289" t="n">
        <v>0</v>
      </c>
      <c r="K289" t="n">
        <v>0</v>
      </c>
      <c r="L289" t="n">
        <v>0</v>
      </c>
      <c r="M289" t="n">
        <v>0</v>
      </c>
      <c r="N289" t="n">
        <v>0</v>
      </c>
      <c r="O289" t="n">
        <v>0</v>
      </c>
      <c r="P289" t="n">
        <v>0</v>
      </c>
      <c r="Q289" t="n">
        <v>0</v>
      </c>
      <c r="R289" s="2" t="inlineStr"/>
    </row>
    <row r="290" ht="15" customHeight="1">
      <c r="A290" t="inlineStr">
        <is>
          <t>A 40536-2024</t>
        </is>
      </c>
      <c r="B290" s="1" t="n">
        <v>45555.61314814815</v>
      </c>
      <c r="C290" s="1" t="n">
        <v>46188</v>
      </c>
      <c r="D290" t="inlineStr">
        <is>
          <t>SKÅNE LÄN</t>
        </is>
      </c>
      <c r="E290" t="inlineStr">
        <is>
          <t>HÄSSLEHOLM</t>
        </is>
      </c>
      <c r="G290" t="n">
        <v>1</v>
      </c>
      <c r="H290" t="n">
        <v>0</v>
      </c>
      <c r="I290" t="n">
        <v>0</v>
      </c>
      <c r="J290" t="n">
        <v>0</v>
      </c>
      <c r="K290" t="n">
        <v>0</v>
      </c>
      <c r="L290" t="n">
        <v>0</v>
      </c>
      <c r="M290" t="n">
        <v>0</v>
      </c>
      <c r="N290" t="n">
        <v>0</v>
      </c>
      <c r="O290" t="n">
        <v>0</v>
      </c>
      <c r="P290" t="n">
        <v>0</v>
      </c>
      <c r="Q290" t="n">
        <v>0</v>
      </c>
      <c r="R290" s="2" t="inlineStr"/>
    </row>
    <row r="291" ht="15" customHeight="1">
      <c r="A291" t="inlineStr">
        <is>
          <t>A 56386-2023</t>
        </is>
      </c>
      <c r="B291" s="1" t="n">
        <v>45243</v>
      </c>
      <c r="C291" s="1" t="n">
        <v>46188</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34187-2023</t>
        </is>
      </c>
      <c r="B292" s="1" t="n">
        <v>45138</v>
      </c>
      <c r="C292" s="1" t="n">
        <v>46188</v>
      </c>
      <c r="D292" t="inlineStr">
        <is>
          <t>SKÅNE LÄN</t>
        </is>
      </c>
      <c r="E292" t="inlineStr">
        <is>
          <t>HÄSSLEHOLM</t>
        </is>
      </c>
      <c r="G292" t="n">
        <v>0.4</v>
      </c>
      <c r="H292" t="n">
        <v>0</v>
      </c>
      <c r="I292" t="n">
        <v>0</v>
      </c>
      <c r="J292" t="n">
        <v>0</v>
      </c>
      <c r="K292" t="n">
        <v>0</v>
      </c>
      <c r="L292" t="n">
        <v>0</v>
      </c>
      <c r="M292" t="n">
        <v>0</v>
      </c>
      <c r="N292" t="n">
        <v>0</v>
      </c>
      <c r="O292" t="n">
        <v>0</v>
      </c>
      <c r="P292" t="n">
        <v>0</v>
      </c>
      <c r="Q292" t="n">
        <v>0</v>
      </c>
      <c r="R292" s="2" t="inlineStr"/>
    </row>
    <row r="293" ht="15" customHeight="1">
      <c r="A293" t="inlineStr">
        <is>
          <t>A 29274-2023</t>
        </is>
      </c>
      <c r="B293" s="1" t="n">
        <v>45105</v>
      </c>
      <c r="C293" s="1" t="n">
        <v>46188</v>
      </c>
      <c r="D293" t="inlineStr">
        <is>
          <t>SKÅNE LÄN</t>
        </is>
      </c>
      <c r="E293" t="inlineStr">
        <is>
          <t>HÄSSLEHOLM</t>
        </is>
      </c>
      <c r="G293" t="n">
        <v>3.4</v>
      </c>
      <c r="H293" t="n">
        <v>0</v>
      </c>
      <c r="I293" t="n">
        <v>0</v>
      </c>
      <c r="J293" t="n">
        <v>0</v>
      </c>
      <c r="K293" t="n">
        <v>0</v>
      </c>
      <c r="L293" t="n">
        <v>0</v>
      </c>
      <c r="M293" t="n">
        <v>0</v>
      </c>
      <c r="N293" t="n">
        <v>0</v>
      </c>
      <c r="O293" t="n">
        <v>0</v>
      </c>
      <c r="P293" t="n">
        <v>0</v>
      </c>
      <c r="Q293" t="n">
        <v>0</v>
      </c>
      <c r="R293" s="2" t="inlineStr"/>
    </row>
    <row r="294" ht="15" customHeight="1">
      <c r="A294" t="inlineStr">
        <is>
          <t>A 61932-2023</t>
        </is>
      </c>
      <c r="B294" s="1" t="n">
        <v>45266.53761574074</v>
      </c>
      <c r="C294" s="1" t="n">
        <v>46188</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27606-2024</t>
        </is>
      </c>
      <c r="B295" s="1" t="n">
        <v>45474</v>
      </c>
      <c r="C295" s="1" t="n">
        <v>46188</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55458-2025</t>
        </is>
      </c>
      <c r="B296" s="1" t="n">
        <v>45971</v>
      </c>
      <c r="C296" s="1" t="n">
        <v>46188</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50244-2024</t>
        </is>
      </c>
      <c r="B297" s="1" t="n">
        <v>45600.56502314815</v>
      </c>
      <c r="C297" s="1" t="n">
        <v>46188</v>
      </c>
      <c r="D297" t="inlineStr">
        <is>
          <t>SKÅNE LÄN</t>
        </is>
      </c>
      <c r="E297" t="inlineStr">
        <is>
          <t>HÄSSLEHOLM</t>
        </is>
      </c>
      <c r="G297" t="n">
        <v>1.9</v>
      </c>
      <c r="H297" t="n">
        <v>0</v>
      </c>
      <c r="I297" t="n">
        <v>0</v>
      </c>
      <c r="J297" t="n">
        <v>0</v>
      </c>
      <c r="K297" t="n">
        <v>0</v>
      </c>
      <c r="L297" t="n">
        <v>0</v>
      </c>
      <c r="M297" t="n">
        <v>0</v>
      </c>
      <c r="N297" t="n">
        <v>0</v>
      </c>
      <c r="O297" t="n">
        <v>0</v>
      </c>
      <c r="P297" t="n">
        <v>0</v>
      </c>
      <c r="Q297" t="n">
        <v>0</v>
      </c>
      <c r="R297" s="2" t="inlineStr"/>
    </row>
    <row r="298" ht="15" customHeight="1">
      <c r="A298" t="inlineStr">
        <is>
          <t>A 7221-2025</t>
        </is>
      </c>
      <c r="B298" s="1" t="n">
        <v>45701</v>
      </c>
      <c r="C298" s="1" t="n">
        <v>46188</v>
      </c>
      <c r="D298" t="inlineStr">
        <is>
          <t>SKÅNE LÄN</t>
        </is>
      </c>
      <c r="E298" t="inlineStr">
        <is>
          <t>HÄSSLEHOLM</t>
        </is>
      </c>
      <c r="G298" t="n">
        <v>1.8</v>
      </c>
      <c r="H298" t="n">
        <v>0</v>
      </c>
      <c r="I298" t="n">
        <v>0</v>
      </c>
      <c r="J298" t="n">
        <v>0</v>
      </c>
      <c r="K298" t="n">
        <v>0</v>
      </c>
      <c r="L298" t="n">
        <v>0</v>
      </c>
      <c r="M298" t="n">
        <v>0</v>
      </c>
      <c r="N298" t="n">
        <v>0</v>
      </c>
      <c r="O298" t="n">
        <v>0</v>
      </c>
      <c r="P298" t="n">
        <v>0</v>
      </c>
      <c r="Q298" t="n">
        <v>0</v>
      </c>
      <c r="R298" s="2" t="inlineStr"/>
    </row>
    <row r="299" ht="15" customHeight="1">
      <c r="A299" t="inlineStr">
        <is>
          <t>A 5532-2025</t>
        </is>
      </c>
      <c r="B299" s="1" t="n">
        <v>45693</v>
      </c>
      <c r="C299" s="1" t="n">
        <v>46188</v>
      </c>
      <c r="D299" t="inlineStr">
        <is>
          <t>SKÅNE LÄN</t>
        </is>
      </c>
      <c r="E299" t="inlineStr">
        <is>
          <t>HÄSSLEHOLM</t>
        </is>
      </c>
      <c r="G299" t="n">
        <v>2.4</v>
      </c>
      <c r="H299" t="n">
        <v>0</v>
      </c>
      <c r="I299" t="n">
        <v>0</v>
      </c>
      <c r="J299" t="n">
        <v>0</v>
      </c>
      <c r="K299" t="n">
        <v>0</v>
      </c>
      <c r="L299" t="n">
        <v>0</v>
      </c>
      <c r="M299" t="n">
        <v>0</v>
      </c>
      <c r="N299" t="n">
        <v>0</v>
      </c>
      <c r="O299" t="n">
        <v>0</v>
      </c>
      <c r="P299" t="n">
        <v>0</v>
      </c>
      <c r="Q299" t="n">
        <v>0</v>
      </c>
      <c r="R299" s="2" t="inlineStr"/>
    </row>
    <row r="300" ht="15" customHeight="1">
      <c r="A300" t="inlineStr">
        <is>
          <t>A 31255-2024</t>
        </is>
      </c>
      <c r="B300" s="1" t="n">
        <v>45503.69114583333</v>
      </c>
      <c r="C300" s="1" t="n">
        <v>46188</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10230-2025</t>
        </is>
      </c>
      <c r="B301" s="1" t="n">
        <v>45720</v>
      </c>
      <c r="C301" s="1" t="n">
        <v>46188</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44697-2021</t>
        </is>
      </c>
      <c r="B302" s="1" t="n">
        <v>44438</v>
      </c>
      <c r="C302" s="1" t="n">
        <v>46188</v>
      </c>
      <c r="D302" t="inlineStr">
        <is>
          <t>SKÅNE LÄN</t>
        </is>
      </c>
      <c r="E302" t="inlineStr">
        <is>
          <t>HÄSSLEHOLM</t>
        </is>
      </c>
      <c r="G302" t="n">
        <v>4.8</v>
      </c>
      <c r="H302" t="n">
        <v>0</v>
      </c>
      <c r="I302" t="n">
        <v>0</v>
      </c>
      <c r="J302" t="n">
        <v>0</v>
      </c>
      <c r="K302" t="n">
        <v>0</v>
      </c>
      <c r="L302" t="n">
        <v>0</v>
      </c>
      <c r="M302" t="n">
        <v>0</v>
      </c>
      <c r="N302" t="n">
        <v>0</v>
      </c>
      <c r="O302" t="n">
        <v>0</v>
      </c>
      <c r="P302" t="n">
        <v>0</v>
      </c>
      <c r="Q302" t="n">
        <v>0</v>
      </c>
      <c r="R302" s="2" t="inlineStr"/>
    </row>
    <row r="303" ht="15" customHeight="1">
      <c r="A303" t="inlineStr">
        <is>
          <t>A 33266-2024</t>
        </is>
      </c>
      <c r="B303" s="1" t="n">
        <v>45518</v>
      </c>
      <c r="C303" s="1" t="n">
        <v>46188</v>
      </c>
      <c r="D303" t="inlineStr">
        <is>
          <t>SKÅNE LÄN</t>
        </is>
      </c>
      <c r="E303" t="inlineStr">
        <is>
          <t>HÄSSLEHOLM</t>
        </is>
      </c>
      <c r="G303" t="n">
        <v>3.2</v>
      </c>
      <c r="H303" t="n">
        <v>0</v>
      </c>
      <c r="I303" t="n">
        <v>0</v>
      </c>
      <c r="J303" t="n">
        <v>0</v>
      </c>
      <c r="K303" t="n">
        <v>0</v>
      </c>
      <c r="L303" t="n">
        <v>0</v>
      </c>
      <c r="M303" t="n">
        <v>0</v>
      </c>
      <c r="N303" t="n">
        <v>0</v>
      </c>
      <c r="O303" t="n">
        <v>0</v>
      </c>
      <c r="P303" t="n">
        <v>0</v>
      </c>
      <c r="Q303" t="n">
        <v>0</v>
      </c>
      <c r="R303" s="2" t="inlineStr"/>
    </row>
    <row r="304" ht="15" customHeight="1">
      <c r="A304" t="inlineStr">
        <is>
          <t>A 8433-2024</t>
        </is>
      </c>
      <c r="B304" s="1" t="n">
        <v>45353.48434027778</v>
      </c>
      <c r="C304" s="1" t="n">
        <v>46188</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48807-2021</t>
        </is>
      </c>
      <c r="B305" s="1" t="n">
        <v>44452</v>
      </c>
      <c r="C305" s="1" t="n">
        <v>46188</v>
      </c>
      <c r="D305" t="inlineStr">
        <is>
          <t>SKÅNE LÄN</t>
        </is>
      </c>
      <c r="E305" t="inlineStr">
        <is>
          <t>HÄSSLEHOLM</t>
        </is>
      </c>
      <c r="G305" t="n">
        <v>1.1</v>
      </c>
      <c r="H305" t="n">
        <v>0</v>
      </c>
      <c r="I305" t="n">
        <v>0</v>
      </c>
      <c r="J305" t="n">
        <v>0</v>
      </c>
      <c r="K305" t="n">
        <v>0</v>
      </c>
      <c r="L305" t="n">
        <v>0</v>
      </c>
      <c r="M305" t="n">
        <v>0</v>
      </c>
      <c r="N305" t="n">
        <v>0</v>
      </c>
      <c r="O305" t="n">
        <v>0</v>
      </c>
      <c r="P305" t="n">
        <v>0</v>
      </c>
      <c r="Q305" t="n">
        <v>0</v>
      </c>
      <c r="R305" s="2" t="inlineStr"/>
    </row>
    <row r="306" ht="15" customHeight="1">
      <c r="A306" t="inlineStr">
        <is>
          <t>A 28457-2024</t>
        </is>
      </c>
      <c r="B306" s="1" t="n">
        <v>45477.68884259259</v>
      </c>
      <c r="C306" s="1" t="n">
        <v>46188</v>
      </c>
      <c r="D306" t="inlineStr">
        <is>
          <t>SKÅNE LÄN</t>
        </is>
      </c>
      <c r="E306" t="inlineStr">
        <is>
          <t>HÄSSLEHOLM</t>
        </is>
      </c>
      <c r="G306" t="n">
        <v>0.7</v>
      </c>
      <c r="H306" t="n">
        <v>0</v>
      </c>
      <c r="I306" t="n">
        <v>0</v>
      </c>
      <c r="J306" t="n">
        <v>0</v>
      </c>
      <c r="K306" t="n">
        <v>0</v>
      </c>
      <c r="L306" t="n">
        <v>0</v>
      </c>
      <c r="M306" t="n">
        <v>0</v>
      </c>
      <c r="N306" t="n">
        <v>0</v>
      </c>
      <c r="O306" t="n">
        <v>0</v>
      </c>
      <c r="P306" t="n">
        <v>0</v>
      </c>
      <c r="Q306" t="n">
        <v>0</v>
      </c>
      <c r="R306" s="2" t="inlineStr"/>
    </row>
    <row r="307" ht="15" customHeight="1">
      <c r="A307" t="inlineStr">
        <is>
          <t>A 48797-2023</t>
        </is>
      </c>
      <c r="B307" s="1" t="n">
        <v>45209.24986111111</v>
      </c>
      <c r="C307" s="1" t="n">
        <v>46188</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22592-2025</t>
        </is>
      </c>
      <c r="B308" s="1" t="n">
        <v>45789.40502314815</v>
      </c>
      <c r="C308" s="1" t="n">
        <v>46188</v>
      </c>
      <c r="D308" t="inlineStr">
        <is>
          <t>SKÅNE LÄN</t>
        </is>
      </c>
      <c r="E308" t="inlineStr">
        <is>
          <t>HÄSSLEHOLM</t>
        </is>
      </c>
      <c r="G308" t="n">
        <v>7.1</v>
      </c>
      <c r="H308" t="n">
        <v>0</v>
      </c>
      <c r="I308" t="n">
        <v>0</v>
      </c>
      <c r="J308" t="n">
        <v>0</v>
      </c>
      <c r="K308" t="n">
        <v>0</v>
      </c>
      <c r="L308" t="n">
        <v>0</v>
      </c>
      <c r="M308" t="n">
        <v>0</v>
      </c>
      <c r="N308" t="n">
        <v>0</v>
      </c>
      <c r="O308" t="n">
        <v>0</v>
      </c>
      <c r="P308" t="n">
        <v>0</v>
      </c>
      <c r="Q308" t="n">
        <v>0</v>
      </c>
      <c r="R308" s="2" t="inlineStr"/>
    </row>
    <row r="309" ht="15" customHeight="1">
      <c r="A309" t="inlineStr">
        <is>
          <t>A 55455-2025</t>
        </is>
      </c>
      <c r="B309" s="1" t="n">
        <v>45971</v>
      </c>
      <c r="C309" s="1" t="n">
        <v>46188</v>
      </c>
      <c r="D309" t="inlineStr">
        <is>
          <t>SKÅNE LÄN</t>
        </is>
      </c>
      <c r="E309" t="inlineStr">
        <is>
          <t>HÄSSLEHOLM</t>
        </is>
      </c>
      <c r="G309" t="n">
        <v>0.6</v>
      </c>
      <c r="H309" t="n">
        <v>0</v>
      </c>
      <c r="I309" t="n">
        <v>0</v>
      </c>
      <c r="J309" t="n">
        <v>0</v>
      </c>
      <c r="K309" t="n">
        <v>0</v>
      </c>
      <c r="L309" t="n">
        <v>0</v>
      </c>
      <c r="M309" t="n">
        <v>0</v>
      </c>
      <c r="N309" t="n">
        <v>0</v>
      </c>
      <c r="O309" t="n">
        <v>0</v>
      </c>
      <c r="P309" t="n">
        <v>0</v>
      </c>
      <c r="Q309" t="n">
        <v>0</v>
      </c>
      <c r="R309" s="2" t="inlineStr"/>
    </row>
    <row r="310" ht="15" customHeight="1">
      <c r="A310" t="inlineStr">
        <is>
          <t>A 43516-2025</t>
        </is>
      </c>
      <c r="B310" s="1" t="n">
        <v>45911</v>
      </c>
      <c r="C310" s="1" t="n">
        <v>46188</v>
      </c>
      <c r="D310" t="inlineStr">
        <is>
          <t>SKÅNE LÄN</t>
        </is>
      </c>
      <c r="E310" t="inlineStr">
        <is>
          <t>HÄSSLEHOLM</t>
        </is>
      </c>
      <c r="G310" t="n">
        <v>2.4</v>
      </c>
      <c r="H310" t="n">
        <v>0</v>
      </c>
      <c r="I310" t="n">
        <v>0</v>
      </c>
      <c r="J310" t="n">
        <v>0</v>
      </c>
      <c r="K310" t="n">
        <v>0</v>
      </c>
      <c r="L310" t="n">
        <v>0</v>
      </c>
      <c r="M310" t="n">
        <v>0</v>
      </c>
      <c r="N310" t="n">
        <v>0</v>
      </c>
      <c r="O310" t="n">
        <v>0</v>
      </c>
      <c r="P310" t="n">
        <v>0</v>
      </c>
      <c r="Q310" t="n">
        <v>0</v>
      </c>
      <c r="R310" s="2" t="inlineStr"/>
    </row>
    <row r="311" ht="15" customHeight="1">
      <c r="A311" t="inlineStr">
        <is>
          <t>A 23007-2025</t>
        </is>
      </c>
      <c r="B311" s="1" t="n">
        <v>45790</v>
      </c>
      <c r="C311" s="1" t="n">
        <v>46188</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43332-2025</t>
        </is>
      </c>
      <c r="B312" s="1" t="n">
        <v>45910.70217592592</v>
      </c>
      <c r="C312" s="1" t="n">
        <v>46188</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51752-2023</t>
        </is>
      </c>
      <c r="B313" s="1" t="n">
        <v>45222</v>
      </c>
      <c r="C313" s="1" t="n">
        <v>46188</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17171-2025</t>
        </is>
      </c>
      <c r="B314" s="1" t="n">
        <v>45755</v>
      </c>
      <c r="C314" s="1" t="n">
        <v>46188</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16930-2024</t>
        </is>
      </c>
      <c r="B315" s="1" t="n">
        <v>45411</v>
      </c>
      <c r="C315" s="1" t="n">
        <v>46188</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27825-2024</t>
        </is>
      </c>
      <c r="B316" s="1" t="n">
        <v>45475</v>
      </c>
      <c r="C316" s="1" t="n">
        <v>46188</v>
      </c>
      <c r="D316" t="inlineStr">
        <is>
          <t>SKÅNE LÄN</t>
        </is>
      </c>
      <c r="E316" t="inlineStr">
        <is>
          <t>HÄSSLEHOLM</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31254-2024</t>
        </is>
      </c>
      <c r="B317" s="1" t="n">
        <v>45503</v>
      </c>
      <c r="C317" s="1" t="n">
        <v>46188</v>
      </c>
      <c r="D317" t="inlineStr">
        <is>
          <t>SKÅNE LÄN</t>
        </is>
      </c>
      <c r="E317" t="inlineStr">
        <is>
          <t>HÄSSLEHOLM</t>
        </is>
      </c>
      <c r="G317" t="n">
        <v>2.2</v>
      </c>
      <c r="H317" t="n">
        <v>0</v>
      </c>
      <c r="I317" t="n">
        <v>0</v>
      </c>
      <c r="J317" t="n">
        <v>0</v>
      </c>
      <c r="K317" t="n">
        <v>0</v>
      </c>
      <c r="L317" t="n">
        <v>0</v>
      </c>
      <c r="M317" t="n">
        <v>0</v>
      </c>
      <c r="N317" t="n">
        <v>0</v>
      </c>
      <c r="O317" t="n">
        <v>0</v>
      </c>
      <c r="P317" t="n">
        <v>0</v>
      </c>
      <c r="Q317" t="n">
        <v>0</v>
      </c>
      <c r="R317" s="2" t="inlineStr"/>
    </row>
    <row r="318" ht="15" customHeight="1">
      <c r="A318" t="inlineStr">
        <is>
          <t>A 37486-2024</t>
        </is>
      </c>
      <c r="B318" s="1" t="n">
        <v>45541</v>
      </c>
      <c r="C318" s="1" t="n">
        <v>46188</v>
      </c>
      <c r="D318" t="inlineStr">
        <is>
          <t>SKÅNE LÄN</t>
        </is>
      </c>
      <c r="E318" t="inlineStr">
        <is>
          <t>HÄSSLEHOLM</t>
        </is>
      </c>
      <c r="G318" t="n">
        <v>8.5</v>
      </c>
      <c r="H318" t="n">
        <v>0</v>
      </c>
      <c r="I318" t="n">
        <v>0</v>
      </c>
      <c r="J318" t="n">
        <v>0</v>
      </c>
      <c r="K318" t="n">
        <v>0</v>
      </c>
      <c r="L318" t="n">
        <v>0</v>
      </c>
      <c r="M318" t="n">
        <v>0</v>
      </c>
      <c r="N318" t="n">
        <v>0</v>
      </c>
      <c r="O318" t="n">
        <v>0</v>
      </c>
      <c r="P318" t="n">
        <v>0</v>
      </c>
      <c r="Q318" t="n">
        <v>0</v>
      </c>
      <c r="R318" s="2" t="inlineStr"/>
    </row>
    <row r="319" ht="15" customHeight="1">
      <c r="A319" t="inlineStr">
        <is>
          <t>A 32834-2024</t>
        </is>
      </c>
      <c r="B319" s="1" t="n">
        <v>45516.6025</v>
      </c>
      <c r="C319" s="1" t="n">
        <v>46188</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44838-2023</t>
        </is>
      </c>
      <c r="B320" s="1" t="n">
        <v>45190</v>
      </c>
      <c r="C320" s="1" t="n">
        <v>46188</v>
      </c>
      <c r="D320" t="inlineStr">
        <is>
          <t>SKÅNE LÄN</t>
        </is>
      </c>
      <c r="E320" t="inlineStr">
        <is>
          <t>HÄSSLEHOLM</t>
        </is>
      </c>
      <c r="F320" t="inlineStr">
        <is>
          <t>Kommuner</t>
        </is>
      </c>
      <c r="G320" t="n">
        <v>2</v>
      </c>
      <c r="H320" t="n">
        <v>0</v>
      </c>
      <c r="I320" t="n">
        <v>0</v>
      </c>
      <c r="J320" t="n">
        <v>0</v>
      </c>
      <c r="K320" t="n">
        <v>0</v>
      </c>
      <c r="L320" t="n">
        <v>0</v>
      </c>
      <c r="M320" t="n">
        <v>0</v>
      </c>
      <c r="N320" t="n">
        <v>0</v>
      </c>
      <c r="O320" t="n">
        <v>0</v>
      </c>
      <c r="P320" t="n">
        <v>0</v>
      </c>
      <c r="Q320" t="n">
        <v>0</v>
      </c>
      <c r="R320" s="2" t="inlineStr"/>
    </row>
    <row r="321" ht="15" customHeight="1">
      <c r="A321" t="inlineStr">
        <is>
          <t>A 9397-2025</t>
        </is>
      </c>
      <c r="B321" s="1" t="n">
        <v>45715.37361111111</v>
      </c>
      <c r="C321" s="1" t="n">
        <v>46188</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13954-2023</t>
        </is>
      </c>
      <c r="B322" s="1" t="n">
        <v>45008</v>
      </c>
      <c r="C322" s="1" t="n">
        <v>46188</v>
      </c>
      <c r="D322" t="inlineStr">
        <is>
          <t>SKÅNE LÄN</t>
        </is>
      </c>
      <c r="E322" t="inlineStr">
        <is>
          <t>HÄSSLEHOLM</t>
        </is>
      </c>
      <c r="G322" t="n">
        <v>1.9</v>
      </c>
      <c r="H322" t="n">
        <v>0</v>
      </c>
      <c r="I322" t="n">
        <v>0</v>
      </c>
      <c r="J322" t="n">
        <v>0</v>
      </c>
      <c r="K322" t="n">
        <v>0</v>
      </c>
      <c r="L322" t="n">
        <v>0</v>
      </c>
      <c r="M322" t="n">
        <v>0</v>
      </c>
      <c r="N322" t="n">
        <v>0</v>
      </c>
      <c r="O322" t="n">
        <v>0</v>
      </c>
      <c r="P322" t="n">
        <v>0</v>
      </c>
      <c r="Q322" t="n">
        <v>0</v>
      </c>
      <c r="R322" s="2" t="inlineStr"/>
    </row>
    <row r="323" ht="15" customHeight="1">
      <c r="A323" t="inlineStr">
        <is>
          <t>A 59109-2023</t>
        </is>
      </c>
      <c r="B323" s="1" t="n">
        <v>45253.30819444444</v>
      </c>
      <c r="C323" s="1" t="n">
        <v>46188</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49384-2021</t>
        </is>
      </c>
      <c r="B324" s="1" t="n">
        <v>44454</v>
      </c>
      <c r="C324" s="1" t="n">
        <v>46188</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54462-2022</t>
        </is>
      </c>
      <c r="B325" s="1" t="n">
        <v>44882</v>
      </c>
      <c r="C325" s="1" t="n">
        <v>46188</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25611-2024</t>
        </is>
      </c>
      <c r="B326" s="1" t="n">
        <v>45463</v>
      </c>
      <c r="C326" s="1" t="n">
        <v>46188</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43869-2025</t>
        </is>
      </c>
      <c r="B327" s="1" t="n">
        <v>45912.66452546296</v>
      </c>
      <c r="C327" s="1" t="n">
        <v>46188</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7094-2023</t>
        </is>
      </c>
      <c r="B328" s="1" t="n">
        <v>44970.36958333333</v>
      </c>
      <c r="C328" s="1" t="n">
        <v>46188</v>
      </c>
      <c r="D328" t="inlineStr">
        <is>
          <t>SKÅNE LÄN</t>
        </is>
      </c>
      <c r="E328" t="inlineStr">
        <is>
          <t>HÄSSLEHOLM</t>
        </is>
      </c>
      <c r="G328" t="n">
        <v>3.6</v>
      </c>
      <c r="H328" t="n">
        <v>0</v>
      </c>
      <c r="I328" t="n">
        <v>0</v>
      </c>
      <c r="J328" t="n">
        <v>0</v>
      </c>
      <c r="K328" t="n">
        <v>0</v>
      </c>
      <c r="L328" t="n">
        <v>0</v>
      </c>
      <c r="M328" t="n">
        <v>0</v>
      </c>
      <c r="N328" t="n">
        <v>0</v>
      </c>
      <c r="O328" t="n">
        <v>0</v>
      </c>
      <c r="P328" t="n">
        <v>0</v>
      </c>
      <c r="Q328" t="n">
        <v>0</v>
      </c>
      <c r="R328" s="2" t="inlineStr"/>
    </row>
    <row r="329" ht="15" customHeight="1">
      <c r="A329" t="inlineStr">
        <is>
          <t>A 13007-2024</t>
        </is>
      </c>
      <c r="B329" s="1" t="n">
        <v>45385.57092592592</v>
      </c>
      <c r="C329" s="1" t="n">
        <v>46188</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32100-2024</t>
        </is>
      </c>
      <c r="B330" s="1" t="n">
        <v>45511.41451388889</v>
      </c>
      <c r="C330" s="1" t="n">
        <v>46188</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10220-2023</t>
        </is>
      </c>
      <c r="B331" s="1" t="n">
        <v>44986.60916666667</v>
      </c>
      <c r="C331" s="1" t="n">
        <v>46188</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40152-2024</t>
        </is>
      </c>
      <c r="B332" s="1" t="n">
        <v>45554</v>
      </c>
      <c r="C332" s="1" t="n">
        <v>46188</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74030-2021</t>
        </is>
      </c>
      <c r="B333" s="1" t="n">
        <v>44553</v>
      </c>
      <c r="C333" s="1" t="n">
        <v>46188</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15072-2024</t>
        </is>
      </c>
      <c r="B334" s="1" t="n">
        <v>45399.5996875</v>
      </c>
      <c r="C334" s="1" t="n">
        <v>46188</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35810-2023</t>
        </is>
      </c>
      <c r="B335" s="1" t="n">
        <v>45148.44046296296</v>
      </c>
      <c r="C335" s="1" t="n">
        <v>46188</v>
      </c>
      <c r="D335" t="inlineStr">
        <is>
          <t>SKÅNE LÄN</t>
        </is>
      </c>
      <c r="E335" t="inlineStr">
        <is>
          <t>HÄSSLEHOLM</t>
        </is>
      </c>
      <c r="G335" t="n">
        <v>1.2</v>
      </c>
      <c r="H335" t="n">
        <v>0</v>
      </c>
      <c r="I335" t="n">
        <v>0</v>
      </c>
      <c r="J335" t="n">
        <v>0</v>
      </c>
      <c r="K335" t="n">
        <v>0</v>
      </c>
      <c r="L335" t="n">
        <v>0</v>
      </c>
      <c r="M335" t="n">
        <v>0</v>
      </c>
      <c r="N335" t="n">
        <v>0</v>
      </c>
      <c r="O335" t="n">
        <v>0</v>
      </c>
      <c r="P335" t="n">
        <v>0</v>
      </c>
      <c r="Q335" t="n">
        <v>0</v>
      </c>
      <c r="R335" s="2" t="inlineStr"/>
    </row>
    <row r="336" ht="15" customHeight="1">
      <c r="A336" t="inlineStr">
        <is>
          <t>A 35833-2023</t>
        </is>
      </c>
      <c r="B336" s="1" t="n">
        <v>45148</v>
      </c>
      <c r="C336" s="1" t="n">
        <v>46188</v>
      </c>
      <c r="D336" t="inlineStr">
        <is>
          <t>SKÅNE LÄN</t>
        </is>
      </c>
      <c r="E336" t="inlineStr">
        <is>
          <t>HÄSSLEHOLM</t>
        </is>
      </c>
      <c r="F336" t="inlineStr">
        <is>
          <t>Kommuner</t>
        </is>
      </c>
      <c r="G336" t="n">
        <v>2</v>
      </c>
      <c r="H336" t="n">
        <v>0</v>
      </c>
      <c r="I336" t="n">
        <v>0</v>
      </c>
      <c r="J336" t="n">
        <v>0</v>
      </c>
      <c r="K336" t="n">
        <v>0</v>
      </c>
      <c r="L336" t="n">
        <v>0</v>
      </c>
      <c r="M336" t="n">
        <v>0</v>
      </c>
      <c r="N336" t="n">
        <v>0</v>
      </c>
      <c r="O336" t="n">
        <v>0</v>
      </c>
      <c r="P336" t="n">
        <v>0</v>
      </c>
      <c r="Q336" t="n">
        <v>0</v>
      </c>
      <c r="R336" s="2" t="inlineStr"/>
    </row>
    <row r="337" ht="15" customHeight="1">
      <c r="A337" t="inlineStr">
        <is>
          <t>A 11262-2025</t>
        </is>
      </c>
      <c r="B337" s="1" t="n">
        <v>45726</v>
      </c>
      <c r="C337" s="1" t="n">
        <v>46188</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59556-2023</t>
        </is>
      </c>
      <c r="B338" s="1" t="n">
        <v>45254.56313657408</v>
      </c>
      <c r="C338" s="1" t="n">
        <v>46188</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43741-2025</t>
        </is>
      </c>
      <c r="B339" s="1" t="n">
        <v>45912.45541666666</v>
      </c>
      <c r="C339" s="1" t="n">
        <v>46188</v>
      </c>
      <c r="D339" t="inlineStr">
        <is>
          <t>SKÅNE LÄN</t>
        </is>
      </c>
      <c r="E339" t="inlineStr">
        <is>
          <t>HÄSSLEHOLM</t>
        </is>
      </c>
      <c r="G339" t="n">
        <v>4.3</v>
      </c>
      <c r="H339" t="n">
        <v>0</v>
      </c>
      <c r="I339" t="n">
        <v>0</v>
      </c>
      <c r="J339" t="n">
        <v>0</v>
      </c>
      <c r="K339" t="n">
        <v>0</v>
      </c>
      <c r="L339" t="n">
        <v>0</v>
      </c>
      <c r="M339" t="n">
        <v>0</v>
      </c>
      <c r="N339" t="n">
        <v>0</v>
      </c>
      <c r="O339" t="n">
        <v>0</v>
      </c>
      <c r="P339" t="n">
        <v>0</v>
      </c>
      <c r="Q339" t="n">
        <v>0</v>
      </c>
      <c r="R339" s="2" t="inlineStr"/>
    </row>
    <row r="340" ht="15" customHeight="1">
      <c r="A340" t="inlineStr">
        <is>
          <t>A 53077-2022</t>
        </is>
      </c>
      <c r="B340" s="1" t="n">
        <v>44873</v>
      </c>
      <c r="C340" s="1" t="n">
        <v>46188</v>
      </c>
      <c r="D340" t="inlineStr">
        <is>
          <t>SKÅNE LÄN</t>
        </is>
      </c>
      <c r="E340" t="inlineStr">
        <is>
          <t>HÄSSLEHOLM</t>
        </is>
      </c>
      <c r="G340" t="n">
        <v>3</v>
      </c>
      <c r="H340" t="n">
        <v>0</v>
      </c>
      <c r="I340" t="n">
        <v>0</v>
      </c>
      <c r="J340" t="n">
        <v>0</v>
      </c>
      <c r="K340" t="n">
        <v>0</v>
      </c>
      <c r="L340" t="n">
        <v>0</v>
      </c>
      <c r="M340" t="n">
        <v>0</v>
      </c>
      <c r="N340" t="n">
        <v>0</v>
      </c>
      <c r="O340" t="n">
        <v>0</v>
      </c>
      <c r="P340" t="n">
        <v>0</v>
      </c>
      <c r="Q340" t="n">
        <v>0</v>
      </c>
      <c r="R340" s="2" t="inlineStr"/>
    </row>
    <row r="341" ht="15" customHeight="1">
      <c r="A341" t="inlineStr">
        <is>
          <t>A 5395-2024</t>
        </is>
      </c>
      <c r="B341" s="1" t="n">
        <v>45331</v>
      </c>
      <c r="C341" s="1" t="n">
        <v>46188</v>
      </c>
      <c r="D341" t="inlineStr">
        <is>
          <t>SKÅNE LÄN</t>
        </is>
      </c>
      <c r="E341" t="inlineStr">
        <is>
          <t>HÄSSLEHOLM</t>
        </is>
      </c>
      <c r="G341" t="n">
        <v>2.6</v>
      </c>
      <c r="H341" t="n">
        <v>0</v>
      </c>
      <c r="I341" t="n">
        <v>0</v>
      </c>
      <c r="J341" t="n">
        <v>0</v>
      </c>
      <c r="K341" t="n">
        <v>0</v>
      </c>
      <c r="L341" t="n">
        <v>0</v>
      </c>
      <c r="M341" t="n">
        <v>0</v>
      </c>
      <c r="N341" t="n">
        <v>0</v>
      </c>
      <c r="O341" t="n">
        <v>0</v>
      </c>
      <c r="P341" t="n">
        <v>0</v>
      </c>
      <c r="Q341" t="n">
        <v>0</v>
      </c>
      <c r="R341" s="2" t="inlineStr"/>
    </row>
    <row r="342" ht="15" customHeight="1">
      <c r="A342" t="inlineStr">
        <is>
          <t>A 56667-2025</t>
        </is>
      </c>
      <c r="B342" s="1" t="n">
        <v>45975.68508101852</v>
      </c>
      <c r="C342" s="1" t="n">
        <v>46188</v>
      </c>
      <c r="D342" t="inlineStr">
        <is>
          <t>SKÅNE LÄN</t>
        </is>
      </c>
      <c r="E342" t="inlineStr">
        <is>
          <t>HÄSSLEHOLM</t>
        </is>
      </c>
      <c r="G342" t="n">
        <v>4.4</v>
      </c>
      <c r="H342" t="n">
        <v>0</v>
      </c>
      <c r="I342" t="n">
        <v>0</v>
      </c>
      <c r="J342" t="n">
        <v>0</v>
      </c>
      <c r="K342" t="n">
        <v>0</v>
      </c>
      <c r="L342" t="n">
        <v>0</v>
      </c>
      <c r="M342" t="n">
        <v>0</v>
      </c>
      <c r="N342" t="n">
        <v>0</v>
      </c>
      <c r="O342" t="n">
        <v>0</v>
      </c>
      <c r="P342" t="n">
        <v>0</v>
      </c>
      <c r="Q342" t="n">
        <v>0</v>
      </c>
      <c r="R342" s="2" t="inlineStr"/>
    </row>
    <row r="343" ht="15" customHeight="1">
      <c r="A343" t="inlineStr">
        <is>
          <t>A 2621-2025</t>
        </is>
      </c>
      <c r="B343" s="1" t="n">
        <v>45675.60765046296</v>
      </c>
      <c r="C343" s="1" t="n">
        <v>46188</v>
      </c>
      <c r="D343" t="inlineStr">
        <is>
          <t>SKÅNE LÄN</t>
        </is>
      </c>
      <c r="E343" t="inlineStr">
        <is>
          <t>HÄSSLEHOLM</t>
        </is>
      </c>
      <c r="F343" t="inlineStr">
        <is>
          <t>Kommuner</t>
        </is>
      </c>
      <c r="G343" t="n">
        <v>3</v>
      </c>
      <c r="H343" t="n">
        <v>0</v>
      </c>
      <c r="I343" t="n">
        <v>0</v>
      </c>
      <c r="J343" t="n">
        <v>0</v>
      </c>
      <c r="K343" t="n">
        <v>0</v>
      </c>
      <c r="L343" t="n">
        <v>0</v>
      </c>
      <c r="M343" t="n">
        <v>0</v>
      </c>
      <c r="N343" t="n">
        <v>0</v>
      </c>
      <c r="O343" t="n">
        <v>0</v>
      </c>
      <c r="P343" t="n">
        <v>0</v>
      </c>
      <c r="Q343" t="n">
        <v>0</v>
      </c>
      <c r="R343" s="2" t="inlineStr"/>
    </row>
    <row r="344" ht="15" customHeight="1">
      <c r="A344" t="inlineStr">
        <is>
          <t>A 8737-2025</t>
        </is>
      </c>
      <c r="B344" s="1" t="n">
        <v>45712.54578703704</v>
      </c>
      <c r="C344" s="1" t="n">
        <v>46188</v>
      </c>
      <c r="D344" t="inlineStr">
        <is>
          <t>SKÅNE LÄN</t>
        </is>
      </c>
      <c r="E344" t="inlineStr">
        <is>
          <t>HÄSSLEHOLM</t>
        </is>
      </c>
      <c r="G344" t="n">
        <v>2.7</v>
      </c>
      <c r="H344" t="n">
        <v>0</v>
      </c>
      <c r="I344" t="n">
        <v>0</v>
      </c>
      <c r="J344" t="n">
        <v>0</v>
      </c>
      <c r="K344" t="n">
        <v>0</v>
      </c>
      <c r="L344" t="n">
        <v>0</v>
      </c>
      <c r="M344" t="n">
        <v>0</v>
      </c>
      <c r="N344" t="n">
        <v>0</v>
      </c>
      <c r="O344" t="n">
        <v>0</v>
      </c>
      <c r="P344" t="n">
        <v>0</v>
      </c>
      <c r="Q344" t="n">
        <v>0</v>
      </c>
      <c r="R344" s="2" t="inlineStr"/>
    </row>
    <row r="345" ht="15" customHeight="1">
      <c r="A345" t="inlineStr">
        <is>
          <t>A 37764-2022</t>
        </is>
      </c>
      <c r="B345" s="1" t="n">
        <v>44810</v>
      </c>
      <c r="C345" s="1" t="n">
        <v>46188</v>
      </c>
      <c r="D345" t="inlineStr">
        <is>
          <t>SKÅNE LÄN</t>
        </is>
      </c>
      <c r="E345" t="inlineStr">
        <is>
          <t>HÄSSLEHOLM</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51018-2023</t>
        </is>
      </c>
      <c r="B346" s="1" t="n">
        <v>45218</v>
      </c>
      <c r="C346" s="1" t="n">
        <v>46188</v>
      </c>
      <c r="D346" t="inlineStr">
        <is>
          <t>SKÅNE LÄN</t>
        </is>
      </c>
      <c r="E346" t="inlineStr">
        <is>
          <t>HÄSSLEHOLM</t>
        </is>
      </c>
      <c r="G346" t="n">
        <v>3.1</v>
      </c>
      <c r="H346" t="n">
        <v>0</v>
      </c>
      <c r="I346" t="n">
        <v>0</v>
      </c>
      <c r="J346" t="n">
        <v>0</v>
      </c>
      <c r="K346" t="n">
        <v>0</v>
      </c>
      <c r="L346" t="n">
        <v>0</v>
      </c>
      <c r="M346" t="n">
        <v>0</v>
      </c>
      <c r="N346" t="n">
        <v>0</v>
      </c>
      <c r="O346" t="n">
        <v>0</v>
      </c>
      <c r="P346" t="n">
        <v>0</v>
      </c>
      <c r="Q346" t="n">
        <v>0</v>
      </c>
      <c r="R346" s="2" t="inlineStr"/>
    </row>
    <row r="347" ht="15" customHeight="1">
      <c r="A347" t="inlineStr">
        <is>
          <t>A 23005-2025</t>
        </is>
      </c>
      <c r="B347" s="1" t="n">
        <v>45790</v>
      </c>
      <c r="C347" s="1" t="n">
        <v>46188</v>
      </c>
      <c r="D347" t="inlineStr">
        <is>
          <t>SKÅNE LÄN</t>
        </is>
      </c>
      <c r="E347" t="inlineStr">
        <is>
          <t>HÄSSLEHOLM</t>
        </is>
      </c>
      <c r="G347" t="n">
        <v>0.3</v>
      </c>
      <c r="H347" t="n">
        <v>0</v>
      </c>
      <c r="I347" t="n">
        <v>0</v>
      </c>
      <c r="J347" t="n">
        <v>0</v>
      </c>
      <c r="K347" t="n">
        <v>0</v>
      </c>
      <c r="L347" t="n">
        <v>0</v>
      </c>
      <c r="M347" t="n">
        <v>0</v>
      </c>
      <c r="N347" t="n">
        <v>0</v>
      </c>
      <c r="O347" t="n">
        <v>0</v>
      </c>
      <c r="P347" t="n">
        <v>0</v>
      </c>
      <c r="Q347" t="n">
        <v>0</v>
      </c>
      <c r="R347" s="2" t="inlineStr"/>
    </row>
    <row r="348" ht="15" customHeight="1">
      <c r="A348" t="inlineStr">
        <is>
          <t>A 56797-2025</t>
        </is>
      </c>
      <c r="B348" s="1" t="n">
        <v>45978.43273148148</v>
      </c>
      <c r="C348" s="1" t="n">
        <v>46188</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56798-2025</t>
        </is>
      </c>
      <c r="B349" s="1" t="n">
        <v>45978.43378472222</v>
      </c>
      <c r="C349" s="1" t="n">
        <v>46188</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56794-2025</t>
        </is>
      </c>
      <c r="B350" s="1" t="n">
        <v>45978.43039351852</v>
      </c>
      <c r="C350" s="1" t="n">
        <v>46188</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60797-2024</t>
        </is>
      </c>
      <c r="B351" s="1" t="n">
        <v>45644</v>
      </c>
      <c r="C351" s="1" t="n">
        <v>46188</v>
      </c>
      <c r="D351" t="inlineStr">
        <is>
          <t>SKÅNE LÄN</t>
        </is>
      </c>
      <c r="E351" t="inlineStr">
        <is>
          <t>HÄSSLEHOLM</t>
        </is>
      </c>
      <c r="G351" t="n">
        <v>3.4</v>
      </c>
      <c r="H351" t="n">
        <v>0</v>
      </c>
      <c r="I351" t="n">
        <v>0</v>
      </c>
      <c r="J351" t="n">
        <v>0</v>
      </c>
      <c r="K351" t="n">
        <v>0</v>
      </c>
      <c r="L351" t="n">
        <v>0</v>
      </c>
      <c r="M351" t="n">
        <v>0</v>
      </c>
      <c r="N351" t="n">
        <v>0</v>
      </c>
      <c r="O351" t="n">
        <v>0</v>
      </c>
      <c r="P351" t="n">
        <v>0</v>
      </c>
      <c r="Q351" t="n">
        <v>0</v>
      </c>
      <c r="R351" s="2" t="inlineStr"/>
    </row>
    <row r="352" ht="15" customHeight="1">
      <c r="A352" t="inlineStr">
        <is>
          <t>A 43738-2025</t>
        </is>
      </c>
      <c r="B352" s="1" t="n">
        <v>45912.45037037037</v>
      </c>
      <c r="C352" s="1" t="n">
        <v>46188</v>
      </c>
      <c r="D352" t="inlineStr">
        <is>
          <t>SKÅNE LÄN</t>
        </is>
      </c>
      <c r="E352" t="inlineStr">
        <is>
          <t>HÄSSLEHOLM</t>
        </is>
      </c>
      <c r="G352" t="n">
        <v>1.3</v>
      </c>
      <c r="H352" t="n">
        <v>0</v>
      </c>
      <c r="I352" t="n">
        <v>0</v>
      </c>
      <c r="J352" t="n">
        <v>0</v>
      </c>
      <c r="K352" t="n">
        <v>0</v>
      </c>
      <c r="L352" t="n">
        <v>0</v>
      </c>
      <c r="M352" t="n">
        <v>0</v>
      </c>
      <c r="N352" t="n">
        <v>0</v>
      </c>
      <c r="O352" t="n">
        <v>0</v>
      </c>
      <c r="P352" t="n">
        <v>0</v>
      </c>
      <c r="Q352" t="n">
        <v>0</v>
      </c>
      <c r="R352" s="2" t="inlineStr"/>
    </row>
    <row r="353" ht="15" customHeight="1">
      <c r="A353" t="inlineStr">
        <is>
          <t>A 55569-2025</t>
        </is>
      </c>
      <c r="B353" s="1" t="n">
        <v>45971</v>
      </c>
      <c r="C353" s="1" t="n">
        <v>46188</v>
      </c>
      <c r="D353" t="inlineStr">
        <is>
          <t>SKÅNE LÄN</t>
        </is>
      </c>
      <c r="E353" t="inlineStr">
        <is>
          <t>HÄSSLEHOLM</t>
        </is>
      </c>
      <c r="G353" t="n">
        <v>4.2</v>
      </c>
      <c r="H353" t="n">
        <v>0</v>
      </c>
      <c r="I353" t="n">
        <v>0</v>
      </c>
      <c r="J353" t="n">
        <v>0</v>
      </c>
      <c r="K353" t="n">
        <v>0</v>
      </c>
      <c r="L353" t="n">
        <v>0</v>
      </c>
      <c r="M353" t="n">
        <v>0</v>
      </c>
      <c r="N353" t="n">
        <v>0</v>
      </c>
      <c r="O353" t="n">
        <v>0</v>
      </c>
      <c r="P353" t="n">
        <v>0</v>
      </c>
      <c r="Q353" t="n">
        <v>0</v>
      </c>
      <c r="R353" s="2" t="inlineStr"/>
    </row>
    <row r="354" ht="15" customHeight="1">
      <c r="A354" t="inlineStr">
        <is>
          <t>A 57817-2025</t>
        </is>
      </c>
      <c r="B354" s="1" t="n">
        <v>45981.59475694445</v>
      </c>
      <c r="C354" s="1" t="n">
        <v>46188</v>
      </c>
      <c r="D354" t="inlineStr">
        <is>
          <t>SKÅNE LÄN</t>
        </is>
      </c>
      <c r="E354" t="inlineStr">
        <is>
          <t>HÄSSLEHOLM</t>
        </is>
      </c>
      <c r="G354" t="n">
        <v>3.8</v>
      </c>
      <c r="H354" t="n">
        <v>0</v>
      </c>
      <c r="I354" t="n">
        <v>0</v>
      </c>
      <c r="J354" t="n">
        <v>0</v>
      </c>
      <c r="K354" t="n">
        <v>0</v>
      </c>
      <c r="L354" t="n">
        <v>0</v>
      </c>
      <c r="M354" t="n">
        <v>0</v>
      </c>
      <c r="N354" t="n">
        <v>0</v>
      </c>
      <c r="O354" t="n">
        <v>0</v>
      </c>
      <c r="P354" t="n">
        <v>0</v>
      </c>
      <c r="Q354" t="n">
        <v>0</v>
      </c>
      <c r="R354" s="2" t="inlineStr"/>
    </row>
    <row r="355" ht="15" customHeight="1">
      <c r="A355" t="inlineStr">
        <is>
          <t>A 30092-2025</t>
        </is>
      </c>
      <c r="B355" s="1" t="n">
        <v>45826</v>
      </c>
      <c r="C355" s="1" t="n">
        <v>46188</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30109-2025</t>
        </is>
      </c>
      <c r="B356" s="1" t="n">
        <v>45826</v>
      </c>
      <c r="C356" s="1" t="n">
        <v>46188</v>
      </c>
      <c r="D356" t="inlineStr">
        <is>
          <t>SKÅNE LÄN</t>
        </is>
      </c>
      <c r="E356" t="inlineStr">
        <is>
          <t>HÄSSLEHOLM</t>
        </is>
      </c>
      <c r="G356" t="n">
        <v>2.4</v>
      </c>
      <c r="H356" t="n">
        <v>0</v>
      </c>
      <c r="I356" t="n">
        <v>0</v>
      </c>
      <c r="J356" t="n">
        <v>0</v>
      </c>
      <c r="K356" t="n">
        <v>0</v>
      </c>
      <c r="L356" t="n">
        <v>0</v>
      </c>
      <c r="M356" t="n">
        <v>0</v>
      </c>
      <c r="N356" t="n">
        <v>0</v>
      </c>
      <c r="O356" t="n">
        <v>0</v>
      </c>
      <c r="P356" t="n">
        <v>0</v>
      </c>
      <c r="Q356" t="n">
        <v>0</v>
      </c>
      <c r="R356" s="2" t="inlineStr"/>
    </row>
    <row r="357" ht="15" customHeight="1">
      <c r="A357" t="inlineStr">
        <is>
          <t>A 19744-2023</t>
        </is>
      </c>
      <c r="B357" s="1" t="n">
        <v>45051</v>
      </c>
      <c r="C357" s="1" t="n">
        <v>46188</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44611-2025</t>
        </is>
      </c>
      <c r="B358" s="1" t="n">
        <v>45917.45109953704</v>
      </c>
      <c r="C358" s="1" t="n">
        <v>46188</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14926-2024</t>
        </is>
      </c>
      <c r="B359" s="1" t="n">
        <v>45398</v>
      </c>
      <c r="C359" s="1" t="n">
        <v>46188</v>
      </c>
      <c r="D359" t="inlineStr">
        <is>
          <t>SKÅNE LÄN</t>
        </is>
      </c>
      <c r="E359" t="inlineStr">
        <is>
          <t>HÄSSLEHOLM</t>
        </is>
      </c>
      <c r="G359" t="n">
        <v>3.4</v>
      </c>
      <c r="H359" t="n">
        <v>0</v>
      </c>
      <c r="I359" t="n">
        <v>0</v>
      </c>
      <c r="J359" t="n">
        <v>0</v>
      </c>
      <c r="K359" t="n">
        <v>0</v>
      </c>
      <c r="L359" t="n">
        <v>0</v>
      </c>
      <c r="M359" t="n">
        <v>0</v>
      </c>
      <c r="N359" t="n">
        <v>0</v>
      </c>
      <c r="O359" t="n">
        <v>0</v>
      </c>
      <c r="P359" t="n">
        <v>0</v>
      </c>
      <c r="Q359" t="n">
        <v>0</v>
      </c>
      <c r="R359" s="2" t="inlineStr"/>
    </row>
    <row r="360" ht="15" customHeight="1">
      <c r="A360" t="inlineStr">
        <is>
          <t>A 60843-2022</t>
        </is>
      </c>
      <c r="B360" s="1" t="n">
        <v>44914</v>
      </c>
      <c r="C360" s="1" t="n">
        <v>46188</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58241-2025</t>
        </is>
      </c>
      <c r="B361" s="1" t="n">
        <v>45985.38797453704</v>
      </c>
      <c r="C361" s="1" t="n">
        <v>46188</v>
      </c>
      <c r="D361" t="inlineStr">
        <is>
          <t>SKÅNE LÄN</t>
        </is>
      </c>
      <c r="E361" t="inlineStr">
        <is>
          <t>HÄSSLEHOLM</t>
        </is>
      </c>
      <c r="G361" t="n">
        <v>3.6</v>
      </c>
      <c r="H361" t="n">
        <v>0</v>
      </c>
      <c r="I361" t="n">
        <v>0</v>
      </c>
      <c r="J361" t="n">
        <v>0</v>
      </c>
      <c r="K361" t="n">
        <v>0</v>
      </c>
      <c r="L361" t="n">
        <v>0</v>
      </c>
      <c r="M361" t="n">
        <v>0</v>
      </c>
      <c r="N361" t="n">
        <v>0</v>
      </c>
      <c r="O361" t="n">
        <v>0</v>
      </c>
      <c r="P361" t="n">
        <v>0</v>
      </c>
      <c r="Q361" t="n">
        <v>0</v>
      </c>
      <c r="R361" s="2" t="inlineStr"/>
    </row>
    <row r="362" ht="15" customHeight="1">
      <c r="A362" t="inlineStr">
        <is>
          <t>A 44616-2025</t>
        </is>
      </c>
      <c r="B362" s="1" t="n">
        <v>45917.45572916666</v>
      </c>
      <c r="C362" s="1" t="n">
        <v>46188</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44614-2025</t>
        </is>
      </c>
      <c r="B363" s="1" t="n">
        <v>45917.45422453704</v>
      </c>
      <c r="C363" s="1" t="n">
        <v>46188</v>
      </c>
      <c r="D363" t="inlineStr">
        <is>
          <t>SKÅNE LÄN</t>
        </is>
      </c>
      <c r="E363" t="inlineStr">
        <is>
          <t>HÄSSLEHOLM</t>
        </is>
      </c>
      <c r="G363" t="n">
        <v>5.4</v>
      </c>
      <c r="H363" t="n">
        <v>0</v>
      </c>
      <c r="I363" t="n">
        <v>0</v>
      </c>
      <c r="J363" t="n">
        <v>0</v>
      </c>
      <c r="K363" t="n">
        <v>0</v>
      </c>
      <c r="L363" t="n">
        <v>0</v>
      </c>
      <c r="M363" t="n">
        <v>0</v>
      </c>
      <c r="N363" t="n">
        <v>0</v>
      </c>
      <c r="O363" t="n">
        <v>0</v>
      </c>
      <c r="P363" t="n">
        <v>0</v>
      </c>
      <c r="Q363" t="n">
        <v>0</v>
      </c>
      <c r="R363" s="2" t="inlineStr"/>
    </row>
    <row r="364" ht="15" customHeight="1">
      <c r="A364" t="inlineStr">
        <is>
          <t>A 61504-2022</t>
        </is>
      </c>
      <c r="B364" s="1" t="n">
        <v>44910</v>
      </c>
      <c r="C364" s="1" t="n">
        <v>46188</v>
      </c>
      <c r="D364" t="inlineStr">
        <is>
          <t>SKÅNE LÄN</t>
        </is>
      </c>
      <c r="E364" t="inlineStr">
        <is>
          <t>HÄSSLEHOLM</t>
        </is>
      </c>
      <c r="F364" t="inlineStr">
        <is>
          <t>Kyrkan</t>
        </is>
      </c>
      <c r="G364" t="n">
        <v>2.9</v>
      </c>
      <c r="H364" t="n">
        <v>0</v>
      </c>
      <c r="I364" t="n">
        <v>0</v>
      </c>
      <c r="J364" t="n">
        <v>0</v>
      </c>
      <c r="K364" t="n">
        <v>0</v>
      </c>
      <c r="L364" t="n">
        <v>0</v>
      </c>
      <c r="M364" t="n">
        <v>0</v>
      </c>
      <c r="N364" t="n">
        <v>0</v>
      </c>
      <c r="O364" t="n">
        <v>0</v>
      </c>
      <c r="P364" t="n">
        <v>0</v>
      </c>
      <c r="Q364" t="n">
        <v>0</v>
      </c>
      <c r="R364" s="2" t="inlineStr"/>
    </row>
    <row r="365" ht="15" customHeight="1">
      <c r="A365" t="inlineStr">
        <is>
          <t>A 45221-2025</t>
        </is>
      </c>
      <c r="B365" s="1" t="n">
        <v>45919.57760416667</v>
      </c>
      <c r="C365" s="1" t="n">
        <v>46188</v>
      </c>
      <c r="D365" t="inlineStr">
        <is>
          <t>SKÅNE LÄN</t>
        </is>
      </c>
      <c r="E365" t="inlineStr">
        <is>
          <t>HÄSSLEHOLM</t>
        </is>
      </c>
      <c r="G365" t="n">
        <v>1.7</v>
      </c>
      <c r="H365" t="n">
        <v>0</v>
      </c>
      <c r="I365" t="n">
        <v>0</v>
      </c>
      <c r="J365" t="n">
        <v>0</v>
      </c>
      <c r="K365" t="n">
        <v>0</v>
      </c>
      <c r="L365" t="n">
        <v>0</v>
      </c>
      <c r="M365" t="n">
        <v>0</v>
      </c>
      <c r="N365" t="n">
        <v>0</v>
      </c>
      <c r="O365" t="n">
        <v>0</v>
      </c>
      <c r="P365" t="n">
        <v>0</v>
      </c>
      <c r="Q365" t="n">
        <v>0</v>
      </c>
      <c r="R365" s="2" t="inlineStr"/>
    </row>
    <row r="366" ht="15" customHeight="1">
      <c r="A366" t="inlineStr">
        <is>
          <t>A 19739-2023</t>
        </is>
      </c>
      <c r="B366" s="1" t="n">
        <v>45051</v>
      </c>
      <c r="C366" s="1" t="n">
        <v>46188</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52968-2022</t>
        </is>
      </c>
      <c r="B367" s="1" t="n">
        <v>44875</v>
      </c>
      <c r="C367" s="1" t="n">
        <v>46188</v>
      </c>
      <c r="D367" t="inlineStr">
        <is>
          <t>SKÅNE LÄN</t>
        </is>
      </c>
      <c r="E367" t="inlineStr">
        <is>
          <t>HÄSSLEHOLM</t>
        </is>
      </c>
      <c r="G367" t="n">
        <v>2.6</v>
      </c>
      <c r="H367" t="n">
        <v>0</v>
      </c>
      <c r="I367" t="n">
        <v>0</v>
      </c>
      <c r="J367" t="n">
        <v>0</v>
      </c>
      <c r="K367" t="n">
        <v>0</v>
      </c>
      <c r="L367" t="n">
        <v>0</v>
      </c>
      <c r="M367" t="n">
        <v>0</v>
      </c>
      <c r="N367" t="n">
        <v>0</v>
      </c>
      <c r="O367" t="n">
        <v>0</v>
      </c>
      <c r="P367" t="n">
        <v>0</v>
      </c>
      <c r="Q367" t="n">
        <v>0</v>
      </c>
      <c r="R367" s="2" t="inlineStr"/>
    </row>
    <row r="368" ht="15" customHeight="1">
      <c r="A368" t="inlineStr">
        <is>
          <t>A 56069-2024</t>
        </is>
      </c>
      <c r="B368" s="1" t="n">
        <v>45624.38006944444</v>
      </c>
      <c r="C368" s="1" t="n">
        <v>46188</v>
      </c>
      <c r="D368" t="inlineStr">
        <is>
          <t>SKÅNE LÄN</t>
        </is>
      </c>
      <c r="E368" t="inlineStr">
        <is>
          <t>HÄSSLEHOLM</t>
        </is>
      </c>
      <c r="F368" t="inlineStr">
        <is>
          <t>Övriga Aktiebolag</t>
        </is>
      </c>
      <c r="G368" t="n">
        <v>2.3</v>
      </c>
      <c r="H368" t="n">
        <v>0</v>
      </c>
      <c r="I368" t="n">
        <v>0</v>
      </c>
      <c r="J368" t="n">
        <v>0</v>
      </c>
      <c r="K368" t="n">
        <v>0</v>
      </c>
      <c r="L368" t="n">
        <v>0</v>
      </c>
      <c r="M368" t="n">
        <v>0</v>
      </c>
      <c r="N368" t="n">
        <v>0</v>
      </c>
      <c r="O368" t="n">
        <v>0</v>
      </c>
      <c r="P368" t="n">
        <v>0</v>
      </c>
      <c r="Q368" t="n">
        <v>0</v>
      </c>
      <c r="R368" s="2" t="inlineStr"/>
    </row>
    <row r="369" ht="15" customHeight="1">
      <c r="A369" t="inlineStr">
        <is>
          <t>A 45496-2025</t>
        </is>
      </c>
      <c r="B369" s="1" t="n">
        <v>45922</v>
      </c>
      <c r="C369" s="1" t="n">
        <v>46188</v>
      </c>
      <c r="D369" t="inlineStr">
        <is>
          <t>SKÅNE LÄN</t>
        </is>
      </c>
      <c r="E369" t="inlineStr">
        <is>
          <t>HÄSSLEHOLM</t>
        </is>
      </c>
      <c r="G369" t="n">
        <v>1.3</v>
      </c>
      <c r="H369" t="n">
        <v>0</v>
      </c>
      <c r="I369" t="n">
        <v>0</v>
      </c>
      <c r="J369" t="n">
        <v>0</v>
      </c>
      <c r="K369" t="n">
        <v>0</v>
      </c>
      <c r="L369" t="n">
        <v>0</v>
      </c>
      <c r="M369" t="n">
        <v>0</v>
      </c>
      <c r="N369" t="n">
        <v>0</v>
      </c>
      <c r="O369" t="n">
        <v>0</v>
      </c>
      <c r="P369" t="n">
        <v>0</v>
      </c>
      <c r="Q369" t="n">
        <v>0</v>
      </c>
      <c r="R369" s="2" t="inlineStr"/>
    </row>
    <row r="370" ht="15" customHeight="1">
      <c r="A370" t="inlineStr">
        <is>
          <t>A 59763-2022</t>
        </is>
      </c>
      <c r="B370" s="1" t="n">
        <v>44900</v>
      </c>
      <c r="C370" s="1" t="n">
        <v>46188</v>
      </c>
      <c r="D370" t="inlineStr">
        <is>
          <t>SKÅNE LÄN</t>
        </is>
      </c>
      <c r="E370" t="inlineStr">
        <is>
          <t>HÄSSLEHOLM</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3364-2023</t>
        </is>
      </c>
      <c r="B371" s="1" t="n">
        <v>44949</v>
      </c>
      <c r="C371" s="1" t="n">
        <v>46188</v>
      </c>
      <c r="D371" t="inlineStr">
        <is>
          <t>SKÅNE LÄN</t>
        </is>
      </c>
      <c r="E371" t="inlineStr">
        <is>
          <t>HÄSSLEHOLM</t>
        </is>
      </c>
      <c r="G371" t="n">
        <v>5.1</v>
      </c>
      <c r="H371" t="n">
        <v>0</v>
      </c>
      <c r="I371" t="n">
        <v>0</v>
      </c>
      <c r="J371" t="n">
        <v>0</v>
      </c>
      <c r="K371" t="n">
        <v>0</v>
      </c>
      <c r="L371" t="n">
        <v>0</v>
      </c>
      <c r="M371" t="n">
        <v>0</v>
      </c>
      <c r="N371" t="n">
        <v>0</v>
      </c>
      <c r="O371" t="n">
        <v>0</v>
      </c>
      <c r="P371" t="n">
        <v>0</v>
      </c>
      <c r="Q371" t="n">
        <v>0</v>
      </c>
      <c r="R371" s="2" t="inlineStr"/>
    </row>
    <row r="372" ht="15" customHeight="1">
      <c r="A372" t="inlineStr">
        <is>
          <t>A 45763-2025</t>
        </is>
      </c>
      <c r="B372" s="1" t="n">
        <v>45923.51778935185</v>
      </c>
      <c r="C372" s="1" t="n">
        <v>46188</v>
      </c>
      <c r="D372" t="inlineStr">
        <is>
          <t>SKÅNE LÄN</t>
        </is>
      </c>
      <c r="E372" t="inlineStr">
        <is>
          <t>HÄSSLEHOLM</t>
        </is>
      </c>
      <c r="G372" t="n">
        <v>4.8</v>
      </c>
      <c r="H372" t="n">
        <v>0</v>
      </c>
      <c r="I372" t="n">
        <v>0</v>
      </c>
      <c r="J372" t="n">
        <v>0</v>
      </c>
      <c r="K372" t="n">
        <v>0</v>
      </c>
      <c r="L372" t="n">
        <v>0</v>
      </c>
      <c r="M372" t="n">
        <v>0</v>
      </c>
      <c r="N372" t="n">
        <v>0</v>
      </c>
      <c r="O372" t="n">
        <v>0</v>
      </c>
      <c r="P372" t="n">
        <v>0</v>
      </c>
      <c r="Q372" t="n">
        <v>0</v>
      </c>
      <c r="R372" s="2" t="inlineStr"/>
    </row>
    <row r="373" ht="15" customHeight="1">
      <c r="A373" t="inlineStr">
        <is>
          <t>A 45764-2025</t>
        </is>
      </c>
      <c r="B373" s="1" t="n">
        <v>45923.52037037037</v>
      </c>
      <c r="C373" s="1" t="n">
        <v>46188</v>
      </c>
      <c r="D373" t="inlineStr">
        <is>
          <t>SKÅNE LÄN</t>
        </is>
      </c>
      <c r="E373" t="inlineStr">
        <is>
          <t>HÄSSLEHOLM</t>
        </is>
      </c>
      <c r="G373" t="n">
        <v>6.3</v>
      </c>
      <c r="H373" t="n">
        <v>0</v>
      </c>
      <c r="I373" t="n">
        <v>0</v>
      </c>
      <c r="J373" t="n">
        <v>0</v>
      </c>
      <c r="K373" t="n">
        <v>0</v>
      </c>
      <c r="L373" t="n">
        <v>0</v>
      </c>
      <c r="M373" t="n">
        <v>0</v>
      </c>
      <c r="N373" t="n">
        <v>0</v>
      </c>
      <c r="O373" t="n">
        <v>0</v>
      </c>
      <c r="P373" t="n">
        <v>0</v>
      </c>
      <c r="Q373" t="n">
        <v>0</v>
      </c>
      <c r="R373" s="2" t="inlineStr"/>
    </row>
    <row r="374" ht="15" customHeight="1">
      <c r="A374" t="inlineStr">
        <is>
          <t>A 52642-2021</t>
        </is>
      </c>
      <c r="B374" s="1" t="n">
        <v>44466.64298611111</v>
      </c>
      <c r="C374" s="1" t="n">
        <v>46188</v>
      </c>
      <c r="D374" t="inlineStr">
        <is>
          <t>SKÅNE LÄN</t>
        </is>
      </c>
      <c r="E374" t="inlineStr">
        <is>
          <t>HÄSSLEHOLM</t>
        </is>
      </c>
      <c r="G374" t="n">
        <v>3.7</v>
      </c>
      <c r="H374" t="n">
        <v>0</v>
      </c>
      <c r="I374" t="n">
        <v>0</v>
      </c>
      <c r="J374" t="n">
        <v>0</v>
      </c>
      <c r="K374" t="n">
        <v>0</v>
      </c>
      <c r="L374" t="n">
        <v>0</v>
      </c>
      <c r="M374" t="n">
        <v>0</v>
      </c>
      <c r="N374" t="n">
        <v>0</v>
      </c>
      <c r="O374" t="n">
        <v>0</v>
      </c>
      <c r="P374" t="n">
        <v>0</v>
      </c>
      <c r="Q374" t="n">
        <v>0</v>
      </c>
      <c r="R374" s="2" t="inlineStr"/>
    </row>
    <row r="375" ht="15" customHeight="1">
      <c r="A375" t="inlineStr">
        <is>
          <t>A 15562-2024</t>
        </is>
      </c>
      <c r="B375" s="1" t="n">
        <v>45401.64975694445</v>
      </c>
      <c r="C375" s="1" t="n">
        <v>46188</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45683-2025</t>
        </is>
      </c>
      <c r="B376" s="1" t="n">
        <v>45923.37590277778</v>
      </c>
      <c r="C376" s="1" t="n">
        <v>46188</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45516-2025</t>
        </is>
      </c>
      <c r="B377" s="1" t="n">
        <v>45922</v>
      </c>
      <c r="C377" s="1" t="n">
        <v>46188</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11753-2025</t>
        </is>
      </c>
      <c r="B378" s="1" t="n">
        <v>45727</v>
      </c>
      <c r="C378" s="1" t="n">
        <v>46188</v>
      </c>
      <c r="D378" t="inlineStr">
        <is>
          <t>SKÅNE LÄN</t>
        </is>
      </c>
      <c r="E378" t="inlineStr">
        <is>
          <t>HÄSSLEHOLM</t>
        </is>
      </c>
      <c r="G378" t="n">
        <v>2.7</v>
      </c>
      <c r="H378" t="n">
        <v>0</v>
      </c>
      <c r="I378" t="n">
        <v>0</v>
      </c>
      <c r="J378" t="n">
        <v>0</v>
      </c>
      <c r="K378" t="n">
        <v>0</v>
      </c>
      <c r="L378" t="n">
        <v>0</v>
      </c>
      <c r="M378" t="n">
        <v>0</v>
      </c>
      <c r="N378" t="n">
        <v>0</v>
      </c>
      <c r="O378" t="n">
        <v>0</v>
      </c>
      <c r="P378" t="n">
        <v>0</v>
      </c>
      <c r="Q378" t="n">
        <v>0</v>
      </c>
      <c r="R378" s="2" t="inlineStr"/>
    </row>
    <row r="379" ht="15" customHeight="1">
      <c r="A379" t="inlineStr">
        <is>
          <t>A 45514-2025</t>
        </is>
      </c>
      <c r="B379" s="1" t="n">
        <v>45922</v>
      </c>
      <c r="C379" s="1" t="n">
        <v>46188</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11121-2023</t>
        </is>
      </c>
      <c r="B380" s="1" t="n">
        <v>44986</v>
      </c>
      <c r="C380" s="1" t="n">
        <v>46188</v>
      </c>
      <c r="D380" t="inlineStr">
        <is>
          <t>SKÅNE LÄN</t>
        </is>
      </c>
      <c r="E380" t="inlineStr">
        <is>
          <t>HÄSSLEHOLM</t>
        </is>
      </c>
      <c r="F380" t="inlineStr">
        <is>
          <t>Kommuner</t>
        </is>
      </c>
      <c r="G380" t="n">
        <v>5.8</v>
      </c>
      <c r="H380" t="n">
        <v>0</v>
      </c>
      <c r="I380" t="n">
        <v>0</v>
      </c>
      <c r="J380" t="n">
        <v>0</v>
      </c>
      <c r="K380" t="n">
        <v>0</v>
      </c>
      <c r="L380" t="n">
        <v>0</v>
      </c>
      <c r="M380" t="n">
        <v>0</v>
      </c>
      <c r="N380" t="n">
        <v>0</v>
      </c>
      <c r="O380" t="n">
        <v>0</v>
      </c>
      <c r="P380" t="n">
        <v>0</v>
      </c>
      <c r="Q380" t="n">
        <v>0</v>
      </c>
      <c r="R380" s="2" t="inlineStr"/>
    </row>
    <row r="381" ht="15" customHeight="1">
      <c r="A381" t="inlineStr">
        <is>
          <t>A 11116-2023</t>
        </is>
      </c>
      <c r="B381" s="1" t="n">
        <v>44986</v>
      </c>
      <c r="C381" s="1" t="n">
        <v>46188</v>
      </c>
      <c r="D381" t="inlineStr">
        <is>
          <t>SKÅNE LÄN</t>
        </is>
      </c>
      <c r="E381" t="inlineStr">
        <is>
          <t>HÄSSLEHOLM</t>
        </is>
      </c>
      <c r="F381" t="inlineStr">
        <is>
          <t>Kommuner</t>
        </is>
      </c>
      <c r="G381" t="n">
        <v>15.1</v>
      </c>
      <c r="H381" t="n">
        <v>0</v>
      </c>
      <c r="I381" t="n">
        <v>0</v>
      </c>
      <c r="J381" t="n">
        <v>0</v>
      </c>
      <c r="K381" t="n">
        <v>0</v>
      </c>
      <c r="L381" t="n">
        <v>0</v>
      </c>
      <c r="M381" t="n">
        <v>0</v>
      </c>
      <c r="N381" t="n">
        <v>0</v>
      </c>
      <c r="O381" t="n">
        <v>0</v>
      </c>
      <c r="P381" t="n">
        <v>0</v>
      </c>
      <c r="Q381" t="n">
        <v>0</v>
      </c>
      <c r="R381" s="2" t="inlineStr"/>
    </row>
    <row r="382" ht="15" customHeight="1">
      <c r="A382" t="inlineStr">
        <is>
          <t>A 45762-2025</t>
        </is>
      </c>
      <c r="B382" s="1" t="n">
        <v>45923.51548611111</v>
      </c>
      <c r="C382" s="1" t="n">
        <v>46188</v>
      </c>
      <c r="D382" t="inlineStr">
        <is>
          <t>SKÅNE LÄN</t>
        </is>
      </c>
      <c r="E382" t="inlineStr">
        <is>
          <t>HÄSSLEHOLM</t>
        </is>
      </c>
      <c r="G382" t="n">
        <v>2.3</v>
      </c>
      <c r="H382" t="n">
        <v>0</v>
      </c>
      <c r="I382" t="n">
        <v>0</v>
      </c>
      <c r="J382" t="n">
        <v>0</v>
      </c>
      <c r="K382" t="n">
        <v>0</v>
      </c>
      <c r="L382" t="n">
        <v>0</v>
      </c>
      <c r="M382" t="n">
        <v>0</v>
      </c>
      <c r="N382" t="n">
        <v>0</v>
      </c>
      <c r="O382" t="n">
        <v>0</v>
      </c>
      <c r="P382" t="n">
        <v>0</v>
      </c>
      <c r="Q382" t="n">
        <v>0</v>
      </c>
      <c r="R382" s="2" t="inlineStr"/>
    </row>
    <row r="383" ht="15" customHeight="1">
      <c r="A383" t="inlineStr">
        <is>
          <t>A 9668-2025</t>
        </is>
      </c>
      <c r="B383" s="1" t="n">
        <v>45716</v>
      </c>
      <c r="C383" s="1" t="n">
        <v>46188</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9678-2025</t>
        </is>
      </c>
      <c r="B384" s="1" t="n">
        <v>45716</v>
      </c>
      <c r="C384" s="1" t="n">
        <v>46188</v>
      </c>
      <c r="D384" t="inlineStr">
        <is>
          <t>SKÅNE LÄN</t>
        </is>
      </c>
      <c r="E384" t="inlineStr">
        <is>
          <t>HÄSSLEHOLM</t>
        </is>
      </c>
      <c r="G384" t="n">
        <v>2.1</v>
      </c>
      <c r="H384" t="n">
        <v>0</v>
      </c>
      <c r="I384" t="n">
        <v>0</v>
      </c>
      <c r="J384" t="n">
        <v>0</v>
      </c>
      <c r="K384" t="n">
        <v>0</v>
      </c>
      <c r="L384" t="n">
        <v>0</v>
      </c>
      <c r="M384" t="n">
        <v>0</v>
      </c>
      <c r="N384" t="n">
        <v>0</v>
      </c>
      <c r="O384" t="n">
        <v>0</v>
      </c>
      <c r="P384" t="n">
        <v>0</v>
      </c>
      <c r="Q384" t="n">
        <v>0</v>
      </c>
      <c r="R384" s="2" t="inlineStr"/>
    </row>
    <row r="385" ht="15" customHeight="1">
      <c r="A385" t="inlineStr">
        <is>
          <t>A 28071-2023</t>
        </is>
      </c>
      <c r="B385" s="1" t="n">
        <v>45099.37755787037</v>
      </c>
      <c r="C385" s="1" t="n">
        <v>46188</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23946-2023</t>
        </is>
      </c>
      <c r="B386" s="1" t="n">
        <v>45078.61601851852</v>
      </c>
      <c r="C386" s="1" t="n">
        <v>46188</v>
      </c>
      <c r="D386" t="inlineStr">
        <is>
          <t>SKÅNE LÄN</t>
        </is>
      </c>
      <c r="E386" t="inlineStr">
        <is>
          <t>HÄSSLEHOLM</t>
        </is>
      </c>
      <c r="G386" t="n">
        <v>0.2</v>
      </c>
      <c r="H386" t="n">
        <v>0</v>
      </c>
      <c r="I386" t="n">
        <v>0</v>
      </c>
      <c r="J386" t="n">
        <v>0</v>
      </c>
      <c r="K386" t="n">
        <v>0</v>
      </c>
      <c r="L386" t="n">
        <v>0</v>
      </c>
      <c r="M386" t="n">
        <v>0</v>
      </c>
      <c r="N386" t="n">
        <v>0</v>
      </c>
      <c r="O386" t="n">
        <v>0</v>
      </c>
      <c r="P386" t="n">
        <v>0</v>
      </c>
      <c r="Q386" t="n">
        <v>0</v>
      </c>
      <c r="R386" s="2" t="inlineStr"/>
    </row>
    <row r="387" ht="15" customHeight="1">
      <c r="A387" t="inlineStr">
        <is>
          <t>A 41459-2022</t>
        </is>
      </c>
      <c r="B387" s="1" t="n">
        <v>44826.93372685185</v>
      </c>
      <c r="C387" s="1" t="n">
        <v>46188</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1616-2025</t>
        </is>
      </c>
      <c r="B388" s="1" t="n">
        <v>45670</v>
      </c>
      <c r="C388" s="1" t="n">
        <v>46188</v>
      </c>
      <c r="D388" t="inlineStr">
        <is>
          <t>SKÅNE LÄN</t>
        </is>
      </c>
      <c r="E388" t="inlineStr">
        <is>
          <t>HÄSSLEHOLM</t>
        </is>
      </c>
      <c r="G388" t="n">
        <v>3.6</v>
      </c>
      <c r="H388" t="n">
        <v>0</v>
      </c>
      <c r="I388" t="n">
        <v>0</v>
      </c>
      <c r="J388" t="n">
        <v>0</v>
      </c>
      <c r="K388" t="n">
        <v>0</v>
      </c>
      <c r="L388" t="n">
        <v>0</v>
      </c>
      <c r="M388" t="n">
        <v>0</v>
      </c>
      <c r="N388" t="n">
        <v>0</v>
      </c>
      <c r="O388" t="n">
        <v>0</v>
      </c>
      <c r="P388" t="n">
        <v>0</v>
      </c>
      <c r="Q388" t="n">
        <v>0</v>
      </c>
      <c r="R388" s="2" t="inlineStr"/>
    </row>
    <row r="389" ht="15" customHeight="1">
      <c r="A389" t="inlineStr">
        <is>
          <t>A 53055-2021</t>
        </is>
      </c>
      <c r="B389" s="1" t="n">
        <v>44467</v>
      </c>
      <c r="C389" s="1" t="n">
        <v>46188</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46786-2025</t>
        </is>
      </c>
      <c r="B390" s="1" t="n">
        <v>45926.64484953704</v>
      </c>
      <c r="C390" s="1" t="n">
        <v>46188</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47127-2025</t>
        </is>
      </c>
      <c r="B391" s="1" t="n">
        <v>45929.6893287037</v>
      </c>
      <c r="C391" s="1" t="n">
        <v>46188</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46605-2025</t>
        </is>
      </c>
      <c r="B392" s="1" t="n">
        <v>45926.41214120371</v>
      </c>
      <c r="C392" s="1" t="n">
        <v>46188</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29847-2024</t>
        </is>
      </c>
      <c r="B393" s="1" t="n">
        <v>45485.6278587963</v>
      </c>
      <c r="C393" s="1" t="n">
        <v>46188</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22384-2024</t>
        </is>
      </c>
      <c r="B394" s="1" t="n">
        <v>45446.65592592592</v>
      </c>
      <c r="C394" s="1" t="n">
        <v>46188</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25726-2025</t>
        </is>
      </c>
      <c r="B395" s="1" t="n">
        <v>45803</v>
      </c>
      <c r="C395" s="1" t="n">
        <v>46188</v>
      </c>
      <c r="D395" t="inlineStr">
        <is>
          <t>SKÅNE LÄN</t>
        </is>
      </c>
      <c r="E395" t="inlineStr">
        <is>
          <t>HÄSSLEHOLM</t>
        </is>
      </c>
      <c r="G395" t="n">
        <v>5.5</v>
      </c>
      <c r="H395" t="n">
        <v>0</v>
      </c>
      <c r="I395" t="n">
        <v>0</v>
      </c>
      <c r="J395" t="n">
        <v>0</v>
      </c>
      <c r="K395" t="n">
        <v>0</v>
      </c>
      <c r="L395" t="n">
        <v>0</v>
      </c>
      <c r="M395" t="n">
        <v>0</v>
      </c>
      <c r="N395" t="n">
        <v>0</v>
      </c>
      <c r="O395" t="n">
        <v>0</v>
      </c>
      <c r="P395" t="n">
        <v>0</v>
      </c>
      <c r="Q395" t="n">
        <v>0</v>
      </c>
      <c r="R395" s="2" t="inlineStr"/>
    </row>
    <row r="396" ht="15" customHeight="1">
      <c r="A396" t="inlineStr">
        <is>
          <t>A 51571-2023</t>
        </is>
      </c>
      <c r="B396" s="1" t="n">
        <v>45222</v>
      </c>
      <c r="C396" s="1" t="n">
        <v>46188</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62264-2025</t>
        </is>
      </c>
      <c r="B397" s="1" t="n">
        <v>46006.61644675926</v>
      </c>
      <c r="C397" s="1" t="n">
        <v>46188</v>
      </c>
      <c r="D397" t="inlineStr">
        <is>
          <t>SKÅNE LÄN</t>
        </is>
      </c>
      <c r="E397" t="inlineStr">
        <is>
          <t>HÄSSLEHOLM</t>
        </is>
      </c>
      <c r="G397" t="n">
        <v>7.5</v>
      </c>
      <c r="H397" t="n">
        <v>0</v>
      </c>
      <c r="I397" t="n">
        <v>0</v>
      </c>
      <c r="J397" t="n">
        <v>0</v>
      </c>
      <c r="K397" t="n">
        <v>0</v>
      </c>
      <c r="L397" t="n">
        <v>0</v>
      </c>
      <c r="M397" t="n">
        <v>0</v>
      </c>
      <c r="N397" t="n">
        <v>0</v>
      </c>
      <c r="O397" t="n">
        <v>0</v>
      </c>
      <c r="P397" t="n">
        <v>0</v>
      </c>
      <c r="Q397" t="n">
        <v>0</v>
      </c>
      <c r="R397" s="2" t="inlineStr"/>
    </row>
    <row r="398" ht="15" customHeight="1">
      <c r="A398" t="inlineStr">
        <is>
          <t>A 49181-2024</t>
        </is>
      </c>
      <c r="B398" s="1" t="n">
        <v>45595</v>
      </c>
      <c r="C398" s="1" t="n">
        <v>46188</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46813-2024</t>
        </is>
      </c>
      <c r="B399" s="1" t="n">
        <v>45583</v>
      </c>
      <c r="C399" s="1" t="n">
        <v>46188</v>
      </c>
      <c r="D399" t="inlineStr">
        <is>
          <t>SKÅNE LÄN</t>
        </is>
      </c>
      <c r="E399" t="inlineStr">
        <is>
          <t>HÄSSLEHOLM</t>
        </is>
      </c>
      <c r="G399" t="n">
        <v>14.9</v>
      </c>
      <c r="H399" t="n">
        <v>0</v>
      </c>
      <c r="I399" t="n">
        <v>0</v>
      </c>
      <c r="J399" t="n">
        <v>0</v>
      </c>
      <c r="K399" t="n">
        <v>0</v>
      </c>
      <c r="L399" t="n">
        <v>0</v>
      </c>
      <c r="M399" t="n">
        <v>0</v>
      </c>
      <c r="N399" t="n">
        <v>0</v>
      </c>
      <c r="O399" t="n">
        <v>0</v>
      </c>
      <c r="P399" t="n">
        <v>0</v>
      </c>
      <c r="Q399" t="n">
        <v>0</v>
      </c>
      <c r="R399" s="2" t="inlineStr"/>
    </row>
    <row r="400" ht="15" customHeight="1">
      <c r="A400" t="inlineStr">
        <is>
          <t>A 32794-2023</t>
        </is>
      </c>
      <c r="B400" s="1" t="n">
        <v>45124.40446759259</v>
      </c>
      <c r="C400" s="1" t="n">
        <v>46188</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61436-2024</t>
        </is>
      </c>
      <c r="B401" s="1" t="n">
        <v>45646.46329861111</v>
      </c>
      <c r="C401" s="1" t="n">
        <v>46188</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37300-2023</t>
        </is>
      </c>
      <c r="B402" s="1" t="n">
        <v>45156</v>
      </c>
      <c r="C402" s="1" t="n">
        <v>46188</v>
      </c>
      <c r="D402" t="inlineStr">
        <is>
          <t>SKÅNE LÄN</t>
        </is>
      </c>
      <c r="E402" t="inlineStr">
        <is>
          <t>HÄSSLEHOLM</t>
        </is>
      </c>
      <c r="G402" t="n">
        <v>1.5</v>
      </c>
      <c r="H402" t="n">
        <v>0</v>
      </c>
      <c r="I402" t="n">
        <v>0</v>
      </c>
      <c r="J402" t="n">
        <v>0</v>
      </c>
      <c r="K402" t="n">
        <v>0</v>
      </c>
      <c r="L402" t="n">
        <v>0</v>
      </c>
      <c r="M402" t="n">
        <v>0</v>
      </c>
      <c r="N402" t="n">
        <v>0</v>
      </c>
      <c r="O402" t="n">
        <v>0</v>
      </c>
      <c r="P402" t="n">
        <v>0</v>
      </c>
      <c r="Q402" t="n">
        <v>0</v>
      </c>
      <c r="R402" s="2" t="inlineStr"/>
    </row>
    <row r="403" ht="15" customHeight="1">
      <c r="A403" t="inlineStr">
        <is>
          <t>A 35644-2023</t>
        </is>
      </c>
      <c r="B403" s="1" t="n">
        <v>45147</v>
      </c>
      <c r="C403" s="1" t="n">
        <v>46188</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27349-2025</t>
        </is>
      </c>
      <c r="B404" s="1" t="n">
        <v>45812</v>
      </c>
      <c r="C404" s="1" t="n">
        <v>46188</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63415-2025</t>
        </is>
      </c>
      <c r="B405" s="1" t="n">
        <v>46013.32163194445</v>
      </c>
      <c r="C405" s="1" t="n">
        <v>46188</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63510-2025</t>
        </is>
      </c>
      <c r="B406" s="1" t="n">
        <v>46013.49172453704</v>
      </c>
      <c r="C406" s="1" t="n">
        <v>46188</v>
      </c>
      <c r="D406" t="inlineStr">
        <is>
          <t>SKÅNE LÄN</t>
        </is>
      </c>
      <c r="E406" t="inlineStr">
        <is>
          <t>HÄSSLEHOLM</t>
        </is>
      </c>
      <c r="F406" t="inlineStr">
        <is>
          <t>Kommuner</t>
        </is>
      </c>
      <c r="G406" t="n">
        <v>2</v>
      </c>
      <c r="H406" t="n">
        <v>0</v>
      </c>
      <c r="I406" t="n">
        <v>0</v>
      </c>
      <c r="J406" t="n">
        <v>0</v>
      </c>
      <c r="K406" t="n">
        <v>0</v>
      </c>
      <c r="L406" t="n">
        <v>0</v>
      </c>
      <c r="M406" t="n">
        <v>0</v>
      </c>
      <c r="N406" t="n">
        <v>0</v>
      </c>
      <c r="O406" t="n">
        <v>0</v>
      </c>
      <c r="P406" t="n">
        <v>0</v>
      </c>
      <c r="Q406" t="n">
        <v>0</v>
      </c>
      <c r="R406" s="2" t="inlineStr"/>
    </row>
    <row r="407" ht="15" customHeight="1">
      <c r="A407" t="inlineStr">
        <is>
          <t>A 3123-2023</t>
        </is>
      </c>
      <c r="B407" s="1" t="n">
        <v>44946.4925</v>
      </c>
      <c r="C407" s="1" t="n">
        <v>46188</v>
      </c>
      <c r="D407" t="inlineStr">
        <is>
          <t>SKÅNE LÄN</t>
        </is>
      </c>
      <c r="E407" t="inlineStr">
        <is>
          <t>HÄSSLEHOLM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3126-2023</t>
        </is>
      </c>
      <c r="B408" s="1" t="n">
        <v>44946.49570601852</v>
      </c>
      <c r="C408" s="1" t="n">
        <v>46188</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63354-2025</t>
        </is>
      </c>
      <c r="B409" s="1" t="n">
        <v>46010.66957175926</v>
      </c>
      <c r="C409" s="1" t="n">
        <v>46188</v>
      </c>
      <c r="D409" t="inlineStr">
        <is>
          <t>SKÅNE LÄN</t>
        </is>
      </c>
      <c r="E409" t="inlineStr">
        <is>
          <t>HÄSSLEHOLM</t>
        </is>
      </c>
      <c r="G409" t="n">
        <v>1.3</v>
      </c>
      <c r="H409" t="n">
        <v>0</v>
      </c>
      <c r="I409" t="n">
        <v>0</v>
      </c>
      <c r="J409" t="n">
        <v>0</v>
      </c>
      <c r="K409" t="n">
        <v>0</v>
      </c>
      <c r="L409" t="n">
        <v>0</v>
      </c>
      <c r="M409" t="n">
        <v>0</v>
      </c>
      <c r="N409" t="n">
        <v>0</v>
      </c>
      <c r="O409" t="n">
        <v>0</v>
      </c>
      <c r="P409" t="n">
        <v>0</v>
      </c>
      <c r="Q409" t="n">
        <v>0</v>
      </c>
      <c r="R409" s="2" t="inlineStr"/>
    </row>
    <row r="410" ht="15" customHeight="1">
      <c r="A410" t="inlineStr">
        <is>
          <t>A 63487-2025</t>
        </is>
      </c>
      <c r="B410" s="1" t="n">
        <v>46013.46878472222</v>
      </c>
      <c r="C410" s="1" t="n">
        <v>46188</v>
      </c>
      <c r="D410" t="inlineStr">
        <is>
          <t>SKÅNE LÄN</t>
        </is>
      </c>
      <c r="E410" t="inlineStr">
        <is>
          <t>HÄSSLEHOLM</t>
        </is>
      </c>
      <c r="F410" t="inlineStr">
        <is>
          <t>Kommuner</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37318-2024</t>
        </is>
      </c>
      <c r="B411" s="1" t="n">
        <v>45540</v>
      </c>
      <c r="C411" s="1" t="n">
        <v>46188</v>
      </c>
      <c r="D411" t="inlineStr">
        <is>
          <t>SKÅNE LÄN</t>
        </is>
      </c>
      <c r="E411" t="inlineStr">
        <is>
          <t>HÄSSLEHOLM</t>
        </is>
      </c>
      <c r="G411" t="n">
        <v>3.9</v>
      </c>
      <c r="H411" t="n">
        <v>0</v>
      </c>
      <c r="I411" t="n">
        <v>0</v>
      </c>
      <c r="J411" t="n">
        <v>0</v>
      </c>
      <c r="K411" t="n">
        <v>0</v>
      </c>
      <c r="L411" t="n">
        <v>0</v>
      </c>
      <c r="M411" t="n">
        <v>0</v>
      </c>
      <c r="N411" t="n">
        <v>0</v>
      </c>
      <c r="O411" t="n">
        <v>0</v>
      </c>
      <c r="P411" t="n">
        <v>0</v>
      </c>
      <c r="Q411" t="n">
        <v>0</v>
      </c>
      <c r="R411" s="2" t="inlineStr"/>
    </row>
    <row r="412" ht="15" customHeight="1">
      <c r="A412" t="inlineStr">
        <is>
          <t>A 37324-2024</t>
        </is>
      </c>
      <c r="B412" s="1" t="n">
        <v>45540.50104166667</v>
      </c>
      <c r="C412" s="1" t="n">
        <v>46188</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57656-2022</t>
        </is>
      </c>
      <c r="B413" s="1" t="n">
        <v>44897.4325925926</v>
      </c>
      <c r="C413" s="1" t="n">
        <v>46188</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63284-2025</t>
        </is>
      </c>
      <c r="B414" s="1" t="n">
        <v>46010</v>
      </c>
      <c r="C414" s="1" t="n">
        <v>46188</v>
      </c>
      <c r="D414" t="inlineStr">
        <is>
          <t>SKÅNE LÄN</t>
        </is>
      </c>
      <c r="E414" t="inlineStr">
        <is>
          <t>HÄSSLEHOLM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32881-2024</t>
        </is>
      </c>
      <c r="B415" s="1" t="n">
        <v>45516</v>
      </c>
      <c r="C415" s="1" t="n">
        <v>46188</v>
      </c>
      <c r="D415" t="inlineStr">
        <is>
          <t>SKÅNE LÄN</t>
        </is>
      </c>
      <c r="E415" t="inlineStr">
        <is>
          <t>HÄSSLEHOLM</t>
        </is>
      </c>
      <c r="G415" t="n">
        <v>6.3</v>
      </c>
      <c r="H415" t="n">
        <v>0</v>
      </c>
      <c r="I415" t="n">
        <v>0</v>
      </c>
      <c r="J415" t="n">
        <v>0</v>
      </c>
      <c r="K415" t="n">
        <v>0</v>
      </c>
      <c r="L415" t="n">
        <v>0</v>
      </c>
      <c r="M415" t="n">
        <v>0</v>
      </c>
      <c r="N415" t="n">
        <v>0</v>
      </c>
      <c r="O415" t="n">
        <v>0</v>
      </c>
      <c r="P415" t="n">
        <v>0</v>
      </c>
      <c r="Q415" t="n">
        <v>0</v>
      </c>
      <c r="R415" s="2" t="inlineStr"/>
    </row>
    <row r="416" ht="15" customHeight="1">
      <c r="A416" t="inlineStr">
        <is>
          <t>A 23860-2024</t>
        </is>
      </c>
      <c r="B416" s="1" t="n">
        <v>45455</v>
      </c>
      <c r="C416" s="1" t="n">
        <v>46188</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23864-2024</t>
        </is>
      </c>
      <c r="B417" s="1" t="n">
        <v>45455</v>
      </c>
      <c r="C417" s="1" t="n">
        <v>46188</v>
      </c>
      <c r="D417" t="inlineStr">
        <is>
          <t>SKÅNE LÄN</t>
        </is>
      </c>
      <c r="E417" t="inlineStr">
        <is>
          <t>HÄSSLEHOLM</t>
        </is>
      </c>
      <c r="G417" t="n">
        <v>6.2</v>
      </c>
      <c r="H417" t="n">
        <v>0</v>
      </c>
      <c r="I417" t="n">
        <v>0</v>
      </c>
      <c r="J417" t="n">
        <v>0</v>
      </c>
      <c r="K417" t="n">
        <v>0</v>
      </c>
      <c r="L417" t="n">
        <v>0</v>
      </c>
      <c r="M417" t="n">
        <v>0</v>
      </c>
      <c r="N417" t="n">
        <v>0</v>
      </c>
      <c r="O417" t="n">
        <v>0</v>
      </c>
      <c r="P417" t="n">
        <v>0</v>
      </c>
      <c r="Q417" t="n">
        <v>0</v>
      </c>
      <c r="R417" s="2" t="inlineStr"/>
    </row>
    <row r="418" ht="15" customHeight="1">
      <c r="A418" t="inlineStr">
        <is>
          <t>A 7192-2025</t>
        </is>
      </c>
      <c r="B418" s="1" t="n">
        <v>45702.44746527778</v>
      </c>
      <c r="C418" s="1" t="n">
        <v>46188</v>
      </c>
      <c r="D418" t="inlineStr">
        <is>
          <t>SKÅNE LÄN</t>
        </is>
      </c>
      <c r="E418" t="inlineStr">
        <is>
          <t>HÄSSLEHOLM</t>
        </is>
      </c>
      <c r="G418" t="n">
        <v>1.2</v>
      </c>
      <c r="H418" t="n">
        <v>0</v>
      </c>
      <c r="I418" t="n">
        <v>0</v>
      </c>
      <c r="J418" t="n">
        <v>0</v>
      </c>
      <c r="K418" t="n">
        <v>0</v>
      </c>
      <c r="L418" t="n">
        <v>0</v>
      </c>
      <c r="M418" t="n">
        <v>0</v>
      </c>
      <c r="N418" t="n">
        <v>0</v>
      </c>
      <c r="O418" t="n">
        <v>0</v>
      </c>
      <c r="P418" t="n">
        <v>0</v>
      </c>
      <c r="Q418" t="n">
        <v>0</v>
      </c>
      <c r="R418" s="2" t="inlineStr"/>
    </row>
    <row r="419" ht="15" customHeight="1">
      <c r="A419" t="inlineStr">
        <is>
          <t>A 8160-2024</t>
        </is>
      </c>
      <c r="B419" s="1" t="n">
        <v>45351</v>
      </c>
      <c r="C419" s="1" t="n">
        <v>46188</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11798-2022</t>
        </is>
      </c>
      <c r="B420" s="1" t="n">
        <v>44634.64900462963</v>
      </c>
      <c r="C420" s="1" t="n">
        <v>46188</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56881-2021</t>
        </is>
      </c>
      <c r="B421" s="1" t="n">
        <v>44481</v>
      </c>
      <c r="C421" s="1" t="n">
        <v>46188</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13673-2023</t>
        </is>
      </c>
      <c r="B422" s="1" t="n">
        <v>45006.87957175926</v>
      </c>
      <c r="C422" s="1" t="n">
        <v>46188</v>
      </c>
      <c r="D422" t="inlineStr">
        <is>
          <t>SKÅNE LÄN</t>
        </is>
      </c>
      <c r="E422" t="inlineStr">
        <is>
          <t>HÄSSLEHOLM</t>
        </is>
      </c>
      <c r="G422" t="n">
        <v>3.2</v>
      </c>
      <c r="H422" t="n">
        <v>0</v>
      </c>
      <c r="I422" t="n">
        <v>0</v>
      </c>
      <c r="J422" t="n">
        <v>0</v>
      </c>
      <c r="K422" t="n">
        <v>0</v>
      </c>
      <c r="L422" t="n">
        <v>0</v>
      </c>
      <c r="M422" t="n">
        <v>0</v>
      </c>
      <c r="N422" t="n">
        <v>0</v>
      </c>
      <c r="O422" t="n">
        <v>0</v>
      </c>
      <c r="P422" t="n">
        <v>0</v>
      </c>
      <c r="Q422" t="n">
        <v>0</v>
      </c>
      <c r="R422" s="2" t="inlineStr"/>
    </row>
    <row r="423" ht="15" customHeight="1">
      <c r="A423" t="inlineStr">
        <is>
          <t>A 38306-2022</t>
        </is>
      </c>
      <c r="B423" s="1" t="n">
        <v>44812.57515046297</v>
      </c>
      <c r="C423" s="1" t="n">
        <v>46188</v>
      </c>
      <c r="D423" t="inlineStr">
        <is>
          <t>SKÅNE LÄN</t>
        </is>
      </c>
      <c r="E423" t="inlineStr">
        <is>
          <t>HÄSSLEHOLM</t>
        </is>
      </c>
      <c r="G423" t="n">
        <v>2.2</v>
      </c>
      <c r="H423" t="n">
        <v>0</v>
      </c>
      <c r="I423" t="n">
        <v>0</v>
      </c>
      <c r="J423" t="n">
        <v>0</v>
      </c>
      <c r="K423" t="n">
        <v>0</v>
      </c>
      <c r="L423" t="n">
        <v>0</v>
      </c>
      <c r="M423" t="n">
        <v>0</v>
      </c>
      <c r="N423" t="n">
        <v>0</v>
      </c>
      <c r="O423" t="n">
        <v>0</v>
      </c>
      <c r="P423" t="n">
        <v>0</v>
      </c>
      <c r="Q423" t="n">
        <v>0</v>
      </c>
      <c r="R423" s="2" t="inlineStr"/>
    </row>
    <row r="424" ht="15" customHeight="1">
      <c r="A424" t="inlineStr">
        <is>
          <t>A 38712-2024</t>
        </is>
      </c>
      <c r="B424" s="1" t="n">
        <v>45547</v>
      </c>
      <c r="C424" s="1" t="n">
        <v>46188</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13310-2025</t>
        </is>
      </c>
      <c r="B425" s="1" t="n">
        <v>45735.58814814815</v>
      </c>
      <c r="C425" s="1" t="n">
        <v>46188</v>
      </c>
      <c r="D425" t="inlineStr">
        <is>
          <t>SKÅNE LÄN</t>
        </is>
      </c>
      <c r="E425" t="inlineStr">
        <is>
          <t>HÄSSLEHOLM</t>
        </is>
      </c>
      <c r="G425" t="n">
        <v>2</v>
      </c>
      <c r="H425" t="n">
        <v>0</v>
      </c>
      <c r="I425" t="n">
        <v>0</v>
      </c>
      <c r="J425" t="n">
        <v>0</v>
      </c>
      <c r="K425" t="n">
        <v>0</v>
      </c>
      <c r="L425" t="n">
        <v>0</v>
      </c>
      <c r="M425" t="n">
        <v>0</v>
      </c>
      <c r="N425" t="n">
        <v>0</v>
      </c>
      <c r="O425" t="n">
        <v>0</v>
      </c>
      <c r="P425" t="n">
        <v>0</v>
      </c>
      <c r="Q425" t="n">
        <v>0</v>
      </c>
      <c r="R425" s="2" t="inlineStr"/>
    </row>
    <row r="426" ht="15" customHeight="1">
      <c r="A426" t="inlineStr">
        <is>
          <t>A 7681-2025</t>
        </is>
      </c>
      <c r="B426" s="1" t="n">
        <v>45706.36758101852</v>
      </c>
      <c r="C426" s="1" t="n">
        <v>46188</v>
      </c>
      <c r="D426" t="inlineStr">
        <is>
          <t>SKÅNE LÄN</t>
        </is>
      </c>
      <c r="E426" t="inlineStr">
        <is>
          <t>HÄSSLEHOLM</t>
        </is>
      </c>
      <c r="G426" t="n">
        <v>1.9</v>
      </c>
      <c r="H426" t="n">
        <v>0</v>
      </c>
      <c r="I426" t="n">
        <v>0</v>
      </c>
      <c r="J426" t="n">
        <v>0</v>
      </c>
      <c r="K426" t="n">
        <v>0</v>
      </c>
      <c r="L426" t="n">
        <v>0</v>
      </c>
      <c r="M426" t="n">
        <v>0</v>
      </c>
      <c r="N426" t="n">
        <v>0</v>
      </c>
      <c r="O426" t="n">
        <v>0</v>
      </c>
      <c r="P426" t="n">
        <v>0</v>
      </c>
      <c r="Q426" t="n">
        <v>0</v>
      </c>
      <c r="R426" s="2" t="inlineStr"/>
    </row>
    <row r="427" ht="15" customHeight="1">
      <c r="A427" t="inlineStr">
        <is>
          <t>A 3746-2024</t>
        </is>
      </c>
      <c r="B427" s="1" t="n">
        <v>45321.50745370371</v>
      </c>
      <c r="C427" s="1" t="n">
        <v>46188</v>
      </c>
      <c r="D427" t="inlineStr">
        <is>
          <t>SKÅNE LÄN</t>
        </is>
      </c>
      <c r="E427" t="inlineStr">
        <is>
          <t>HÄSSLEHOLM</t>
        </is>
      </c>
      <c r="G427" t="n">
        <v>3.4</v>
      </c>
      <c r="H427" t="n">
        <v>0</v>
      </c>
      <c r="I427" t="n">
        <v>0</v>
      </c>
      <c r="J427" t="n">
        <v>0</v>
      </c>
      <c r="K427" t="n">
        <v>0</v>
      </c>
      <c r="L427" t="n">
        <v>0</v>
      </c>
      <c r="M427" t="n">
        <v>0</v>
      </c>
      <c r="N427" t="n">
        <v>0</v>
      </c>
      <c r="O427" t="n">
        <v>0</v>
      </c>
      <c r="P427" t="n">
        <v>0</v>
      </c>
      <c r="Q427" t="n">
        <v>0</v>
      </c>
      <c r="R427" s="2" t="inlineStr"/>
    </row>
    <row r="428" ht="15" customHeight="1">
      <c r="A428" t="inlineStr">
        <is>
          <t>A 57649-2022</t>
        </is>
      </c>
      <c r="B428" s="1" t="n">
        <v>44897.42755787037</v>
      </c>
      <c r="C428" s="1" t="n">
        <v>46188</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57665-2022</t>
        </is>
      </c>
      <c r="B429" s="1" t="n">
        <v>44897.4494212963</v>
      </c>
      <c r="C429" s="1" t="n">
        <v>46188</v>
      </c>
      <c r="D429" t="inlineStr">
        <is>
          <t>SKÅNE LÄN</t>
        </is>
      </c>
      <c r="E429" t="inlineStr">
        <is>
          <t>HÄSSLEHOLM</t>
        </is>
      </c>
      <c r="G429" t="n">
        <v>0.6</v>
      </c>
      <c r="H429" t="n">
        <v>0</v>
      </c>
      <c r="I429" t="n">
        <v>0</v>
      </c>
      <c r="J429" t="n">
        <v>0</v>
      </c>
      <c r="K429" t="n">
        <v>0</v>
      </c>
      <c r="L429" t="n">
        <v>0</v>
      </c>
      <c r="M429" t="n">
        <v>0</v>
      </c>
      <c r="N429" t="n">
        <v>0</v>
      </c>
      <c r="O429" t="n">
        <v>0</v>
      </c>
      <c r="P429" t="n">
        <v>0</v>
      </c>
      <c r="Q429" t="n">
        <v>0</v>
      </c>
      <c r="R429" s="2" t="inlineStr"/>
    </row>
    <row r="430" ht="15" customHeight="1">
      <c r="A430" t="inlineStr">
        <is>
          <t>A 57676-2022</t>
        </is>
      </c>
      <c r="B430" s="1" t="n">
        <v>44897</v>
      </c>
      <c r="C430" s="1" t="n">
        <v>46188</v>
      </c>
      <c r="D430" t="inlineStr">
        <is>
          <t>SKÅNE LÄN</t>
        </is>
      </c>
      <c r="E430" t="inlineStr">
        <is>
          <t>HÄSSLEHOLM</t>
        </is>
      </c>
      <c r="G430" t="n">
        <v>1</v>
      </c>
      <c r="H430" t="n">
        <v>0</v>
      </c>
      <c r="I430" t="n">
        <v>0</v>
      </c>
      <c r="J430" t="n">
        <v>0</v>
      </c>
      <c r="K430" t="n">
        <v>0</v>
      </c>
      <c r="L430" t="n">
        <v>0</v>
      </c>
      <c r="M430" t="n">
        <v>0</v>
      </c>
      <c r="N430" t="n">
        <v>0</v>
      </c>
      <c r="O430" t="n">
        <v>0</v>
      </c>
      <c r="P430" t="n">
        <v>0</v>
      </c>
      <c r="Q430" t="n">
        <v>0</v>
      </c>
      <c r="R430" s="2" t="inlineStr"/>
    </row>
    <row r="431" ht="15" customHeight="1">
      <c r="A431" t="inlineStr">
        <is>
          <t>A 14145-2023</t>
        </is>
      </c>
      <c r="B431" s="1" t="n">
        <v>45009</v>
      </c>
      <c r="C431" s="1" t="n">
        <v>46188</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8244-2023</t>
        </is>
      </c>
      <c r="B432" s="1" t="n">
        <v>44974</v>
      </c>
      <c r="C432" s="1" t="n">
        <v>46188</v>
      </c>
      <c r="D432" t="inlineStr">
        <is>
          <t>SKÅNE LÄN</t>
        </is>
      </c>
      <c r="E432" t="inlineStr">
        <is>
          <t>HÄSSLEHOLM</t>
        </is>
      </c>
      <c r="G432" t="n">
        <v>1.2</v>
      </c>
      <c r="H432" t="n">
        <v>0</v>
      </c>
      <c r="I432" t="n">
        <v>0</v>
      </c>
      <c r="J432" t="n">
        <v>0</v>
      </c>
      <c r="K432" t="n">
        <v>0</v>
      </c>
      <c r="L432" t="n">
        <v>0</v>
      </c>
      <c r="M432" t="n">
        <v>0</v>
      </c>
      <c r="N432" t="n">
        <v>0</v>
      </c>
      <c r="O432" t="n">
        <v>0</v>
      </c>
      <c r="P432" t="n">
        <v>0</v>
      </c>
      <c r="Q432" t="n">
        <v>0</v>
      </c>
      <c r="R432" s="2" t="inlineStr"/>
    </row>
    <row r="433" ht="15" customHeight="1">
      <c r="A433" t="inlineStr">
        <is>
          <t>A 8246-2023</t>
        </is>
      </c>
      <c r="B433" s="1" t="n">
        <v>44974</v>
      </c>
      <c r="C433" s="1" t="n">
        <v>46188</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12584-2025</t>
        </is>
      </c>
      <c r="B434" s="1" t="n">
        <v>45732</v>
      </c>
      <c r="C434" s="1" t="n">
        <v>46188</v>
      </c>
      <c r="D434" t="inlineStr">
        <is>
          <t>SKÅNE LÄN</t>
        </is>
      </c>
      <c r="E434" t="inlineStr">
        <is>
          <t>HÄSSLEHOLM</t>
        </is>
      </c>
      <c r="G434" t="n">
        <v>0.6</v>
      </c>
      <c r="H434" t="n">
        <v>0</v>
      </c>
      <c r="I434" t="n">
        <v>0</v>
      </c>
      <c r="J434" t="n">
        <v>0</v>
      </c>
      <c r="K434" t="n">
        <v>0</v>
      </c>
      <c r="L434" t="n">
        <v>0</v>
      </c>
      <c r="M434" t="n">
        <v>0</v>
      </c>
      <c r="N434" t="n">
        <v>0</v>
      </c>
      <c r="O434" t="n">
        <v>0</v>
      </c>
      <c r="P434" t="n">
        <v>0</v>
      </c>
      <c r="Q434" t="n">
        <v>0</v>
      </c>
      <c r="R434" s="2" t="inlineStr"/>
    </row>
    <row r="435" ht="15" customHeight="1">
      <c r="A435" t="inlineStr">
        <is>
          <t>A 25606-2024</t>
        </is>
      </c>
      <c r="B435" s="1" t="n">
        <v>45463.63179398148</v>
      </c>
      <c r="C435" s="1" t="n">
        <v>46188</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60789-2024</t>
        </is>
      </c>
      <c r="B436" s="1" t="n">
        <v>45644</v>
      </c>
      <c r="C436" s="1" t="n">
        <v>46188</v>
      </c>
      <c r="D436" t="inlineStr">
        <is>
          <t>SKÅNE LÄN</t>
        </is>
      </c>
      <c r="E436" t="inlineStr">
        <is>
          <t>HÄSSLEHOLM</t>
        </is>
      </c>
      <c r="G436" t="n">
        <v>3</v>
      </c>
      <c r="H436" t="n">
        <v>0</v>
      </c>
      <c r="I436" t="n">
        <v>0</v>
      </c>
      <c r="J436" t="n">
        <v>0</v>
      </c>
      <c r="K436" t="n">
        <v>0</v>
      </c>
      <c r="L436" t="n">
        <v>0</v>
      </c>
      <c r="M436" t="n">
        <v>0</v>
      </c>
      <c r="N436" t="n">
        <v>0</v>
      </c>
      <c r="O436" t="n">
        <v>0</v>
      </c>
      <c r="P436" t="n">
        <v>0</v>
      </c>
      <c r="Q436" t="n">
        <v>0</v>
      </c>
      <c r="R436" s="2" t="inlineStr"/>
    </row>
    <row r="437" ht="15" customHeight="1">
      <c r="A437" t="inlineStr">
        <is>
          <t>A 14939-2023</t>
        </is>
      </c>
      <c r="B437" s="1" t="n">
        <v>45014</v>
      </c>
      <c r="C437" s="1" t="n">
        <v>46188</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4945-2022</t>
        </is>
      </c>
      <c r="B438" s="1" t="n">
        <v>44593</v>
      </c>
      <c r="C438" s="1" t="n">
        <v>46188</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5252-2025</t>
        </is>
      </c>
      <c r="B439" s="1" t="n">
        <v>45692.3449537037</v>
      </c>
      <c r="C439" s="1" t="n">
        <v>46188</v>
      </c>
      <c r="D439" t="inlineStr">
        <is>
          <t>SKÅNE LÄN</t>
        </is>
      </c>
      <c r="E439" t="inlineStr">
        <is>
          <t>HÄSSLEHOLM</t>
        </is>
      </c>
      <c r="G439" t="n">
        <v>2.1</v>
      </c>
      <c r="H439" t="n">
        <v>0</v>
      </c>
      <c r="I439" t="n">
        <v>0</v>
      </c>
      <c r="J439" t="n">
        <v>0</v>
      </c>
      <c r="K439" t="n">
        <v>0</v>
      </c>
      <c r="L439" t="n">
        <v>0</v>
      </c>
      <c r="M439" t="n">
        <v>0</v>
      </c>
      <c r="N439" t="n">
        <v>0</v>
      </c>
      <c r="O439" t="n">
        <v>0</v>
      </c>
      <c r="P439" t="n">
        <v>0</v>
      </c>
      <c r="Q439" t="n">
        <v>0</v>
      </c>
      <c r="R439" s="2" t="inlineStr"/>
    </row>
    <row r="440" ht="15" customHeight="1">
      <c r="A440" t="inlineStr">
        <is>
          <t>A 5242-2025</t>
        </is>
      </c>
      <c r="B440" s="1" t="n">
        <v>45692.32883101852</v>
      </c>
      <c r="C440" s="1" t="n">
        <v>46188</v>
      </c>
      <c r="D440" t="inlineStr">
        <is>
          <t>SKÅNE LÄN</t>
        </is>
      </c>
      <c r="E440" t="inlineStr">
        <is>
          <t>HÄSSLEHOLM</t>
        </is>
      </c>
      <c r="G440" t="n">
        <v>1.1</v>
      </c>
      <c r="H440" t="n">
        <v>0</v>
      </c>
      <c r="I440" t="n">
        <v>0</v>
      </c>
      <c r="J440" t="n">
        <v>0</v>
      </c>
      <c r="K440" t="n">
        <v>0</v>
      </c>
      <c r="L440" t="n">
        <v>0</v>
      </c>
      <c r="M440" t="n">
        <v>0</v>
      </c>
      <c r="N440" t="n">
        <v>0</v>
      </c>
      <c r="O440" t="n">
        <v>0</v>
      </c>
      <c r="P440" t="n">
        <v>0</v>
      </c>
      <c r="Q440" t="n">
        <v>0</v>
      </c>
      <c r="R440" s="2" t="inlineStr"/>
    </row>
    <row r="441" ht="15" customHeight="1">
      <c r="A441" t="inlineStr">
        <is>
          <t>A 24034-2025</t>
        </is>
      </c>
      <c r="B441" s="1" t="n">
        <v>45796.48251157408</v>
      </c>
      <c r="C441" s="1" t="n">
        <v>46188</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24250-2025</t>
        </is>
      </c>
      <c r="B442" s="1" t="n">
        <v>45797.40260416667</v>
      </c>
      <c r="C442" s="1" t="n">
        <v>46188</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24039-2025</t>
        </is>
      </c>
      <c r="B443" s="1" t="n">
        <v>45796.48675925926</v>
      </c>
      <c r="C443" s="1" t="n">
        <v>46188</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24047-2025</t>
        </is>
      </c>
      <c r="B444" s="1" t="n">
        <v>45796.49528935185</v>
      </c>
      <c r="C444" s="1" t="n">
        <v>46188</v>
      </c>
      <c r="D444" t="inlineStr">
        <is>
          <t>SKÅNE LÄN</t>
        </is>
      </c>
      <c r="E444" t="inlineStr">
        <is>
          <t>HÄSSLEHOLM</t>
        </is>
      </c>
      <c r="G444" t="n">
        <v>1.1</v>
      </c>
      <c r="H444" t="n">
        <v>0</v>
      </c>
      <c r="I444" t="n">
        <v>0</v>
      </c>
      <c r="J444" t="n">
        <v>0</v>
      </c>
      <c r="K444" t="n">
        <v>0</v>
      </c>
      <c r="L444" t="n">
        <v>0</v>
      </c>
      <c r="M444" t="n">
        <v>0</v>
      </c>
      <c r="N444" t="n">
        <v>0</v>
      </c>
      <c r="O444" t="n">
        <v>0</v>
      </c>
      <c r="P444" t="n">
        <v>0</v>
      </c>
      <c r="Q444" t="n">
        <v>0</v>
      </c>
      <c r="R444" s="2" t="inlineStr"/>
    </row>
    <row r="445" ht="15" customHeight="1">
      <c r="A445" t="inlineStr">
        <is>
          <t>A 42735-2024</t>
        </is>
      </c>
      <c r="B445" s="1" t="n">
        <v>45566.47274305556</v>
      </c>
      <c r="C445" s="1" t="n">
        <v>46188</v>
      </c>
      <c r="D445" t="inlineStr">
        <is>
          <t>SKÅNE LÄN</t>
        </is>
      </c>
      <c r="E445" t="inlineStr">
        <is>
          <t>HÄSSLEHOLM</t>
        </is>
      </c>
      <c r="G445" t="n">
        <v>3.7</v>
      </c>
      <c r="H445" t="n">
        <v>0</v>
      </c>
      <c r="I445" t="n">
        <v>0</v>
      </c>
      <c r="J445" t="n">
        <v>0</v>
      </c>
      <c r="K445" t="n">
        <v>0</v>
      </c>
      <c r="L445" t="n">
        <v>0</v>
      </c>
      <c r="M445" t="n">
        <v>0</v>
      </c>
      <c r="N445" t="n">
        <v>0</v>
      </c>
      <c r="O445" t="n">
        <v>0</v>
      </c>
      <c r="P445" t="n">
        <v>0</v>
      </c>
      <c r="Q445" t="n">
        <v>0</v>
      </c>
      <c r="R445" s="2" t="inlineStr"/>
    </row>
    <row r="446" ht="15" customHeight="1">
      <c r="A446" t="inlineStr">
        <is>
          <t>A 55522-2024</t>
        </is>
      </c>
      <c r="B446" s="1" t="n">
        <v>45622</v>
      </c>
      <c r="C446" s="1" t="n">
        <v>46188</v>
      </c>
      <c r="D446" t="inlineStr">
        <is>
          <t>SKÅNE LÄN</t>
        </is>
      </c>
      <c r="E446" t="inlineStr">
        <is>
          <t>HÄSSLEHOLM</t>
        </is>
      </c>
      <c r="G446" t="n">
        <v>5.6</v>
      </c>
      <c r="H446" t="n">
        <v>0</v>
      </c>
      <c r="I446" t="n">
        <v>0</v>
      </c>
      <c r="J446" t="n">
        <v>0</v>
      </c>
      <c r="K446" t="n">
        <v>0</v>
      </c>
      <c r="L446" t="n">
        <v>0</v>
      </c>
      <c r="M446" t="n">
        <v>0</v>
      </c>
      <c r="N446" t="n">
        <v>0</v>
      </c>
      <c r="O446" t="n">
        <v>0</v>
      </c>
      <c r="P446" t="n">
        <v>0</v>
      </c>
      <c r="Q446" t="n">
        <v>0</v>
      </c>
      <c r="R446" s="2" t="inlineStr"/>
    </row>
    <row r="447" ht="15" customHeight="1">
      <c r="A447" t="inlineStr">
        <is>
          <t>A 32826-2024</t>
        </is>
      </c>
      <c r="B447" s="1" t="n">
        <v>45516.59056712963</v>
      </c>
      <c r="C447" s="1" t="n">
        <v>46188</v>
      </c>
      <c r="D447" t="inlineStr">
        <is>
          <t>SKÅNE LÄN</t>
        </is>
      </c>
      <c r="E447" t="inlineStr">
        <is>
          <t>HÄSSLEHOLM</t>
        </is>
      </c>
      <c r="G447" t="n">
        <v>0.9</v>
      </c>
      <c r="H447" t="n">
        <v>0</v>
      </c>
      <c r="I447" t="n">
        <v>0</v>
      </c>
      <c r="J447" t="n">
        <v>0</v>
      </c>
      <c r="K447" t="n">
        <v>0</v>
      </c>
      <c r="L447" t="n">
        <v>0</v>
      </c>
      <c r="M447" t="n">
        <v>0</v>
      </c>
      <c r="N447" t="n">
        <v>0</v>
      </c>
      <c r="O447" t="n">
        <v>0</v>
      </c>
      <c r="P447" t="n">
        <v>0</v>
      </c>
      <c r="Q447" t="n">
        <v>0</v>
      </c>
      <c r="R447" s="2" t="inlineStr"/>
    </row>
    <row r="448" ht="15" customHeight="1">
      <c r="A448" t="inlineStr">
        <is>
          <t>A 931-2026</t>
        </is>
      </c>
      <c r="B448" s="1" t="n">
        <v>46030.51495370371</v>
      </c>
      <c r="C448" s="1" t="n">
        <v>46188</v>
      </c>
      <c r="D448" t="inlineStr">
        <is>
          <t>SKÅNE LÄN</t>
        </is>
      </c>
      <c r="E448" t="inlineStr">
        <is>
          <t>HÄSSLEHOLM</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12558-2023</t>
        </is>
      </c>
      <c r="B449" s="1" t="n">
        <v>45000.36103009259</v>
      </c>
      <c r="C449" s="1" t="n">
        <v>46188</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32512-2024</t>
        </is>
      </c>
      <c r="B450" s="1" t="n">
        <v>45513.45613425926</v>
      </c>
      <c r="C450" s="1" t="n">
        <v>46188</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1645-2026</t>
        </is>
      </c>
      <c r="B451" s="1" t="n">
        <v>46034.5069212963</v>
      </c>
      <c r="C451" s="1" t="n">
        <v>46188</v>
      </c>
      <c r="D451" t="inlineStr">
        <is>
          <t>SKÅNE LÄN</t>
        </is>
      </c>
      <c r="E451" t="inlineStr">
        <is>
          <t>HÄSSLEHOLM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4119-2024</t>
        </is>
      </c>
      <c r="B452" s="1" t="n">
        <v>45323.67920138889</v>
      </c>
      <c r="C452" s="1" t="n">
        <v>46188</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6835-2023</t>
        </is>
      </c>
      <c r="B453" s="1" t="n">
        <v>44967</v>
      </c>
      <c r="C453" s="1" t="n">
        <v>46188</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47757-2024</t>
        </is>
      </c>
      <c r="B454" s="1" t="n">
        <v>45588.55075231481</v>
      </c>
      <c r="C454" s="1" t="n">
        <v>46188</v>
      </c>
      <c r="D454" t="inlineStr">
        <is>
          <t>SKÅNE LÄN</t>
        </is>
      </c>
      <c r="E454" t="inlineStr">
        <is>
          <t>HÄSSLEHOLM</t>
        </is>
      </c>
      <c r="G454" t="n">
        <v>5.5</v>
      </c>
      <c r="H454" t="n">
        <v>0</v>
      </c>
      <c r="I454" t="n">
        <v>0</v>
      </c>
      <c r="J454" t="n">
        <v>0</v>
      </c>
      <c r="K454" t="n">
        <v>0</v>
      </c>
      <c r="L454" t="n">
        <v>0</v>
      </c>
      <c r="M454" t="n">
        <v>0</v>
      </c>
      <c r="N454" t="n">
        <v>0</v>
      </c>
      <c r="O454" t="n">
        <v>0</v>
      </c>
      <c r="P454" t="n">
        <v>0</v>
      </c>
      <c r="Q454" t="n">
        <v>0</v>
      </c>
      <c r="R454" s="2" t="inlineStr"/>
    </row>
    <row r="455" ht="15" customHeight="1">
      <c r="A455" t="inlineStr">
        <is>
          <t>A 16550-2025</t>
        </is>
      </c>
      <c r="B455" s="1" t="n">
        <v>45751.69412037037</v>
      </c>
      <c r="C455" s="1" t="n">
        <v>46188</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24985-2025</t>
        </is>
      </c>
      <c r="B456" s="1" t="n">
        <v>45799.60256944445</v>
      </c>
      <c r="C456" s="1" t="n">
        <v>46188</v>
      </c>
      <c r="D456" t="inlineStr">
        <is>
          <t>SKÅNE LÄN</t>
        </is>
      </c>
      <c r="E456" t="inlineStr">
        <is>
          <t>HÄSSLEHOLM</t>
        </is>
      </c>
      <c r="G456" t="n">
        <v>2.3</v>
      </c>
      <c r="H456" t="n">
        <v>0</v>
      </c>
      <c r="I456" t="n">
        <v>0</v>
      </c>
      <c r="J456" t="n">
        <v>0</v>
      </c>
      <c r="K456" t="n">
        <v>0</v>
      </c>
      <c r="L456" t="n">
        <v>0</v>
      </c>
      <c r="M456" t="n">
        <v>0</v>
      </c>
      <c r="N456" t="n">
        <v>0</v>
      </c>
      <c r="O456" t="n">
        <v>0</v>
      </c>
      <c r="P456" t="n">
        <v>0</v>
      </c>
      <c r="Q456" t="n">
        <v>0</v>
      </c>
      <c r="R456" s="2" t="inlineStr"/>
    </row>
    <row r="457" ht="15" customHeight="1">
      <c r="A457" t="inlineStr">
        <is>
          <t>A 10562-2025</t>
        </is>
      </c>
      <c r="B457" s="1" t="n">
        <v>45721.52913194444</v>
      </c>
      <c r="C457" s="1" t="n">
        <v>46188</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26536-2022</t>
        </is>
      </c>
      <c r="B458" s="1" t="n">
        <v>44739.45496527778</v>
      </c>
      <c r="C458" s="1" t="n">
        <v>46188</v>
      </c>
      <c r="D458" t="inlineStr">
        <is>
          <t>SKÅNE LÄN</t>
        </is>
      </c>
      <c r="E458" t="inlineStr">
        <is>
          <t>HÄSSLEHOLM</t>
        </is>
      </c>
      <c r="G458" t="n">
        <v>3.1</v>
      </c>
      <c r="H458" t="n">
        <v>0</v>
      </c>
      <c r="I458" t="n">
        <v>0</v>
      </c>
      <c r="J458" t="n">
        <v>0</v>
      </c>
      <c r="K458" t="n">
        <v>0</v>
      </c>
      <c r="L458" t="n">
        <v>0</v>
      </c>
      <c r="M458" t="n">
        <v>0</v>
      </c>
      <c r="N458" t="n">
        <v>0</v>
      </c>
      <c r="O458" t="n">
        <v>0</v>
      </c>
      <c r="P458" t="n">
        <v>0</v>
      </c>
      <c r="Q458" t="n">
        <v>0</v>
      </c>
      <c r="R458" s="2" t="inlineStr"/>
    </row>
    <row r="459" ht="15" customHeight="1">
      <c r="A459" t="inlineStr">
        <is>
          <t>A 1659-2026</t>
        </is>
      </c>
      <c r="B459" s="1" t="n">
        <v>46034.55335648148</v>
      </c>
      <c r="C459" s="1" t="n">
        <v>46188</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25057-2024</t>
        </is>
      </c>
      <c r="B460" s="1" t="n">
        <v>45462</v>
      </c>
      <c r="C460" s="1" t="n">
        <v>46188</v>
      </c>
      <c r="D460" t="inlineStr">
        <is>
          <t>SKÅNE LÄN</t>
        </is>
      </c>
      <c r="E460" t="inlineStr">
        <is>
          <t>HÄSSLEHOLM</t>
        </is>
      </c>
      <c r="G460" t="n">
        <v>4.3</v>
      </c>
      <c r="H460" t="n">
        <v>0</v>
      </c>
      <c r="I460" t="n">
        <v>0</v>
      </c>
      <c r="J460" t="n">
        <v>0</v>
      </c>
      <c r="K460" t="n">
        <v>0</v>
      </c>
      <c r="L460" t="n">
        <v>0</v>
      </c>
      <c r="M460" t="n">
        <v>0</v>
      </c>
      <c r="N460" t="n">
        <v>0</v>
      </c>
      <c r="O460" t="n">
        <v>0</v>
      </c>
      <c r="P460" t="n">
        <v>0</v>
      </c>
      <c r="Q460" t="n">
        <v>0</v>
      </c>
      <c r="R460" s="2" t="inlineStr"/>
    </row>
    <row r="461" ht="15" customHeight="1">
      <c r="A461" t="inlineStr">
        <is>
          <t>A 2306-2026</t>
        </is>
      </c>
      <c r="B461" s="1" t="n">
        <v>46034</v>
      </c>
      <c r="C461" s="1" t="n">
        <v>46188</v>
      </c>
      <c r="D461" t="inlineStr">
        <is>
          <t>SKÅNE LÄN</t>
        </is>
      </c>
      <c r="E461" t="inlineStr">
        <is>
          <t>HÄSSLEHOLM</t>
        </is>
      </c>
      <c r="G461" t="n">
        <v>3.4</v>
      </c>
      <c r="H461" t="n">
        <v>0</v>
      </c>
      <c r="I461" t="n">
        <v>0</v>
      </c>
      <c r="J461" t="n">
        <v>0</v>
      </c>
      <c r="K461" t="n">
        <v>0</v>
      </c>
      <c r="L461" t="n">
        <v>0</v>
      </c>
      <c r="M461" t="n">
        <v>0</v>
      </c>
      <c r="N461" t="n">
        <v>0</v>
      </c>
      <c r="O461" t="n">
        <v>0</v>
      </c>
      <c r="P461" t="n">
        <v>0</v>
      </c>
      <c r="Q461" t="n">
        <v>0</v>
      </c>
      <c r="R461" s="2" t="inlineStr"/>
    </row>
    <row r="462" ht="15" customHeight="1">
      <c r="A462" t="inlineStr">
        <is>
          <t>A 1640-2026</t>
        </is>
      </c>
      <c r="B462" s="1" t="n">
        <v>46034.4961574074</v>
      </c>
      <c r="C462" s="1" t="n">
        <v>46188</v>
      </c>
      <c r="D462" t="inlineStr">
        <is>
          <t>SKÅNE LÄN</t>
        </is>
      </c>
      <c r="E462" t="inlineStr">
        <is>
          <t>HÄSSLEHOLM</t>
        </is>
      </c>
      <c r="G462" t="n">
        <v>1.7</v>
      </c>
      <c r="H462" t="n">
        <v>0</v>
      </c>
      <c r="I462" t="n">
        <v>0</v>
      </c>
      <c r="J462" t="n">
        <v>0</v>
      </c>
      <c r="K462" t="n">
        <v>0</v>
      </c>
      <c r="L462" t="n">
        <v>0</v>
      </c>
      <c r="M462" t="n">
        <v>0</v>
      </c>
      <c r="N462" t="n">
        <v>0</v>
      </c>
      <c r="O462" t="n">
        <v>0</v>
      </c>
      <c r="P462" t="n">
        <v>0</v>
      </c>
      <c r="Q462" t="n">
        <v>0</v>
      </c>
      <c r="R462" s="2" t="inlineStr"/>
    </row>
    <row r="463" ht="15" customHeight="1">
      <c r="A463" t="inlineStr">
        <is>
          <t>A 1656-2026</t>
        </is>
      </c>
      <c r="B463" s="1" t="n">
        <v>46034.54035879629</v>
      </c>
      <c r="C463" s="1" t="n">
        <v>46188</v>
      </c>
      <c r="D463" t="inlineStr">
        <is>
          <t>SKÅNE LÄN</t>
        </is>
      </c>
      <c r="E463" t="inlineStr">
        <is>
          <t>HÄSSLEHOLM</t>
        </is>
      </c>
      <c r="G463" t="n">
        <v>1.7</v>
      </c>
      <c r="H463" t="n">
        <v>0</v>
      </c>
      <c r="I463" t="n">
        <v>0</v>
      </c>
      <c r="J463" t="n">
        <v>0</v>
      </c>
      <c r="K463" t="n">
        <v>0</v>
      </c>
      <c r="L463" t="n">
        <v>0</v>
      </c>
      <c r="M463" t="n">
        <v>0</v>
      </c>
      <c r="N463" t="n">
        <v>0</v>
      </c>
      <c r="O463" t="n">
        <v>0</v>
      </c>
      <c r="P463" t="n">
        <v>0</v>
      </c>
      <c r="Q463" t="n">
        <v>0</v>
      </c>
      <c r="R463" s="2" t="inlineStr"/>
    </row>
    <row r="464" ht="15" customHeight="1">
      <c r="A464" t="inlineStr">
        <is>
          <t>A 24658-2025</t>
        </is>
      </c>
      <c r="B464" s="1" t="n">
        <v>45798.64134259259</v>
      </c>
      <c r="C464" s="1" t="n">
        <v>46188</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25372-2025</t>
        </is>
      </c>
      <c r="B465" s="1" t="n">
        <v>45799</v>
      </c>
      <c r="C465" s="1" t="n">
        <v>46188</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9399-2025</t>
        </is>
      </c>
      <c r="B466" s="1" t="n">
        <v>45715.37861111111</v>
      </c>
      <c r="C466" s="1" t="n">
        <v>46188</v>
      </c>
      <c r="D466" t="inlineStr">
        <is>
          <t>SKÅNE LÄN</t>
        </is>
      </c>
      <c r="E466" t="inlineStr">
        <is>
          <t>HÄSSLEHOLM</t>
        </is>
      </c>
      <c r="G466" t="n">
        <v>5.2</v>
      </c>
      <c r="H466" t="n">
        <v>0</v>
      </c>
      <c r="I466" t="n">
        <v>0</v>
      </c>
      <c r="J466" t="n">
        <v>0</v>
      </c>
      <c r="K466" t="n">
        <v>0</v>
      </c>
      <c r="L466" t="n">
        <v>0</v>
      </c>
      <c r="M466" t="n">
        <v>0</v>
      </c>
      <c r="N466" t="n">
        <v>0</v>
      </c>
      <c r="O466" t="n">
        <v>0</v>
      </c>
      <c r="P466" t="n">
        <v>0</v>
      </c>
      <c r="Q466" t="n">
        <v>0</v>
      </c>
      <c r="R466" s="2" t="inlineStr"/>
    </row>
    <row r="467" ht="15" customHeight="1">
      <c r="A467" t="inlineStr">
        <is>
          <t>A 2617-2026</t>
        </is>
      </c>
      <c r="B467" s="1" t="n">
        <v>46035</v>
      </c>
      <c r="C467" s="1" t="n">
        <v>46188</v>
      </c>
      <c r="D467" t="inlineStr">
        <is>
          <t>SKÅNE LÄN</t>
        </is>
      </c>
      <c r="E467" t="inlineStr">
        <is>
          <t>HÄSSLEHOLM</t>
        </is>
      </c>
      <c r="F467" t="inlineStr">
        <is>
          <t>Kyrkan</t>
        </is>
      </c>
      <c r="G467" t="n">
        <v>5.5</v>
      </c>
      <c r="H467" t="n">
        <v>0</v>
      </c>
      <c r="I467" t="n">
        <v>0</v>
      </c>
      <c r="J467" t="n">
        <v>0</v>
      </c>
      <c r="K467" t="n">
        <v>0</v>
      </c>
      <c r="L467" t="n">
        <v>0</v>
      </c>
      <c r="M467" t="n">
        <v>0</v>
      </c>
      <c r="N467" t="n">
        <v>0</v>
      </c>
      <c r="O467" t="n">
        <v>0</v>
      </c>
      <c r="P467" t="n">
        <v>0</v>
      </c>
      <c r="Q467" t="n">
        <v>0</v>
      </c>
      <c r="R467" s="2" t="inlineStr"/>
    </row>
    <row r="468" ht="15" customHeight="1">
      <c r="A468" t="inlineStr">
        <is>
          <t>A 259-2024</t>
        </is>
      </c>
      <c r="B468" s="1" t="n">
        <v>45294</v>
      </c>
      <c r="C468" s="1" t="n">
        <v>46188</v>
      </c>
      <c r="D468" t="inlineStr">
        <is>
          <t>SKÅNE LÄN</t>
        </is>
      </c>
      <c r="E468" t="inlineStr">
        <is>
          <t>HÄSSLEHOLM</t>
        </is>
      </c>
      <c r="G468" t="n">
        <v>8</v>
      </c>
      <c r="H468" t="n">
        <v>0</v>
      </c>
      <c r="I468" t="n">
        <v>0</v>
      </c>
      <c r="J468" t="n">
        <v>0</v>
      </c>
      <c r="K468" t="n">
        <v>0</v>
      </c>
      <c r="L468" t="n">
        <v>0</v>
      </c>
      <c r="M468" t="n">
        <v>0</v>
      </c>
      <c r="N468" t="n">
        <v>0</v>
      </c>
      <c r="O468" t="n">
        <v>0</v>
      </c>
      <c r="P468" t="n">
        <v>0</v>
      </c>
      <c r="Q468" t="n">
        <v>0</v>
      </c>
      <c r="R468" s="2" t="inlineStr"/>
    </row>
    <row r="469" ht="15" customHeight="1">
      <c r="A469" t="inlineStr">
        <is>
          <t>A 29659-2024</t>
        </is>
      </c>
      <c r="B469" s="1" t="n">
        <v>45484.92587962963</v>
      </c>
      <c r="C469" s="1" t="n">
        <v>46188</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27837-2024</t>
        </is>
      </c>
      <c r="B470" s="1" t="n">
        <v>45475</v>
      </c>
      <c r="C470" s="1" t="n">
        <v>46188</v>
      </c>
      <c r="D470" t="inlineStr">
        <is>
          <t>SKÅNE LÄN</t>
        </is>
      </c>
      <c r="E470" t="inlineStr">
        <is>
          <t>HÄSSLEHOLM</t>
        </is>
      </c>
      <c r="F470" t="inlineStr">
        <is>
          <t>Kommuner</t>
        </is>
      </c>
      <c r="G470" t="n">
        <v>2.3</v>
      </c>
      <c r="H470" t="n">
        <v>0</v>
      </c>
      <c r="I470" t="n">
        <v>0</v>
      </c>
      <c r="J470" t="n">
        <v>0</v>
      </c>
      <c r="K470" t="n">
        <v>0</v>
      </c>
      <c r="L470" t="n">
        <v>0</v>
      </c>
      <c r="M470" t="n">
        <v>0</v>
      </c>
      <c r="N470" t="n">
        <v>0</v>
      </c>
      <c r="O470" t="n">
        <v>0</v>
      </c>
      <c r="P470" t="n">
        <v>0</v>
      </c>
      <c r="Q470" t="n">
        <v>0</v>
      </c>
      <c r="R470" s="2" t="inlineStr"/>
    </row>
    <row r="471" ht="15" customHeight="1">
      <c r="A471" t="inlineStr">
        <is>
          <t>A 2618-2026</t>
        </is>
      </c>
      <c r="B471" s="1" t="n">
        <v>46035</v>
      </c>
      <c r="C471" s="1" t="n">
        <v>46188</v>
      </c>
      <c r="D471" t="inlineStr">
        <is>
          <t>SKÅNE LÄN</t>
        </is>
      </c>
      <c r="E471" t="inlineStr">
        <is>
          <t>HÄSSLEHOLM</t>
        </is>
      </c>
      <c r="F471" t="inlineStr">
        <is>
          <t>Kyrkan</t>
        </is>
      </c>
      <c r="G471" t="n">
        <v>4.8</v>
      </c>
      <c r="H471" t="n">
        <v>0</v>
      </c>
      <c r="I471" t="n">
        <v>0</v>
      </c>
      <c r="J471" t="n">
        <v>0</v>
      </c>
      <c r="K471" t="n">
        <v>0</v>
      </c>
      <c r="L471" t="n">
        <v>0</v>
      </c>
      <c r="M471" t="n">
        <v>0</v>
      </c>
      <c r="N471" t="n">
        <v>0</v>
      </c>
      <c r="O471" t="n">
        <v>0</v>
      </c>
      <c r="P471" t="n">
        <v>0</v>
      </c>
      <c r="Q471" t="n">
        <v>0</v>
      </c>
      <c r="R471" s="2" t="inlineStr"/>
    </row>
    <row r="472" ht="15" customHeight="1">
      <c r="A472" t="inlineStr">
        <is>
          <t>A 1679-2022</t>
        </is>
      </c>
      <c r="B472" s="1" t="n">
        <v>44573</v>
      </c>
      <c r="C472" s="1" t="n">
        <v>46188</v>
      </c>
      <c r="D472" t="inlineStr">
        <is>
          <t>SKÅNE LÄN</t>
        </is>
      </c>
      <c r="E472" t="inlineStr">
        <is>
          <t>HÄSSLEHOLM</t>
        </is>
      </c>
      <c r="F472" t="inlineStr">
        <is>
          <t>Kyrkan</t>
        </is>
      </c>
      <c r="G472" t="n">
        <v>4.3</v>
      </c>
      <c r="H472" t="n">
        <v>0</v>
      </c>
      <c r="I472" t="n">
        <v>0</v>
      </c>
      <c r="J472" t="n">
        <v>0</v>
      </c>
      <c r="K472" t="n">
        <v>0</v>
      </c>
      <c r="L472" t="n">
        <v>0</v>
      </c>
      <c r="M472" t="n">
        <v>0</v>
      </c>
      <c r="N472" t="n">
        <v>0</v>
      </c>
      <c r="O472" t="n">
        <v>0</v>
      </c>
      <c r="P472" t="n">
        <v>0</v>
      </c>
      <c r="Q472" t="n">
        <v>0</v>
      </c>
      <c r="R472" s="2" t="inlineStr"/>
    </row>
    <row r="473" ht="15" customHeight="1">
      <c r="A473" t="inlineStr">
        <is>
          <t>A 51565-2023</t>
        </is>
      </c>
      <c r="B473" s="1" t="n">
        <v>45222</v>
      </c>
      <c r="C473" s="1" t="n">
        <v>46188</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21328-2023</t>
        </is>
      </c>
      <c r="B474" s="1" t="n">
        <v>45062</v>
      </c>
      <c r="C474" s="1" t="n">
        <v>46188</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25615-2025</t>
        </is>
      </c>
      <c r="B475" s="1" t="n">
        <v>45803</v>
      </c>
      <c r="C475" s="1" t="n">
        <v>46188</v>
      </c>
      <c r="D475" t="inlineStr">
        <is>
          <t>SKÅNE LÄN</t>
        </is>
      </c>
      <c r="E475" t="inlineStr">
        <is>
          <t>HÄSSLEHOLM</t>
        </is>
      </c>
      <c r="G475" t="n">
        <v>2.6</v>
      </c>
      <c r="H475" t="n">
        <v>0</v>
      </c>
      <c r="I475" t="n">
        <v>0</v>
      </c>
      <c r="J475" t="n">
        <v>0</v>
      </c>
      <c r="K475" t="n">
        <v>0</v>
      </c>
      <c r="L475" t="n">
        <v>0</v>
      </c>
      <c r="M475" t="n">
        <v>0</v>
      </c>
      <c r="N475" t="n">
        <v>0</v>
      </c>
      <c r="O475" t="n">
        <v>0</v>
      </c>
      <c r="P475" t="n">
        <v>0</v>
      </c>
      <c r="Q475" t="n">
        <v>0</v>
      </c>
      <c r="R475" s="2" t="inlineStr"/>
    </row>
    <row r="476" ht="15" customHeight="1">
      <c r="A476" t="inlineStr">
        <is>
          <t>A 12570-2023</t>
        </is>
      </c>
      <c r="B476" s="1" t="n">
        <v>44999</v>
      </c>
      <c r="C476" s="1" t="n">
        <v>46188</v>
      </c>
      <c r="D476" t="inlineStr">
        <is>
          <t>SKÅNE LÄN</t>
        </is>
      </c>
      <c r="E476" t="inlineStr">
        <is>
          <t>HÄSSLEHOLM</t>
        </is>
      </c>
      <c r="G476" t="n">
        <v>3.4</v>
      </c>
      <c r="H476" t="n">
        <v>0</v>
      </c>
      <c r="I476" t="n">
        <v>0</v>
      </c>
      <c r="J476" t="n">
        <v>0</v>
      </c>
      <c r="K476" t="n">
        <v>0</v>
      </c>
      <c r="L476" t="n">
        <v>0</v>
      </c>
      <c r="M476" t="n">
        <v>0</v>
      </c>
      <c r="N476" t="n">
        <v>0</v>
      </c>
      <c r="O476" t="n">
        <v>0</v>
      </c>
      <c r="P476" t="n">
        <v>0</v>
      </c>
      <c r="Q476" t="n">
        <v>0</v>
      </c>
      <c r="R476" s="2" t="inlineStr"/>
    </row>
    <row r="477" ht="15" customHeight="1">
      <c r="A477" t="inlineStr">
        <is>
          <t>A 11412-2025</t>
        </is>
      </c>
      <c r="B477" s="1" t="n">
        <v>45726</v>
      </c>
      <c r="C477" s="1" t="n">
        <v>46188</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25430-2025</t>
        </is>
      </c>
      <c r="B478" s="1" t="n">
        <v>45800.78212962963</v>
      </c>
      <c r="C478" s="1" t="n">
        <v>46188</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25219-2023</t>
        </is>
      </c>
      <c r="B479" s="1" t="n">
        <v>45086.60541666667</v>
      </c>
      <c r="C479" s="1" t="n">
        <v>46188</v>
      </c>
      <c r="D479" t="inlineStr">
        <is>
          <t>SKÅNE LÄN</t>
        </is>
      </c>
      <c r="E479" t="inlineStr">
        <is>
          <t>HÄSSLEHOLM</t>
        </is>
      </c>
      <c r="G479" t="n">
        <v>6.9</v>
      </c>
      <c r="H479" t="n">
        <v>0</v>
      </c>
      <c r="I479" t="n">
        <v>0</v>
      </c>
      <c r="J479" t="n">
        <v>0</v>
      </c>
      <c r="K479" t="n">
        <v>0</v>
      </c>
      <c r="L479" t="n">
        <v>0</v>
      </c>
      <c r="M479" t="n">
        <v>0</v>
      </c>
      <c r="N479" t="n">
        <v>0</v>
      </c>
      <c r="O479" t="n">
        <v>0</v>
      </c>
      <c r="P479" t="n">
        <v>0</v>
      </c>
      <c r="Q479" t="n">
        <v>0</v>
      </c>
      <c r="R479" s="2" t="inlineStr"/>
    </row>
    <row r="480" ht="15" customHeight="1">
      <c r="A480" t="inlineStr">
        <is>
          <t>A 11466-2025</t>
        </is>
      </c>
      <c r="B480" s="1" t="n">
        <v>45726</v>
      </c>
      <c r="C480" s="1" t="n">
        <v>46188</v>
      </c>
      <c r="D480" t="inlineStr">
        <is>
          <t>SKÅNE LÄN</t>
        </is>
      </c>
      <c r="E480" t="inlineStr">
        <is>
          <t>HÄSSLEHOLM</t>
        </is>
      </c>
      <c r="G480" t="n">
        <v>3.2</v>
      </c>
      <c r="H480" t="n">
        <v>0</v>
      </c>
      <c r="I480" t="n">
        <v>0</v>
      </c>
      <c r="J480" t="n">
        <v>0</v>
      </c>
      <c r="K480" t="n">
        <v>0</v>
      </c>
      <c r="L480" t="n">
        <v>0</v>
      </c>
      <c r="M480" t="n">
        <v>0</v>
      </c>
      <c r="N480" t="n">
        <v>0</v>
      </c>
      <c r="O480" t="n">
        <v>0</v>
      </c>
      <c r="P480" t="n">
        <v>0</v>
      </c>
      <c r="Q480" t="n">
        <v>0</v>
      </c>
      <c r="R480" s="2" t="inlineStr"/>
    </row>
    <row r="481" ht="15" customHeight="1">
      <c r="A481" t="inlineStr">
        <is>
          <t>A 25431-2025</t>
        </is>
      </c>
      <c r="B481" s="1" t="n">
        <v>45800.78340277778</v>
      </c>
      <c r="C481" s="1" t="n">
        <v>46188</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25432-2025</t>
        </is>
      </c>
      <c r="B482" s="1" t="n">
        <v>45800.7847800926</v>
      </c>
      <c r="C482" s="1" t="n">
        <v>46188</v>
      </c>
      <c r="D482" t="inlineStr">
        <is>
          <t>SKÅNE LÄN</t>
        </is>
      </c>
      <c r="E482" t="inlineStr">
        <is>
          <t>HÄSSLEHOLM</t>
        </is>
      </c>
      <c r="G482" t="n">
        <v>1.8</v>
      </c>
      <c r="H482" t="n">
        <v>0</v>
      </c>
      <c r="I482" t="n">
        <v>0</v>
      </c>
      <c r="J482" t="n">
        <v>0</v>
      </c>
      <c r="K482" t="n">
        <v>0</v>
      </c>
      <c r="L482" t="n">
        <v>0</v>
      </c>
      <c r="M482" t="n">
        <v>0</v>
      </c>
      <c r="N482" t="n">
        <v>0</v>
      </c>
      <c r="O482" t="n">
        <v>0</v>
      </c>
      <c r="P482" t="n">
        <v>0</v>
      </c>
      <c r="Q482" t="n">
        <v>0</v>
      </c>
      <c r="R482" s="2" t="inlineStr"/>
    </row>
    <row r="483" ht="15" customHeight="1">
      <c r="A483" t="inlineStr">
        <is>
          <t>A 11470-2025</t>
        </is>
      </c>
      <c r="B483" s="1" t="n">
        <v>45726</v>
      </c>
      <c r="C483" s="1" t="n">
        <v>46188</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7306-2025</t>
        </is>
      </c>
      <c r="B484" s="1" t="n">
        <v>45702</v>
      </c>
      <c r="C484" s="1" t="n">
        <v>46188</v>
      </c>
      <c r="D484" t="inlineStr">
        <is>
          <t>SKÅNE LÄN</t>
        </is>
      </c>
      <c r="E484" t="inlineStr">
        <is>
          <t>HÄSSLEHOLM</t>
        </is>
      </c>
      <c r="F484" t="inlineStr">
        <is>
          <t>Övriga Aktiebolag</t>
        </is>
      </c>
      <c r="G484" t="n">
        <v>3.3</v>
      </c>
      <c r="H484" t="n">
        <v>0</v>
      </c>
      <c r="I484" t="n">
        <v>0</v>
      </c>
      <c r="J484" t="n">
        <v>0</v>
      </c>
      <c r="K484" t="n">
        <v>0</v>
      </c>
      <c r="L484" t="n">
        <v>0</v>
      </c>
      <c r="M484" t="n">
        <v>0</v>
      </c>
      <c r="N484" t="n">
        <v>0</v>
      </c>
      <c r="O484" t="n">
        <v>0</v>
      </c>
      <c r="P484" t="n">
        <v>0</v>
      </c>
      <c r="Q484" t="n">
        <v>0</v>
      </c>
      <c r="R484" s="2" t="inlineStr"/>
    </row>
    <row r="485" ht="15" customHeight="1">
      <c r="A485" t="inlineStr">
        <is>
          <t>A 7308-2025</t>
        </is>
      </c>
      <c r="B485" s="1" t="n">
        <v>45702</v>
      </c>
      <c r="C485" s="1" t="n">
        <v>46188</v>
      </c>
      <c r="D485" t="inlineStr">
        <is>
          <t>SKÅNE LÄN</t>
        </is>
      </c>
      <c r="E485" t="inlineStr">
        <is>
          <t>HÄSSLEHOLM</t>
        </is>
      </c>
      <c r="F485" t="inlineStr">
        <is>
          <t>Övriga Aktiebolag</t>
        </is>
      </c>
      <c r="G485" t="n">
        <v>4.8</v>
      </c>
      <c r="H485" t="n">
        <v>0</v>
      </c>
      <c r="I485" t="n">
        <v>0</v>
      </c>
      <c r="J485" t="n">
        <v>0</v>
      </c>
      <c r="K485" t="n">
        <v>0</v>
      </c>
      <c r="L485" t="n">
        <v>0</v>
      </c>
      <c r="M485" t="n">
        <v>0</v>
      </c>
      <c r="N485" t="n">
        <v>0</v>
      </c>
      <c r="O485" t="n">
        <v>0</v>
      </c>
      <c r="P485" t="n">
        <v>0</v>
      </c>
      <c r="Q485" t="n">
        <v>0</v>
      </c>
      <c r="R485" s="2" t="inlineStr"/>
    </row>
    <row r="486" ht="15" customHeight="1">
      <c r="A486" t="inlineStr">
        <is>
          <t>A 58250-2024</t>
        </is>
      </c>
      <c r="B486" s="1" t="n">
        <v>45632.55643518519</v>
      </c>
      <c r="C486" s="1" t="n">
        <v>46188</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3298-2026</t>
        </is>
      </c>
      <c r="B487" s="1" t="n">
        <v>46041</v>
      </c>
      <c r="C487" s="1" t="n">
        <v>46188</v>
      </c>
      <c r="D487" t="inlineStr">
        <is>
          <t>SKÅNE LÄN</t>
        </is>
      </c>
      <c r="E487" t="inlineStr">
        <is>
          <t>HÄSSLEHOLM</t>
        </is>
      </c>
      <c r="G487" t="n">
        <v>1.2</v>
      </c>
      <c r="H487" t="n">
        <v>0</v>
      </c>
      <c r="I487" t="n">
        <v>0</v>
      </c>
      <c r="J487" t="n">
        <v>0</v>
      </c>
      <c r="K487" t="n">
        <v>0</v>
      </c>
      <c r="L487" t="n">
        <v>0</v>
      </c>
      <c r="M487" t="n">
        <v>0</v>
      </c>
      <c r="N487" t="n">
        <v>0</v>
      </c>
      <c r="O487" t="n">
        <v>0</v>
      </c>
      <c r="P487" t="n">
        <v>0</v>
      </c>
      <c r="Q487" t="n">
        <v>0</v>
      </c>
      <c r="R487" s="2" t="inlineStr"/>
    </row>
    <row r="488" ht="15" customHeight="1">
      <c r="A488" t="inlineStr">
        <is>
          <t>A 54671-2022</t>
        </is>
      </c>
      <c r="B488" s="1" t="n">
        <v>44883</v>
      </c>
      <c r="C488" s="1" t="n">
        <v>46188</v>
      </c>
      <c r="D488" t="inlineStr">
        <is>
          <t>SKÅNE LÄN</t>
        </is>
      </c>
      <c r="E488" t="inlineStr">
        <is>
          <t>HÄSSLEHOLM</t>
        </is>
      </c>
      <c r="G488" t="n">
        <v>1.4</v>
      </c>
      <c r="H488" t="n">
        <v>0</v>
      </c>
      <c r="I488" t="n">
        <v>0</v>
      </c>
      <c r="J488" t="n">
        <v>0</v>
      </c>
      <c r="K488" t="n">
        <v>0</v>
      </c>
      <c r="L488" t="n">
        <v>0</v>
      </c>
      <c r="M488" t="n">
        <v>0</v>
      </c>
      <c r="N488" t="n">
        <v>0</v>
      </c>
      <c r="O488" t="n">
        <v>0</v>
      </c>
      <c r="P488" t="n">
        <v>0</v>
      </c>
      <c r="Q488" t="n">
        <v>0</v>
      </c>
      <c r="R488" s="2" t="inlineStr"/>
    </row>
    <row r="489" ht="15" customHeight="1">
      <c r="A489" t="inlineStr">
        <is>
          <t>A 40739-2024</t>
        </is>
      </c>
      <c r="B489" s="1" t="n">
        <v>45558</v>
      </c>
      <c r="C489" s="1" t="n">
        <v>46188</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26232-2025</t>
        </is>
      </c>
      <c r="B490" s="1" t="n">
        <v>45805.56642361111</v>
      </c>
      <c r="C490" s="1" t="n">
        <v>46188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26244-2025</t>
        </is>
      </c>
      <c r="B491" s="1" t="n">
        <v>45805.57364583333</v>
      </c>
      <c r="C491" s="1" t="n">
        <v>46188</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35889-2023</t>
        </is>
      </c>
      <c r="B492" s="1" t="n">
        <v>45148</v>
      </c>
      <c r="C492" s="1" t="n">
        <v>46188</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35894-2023</t>
        </is>
      </c>
      <c r="B493" s="1" t="n">
        <v>45148</v>
      </c>
      <c r="C493" s="1" t="n">
        <v>46188</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25176-2024</t>
        </is>
      </c>
      <c r="B494" s="1" t="n">
        <v>45462.54582175926</v>
      </c>
      <c r="C494" s="1" t="n">
        <v>46188</v>
      </c>
      <c r="D494" t="inlineStr">
        <is>
          <t>SKÅNE LÄN</t>
        </is>
      </c>
      <c r="E494" t="inlineStr">
        <is>
          <t>HÄSSLEHOLM</t>
        </is>
      </c>
      <c r="G494" t="n">
        <v>3.8</v>
      </c>
      <c r="H494" t="n">
        <v>0</v>
      </c>
      <c r="I494" t="n">
        <v>0</v>
      </c>
      <c r="J494" t="n">
        <v>0</v>
      </c>
      <c r="K494" t="n">
        <v>0</v>
      </c>
      <c r="L494" t="n">
        <v>0</v>
      </c>
      <c r="M494" t="n">
        <v>0</v>
      </c>
      <c r="N494" t="n">
        <v>0</v>
      </c>
      <c r="O494" t="n">
        <v>0</v>
      </c>
      <c r="P494" t="n">
        <v>0</v>
      </c>
      <c r="Q494" t="n">
        <v>0</v>
      </c>
      <c r="R494" s="2" t="inlineStr"/>
    </row>
    <row r="495" ht="15" customHeight="1">
      <c r="A495" t="inlineStr">
        <is>
          <t>A 3904-2026</t>
        </is>
      </c>
      <c r="B495" s="1" t="n">
        <v>46043.69711805556</v>
      </c>
      <c r="C495" s="1" t="n">
        <v>46188</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44741-2023</t>
        </is>
      </c>
      <c r="B496" s="1" t="n">
        <v>45190.38804398148</v>
      </c>
      <c r="C496" s="1" t="n">
        <v>46188</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7476-2025</t>
        </is>
      </c>
      <c r="B497" s="1" t="n">
        <v>45702</v>
      </c>
      <c r="C497" s="1" t="n">
        <v>46188</v>
      </c>
      <c r="D497" t="inlineStr">
        <is>
          <t>SKÅNE LÄN</t>
        </is>
      </c>
      <c r="E497" t="inlineStr">
        <is>
          <t>HÄSSLEHOLM</t>
        </is>
      </c>
      <c r="F497" t="inlineStr">
        <is>
          <t>Övriga Aktiebolag</t>
        </is>
      </c>
      <c r="G497" t="n">
        <v>2.1</v>
      </c>
      <c r="H497" t="n">
        <v>0</v>
      </c>
      <c r="I497" t="n">
        <v>0</v>
      </c>
      <c r="J497" t="n">
        <v>0</v>
      </c>
      <c r="K497" t="n">
        <v>0</v>
      </c>
      <c r="L497" t="n">
        <v>0</v>
      </c>
      <c r="M497" t="n">
        <v>0</v>
      </c>
      <c r="N497" t="n">
        <v>0</v>
      </c>
      <c r="O497" t="n">
        <v>0</v>
      </c>
      <c r="P497" t="n">
        <v>0</v>
      </c>
      <c r="Q497" t="n">
        <v>0</v>
      </c>
      <c r="R497" s="2" t="inlineStr"/>
    </row>
    <row r="498" ht="15" customHeight="1">
      <c r="A498" t="inlineStr">
        <is>
          <t>A 7513-2025</t>
        </is>
      </c>
      <c r="B498" s="1" t="n">
        <v>45702</v>
      </c>
      <c r="C498" s="1" t="n">
        <v>46188</v>
      </c>
      <c r="D498" t="inlineStr">
        <is>
          <t>SKÅNE LÄN</t>
        </is>
      </c>
      <c r="E498" t="inlineStr">
        <is>
          <t>HÄSSLEHOLM</t>
        </is>
      </c>
      <c r="F498" t="inlineStr">
        <is>
          <t>Övriga Aktiebolag</t>
        </is>
      </c>
      <c r="G498" t="n">
        <v>2.4</v>
      </c>
      <c r="H498" t="n">
        <v>0</v>
      </c>
      <c r="I498" t="n">
        <v>0</v>
      </c>
      <c r="J498" t="n">
        <v>0</v>
      </c>
      <c r="K498" t="n">
        <v>0</v>
      </c>
      <c r="L498" t="n">
        <v>0</v>
      </c>
      <c r="M498" t="n">
        <v>0</v>
      </c>
      <c r="N498" t="n">
        <v>0</v>
      </c>
      <c r="O498" t="n">
        <v>0</v>
      </c>
      <c r="P498" t="n">
        <v>0</v>
      </c>
      <c r="Q498" t="n">
        <v>0</v>
      </c>
      <c r="R498" s="2" t="inlineStr"/>
    </row>
    <row r="499" ht="15" customHeight="1">
      <c r="A499" t="inlineStr">
        <is>
          <t>A 31161-2024</t>
        </is>
      </c>
      <c r="B499" s="1" t="n">
        <v>45503</v>
      </c>
      <c r="C499" s="1" t="n">
        <v>46188</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3715-2026</t>
        </is>
      </c>
      <c r="B500" s="1" t="n">
        <v>46043.48746527778</v>
      </c>
      <c r="C500" s="1" t="n">
        <v>46188</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3862-2026</t>
        </is>
      </c>
      <c r="B501" s="1" t="n">
        <v>46043.62646990741</v>
      </c>
      <c r="C501" s="1" t="n">
        <v>46188</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22157-2024</t>
        </is>
      </c>
      <c r="B502" s="1" t="n">
        <v>45445.85290509259</v>
      </c>
      <c r="C502" s="1" t="n">
        <v>46188</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13316-2023</t>
        </is>
      </c>
      <c r="B503" s="1" t="n">
        <v>45005.39013888889</v>
      </c>
      <c r="C503" s="1" t="n">
        <v>46188</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13358-2023</t>
        </is>
      </c>
      <c r="B504" s="1" t="n">
        <v>45005</v>
      </c>
      <c r="C504" s="1" t="n">
        <v>46188</v>
      </c>
      <c r="D504" t="inlineStr">
        <is>
          <t>SKÅNE LÄN</t>
        </is>
      </c>
      <c r="E504" t="inlineStr">
        <is>
          <t>HÄSSLEHOLM</t>
        </is>
      </c>
      <c r="F504" t="inlineStr">
        <is>
          <t>Övriga Aktiebolag</t>
        </is>
      </c>
      <c r="G504" t="n">
        <v>0.5</v>
      </c>
      <c r="H504" t="n">
        <v>0</v>
      </c>
      <c r="I504" t="n">
        <v>0</v>
      </c>
      <c r="J504" t="n">
        <v>0</v>
      </c>
      <c r="K504" t="n">
        <v>0</v>
      </c>
      <c r="L504" t="n">
        <v>0</v>
      </c>
      <c r="M504" t="n">
        <v>0</v>
      </c>
      <c r="N504" t="n">
        <v>0</v>
      </c>
      <c r="O504" t="n">
        <v>0</v>
      </c>
      <c r="P504" t="n">
        <v>0</v>
      </c>
      <c r="Q504" t="n">
        <v>0</v>
      </c>
      <c r="R504" s="2" t="inlineStr"/>
    </row>
    <row r="505" ht="15" customHeight="1">
      <c r="A505" t="inlineStr">
        <is>
          <t>A 3245-2022</t>
        </is>
      </c>
      <c r="B505" s="1" t="n">
        <v>44583.39136574074</v>
      </c>
      <c r="C505" s="1" t="n">
        <v>46188</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38228-2021</t>
        </is>
      </c>
      <c r="B506" s="1" t="n">
        <v>44405</v>
      </c>
      <c r="C506" s="1" t="n">
        <v>46188</v>
      </c>
      <c r="D506" t="inlineStr">
        <is>
          <t>SKÅNE LÄN</t>
        </is>
      </c>
      <c r="E506" t="inlineStr">
        <is>
          <t>HÄSSLEHOLM</t>
        </is>
      </c>
      <c r="G506" t="n">
        <v>2.8</v>
      </c>
      <c r="H506" t="n">
        <v>0</v>
      </c>
      <c r="I506" t="n">
        <v>0</v>
      </c>
      <c r="J506" t="n">
        <v>0</v>
      </c>
      <c r="K506" t="n">
        <v>0</v>
      </c>
      <c r="L506" t="n">
        <v>0</v>
      </c>
      <c r="M506" t="n">
        <v>0</v>
      </c>
      <c r="N506" t="n">
        <v>0</v>
      </c>
      <c r="O506" t="n">
        <v>0</v>
      </c>
      <c r="P506" t="n">
        <v>0</v>
      </c>
      <c r="Q506" t="n">
        <v>0</v>
      </c>
      <c r="R506" s="2" t="inlineStr"/>
    </row>
    <row r="507" ht="15" customHeight="1">
      <c r="A507" t="inlineStr">
        <is>
          <t>A 3248-2022</t>
        </is>
      </c>
      <c r="B507" s="1" t="n">
        <v>44583</v>
      </c>
      <c r="C507" s="1" t="n">
        <v>46188</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25538-2024</t>
        </is>
      </c>
      <c r="B508" s="1" t="n">
        <v>45463</v>
      </c>
      <c r="C508" s="1" t="n">
        <v>46188</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36733-2023</t>
        </is>
      </c>
      <c r="B509" s="1" t="n">
        <v>45153.69989583334</v>
      </c>
      <c r="C509" s="1" t="n">
        <v>46188</v>
      </c>
      <c r="D509" t="inlineStr">
        <is>
          <t>SKÅNE LÄN</t>
        </is>
      </c>
      <c r="E509" t="inlineStr">
        <is>
          <t>HÄSSLEHOLM</t>
        </is>
      </c>
      <c r="G509" t="n">
        <v>4.8</v>
      </c>
      <c r="H509" t="n">
        <v>0</v>
      </c>
      <c r="I509" t="n">
        <v>0</v>
      </c>
      <c r="J509" t="n">
        <v>0</v>
      </c>
      <c r="K509" t="n">
        <v>0</v>
      </c>
      <c r="L509" t="n">
        <v>0</v>
      </c>
      <c r="M509" t="n">
        <v>0</v>
      </c>
      <c r="N509" t="n">
        <v>0</v>
      </c>
      <c r="O509" t="n">
        <v>0</v>
      </c>
      <c r="P509" t="n">
        <v>0</v>
      </c>
      <c r="Q509" t="n">
        <v>0</v>
      </c>
      <c r="R509" s="2" t="inlineStr"/>
    </row>
    <row r="510" ht="15" customHeight="1">
      <c r="A510" t="inlineStr">
        <is>
          <t>A 60509-2023</t>
        </is>
      </c>
      <c r="B510" s="1" t="n">
        <v>45259</v>
      </c>
      <c r="C510" s="1" t="n">
        <v>46188</v>
      </c>
      <c r="D510" t="inlineStr">
        <is>
          <t>SKÅNE LÄN</t>
        </is>
      </c>
      <c r="E510" t="inlineStr">
        <is>
          <t>HÄSSLEHOLM</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5103-2026</t>
        </is>
      </c>
      <c r="B511" s="1" t="n">
        <v>46049.56725694444</v>
      </c>
      <c r="C511" s="1" t="n">
        <v>46188</v>
      </c>
      <c r="D511" t="inlineStr">
        <is>
          <t>SKÅNE LÄN</t>
        </is>
      </c>
      <c r="E511" t="inlineStr">
        <is>
          <t>HÄSSLEHOLM</t>
        </is>
      </c>
      <c r="G511" t="n">
        <v>5.4</v>
      </c>
      <c r="H511" t="n">
        <v>0</v>
      </c>
      <c r="I511" t="n">
        <v>0</v>
      </c>
      <c r="J511" t="n">
        <v>0</v>
      </c>
      <c r="K511" t="n">
        <v>0</v>
      </c>
      <c r="L511" t="n">
        <v>0</v>
      </c>
      <c r="M511" t="n">
        <v>0</v>
      </c>
      <c r="N511" t="n">
        <v>0</v>
      </c>
      <c r="O511" t="n">
        <v>0</v>
      </c>
      <c r="P511" t="n">
        <v>0</v>
      </c>
      <c r="Q511" t="n">
        <v>0</v>
      </c>
      <c r="R511" s="2" t="inlineStr"/>
    </row>
    <row r="512" ht="15" customHeight="1">
      <c r="A512" t="inlineStr">
        <is>
          <t>A 45220-2023</t>
        </is>
      </c>
      <c r="B512" s="1" t="n">
        <v>45191</v>
      </c>
      <c r="C512" s="1" t="n">
        <v>46188</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32967-2023</t>
        </is>
      </c>
      <c r="B513" s="1" t="n">
        <v>45125</v>
      </c>
      <c r="C513" s="1" t="n">
        <v>46188</v>
      </c>
      <c r="D513" t="inlineStr">
        <is>
          <t>SKÅNE LÄN</t>
        </is>
      </c>
      <c r="E513" t="inlineStr">
        <is>
          <t>HÄSSLEHOLM</t>
        </is>
      </c>
      <c r="G513" t="n">
        <v>1.4</v>
      </c>
      <c r="H513" t="n">
        <v>0</v>
      </c>
      <c r="I513" t="n">
        <v>0</v>
      </c>
      <c r="J513" t="n">
        <v>0</v>
      </c>
      <c r="K513" t="n">
        <v>0</v>
      </c>
      <c r="L513" t="n">
        <v>0</v>
      </c>
      <c r="M513" t="n">
        <v>0</v>
      </c>
      <c r="N513" t="n">
        <v>0</v>
      </c>
      <c r="O513" t="n">
        <v>0</v>
      </c>
      <c r="P513" t="n">
        <v>0</v>
      </c>
      <c r="Q513" t="n">
        <v>0</v>
      </c>
      <c r="R513" s="2" t="inlineStr"/>
    </row>
    <row r="514" ht="15" customHeight="1">
      <c r="A514" t="inlineStr">
        <is>
          <t>A 32968-2023</t>
        </is>
      </c>
      <c r="B514" s="1" t="n">
        <v>45125</v>
      </c>
      <c r="C514" s="1" t="n">
        <v>46188</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10277-2023</t>
        </is>
      </c>
      <c r="B515" s="1" t="n">
        <v>44986</v>
      </c>
      <c r="C515" s="1" t="n">
        <v>46188</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10290-2023</t>
        </is>
      </c>
      <c r="B516" s="1" t="n">
        <v>44986</v>
      </c>
      <c r="C516" s="1" t="n">
        <v>46188</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4981-2026</t>
        </is>
      </c>
      <c r="B517" s="1" t="n">
        <v>46049.37100694444</v>
      </c>
      <c r="C517" s="1" t="n">
        <v>46188</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4994-2026</t>
        </is>
      </c>
      <c r="B518" s="1" t="n">
        <v>46049</v>
      </c>
      <c r="C518" s="1" t="n">
        <v>46188</v>
      </c>
      <c r="D518" t="inlineStr">
        <is>
          <t>SKÅNE LÄN</t>
        </is>
      </c>
      <c r="E518" t="inlineStr">
        <is>
          <t>HÄSSLEHOLM</t>
        </is>
      </c>
      <c r="G518" t="n">
        <v>2.4</v>
      </c>
      <c r="H518" t="n">
        <v>0</v>
      </c>
      <c r="I518" t="n">
        <v>0</v>
      </c>
      <c r="J518" t="n">
        <v>0</v>
      </c>
      <c r="K518" t="n">
        <v>0</v>
      </c>
      <c r="L518" t="n">
        <v>0</v>
      </c>
      <c r="M518" t="n">
        <v>0</v>
      </c>
      <c r="N518" t="n">
        <v>0</v>
      </c>
      <c r="O518" t="n">
        <v>0</v>
      </c>
      <c r="P518" t="n">
        <v>0</v>
      </c>
      <c r="Q518" t="n">
        <v>0</v>
      </c>
      <c r="R518" s="2" t="inlineStr"/>
    </row>
    <row r="519" ht="15" customHeight="1">
      <c r="A519" t="inlineStr">
        <is>
          <t>A 5503-2026</t>
        </is>
      </c>
      <c r="B519" s="1" t="n">
        <v>46050.62509259259</v>
      </c>
      <c r="C519" s="1" t="n">
        <v>46188</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35237-2023</t>
        </is>
      </c>
      <c r="B520" s="1" t="n">
        <v>45145.74532407407</v>
      </c>
      <c r="C520" s="1" t="n">
        <v>46188</v>
      </c>
      <c r="D520" t="inlineStr">
        <is>
          <t>SKÅNE LÄN</t>
        </is>
      </c>
      <c r="E520" t="inlineStr">
        <is>
          <t>HÄSSLEHOLM</t>
        </is>
      </c>
      <c r="G520" t="n">
        <v>1.3</v>
      </c>
      <c r="H520" t="n">
        <v>0</v>
      </c>
      <c r="I520" t="n">
        <v>0</v>
      </c>
      <c r="J520" t="n">
        <v>0</v>
      </c>
      <c r="K520" t="n">
        <v>0</v>
      </c>
      <c r="L520" t="n">
        <v>0</v>
      </c>
      <c r="M520" t="n">
        <v>0</v>
      </c>
      <c r="N520" t="n">
        <v>0</v>
      </c>
      <c r="O520" t="n">
        <v>0</v>
      </c>
      <c r="P520" t="n">
        <v>0</v>
      </c>
      <c r="Q520" t="n">
        <v>0</v>
      </c>
      <c r="R520" s="2" t="inlineStr"/>
    </row>
    <row r="521" ht="15" customHeight="1">
      <c r="A521" t="inlineStr">
        <is>
          <t>A 38358-2024</t>
        </is>
      </c>
      <c r="B521" s="1" t="n">
        <v>45545.79068287037</v>
      </c>
      <c r="C521" s="1" t="n">
        <v>46188</v>
      </c>
      <c r="D521" t="inlineStr">
        <is>
          <t>SKÅNE LÄN</t>
        </is>
      </c>
      <c r="E521" t="inlineStr">
        <is>
          <t>HÄSSLEHOLM</t>
        </is>
      </c>
      <c r="G521" t="n">
        <v>9</v>
      </c>
      <c r="H521" t="n">
        <v>0</v>
      </c>
      <c r="I521" t="n">
        <v>0</v>
      </c>
      <c r="J521" t="n">
        <v>0</v>
      </c>
      <c r="K521" t="n">
        <v>0</v>
      </c>
      <c r="L521" t="n">
        <v>0</v>
      </c>
      <c r="M521" t="n">
        <v>0</v>
      </c>
      <c r="N521" t="n">
        <v>0</v>
      </c>
      <c r="O521" t="n">
        <v>0</v>
      </c>
      <c r="P521" t="n">
        <v>0</v>
      </c>
      <c r="Q521" t="n">
        <v>0</v>
      </c>
      <c r="R521" s="2" t="inlineStr"/>
    </row>
    <row r="522" ht="15" customHeight="1">
      <c r="A522" t="inlineStr">
        <is>
          <t>A 27393-2025</t>
        </is>
      </c>
      <c r="B522" s="1" t="n">
        <v>45812.68295138889</v>
      </c>
      <c r="C522" s="1" t="n">
        <v>46188</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5759-2026</t>
        </is>
      </c>
      <c r="B523" s="1" t="n">
        <v>46051.61814814815</v>
      </c>
      <c r="C523" s="1" t="n">
        <v>46188</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6309-2026</t>
        </is>
      </c>
      <c r="B524" s="1" t="n">
        <v>46055.57369212963</v>
      </c>
      <c r="C524" s="1" t="n">
        <v>46188</v>
      </c>
      <c r="D524" t="inlineStr">
        <is>
          <t>SKÅNE LÄN</t>
        </is>
      </c>
      <c r="E524" t="inlineStr">
        <is>
          <t>HÄSSLEHOLM</t>
        </is>
      </c>
      <c r="G524" t="n">
        <v>3.5</v>
      </c>
      <c r="H524" t="n">
        <v>0</v>
      </c>
      <c r="I524" t="n">
        <v>0</v>
      </c>
      <c r="J524" t="n">
        <v>0</v>
      </c>
      <c r="K524" t="n">
        <v>0</v>
      </c>
      <c r="L524" t="n">
        <v>0</v>
      </c>
      <c r="M524" t="n">
        <v>0</v>
      </c>
      <c r="N524" t="n">
        <v>0</v>
      </c>
      <c r="O524" t="n">
        <v>0</v>
      </c>
      <c r="P524" t="n">
        <v>0</v>
      </c>
      <c r="Q524" t="n">
        <v>0</v>
      </c>
      <c r="R524" s="2" t="inlineStr"/>
    </row>
    <row r="525" ht="15" customHeight="1">
      <c r="A525" t="inlineStr">
        <is>
          <t>A 57967-2023</t>
        </is>
      </c>
      <c r="B525" s="1" t="n">
        <v>45247.57984953704</v>
      </c>
      <c r="C525" s="1" t="n">
        <v>46188</v>
      </c>
      <c r="D525" t="inlineStr">
        <is>
          <t>SKÅNE LÄN</t>
        </is>
      </c>
      <c r="E525" t="inlineStr">
        <is>
          <t>HÄSSLEHOLM</t>
        </is>
      </c>
      <c r="G525" t="n">
        <v>8.6</v>
      </c>
      <c r="H525" t="n">
        <v>0</v>
      </c>
      <c r="I525" t="n">
        <v>0</v>
      </c>
      <c r="J525" t="n">
        <v>0</v>
      </c>
      <c r="K525" t="n">
        <v>0</v>
      </c>
      <c r="L525" t="n">
        <v>0</v>
      </c>
      <c r="M525" t="n">
        <v>0</v>
      </c>
      <c r="N525" t="n">
        <v>0</v>
      </c>
      <c r="O525" t="n">
        <v>0</v>
      </c>
      <c r="P525" t="n">
        <v>0</v>
      </c>
      <c r="Q525" t="n">
        <v>0</v>
      </c>
      <c r="R525" s="2" t="inlineStr"/>
    </row>
    <row r="526" ht="15" customHeight="1">
      <c r="A526" t="inlineStr">
        <is>
          <t>A 6299-2026</t>
        </is>
      </c>
      <c r="B526" s="1" t="n">
        <v>46055.56623842593</v>
      </c>
      <c r="C526" s="1" t="n">
        <v>46188</v>
      </c>
      <c r="D526" t="inlineStr">
        <is>
          <t>SKÅNE LÄN</t>
        </is>
      </c>
      <c r="E526" t="inlineStr">
        <is>
          <t>HÄSSLEHOLM</t>
        </is>
      </c>
      <c r="G526" t="n">
        <v>5.2</v>
      </c>
      <c r="H526" t="n">
        <v>0</v>
      </c>
      <c r="I526" t="n">
        <v>0</v>
      </c>
      <c r="J526" t="n">
        <v>0</v>
      </c>
      <c r="K526" t="n">
        <v>0</v>
      </c>
      <c r="L526" t="n">
        <v>0</v>
      </c>
      <c r="M526" t="n">
        <v>0</v>
      </c>
      <c r="N526" t="n">
        <v>0</v>
      </c>
      <c r="O526" t="n">
        <v>0</v>
      </c>
      <c r="P526" t="n">
        <v>0</v>
      </c>
      <c r="Q526" t="n">
        <v>0</v>
      </c>
      <c r="R526" s="2" t="inlineStr"/>
    </row>
    <row r="527" ht="15" customHeight="1">
      <c r="A527" t="inlineStr">
        <is>
          <t>A 62041-2022</t>
        </is>
      </c>
      <c r="B527" s="1" t="n">
        <v>44918.55743055556</v>
      </c>
      <c r="C527" s="1" t="n">
        <v>46188</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12468-2024</t>
        </is>
      </c>
      <c r="B528" s="1" t="n">
        <v>45379</v>
      </c>
      <c r="C528" s="1" t="n">
        <v>46188</v>
      </c>
      <c r="D528" t="inlineStr">
        <is>
          <t>SKÅNE LÄN</t>
        </is>
      </c>
      <c r="E528" t="inlineStr">
        <is>
          <t>HÄSSLEHOLM</t>
        </is>
      </c>
      <c r="G528" t="n">
        <v>15.5</v>
      </c>
      <c r="H528" t="n">
        <v>0</v>
      </c>
      <c r="I528" t="n">
        <v>0</v>
      </c>
      <c r="J528" t="n">
        <v>0</v>
      </c>
      <c r="K528" t="n">
        <v>0</v>
      </c>
      <c r="L528" t="n">
        <v>0</v>
      </c>
      <c r="M528" t="n">
        <v>0</v>
      </c>
      <c r="N528" t="n">
        <v>0</v>
      </c>
      <c r="O528" t="n">
        <v>0</v>
      </c>
      <c r="P528" t="n">
        <v>0</v>
      </c>
      <c r="Q528" t="n">
        <v>0</v>
      </c>
      <c r="R528" s="2" t="inlineStr"/>
    </row>
    <row r="529" ht="15" customHeight="1">
      <c r="A529" t="inlineStr">
        <is>
          <t>A 6295-2026</t>
        </is>
      </c>
      <c r="B529" s="1" t="n">
        <v>46055.56115740741</v>
      </c>
      <c r="C529" s="1" t="n">
        <v>46188</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1553-2023</t>
        </is>
      </c>
      <c r="B530" s="1" t="n">
        <v>44937</v>
      </c>
      <c r="C530" s="1" t="n">
        <v>46188</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6877-2026</t>
        </is>
      </c>
      <c r="B531" s="1" t="n">
        <v>46057.45768518518</v>
      </c>
      <c r="C531" s="1" t="n">
        <v>46188</v>
      </c>
      <c r="D531" t="inlineStr">
        <is>
          <t>SKÅNE LÄN</t>
        </is>
      </c>
      <c r="E531" t="inlineStr">
        <is>
          <t>HÄSSLEHOLM</t>
        </is>
      </c>
      <c r="G531" t="n">
        <v>1.3</v>
      </c>
      <c r="H531" t="n">
        <v>0</v>
      </c>
      <c r="I531" t="n">
        <v>0</v>
      </c>
      <c r="J531" t="n">
        <v>0</v>
      </c>
      <c r="K531" t="n">
        <v>0</v>
      </c>
      <c r="L531" t="n">
        <v>0</v>
      </c>
      <c r="M531" t="n">
        <v>0</v>
      </c>
      <c r="N531" t="n">
        <v>0</v>
      </c>
      <c r="O531" t="n">
        <v>0</v>
      </c>
      <c r="P531" t="n">
        <v>0</v>
      </c>
      <c r="Q531" t="n">
        <v>0</v>
      </c>
      <c r="R531" s="2" t="inlineStr"/>
    </row>
    <row r="532" ht="15" customHeight="1">
      <c r="A532" t="inlineStr">
        <is>
          <t>A 16368-2025</t>
        </is>
      </c>
      <c r="B532" s="1" t="n">
        <v>45751</v>
      </c>
      <c r="C532" s="1" t="n">
        <v>46188</v>
      </c>
      <c r="D532" t="inlineStr">
        <is>
          <t>SKÅNE LÄN</t>
        </is>
      </c>
      <c r="E532" t="inlineStr">
        <is>
          <t>HÄSSLEHOLM</t>
        </is>
      </c>
      <c r="G532" t="n">
        <v>5</v>
      </c>
      <c r="H532" t="n">
        <v>0</v>
      </c>
      <c r="I532" t="n">
        <v>0</v>
      </c>
      <c r="J532" t="n">
        <v>0</v>
      </c>
      <c r="K532" t="n">
        <v>0</v>
      </c>
      <c r="L532" t="n">
        <v>0</v>
      </c>
      <c r="M532" t="n">
        <v>0</v>
      </c>
      <c r="N532" t="n">
        <v>0</v>
      </c>
      <c r="O532" t="n">
        <v>0</v>
      </c>
      <c r="P532" t="n">
        <v>0</v>
      </c>
      <c r="Q532" t="n">
        <v>0</v>
      </c>
      <c r="R532" s="2" t="inlineStr"/>
    </row>
    <row r="533" ht="15" customHeight="1">
      <c r="A533" t="inlineStr">
        <is>
          <t>A 22690-2022</t>
        </is>
      </c>
      <c r="B533" s="1" t="n">
        <v>44714.5421875</v>
      </c>
      <c r="C533" s="1" t="n">
        <v>46188</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53897-2023</t>
        </is>
      </c>
      <c r="B534" s="1" t="n">
        <v>45231.53934027778</v>
      </c>
      <c r="C534" s="1" t="n">
        <v>46188</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1170-2025</t>
        </is>
      </c>
      <c r="B535" s="1" t="n">
        <v>45667.29226851852</v>
      </c>
      <c r="C535" s="1" t="n">
        <v>46188</v>
      </c>
      <c r="D535" t="inlineStr">
        <is>
          <t>SKÅNE LÄN</t>
        </is>
      </c>
      <c r="E535" t="inlineStr">
        <is>
          <t>HÄSSLEHOLM</t>
        </is>
      </c>
      <c r="G535" t="n">
        <v>4.3</v>
      </c>
      <c r="H535" t="n">
        <v>0</v>
      </c>
      <c r="I535" t="n">
        <v>0</v>
      </c>
      <c r="J535" t="n">
        <v>0</v>
      </c>
      <c r="K535" t="n">
        <v>0</v>
      </c>
      <c r="L535" t="n">
        <v>0</v>
      </c>
      <c r="M535" t="n">
        <v>0</v>
      </c>
      <c r="N535" t="n">
        <v>0</v>
      </c>
      <c r="O535" t="n">
        <v>0</v>
      </c>
      <c r="P535" t="n">
        <v>0</v>
      </c>
      <c r="Q535" t="n">
        <v>0</v>
      </c>
      <c r="R535" s="2" t="inlineStr"/>
    </row>
    <row r="536" ht="15" customHeight="1">
      <c r="A536" t="inlineStr">
        <is>
          <t>A 22132-2024</t>
        </is>
      </c>
      <c r="B536" s="1" t="n">
        <v>45444.37234953704</v>
      </c>
      <c r="C536" s="1" t="n">
        <v>46188</v>
      </c>
      <c r="D536" t="inlineStr">
        <is>
          <t>SKÅNE LÄN</t>
        </is>
      </c>
      <c r="E536" t="inlineStr">
        <is>
          <t>HÄSSLEHOLM</t>
        </is>
      </c>
      <c r="G536" t="n">
        <v>3.1</v>
      </c>
      <c r="H536" t="n">
        <v>0</v>
      </c>
      <c r="I536" t="n">
        <v>0</v>
      </c>
      <c r="J536" t="n">
        <v>0</v>
      </c>
      <c r="K536" t="n">
        <v>0</v>
      </c>
      <c r="L536" t="n">
        <v>0</v>
      </c>
      <c r="M536" t="n">
        <v>0</v>
      </c>
      <c r="N536" t="n">
        <v>0</v>
      </c>
      <c r="O536" t="n">
        <v>0</v>
      </c>
      <c r="P536" t="n">
        <v>0</v>
      </c>
      <c r="Q536" t="n">
        <v>0</v>
      </c>
      <c r="R536" s="2" t="inlineStr"/>
    </row>
    <row r="537" ht="15" customHeight="1">
      <c r="A537" t="inlineStr">
        <is>
          <t>A 28240-2025</t>
        </is>
      </c>
      <c r="B537" s="1" t="n">
        <v>45817</v>
      </c>
      <c r="C537" s="1" t="n">
        <v>46188</v>
      </c>
      <c r="D537" t="inlineStr">
        <is>
          <t>SKÅNE LÄN</t>
        </is>
      </c>
      <c r="E537" t="inlineStr">
        <is>
          <t>HÄSSLEHOLM</t>
        </is>
      </c>
      <c r="G537" t="n">
        <v>7.7</v>
      </c>
      <c r="H537" t="n">
        <v>0</v>
      </c>
      <c r="I537" t="n">
        <v>0</v>
      </c>
      <c r="J537" t="n">
        <v>0</v>
      </c>
      <c r="K537" t="n">
        <v>0</v>
      </c>
      <c r="L537" t="n">
        <v>0</v>
      </c>
      <c r="M537" t="n">
        <v>0</v>
      </c>
      <c r="N537" t="n">
        <v>0</v>
      </c>
      <c r="O537" t="n">
        <v>0</v>
      </c>
      <c r="P537" t="n">
        <v>0</v>
      </c>
      <c r="Q537" t="n">
        <v>0</v>
      </c>
      <c r="R537" s="2" t="inlineStr"/>
    </row>
    <row r="538" ht="15" customHeight="1">
      <c r="A538" t="inlineStr">
        <is>
          <t>A 27940-2025</t>
        </is>
      </c>
      <c r="B538" s="1" t="n">
        <v>45817.50439814815</v>
      </c>
      <c r="C538" s="1" t="n">
        <v>46188</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27934-2025</t>
        </is>
      </c>
      <c r="B539" s="1" t="n">
        <v>45817.49761574074</v>
      </c>
      <c r="C539" s="1" t="n">
        <v>46188</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6449-2026</t>
        </is>
      </c>
      <c r="B540" s="1" t="n">
        <v>46055.87239583334</v>
      </c>
      <c r="C540" s="1" t="n">
        <v>46188</v>
      </c>
      <c r="D540" t="inlineStr">
        <is>
          <t>SKÅNE LÄN</t>
        </is>
      </c>
      <c r="E540" t="inlineStr">
        <is>
          <t>HÄSSLEHOLM</t>
        </is>
      </c>
      <c r="G540" t="n">
        <v>1.8</v>
      </c>
      <c r="H540" t="n">
        <v>0</v>
      </c>
      <c r="I540" t="n">
        <v>0</v>
      </c>
      <c r="J540" t="n">
        <v>0</v>
      </c>
      <c r="K540" t="n">
        <v>0</v>
      </c>
      <c r="L540" t="n">
        <v>0</v>
      </c>
      <c r="M540" t="n">
        <v>0</v>
      </c>
      <c r="N540" t="n">
        <v>0</v>
      </c>
      <c r="O540" t="n">
        <v>0</v>
      </c>
      <c r="P540" t="n">
        <v>0</v>
      </c>
      <c r="Q540" t="n">
        <v>0</v>
      </c>
      <c r="R540" s="2" t="inlineStr"/>
    </row>
    <row r="541" ht="15" customHeight="1">
      <c r="A541" t="inlineStr">
        <is>
          <t>A 28251-2025</t>
        </is>
      </c>
      <c r="B541" s="1" t="n">
        <v>45817</v>
      </c>
      <c r="C541" s="1" t="n">
        <v>46188</v>
      </c>
      <c r="D541" t="inlineStr">
        <is>
          <t>SKÅNE LÄN</t>
        </is>
      </c>
      <c r="E541" t="inlineStr">
        <is>
          <t>HÄSSLEHOLM</t>
        </is>
      </c>
      <c r="G541" t="n">
        <v>7.2</v>
      </c>
      <c r="H541" t="n">
        <v>0</v>
      </c>
      <c r="I541" t="n">
        <v>0</v>
      </c>
      <c r="J541" t="n">
        <v>0</v>
      </c>
      <c r="K541" t="n">
        <v>0</v>
      </c>
      <c r="L541" t="n">
        <v>0</v>
      </c>
      <c r="M541" t="n">
        <v>0</v>
      </c>
      <c r="N541" t="n">
        <v>0</v>
      </c>
      <c r="O541" t="n">
        <v>0</v>
      </c>
      <c r="P541" t="n">
        <v>0</v>
      </c>
      <c r="Q541" t="n">
        <v>0</v>
      </c>
      <c r="R541" s="2" t="inlineStr"/>
    </row>
    <row r="542" ht="15" customHeight="1">
      <c r="A542" t="inlineStr">
        <is>
          <t>A 28122-2025</t>
        </is>
      </c>
      <c r="B542" s="1" t="n">
        <v>45817</v>
      </c>
      <c r="C542" s="1" t="n">
        <v>46188</v>
      </c>
      <c r="D542" t="inlineStr">
        <is>
          <t>SKÅNE LÄN</t>
        </is>
      </c>
      <c r="E542" t="inlineStr">
        <is>
          <t>HÄSSLEHOLM</t>
        </is>
      </c>
      <c r="G542" t="n">
        <v>2.4</v>
      </c>
      <c r="H542" t="n">
        <v>0</v>
      </c>
      <c r="I542" t="n">
        <v>0</v>
      </c>
      <c r="J542" t="n">
        <v>0</v>
      </c>
      <c r="K542" t="n">
        <v>0</v>
      </c>
      <c r="L542" t="n">
        <v>0</v>
      </c>
      <c r="M542" t="n">
        <v>0</v>
      </c>
      <c r="N542" t="n">
        <v>0</v>
      </c>
      <c r="O542" t="n">
        <v>0</v>
      </c>
      <c r="P542" t="n">
        <v>0</v>
      </c>
      <c r="Q542" t="n">
        <v>0</v>
      </c>
      <c r="R542" s="2" t="inlineStr"/>
    </row>
    <row r="543" ht="15" customHeight="1">
      <c r="A543" t="inlineStr">
        <is>
          <t>A 32210-2024</t>
        </is>
      </c>
      <c r="B543" s="1" t="n">
        <v>45511.67777777778</v>
      </c>
      <c r="C543" s="1" t="n">
        <v>46188</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27887-2025</t>
        </is>
      </c>
      <c r="B544" s="1" t="n">
        <v>45817.45994212963</v>
      </c>
      <c r="C544" s="1" t="n">
        <v>46188</v>
      </c>
      <c r="D544" t="inlineStr">
        <is>
          <t>SKÅNE LÄN</t>
        </is>
      </c>
      <c r="E544" t="inlineStr">
        <is>
          <t>HÄSSLEHOLM</t>
        </is>
      </c>
      <c r="G544" t="n">
        <v>4.8</v>
      </c>
      <c r="H544" t="n">
        <v>0</v>
      </c>
      <c r="I544" t="n">
        <v>0</v>
      </c>
      <c r="J544" t="n">
        <v>0</v>
      </c>
      <c r="K544" t="n">
        <v>0</v>
      </c>
      <c r="L544" t="n">
        <v>0</v>
      </c>
      <c r="M544" t="n">
        <v>0</v>
      </c>
      <c r="N544" t="n">
        <v>0</v>
      </c>
      <c r="O544" t="n">
        <v>0</v>
      </c>
      <c r="P544" t="n">
        <v>0</v>
      </c>
      <c r="Q544" t="n">
        <v>0</v>
      </c>
      <c r="R544" s="2" t="inlineStr"/>
    </row>
    <row r="545" ht="15" customHeight="1">
      <c r="A545" t="inlineStr">
        <is>
          <t>A 2743-2023</t>
        </is>
      </c>
      <c r="B545" s="1" t="n">
        <v>44944</v>
      </c>
      <c r="C545" s="1" t="n">
        <v>46188</v>
      </c>
      <c r="D545" t="inlineStr">
        <is>
          <t>SKÅNE LÄN</t>
        </is>
      </c>
      <c r="E545" t="inlineStr">
        <is>
          <t>HÄSSLEHOLM</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8749-2024</t>
        </is>
      </c>
      <c r="B546" s="1" t="n">
        <v>45356.50387731481</v>
      </c>
      <c r="C546" s="1" t="n">
        <v>46188</v>
      </c>
      <c r="D546" t="inlineStr">
        <is>
          <t>SKÅNE LÄN</t>
        </is>
      </c>
      <c r="E546" t="inlineStr">
        <is>
          <t>HÄSSLEHOLM</t>
        </is>
      </c>
      <c r="G546" t="n">
        <v>2.9</v>
      </c>
      <c r="H546" t="n">
        <v>0</v>
      </c>
      <c r="I546" t="n">
        <v>0</v>
      </c>
      <c r="J546" t="n">
        <v>0</v>
      </c>
      <c r="K546" t="n">
        <v>0</v>
      </c>
      <c r="L546" t="n">
        <v>0</v>
      </c>
      <c r="M546" t="n">
        <v>0</v>
      </c>
      <c r="N546" t="n">
        <v>0</v>
      </c>
      <c r="O546" t="n">
        <v>0</v>
      </c>
      <c r="P546" t="n">
        <v>0</v>
      </c>
      <c r="Q546" t="n">
        <v>0</v>
      </c>
      <c r="R546" s="2" t="inlineStr"/>
    </row>
    <row r="547" ht="15" customHeight="1">
      <c r="A547" t="inlineStr">
        <is>
          <t>A 8752-2024</t>
        </is>
      </c>
      <c r="B547" s="1" t="n">
        <v>45356</v>
      </c>
      <c r="C547" s="1" t="n">
        <v>46188</v>
      </c>
      <c r="D547" t="inlineStr">
        <is>
          <t>SKÅNE LÄN</t>
        </is>
      </c>
      <c r="E547" t="inlineStr">
        <is>
          <t>HÄSSLEHOLM</t>
        </is>
      </c>
      <c r="G547" t="n">
        <v>3.4</v>
      </c>
      <c r="H547" t="n">
        <v>0</v>
      </c>
      <c r="I547" t="n">
        <v>0</v>
      </c>
      <c r="J547" t="n">
        <v>0</v>
      </c>
      <c r="K547" t="n">
        <v>0</v>
      </c>
      <c r="L547" t="n">
        <v>0</v>
      </c>
      <c r="M547" t="n">
        <v>0</v>
      </c>
      <c r="N547" t="n">
        <v>0</v>
      </c>
      <c r="O547" t="n">
        <v>0</v>
      </c>
      <c r="P547" t="n">
        <v>0</v>
      </c>
      <c r="Q547" t="n">
        <v>0</v>
      </c>
      <c r="R547" s="2" t="inlineStr"/>
    </row>
    <row r="548" ht="15" customHeight="1">
      <c r="A548" t="inlineStr">
        <is>
          <t>A 8759-2024</t>
        </is>
      </c>
      <c r="B548" s="1" t="n">
        <v>45356.52271990741</v>
      </c>
      <c r="C548" s="1" t="n">
        <v>46188</v>
      </c>
      <c r="D548" t="inlineStr">
        <is>
          <t>SKÅNE LÄN</t>
        </is>
      </c>
      <c r="E548" t="inlineStr">
        <is>
          <t>HÄSSLEHOLM</t>
        </is>
      </c>
      <c r="G548" t="n">
        <v>5.7</v>
      </c>
      <c r="H548" t="n">
        <v>0</v>
      </c>
      <c r="I548" t="n">
        <v>0</v>
      </c>
      <c r="J548" t="n">
        <v>0</v>
      </c>
      <c r="K548" t="n">
        <v>0</v>
      </c>
      <c r="L548" t="n">
        <v>0</v>
      </c>
      <c r="M548" t="n">
        <v>0</v>
      </c>
      <c r="N548" t="n">
        <v>0</v>
      </c>
      <c r="O548" t="n">
        <v>0</v>
      </c>
      <c r="P548" t="n">
        <v>0</v>
      </c>
      <c r="Q548" t="n">
        <v>0</v>
      </c>
      <c r="R548" s="2" t="inlineStr"/>
    </row>
    <row r="549" ht="15" customHeight="1">
      <c r="A549" t="inlineStr">
        <is>
          <t>A 48624-2021</t>
        </is>
      </c>
      <c r="B549" s="1" t="n">
        <v>44452</v>
      </c>
      <c r="C549" s="1" t="n">
        <v>46188</v>
      </c>
      <c r="D549" t="inlineStr">
        <is>
          <t>SKÅNE LÄN</t>
        </is>
      </c>
      <c r="E549" t="inlineStr">
        <is>
          <t>HÄSSLEHOLM</t>
        </is>
      </c>
      <c r="G549" t="n">
        <v>2.2</v>
      </c>
      <c r="H549" t="n">
        <v>0</v>
      </c>
      <c r="I549" t="n">
        <v>0</v>
      </c>
      <c r="J549" t="n">
        <v>0</v>
      </c>
      <c r="K549" t="n">
        <v>0</v>
      </c>
      <c r="L549" t="n">
        <v>0</v>
      </c>
      <c r="M549" t="n">
        <v>0</v>
      </c>
      <c r="N549" t="n">
        <v>0</v>
      </c>
      <c r="O549" t="n">
        <v>0</v>
      </c>
      <c r="P549" t="n">
        <v>0</v>
      </c>
      <c r="Q549" t="n">
        <v>0</v>
      </c>
      <c r="R549" s="2" t="inlineStr"/>
    </row>
    <row r="550" ht="15" customHeight="1">
      <c r="A550" t="inlineStr">
        <is>
          <t>A 49827-2022</t>
        </is>
      </c>
      <c r="B550" s="1" t="n">
        <v>44859</v>
      </c>
      <c r="C550" s="1" t="n">
        <v>46188</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7244-2026</t>
        </is>
      </c>
      <c r="B551" s="1" t="n">
        <v>46058.58646990741</v>
      </c>
      <c r="C551" s="1" t="n">
        <v>46188</v>
      </c>
      <c r="D551" t="inlineStr">
        <is>
          <t>SKÅNE LÄN</t>
        </is>
      </c>
      <c r="E551" t="inlineStr">
        <is>
          <t>HÄSSLEHOLM</t>
        </is>
      </c>
      <c r="G551" t="n">
        <v>7</v>
      </c>
      <c r="H551" t="n">
        <v>0</v>
      </c>
      <c r="I551" t="n">
        <v>0</v>
      </c>
      <c r="J551" t="n">
        <v>0</v>
      </c>
      <c r="K551" t="n">
        <v>0</v>
      </c>
      <c r="L551" t="n">
        <v>0</v>
      </c>
      <c r="M551" t="n">
        <v>0</v>
      </c>
      <c r="N551" t="n">
        <v>0</v>
      </c>
      <c r="O551" t="n">
        <v>0</v>
      </c>
      <c r="P551" t="n">
        <v>0</v>
      </c>
      <c r="Q551" t="n">
        <v>0</v>
      </c>
      <c r="R551" s="2" t="inlineStr"/>
    </row>
    <row r="552" ht="15" customHeight="1">
      <c r="A552" t="inlineStr">
        <is>
          <t>A 7721-2026</t>
        </is>
      </c>
      <c r="B552" s="1" t="n">
        <v>46059</v>
      </c>
      <c r="C552" s="1" t="n">
        <v>46188</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59434-2023</t>
        </is>
      </c>
      <c r="B553" s="1" t="n">
        <v>45254.30440972222</v>
      </c>
      <c r="C553" s="1" t="n">
        <v>46188</v>
      </c>
      <c r="D553" t="inlineStr">
        <is>
          <t>SKÅNE LÄN</t>
        </is>
      </c>
      <c r="E553" t="inlineStr">
        <is>
          <t>HÄSSLEHOLM</t>
        </is>
      </c>
      <c r="G553" t="n">
        <v>3.6</v>
      </c>
      <c r="H553" t="n">
        <v>0</v>
      </c>
      <c r="I553" t="n">
        <v>0</v>
      </c>
      <c r="J553" t="n">
        <v>0</v>
      </c>
      <c r="K553" t="n">
        <v>0</v>
      </c>
      <c r="L553" t="n">
        <v>0</v>
      </c>
      <c r="M553" t="n">
        <v>0</v>
      </c>
      <c r="N553" t="n">
        <v>0</v>
      </c>
      <c r="O553" t="n">
        <v>0</v>
      </c>
      <c r="P553" t="n">
        <v>0</v>
      </c>
      <c r="Q553" t="n">
        <v>0</v>
      </c>
      <c r="R553" s="2" t="inlineStr"/>
    </row>
    <row r="554" ht="15" customHeight="1">
      <c r="A554" t="inlineStr">
        <is>
          <t>A 2290-2024</t>
        </is>
      </c>
      <c r="B554" s="1" t="n">
        <v>45310</v>
      </c>
      <c r="C554" s="1" t="n">
        <v>46188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33067-2024</t>
        </is>
      </c>
      <c r="B555" s="1" t="n">
        <v>45517.6520949074</v>
      </c>
      <c r="C555" s="1" t="n">
        <v>46188</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28236-2022</t>
        </is>
      </c>
      <c r="B556" s="1" t="n">
        <v>44746</v>
      </c>
      <c r="C556" s="1" t="n">
        <v>46188</v>
      </c>
      <c r="D556" t="inlineStr">
        <is>
          <t>SKÅNE LÄN</t>
        </is>
      </c>
      <c r="E556" t="inlineStr">
        <is>
          <t>HÄSSLEHOLM</t>
        </is>
      </c>
      <c r="G556" t="n">
        <v>3.5</v>
      </c>
      <c r="H556" t="n">
        <v>0</v>
      </c>
      <c r="I556" t="n">
        <v>0</v>
      </c>
      <c r="J556" t="n">
        <v>0</v>
      </c>
      <c r="K556" t="n">
        <v>0</v>
      </c>
      <c r="L556" t="n">
        <v>0</v>
      </c>
      <c r="M556" t="n">
        <v>0</v>
      </c>
      <c r="N556" t="n">
        <v>0</v>
      </c>
      <c r="O556" t="n">
        <v>0</v>
      </c>
      <c r="P556" t="n">
        <v>0</v>
      </c>
      <c r="Q556" t="n">
        <v>0</v>
      </c>
      <c r="R556" s="2" t="inlineStr"/>
    </row>
    <row r="557" ht="15" customHeight="1">
      <c r="A557" t="inlineStr">
        <is>
          <t>A 61625-2022</t>
        </is>
      </c>
      <c r="B557" s="1" t="n">
        <v>44916</v>
      </c>
      <c r="C557" s="1" t="n">
        <v>46188</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29170-2025</t>
        </is>
      </c>
      <c r="B558" s="1" t="n">
        <v>45821.69766203704</v>
      </c>
      <c r="C558" s="1" t="n">
        <v>46188</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38829-2024</t>
        </is>
      </c>
      <c r="B559" s="1" t="n">
        <v>45547.57247685185</v>
      </c>
      <c r="C559" s="1" t="n">
        <v>46188</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13890-2024</t>
        </is>
      </c>
      <c r="B560" s="1" t="n">
        <v>45391</v>
      </c>
      <c r="C560" s="1" t="n">
        <v>46188</v>
      </c>
      <c r="D560" t="inlineStr">
        <is>
          <t>SKÅNE LÄN</t>
        </is>
      </c>
      <c r="E560" t="inlineStr">
        <is>
          <t>HÄSSLEHOLM</t>
        </is>
      </c>
      <c r="F560" t="inlineStr">
        <is>
          <t>Kommuner</t>
        </is>
      </c>
      <c r="G560" t="n">
        <v>1.4</v>
      </c>
      <c r="H560" t="n">
        <v>0</v>
      </c>
      <c r="I560" t="n">
        <v>0</v>
      </c>
      <c r="J560" t="n">
        <v>0</v>
      </c>
      <c r="K560" t="n">
        <v>0</v>
      </c>
      <c r="L560" t="n">
        <v>0</v>
      </c>
      <c r="M560" t="n">
        <v>0</v>
      </c>
      <c r="N560" t="n">
        <v>0</v>
      </c>
      <c r="O560" t="n">
        <v>0</v>
      </c>
      <c r="P560" t="n">
        <v>0</v>
      </c>
      <c r="Q560" t="n">
        <v>0</v>
      </c>
      <c r="R560" s="2" t="inlineStr"/>
    </row>
    <row r="561" ht="15" customHeight="1">
      <c r="A561" t="inlineStr">
        <is>
          <t>A 55218-2023</t>
        </is>
      </c>
      <c r="B561" s="1" t="n">
        <v>45237</v>
      </c>
      <c r="C561" s="1" t="n">
        <v>46188</v>
      </c>
      <c r="D561" t="inlineStr">
        <is>
          <t>SKÅNE LÄN</t>
        </is>
      </c>
      <c r="E561" t="inlineStr">
        <is>
          <t>HÄSSLEHOLM</t>
        </is>
      </c>
      <c r="G561" t="n">
        <v>2</v>
      </c>
      <c r="H561" t="n">
        <v>0</v>
      </c>
      <c r="I561" t="n">
        <v>0</v>
      </c>
      <c r="J561" t="n">
        <v>0</v>
      </c>
      <c r="K561" t="n">
        <v>0</v>
      </c>
      <c r="L561" t="n">
        <v>0</v>
      </c>
      <c r="M561" t="n">
        <v>0</v>
      </c>
      <c r="N561" t="n">
        <v>0</v>
      </c>
      <c r="O561" t="n">
        <v>0</v>
      </c>
      <c r="P561" t="n">
        <v>0</v>
      </c>
      <c r="Q561" t="n">
        <v>0</v>
      </c>
      <c r="R561" s="2" t="inlineStr"/>
    </row>
    <row r="562" ht="15" customHeight="1">
      <c r="A562" t="inlineStr">
        <is>
          <t>A 29168-2025</t>
        </is>
      </c>
      <c r="B562" s="1" t="n">
        <v>45821.69547453704</v>
      </c>
      <c r="C562" s="1" t="n">
        <v>46188</v>
      </c>
      <c r="D562" t="inlineStr">
        <is>
          <t>SKÅNE LÄN</t>
        </is>
      </c>
      <c r="E562" t="inlineStr">
        <is>
          <t>HÄSSLEHOLM</t>
        </is>
      </c>
      <c r="G562" t="n">
        <v>1.7</v>
      </c>
      <c r="H562" t="n">
        <v>0</v>
      </c>
      <c r="I562" t="n">
        <v>0</v>
      </c>
      <c r="J562" t="n">
        <v>0</v>
      </c>
      <c r="K562" t="n">
        <v>0</v>
      </c>
      <c r="L562" t="n">
        <v>0</v>
      </c>
      <c r="M562" t="n">
        <v>0</v>
      </c>
      <c r="N562" t="n">
        <v>0</v>
      </c>
      <c r="O562" t="n">
        <v>0</v>
      </c>
      <c r="P562" t="n">
        <v>0</v>
      </c>
      <c r="Q562" t="n">
        <v>0</v>
      </c>
      <c r="R562" s="2" t="inlineStr"/>
    </row>
    <row r="563" ht="15" customHeight="1">
      <c r="A563" t="inlineStr">
        <is>
          <t>A 49106-2023</t>
        </is>
      </c>
      <c r="B563" s="1" t="n">
        <v>45210</v>
      </c>
      <c r="C563" s="1" t="n">
        <v>46188</v>
      </c>
      <c r="D563" t="inlineStr">
        <is>
          <t>SKÅNE LÄN</t>
        </is>
      </c>
      <c r="E563" t="inlineStr">
        <is>
          <t>HÄSSLEHOLM</t>
        </is>
      </c>
      <c r="G563" t="n">
        <v>0.3</v>
      </c>
      <c r="H563" t="n">
        <v>0</v>
      </c>
      <c r="I563" t="n">
        <v>0</v>
      </c>
      <c r="J563" t="n">
        <v>0</v>
      </c>
      <c r="K563" t="n">
        <v>0</v>
      </c>
      <c r="L563" t="n">
        <v>0</v>
      </c>
      <c r="M563" t="n">
        <v>0</v>
      </c>
      <c r="N563" t="n">
        <v>0</v>
      </c>
      <c r="O563" t="n">
        <v>0</v>
      </c>
      <c r="P563" t="n">
        <v>0</v>
      </c>
      <c r="Q563" t="n">
        <v>0</v>
      </c>
      <c r="R563" s="2" t="inlineStr"/>
    </row>
    <row r="564" ht="15" customHeight="1">
      <c r="A564" t="inlineStr">
        <is>
          <t>A 10409-2024</t>
        </is>
      </c>
      <c r="B564" s="1" t="n">
        <v>45365.6978125</v>
      </c>
      <c r="C564" s="1" t="n">
        <v>46188</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47248-2023</t>
        </is>
      </c>
      <c r="B565" s="1" t="n">
        <v>45202</v>
      </c>
      <c r="C565" s="1" t="n">
        <v>46188</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8539-2026</t>
        </is>
      </c>
      <c r="B566" s="1" t="n">
        <v>46064</v>
      </c>
      <c r="C566" s="1" t="n">
        <v>46188</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20990-2023</t>
        </is>
      </c>
      <c r="B567" s="1" t="n">
        <v>45061.46186342592</v>
      </c>
      <c r="C567" s="1" t="n">
        <v>46188</v>
      </c>
      <c r="D567" t="inlineStr">
        <is>
          <t>SKÅNE LÄN</t>
        </is>
      </c>
      <c r="E567" t="inlineStr">
        <is>
          <t>HÄSSLEHOLM</t>
        </is>
      </c>
      <c r="G567" t="n">
        <v>2.8</v>
      </c>
      <c r="H567" t="n">
        <v>0</v>
      </c>
      <c r="I567" t="n">
        <v>0</v>
      </c>
      <c r="J567" t="n">
        <v>0</v>
      </c>
      <c r="K567" t="n">
        <v>0</v>
      </c>
      <c r="L567" t="n">
        <v>0</v>
      </c>
      <c r="M567" t="n">
        <v>0</v>
      </c>
      <c r="N567" t="n">
        <v>0</v>
      </c>
      <c r="O567" t="n">
        <v>0</v>
      </c>
      <c r="P567" t="n">
        <v>0</v>
      </c>
      <c r="Q567" t="n">
        <v>0</v>
      </c>
      <c r="R567" s="2" t="inlineStr"/>
    </row>
    <row r="568" ht="15" customHeight="1">
      <c r="A568" t="inlineStr">
        <is>
          <t>A 8367-2026</t>
        </is>
      </c>
      <c r="B568" s="1" t="n">
        <v>46064</v>
      </c>
      <c r="C568" s="1" t="n">
        <v>46188</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8674-2026</t>
        </is>
      </c>
      <c r="B569" s="1" t="n">
        <v>46066.4059837963</v>
      </c>
      <c r="C569" s="1" t="n">
        <v>46188</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54171-2022</t>
        </is>
      </c>
      <c r="B570" s="1" t="n">
        <v>44881</v>
      </c>
      <c r="C570" s="1" t="n">
        <v>46188</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8852-2026</t>
        </is>
      </c>
      <c r="B571" s="1" t="n">
        <v>46066.66105324074</v>
      </c>
      <c r="C571" s="1" t="n">
        <v>46188</v>
      </c>
      <c r="D571" t="inlineStr">
        <is>
          <t>SKÅNE LÄN</t>
        </is>
      </c>
      <c r="E571" t="inlineStr">
        <is>
          <t>HÄSSLEHOLM</t>
        </is>
      </c>
      <c r="G571" t="n">
        <v>2.4</v>
      </c>
      <c r="H571" t="n">
        <v>0</v>
      </c>
      <c r="I571" t="n">
        <v>0</v>
      </c>
      <c r="J571" t="n">
        <v>0</v>
      </c>
      <c r="K571" t="n">
        <v>0</v>
      </c>
      <c r="L571" t="n">
        <v>0</v>
      </c>
      <c r="M571" t="n">
        <v>0</v>
      </c>
      <c r="N571" t="n">
        <v>0</v>
      </c>
      <c r="O571" t="n">
        <v>0</v>
      </c>
      <c r="P571" t="n">
        <v>0</v>
      </c>
      <c r="Q571" t="n">
        <v>0</v>
      </c>
      <c r="R571" s="2" t="inlineStr"/>
    </row>
    <row r="572" ht="15" customHeight="1">
      <c r="A572" t="inlineStr">
        <is>
          <t>A 57277-2023</t>
        </is>
      </c>
      <c r="B572" s="1" t="n">
        <v>45245.59104166667</v>
      </c>
      <c r="C572" s="1" t="n">
        <v>46188</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31159-2025</t>
        </is>
      </c>
      <c r="B573" s="1" t="n">
        <v>45832.65322916667</v>
      </c>
      <c r="C573" s="1" t="n">
        <v>46188</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35150-2023</t>
        </is>
      </c>
      <c r="B574" s="1" t="n">
        <v>45145</v>
      </c>
      <c r="C574" s="1" t="n">
        <v>46188</v>
      </c>
      <c r="D574" t="inlineStr">
        <is>
          <t>SKÅNE LÄN</t>
        </is>
      </c>
      <c r="E574" t="inlineStr">
        <is>
          <t>HÄSSLEHOLM</t>
        </is>
      </c>
      <c r="G574" t="n">
        <v>4.9</v>
      </c>
      <c r="H574" t="n">
        <v>0</v>
      </c>
      <c r="I574" t="n">
        <v>0</v>
      </c>
      <c r="J574" t="n">
        <v>0</v>
      </c>
      <c r="K574" t="n">
        <v>0</v>
      </c>
      <c r="L574" t="n">
        <v>0</v>
      </c>
      <c r="M574" t="n">
        <v>0</v>
      </c>
      <c r="N574" t="n">
        <v>0</v>
      </c>
      <c r="O574" t="n">
        <v>0</v>
      </c>
      <c r="P574" t="n">
        <v>0</v>
      </c>
      <c r="Q574" t="n">
        <v>0</v>
      </c>
      <c r="R574" s="2" t="inlineStr"/>
    </row>
    <row r="575" ht="15" customHeight="1">
      <c r="A575" t="inlineStr">
        <is>
          <t>A 58689-2025</t>
        </is>
      </c>
      <c r="B575" s="1" t="n">
        <v>45986</v>
      </c>
      <c r="C575" s="1" t="n">
        <v>46188</v>
      </c>
      <c r="D575" t="inlineStr">
        <is>
          <t>SKÅNE LÄN</t>
        </is>
      </c>
      <c r="E575" t="inlineStr">
        <is>
          <t>HÄSSLEHOLM</t>
        </is>
      </c>
      <c r="G575" t="n">
        <v>3.9</v>
      </c>
      <c r="H575" t="n">
        <v>0</v>
      </c>
      <c r="I575" t="n">
        <v>0</v>
      </c>
      <c r="J575" t="n">
        <v>0</v>
      </c>
      <c r="K575" t="n">
        <v>0</v>
      </c>
      <c r="L575" t="n">
        <v>0</v>
      </c>
      <c r="M575" t="n">
        <v>0</v>
      </c>
      <c r="N575" t="n">
        <v>0</v>
      </c>
      <c r="O575" t="n">
        <v>0</v>
      </c>
      <c r="P575" t="n">
        <v>0</v>
      </c>
      <c r="Q575" t="n">
        <v>0</v>
      </c>
      <c r="R575" s="2" t="inlineStr"/>
    </row>
    <row r="576" ht="15" customHeight="1">
      <c r="A576" t="inlineStr">
        <is>
          <t>A 18041-2023</t>
        </is>
      </c>
      <c r="B576" s="1" t="n">
        <v>45040</v>
      </c>
      <c r="C576" s="1" t="n">
        <v>46188</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49250-2022</t>
        </is>
      </c>
      <c r="B577" s="1" t="n">
        <v>44858</v>
      </c>
      <c r="C577" s="1" t="n">
        <v>46188</v>
      </c>
      <c r="D577" t="inlineStr">
        <is>
          <t>SKÅNE LÄN</t>
        </is>
      </c>
      <c r="E577" t="inlineStr">
        <is>
          <t>HÄSSLEHOLM</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26857-2025</t>
        </is>
      </c>
      <c r="B578" s="1" t="n">
        <v>45810</v>
      </c>
      <c r="C578" s="1" t="n">
        <v>46188</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32154-2024</t>
        </is>
      </c>
      <c r="B579" s="1" t="n">
        <v>45511</v>
      </c>
      <c r="C579" s="1" t="n">
        <v>46188</v>
      </c>
      <c r="D579" t="inlineStr">
        <is>
          <t>SKÅNE LÄN</t>
        </is>
      </c>
      <c r="E579" t="inlineStr">
        <is>
          <t>HÄSSLEHOLM</t>
        </is>
      </c>
      <c r="G579" t="n">
        <v>6.4</v>
      </c>
      <c r="H579" t="n">
        <v>0</v>
      </c>
      <c r="I579" t="n">
        <v>0</v>
      </c>
      <c r="J579" t="n">
        <v>0</v>
      </c>
      <c r="K579" t="n">
        <v>0</v>
      </c>
      <c r="L579" t="n">
        <v>0</v>
      </c>
      <c r="M579" t="n">
        <v>0</v>
      </c>
      <c r="N579" t="n">
        <v>0</v>
      </c>
      <c r="O579" t="n">
        <v>0</v>
      </c>
      <c r="P579" t="n">
        <v>0</v>
      </c>
      <c r="Q579" t="n">
        <v>0</v>
      </c>
      <c r="R579" s="2" t="inlineStr"/>
    </row>
    <row r="580" ht="15" customHeight="1">
      <c r="A580" t="inlineStr">
        <is>
          <t>A 45222-2023</t>
        </is>
      </c>
      <c r="B580" s="1" t="n">
        <v>45191</v>
      </c>
      <c r="C580" s="1" t="n">
        <v>46188</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35890-2023</t>
        </is>
      </c>
      <c r="B581" s="1" t="n">
        <v>45148</v>
      </c>
      <c r="C581" s="1" t="n">
        <v>46188</v>
      </c>
      <c r="D581" t="inlineStr">
        <is>
          <t>SKÅNE LÄN</t>
        </is>
      </c>
      <c r="E581" t="inlineStr">
        <is>
          <t>HÄSSLEHOLM</t>
        </is>
      </c>
      <c r="G581" t="n">
        <v>2</v>
      </c>
      <c r="H581" t="n">
        <v>0</v>
      </c>
      <c r="I581" t="n">
        <v>0</v>
      </c>
      <c r="J581" t="n">
        <v>0</v>
      </c>
      <c r="K581" t="n">
        <v>0</v>
      </c>
      <c r="L581" t="n">
        <v>0</v>
      </c>
      <c r="M581" t="n">
        <v>0</v>
      </c>
      <c r="N581" t="n">
        <v>0</v>
      </c>
      <c r="O581" t="n">
        <v>0</v>
      </c>
      <c r="P581" t="n">
        <v>0</v>
      </c>
      <c r="Q581" t="n">
        <v>0</v>
      </c>
      <c r="R581" s="2" t="inlineStr"/>
    </row>
    <row r="582" ht="15" customHeight="1">
      <c r="A582" t="inlineStr">
        <is>
          <t>A 10051-2026</t>
        </is>
      </c>
      <c r="B582" s="1" t="n">
        <v>46073</v>
      </c>
      <c r="C582" s="1" t="n">
        <v>46188</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35895-2023</t>
        </is>
      </c>
      <c r="B583" s="1" t="n">
        <v>45148</v>
      </c>
      <c r="C583" s="1" t="n">
        <v>46188</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61569-2023</t>
        </is>
      </c>
      <c r="B584" s="1" t="n">
        <v>45265</v>
      </c>
      <c r="C584" s="1" t="n">
        <v>46188</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52235-2021</t>
        </is>
      </c>
      <c r="B585" s="1" t="n">
        <v>44463.60085648148</v>
      </c>
      <c r="C585" s="1" t="n">
        <v>46188</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54471-2023</t>
        </is>
      </c>
      <c r="B586" s="1" t="n">
        <v>45233.4640162037</v>
      </c>
      <c r="C586" s="1" t="n">
        <v>46188</v>
      </c>
      <c r="D586" t="inlineStr">
        <is>
          <t>SKÅNE LÄN</t>
        </is>
      </c>
      <c r="E586" t="inlineStr">
        <is>
          <t>HÄSSLEHOLM</t>
        </is>
      </c>
      <c r="G586" t="n">
        <v>1.4</v>
      </c>
      <c r="H586" t="n">
        <v>0</v>
      </c>
      <c r="I586" t="n">
        <v>0</v>
      </c>
      <c r="J586" t="n">
        <v>0</v>
      </c>
      <c r="K586" t="n">
        <v>0</v>
      </c>
      <c r="L586" t="n">
        <v>0</v>
      </c>
      <c r="M586" t="n">
        <v>0</v>
      </c>
      <c r="N586" t="n">
        <v>0</v>
      </c>
      <c r="O586" t="n">
        <v>0</v>
      </c>
      <c r="P586" t="n">
        <v>0</v>
      </c>
      <c r="Q586" t="n">
        <v>0</v>
      </c>
      <c r="R586" s="2" t="inlineStr"/>
    </row>
    <row r="587" ht="15" customHeight="1">
      <c r="A587" t="inlineStr">
        <is>
          <t>A 50607-2023</t>
        </is>
      </c>
      <c r="B587" s="1" t="n">
        <v>45210</v>
      </c>
      <c r="C587" s="1" t="n">
        <v>46188</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38148-2022</t>
        </is>
      </c>
      <c r="B588" s="1" t="n">
        <v>44811</v>
      </c>
      <c r="C588" s="1" t="n">
        <v>46188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31944-2023</t>
        </is>
      </c>
      <c r="B589" s="1" t="n">
        <v>45119.34895833334</v>
      </c>
      <c r="C589" s="1" t="n">
        <v>46188</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55056-2021</t>
        </is>
      </c>
      <c r="B590" s="1" t="n">
        <v>44474.62072916667</v>
      </c>
      <c r="C590" s="1" t="n">
        <v>46188</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56065-2025</t>
        </is>
      </c>
      <c r="B591" s="1" t="n">
        <v>45973</v>
      </c>
      <c r="C591" s="1" t="n">
        <v>46188</v>
      </c>
      <c r="D591" t="inlineStr">
        <is>
          <t>SKÅNE LÄN</t>
        </is>
      </c>
      <c r="E591" t="inlineStr">
        <is>
          <t>HÄSSLEHOLM</t>
        </is>
      </c>
      <c r="G591" t="n">
        <v>1.6</v>
      </c>
      <c r="H591" t="n">
        <v>0</v>
      </c>
      <c r="I591" t="n">
        <v>0</v>
      </c>
      <c r="J591" t="n">
        <v>0</v>
      </c>
      <c r="K591" t="n">
        <v>0</v>
      </c>
      <c r="L591" t="n">
        <v>0</v>
      </c>
      <c r="M591" t="n">
        <v>0</v>
      </c>
      <c r="N591" t="n">
        <v>0</v>
      </c>
      <c r="O591" t="n">
        <v>0</v>
      </c>
      <c r="P591" t="n">
        <v>0</v>
      </c>
      <c r="Q591" t="n">
        <v>0</v>
      </c>
      <c r="R591" s="2" t="inlineStr"/>
    </row>
    <row r="592" ht="15" customHeight="1">
      <c r="A592" t="inlineStr">
        <is>
          <t>A 8755-2024</t>
        </is>
      </c>
      <c r="B592" s="1" t="n">
        <v>45356</v>
      </c>
      <c r="C592" s="1" t="n">
        <v>46188</v>
      </c>
      <c r="D592" t="inlineStr">
        <is>
          <t>SKÅNE LÄN</t>
        </is>
      </c>
      <c r="E592" t="inlineStr">
        <is>
          <t>HÄSSLEHOLM</t>
        </is>
      </c>
      <c r="G592" t="n">
        <v>1.4</v>
      </c>
      <c r="H592" t="n">
        <v>0</v>
      </c>
      <c r="I592" t="n">
        <v>0</v>
      </c>
      <c r="J592" t="n">
        <v>0</v>
      </c>
      <c r="K592" t="n">
        <v>0</v>
      </c>
      <c r="L592" t="n">
        <v>0</v>
      </c>
      <c r="M592" t="n">
        <v>0</v>
      </c>
      <c r="N592" t="n">
        <v>0</v>
      </c>
      <c r="O592" t="n">
        <v>0</v>
      </c>
      <c r="P592" t="n">
        <v>0</v>
      </c>
      <c r="Q592" t="n">
        <v>0</v>
      </c>
      <c r="R592" s="2" t="inlineStr"/>
    </row>
    <row r="593" ht="15" customHeight="1">
      <c r="A593" t="inlineStr">
        <is>
          <t>A 63476-2025</t>
        </is>
      </c>
      <c r="B593" s="1" t="n">
        <v>46013.44621527778</v>
      </c>
      <c r="C593" s="1" t="n">
        <v>46188</v>
      </c>
      <c r="D593" t="inlineStr">
        <is>
          <t>SKÅNE LÄN</t>
        </is>
      </c>
      <c r="E593" t="inlineStr">
        <is>
          <t>HÄSSLEHOLM</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33257-2024</t>
        </is>
      </c>
      <c r="B594" s="1" t="n">
        <v>45518</v>
      </c>
      <c r="C594" s="1" t="n">
        <v>46188</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29649-2025</t>
        </is>
      </c>
      <c r="B595" s="1" t="n">
        <v>45825.47446759259</v>
      </c>
      <c r="C595" s="1" t="n">
        <v>46188</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32585-2025</t>
        </is>
      </c>
      <c r="B596" s="1" t="n">
        <v>45838.60021990741</v>
      </c>
      <c r="C596" s="1" t="n">
        <v>46188</v>
      </c>
      <c r="D596" t="inlineStr">
        <is>
          <t>SKÅNE LÄN</t>
        </is>
      </c>
      <c r="E596" t="inlineStr">
        <is>
          <t>HÄSSLEHOLM</t>
        </is>
      </c>
      <c r="G596" t="n">
        <v>2.1</v>
      </c>
      <c r="H596" t="n">
        <v>0</v>
      </c>
      <c r="I596" t="n">
        <v>0</v>
      </c>
      <c r="J596" t="n">
        <v>0</v>
      </c>
      <c r="K596" t="n">
        <v>0</v>
      </c>
      <c r="L596" t="n">
        <v>0</v>
      </c>
      <c r="M596" t="n">
        <v>0</v>
      </c>
      <c r="N596" t="n">
        <v>0</v>
      </c>
      <c r="O596" t="n">
        <v>0</v>
      </c>
      <c r="P596" t="n">
        <v>0</v>
      </c>
      <c r="Q596" t="n">
        <v>0</v>
      </c>
      <c r="R596" s="2" t="inlineStr"/>
    </row>
    <row r="597" ht="15" customHeight="1">
      <c r="A597" t="inlineStr">
        <is>
          <t>A 32592-2025</t>
        </is>
      </c>
      <c r="B597" s="1" t="n">
        <v>45838.61020833333</v>
      </c>
      <c r="C597" s="1" t="n">
        <v>46188</v>
      </c>
      <c r="D597" t="inlineStr">
        <is>
          <t>SKÅNE LÄN</t>
        </is>
      </c>
      <c r="E597" t="inlineStr">
        <is>
          <t>HÄSSLEHOLM</t>
        </is>
      </c>
      <c r="G597" t="n">
        <v>2.1</v>
      </c>
      <c r="H597" t="n">
        <v>0</v>
      </c>
      <c r="I597" t="n">
        <v>0</v>
      </c>
      <c r="J597" t="n">
        <v>0</v>
      </c>
      <c r="K597" t="n">
        <v>0</v>
      </c>
      <c r="L597" t="n">
        <v>0</v>
      </c>
      <c r="M597" t="n">
        <v>0</v>
      </c>
      <c r="N597" t="n">
        <v>0</v>
      </c>
      <c r="O597" t="n">
        <v>0</v>
      </c>
      <c r="P597" t="n">
        <v>0</v>
      </c>
      <c r="Q597" t="n">
        <v>0</v>
      </c>
      <c r="R597" s="2" t="inlineStr"/>
    </row>
    <row r="598" ht="15" customHeight="1">
      <c r="A598" t="inlineStr">
        <is>
          <t>A 11999-2026</t>
        </is>
      </c>
      <c r="B598" s="1" t="n">
        <v>46085</v>
      </c>
      <c r="C598" s="1" t="n">
        <v>46188</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11998-2026</t>
        </is>
      </c>
      <c r="B599" s="1" t="n">
        <v>46085</v>
      </c>
      <c r="C599" s="1" t="n">
        <v>46188</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56767-2025</t>
        </is>
      </c>
      <c r="B600" s="1" t="n">
        <v>45978.38178240741</v>
      </c>
      <c r="C600" s="1" t="n">
        <v>46188</v>
      </c>
      <c r="D600" t="inlineStr">
        <is>
          <t>SKÅNE LÄN</t>
        </is>
      </c>
      <c r="E600" t="inlineStr">
        <is>
          <t>HÄSSLEHOLM</t>
        </is>
      </c>
      <c r="G600" t="n">
        <v>1.7</v>
      </c>
      <c r="H600" t="n">
        <v>0</v>
      </c>
      <c r="I600" t="n">
        <v>0</v>
      </c>
      <c r="J600" t="n">
        <v>0</v>
      </c>
      <c r="K600" t="n">
        <v>0</v>
      </c>
      <c r="L600" t="n">
        <v>0</v>
      </c>
      <c r="M600" t="n">
        <v>0</v>
      </c>
      <c r="N600" t="n">
        <v>0</v>
      </c>
      <c r="O600" t="n">
        <v>0</v>
      </c>
      <c r="P600" t="n">
        <v>0</v>
      </c>
      <c r="Q600" t="n">
        <v>0</v>
      </c>
      <c r="R600" s="2" t="inlineStr"/>
    </row>
    <row r="601" ht="15" customHeight="1">
      <c r="A601" t="inlineStr">
        <is>
          <t>A 56769-2025</t>
        </is>
      </c>
      <c r="B601" s="1" t="n">
        <v>45978.38429398148</v>
      </c>
      <c r="C601" s="1" t="n">
        <v>46188</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33877-2025</t>
        </is>
      </c>
      <c r="B602" s="1" t="n">
        <v>45842.55564814815</v>
      </c>
      <c r="C602" s="1" t="n">
        <v>46188</v>
      </c>
      <c r="D602" t="inlineStr">
        <is>
          <t>SKÅNE LÄN</t>
        </is>
      </c>
      <c r="E602" t="inlineStr">
        <is>
          <t>HÄSSLEHOLM</t>
        </is>
      </c>
      <c r="G602" t="n">
        <v>3.9</v>
      </c>
      <c r="H602" t="n">
        <v>0</v>
      </c>
      <c r="I602" t="n">
        <v>0</v>
      </c>
      <c r="J602" t="n">
        <v>0</v>
      </c>
      <c r="K602" t="n">
        <v>0</v>
      </c>
      <c r="L602" t="n">
        <v>0</v>
      </c>
      <c r="M602" t="n">
        <v>0</v>
      </c>
      <c r="N602" t="n">
        <v>0</v>
      </c>
      <c r="O602" t="n">
        <v>0</v>
      </c>
      <c r="P602" t="n">
        <v>0</v>
      </c>
      <c r="Q602" t="n">
        <v>0</v>
      </c>
      <c r="R602" s="2" t="inlineStr"/>
    </row>
    <row r="603" ht="15" customHeight="1">
      <c r="A603" t="inlineStr">
        <is>
          <t>A 24865-2024</t>
        </is>
      </c>
      <c r="B603" s="1" t="n">
        <v>45461.48974537037</v>
      </c>
      <c r="C603" s="1" t="n">
        <v>46188</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33948-2025</t>
        </is>
      </c>
      <c r="B604" s="1" t="n">
        <v>45842.65945601852</v>
      </c>
      <c r="C604" s="1" t="n">
        <v>46188</v>
      </c>
      <c r="D604" t="inlineStr">
        <is>
          <t>SKÅNE LÄN</t>
        </is>
      </c>
      <c r="E604" t="inlineStr">
        <is>
          <t>HÄSSLEHOLM</t>
        </is>
      </c>
      <c r="G604" t="n">
        <v>8.5</v>
      </c>
      <c r="H604" t="n">
        <v>0</v>
      </c>
      <c r="I604" t="n">
        <v>0</v>
      </c>
      <c r="J604" t="n">
        <v>0</v>
      </c>
      <c r="K604" t="n">
        <v>0</v>
      </c>
      <c r="L604" t="n">
        <v>0</v>
      </c>
      <c r="M604" t="n">
        <v>0</v>
      </c>
      <c r="N604" t="n">
        <v>0</v>
      </c>
      <c r="O604" t="n">
        <v>0</v>
      </c>
      <c r="P604" t="n">
        <v>0</v>
      </c>
      <c r="Q604" t="n">
        <v>0</v>
      </c>
      <c r="R604" s="2" t="inlineStr"/>
    </row>
    <row r="605" ht="15" customHeight="1">
      <c r="A605" t="inlineStr">
        <is>
          <t>A 32958-2023</t>
        </is>
      </c>
      <c r="B605" s="1" t="n">
        <v>45125.52142361111</v>
      </c>
      <c r="C605" s="1" t="n">
        <v>46188</v>
      </c>
      <c r="D605" t="inlineStr">
        <is>
          <t>SKÅNE LÄN</t>
        </is>
      </c>
      <c r="E605" t="inlineStr">
        <is>
          <t>HÄSSLEHOLM</t>
        </is>
      </c>
      <c r="G605" t="n">
        <v>7.9</v>
      </c>
      <c r="H605" t="n">
        <v>0</v>
      </c>
      <c r="I605" t="n">
        <v>0</v>
      </c>
      <c r="J605" t="n">
        <v>0</v>
      </c>
      <c r="K605" t="n">
        <v>0</v>
      </c>
      <c r="L605" t="n">
        <v>0</v>
      </c>
      <c r="M605" t="n">
        <v>0</v>
      </c>
      <c r="N605" t="n">
        <v>0</v>
      </c>
      <c r="O605" t="n">
        <v>0</v>
      </c>
      <c r="P605" t="n">
        <v>0</v>
      </c>
      <c r="Q605" t="n">
        <v>0</v>
      </c>
      <c r="R605" s="2" t="inlineStr"/>
    </row>
    <row r="606" ht="15" customHeight="1">
      <c r="A606" t="inlineStr">
        <is>
          <t>A 34174-2025</t>
        </is>
      </c>
      <c r="B606" s="1" t="n">
        <v>45844</v>
      </c>
      <c r="C606" s="1" t="n">
        <v>46188</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34177-2025</t>
        </is>
      </c>
      <c r="B607" s="1" t="n">
        <v>45844</v>
      </c>
      <c r="C607" s="1" t="n">
        <v>46188</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33950-2025</t>
        </is>
      </c>
      <c r="B608" s="1" t="n">
        <v>45842</v>
      </c>
      <c r="C608" s="1" t="n">
        <v>46188</v>
      </c>
      <c r="D608" t="inlineStr">
        <is>
          <t>SKÅNE LÄN</t>
        </is>
      </c>
      <c r="E608" t="inlineStr">
        <is>
          <t>HÄSSLEHOLM</t>
        </is>
      </c>
      <c r="G608" t="n">
        <v>5.7</v>
      </c>
      <c r="H608" t="n">
        <v>0</v>
      </c>
      <c r="I608" t="n">
        <v>0</v>
      </c>
      <c r="J608" t="n">
        <v>0</v>
      </c>
      <c r="K608" t="n">
        <v>0</v>
      </c>
      <c r="L608" t="n">
        <v>0</v>
      </c>
      <c r="M608" t="n">
        <v>0</v>
      </c>
      <c r="N608" t="n">
        <v>0</v>
      </c>
      <c r="O608" t="n">
        <v>0</v>
      </c>
      <c r="P608" t="n">
        <v>0</v>
      </c>
      <c r="Q608" t="n">
        <v>0</v>
      </c>
      <c r="R608" s="2" t="inlineStr"/>
    </row>
    <row r="609" ht="15" customHeight="1">
      <c r="A609" t="inlineStr">
        <is>
          <t>A 18580-2023</t>
        </is>
      </c>
      <c r="B609" s="1" t="n">
        <v>45043.37037037037</v>
      </c>
      <c r="C609" s="1" t="n">
        <v>46188</v>
      </c>
      <c r="D609" t="inlineStr">
        <is>
          <t>SKÅNE LÄN</t>
        </is>
      </c>
      <c r="E609" t="inlineStr">
        <is>
          <t>HÄSSLEHOLM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24906-2022</t>
        </is>
      </c>
      <c r="B610" s="1" t="n">
        <v>44728</v>
      </c>
      <c r="C610" s="1" t="n">
        <v>46188</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3890-2024</t>
        </is>
      </c>
      <c r="B611" s="1" t="n">
        <v>45322.45366898148</v>
      </c>
      <c r="C611" s="1" t="n">
        <v>46188</v>
      </c>
      <c r="D611" t="inlineStr">
        <is>
          <t>SKÅNE LÄN</t>
        </is>
      </c>
      <c r="E611" t="inlineStr">
        <is>
          <t>HÄSSLEHOLM</t>
        </is>
      </c>
      <c r="G611" t="n">
        <v>3</v>
      </c>
      <c r="H611" t="n">
        <v>0</v>
      </c>
      <c r="I611" t="n">
        <v>0</v>
      </c>
      <c r="J611" t="n">
        <v>0</v>
      </c>
      <c r="K611" t="n">
        <v>0</v>
      </c>
      <c r="L611" t="n">
        <v>0</v>
      </c>
      <c r="M611" t="n">
        <v>0</v>
      </c>
      <c r="N611" t="n">
        <v>0</v>
      </c>
      <c r="O611" t="n">
        <v>0</v>
      </c>
      <c r="P611" t="n">
        <v>0</v>
      </c>
      <c r="Q611" t="n">
        <v>0</v>
      </c>
      <c r="R611" s="2" t="inlineStr"/>
    </row>
    <row r="612" ht="15" customHeight="1">
      <c r="A612" t="inlineStr">
        <is>
          <t>A 13897-2024</t>
        </is>
      </c>
      <c r="B612" s="1" t="n">
        <v>45391</v>
      </c>
      <c r="C612" s="1" t="n">
        <v>46188</v>
      </c>
      <c r="D612" t="inlineStr">
        <is>
          <t>SKÅNE LÄN</t>
        </is>
      </c>
      <c r="E612" t="inlineStr">
        <is>
          <t>HÄSSLEHOLM</t>
        </is>
      </c>
      <c r="F612" t="inlineStr">
        <is>
          <t>Kommuner</t>
        </is>
      </c>
      <c r="G612" t="n">
        <v>4</v>
      </c>
      <c r="H612" t="n">
        <v>0</v>
      </c>
      <c r="I612" t="n">
        <v>0</v>
      </c>
      <c r="J612" t="n">
        <v>0</v>
      </c>
      <c r="K612" t="n">
        <v>0</v>
      </c>
      <c r="L612" t="n">
        <v>0</v>
      </c>
      <c r="M612" t="n">
        <v>0</v>
      </c>
      <c r="N612" t="n">
        <v>0</v>
      </c>
      <c r="O612" t="n">
        <v>0</v>
      </c>
      <c r="P612" t="n">
        <v>0</v>
      </c>
      <c r="Q612" t="n">
        <v>0</v>
      </c>
      <c r="R612" s="2" t="inlineStr"/>
    </row>
    <row r="613" ht="15" customHeight="1">
      <c r="A613" t="inlineStr">
        <is>
          <t>A 13199-2026</t>
        </is>
      </c>
      <c r="B613" s="1" t="n">
        <v>46093</v>
      </c>
      <c r="C613" s="1" t="n">
        <v>46188</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56355-2023</t>
        </is>
      </c>
      <c r="B614" s="1" t="n">
        <v>45243.3702662037</v>
      </c>
      <c r="C614" s="1" t="n">
        <v>46188</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13280-2026</t>
        </is>
      </c>
      <c r="B615" s="1" t="n">
        <v>46093.74789351852</v>
      </c>
      <c r="C615" s="1" t="n">
        <v>46188</v>
      </c>
      <c r="D615" t="inlineStr">
        <is>
          <t>SKÅNE LÄN</t>
        </is>
      </c>
      <c r="E615" t="inlineStr">
        <is>
          <t>HÄSSLEHOLM</t>
        </is>
      </c>
      <c r="G615" t="n">
        <v>4.4</v>
      </c>
      <c r="H615" t="n">
        <v>0</v>
      </c>
      <c r="I615" t="n">
        <v>0</v>
      </c>
      <c r="J615" t="n">
        <v>0</v>
      </c>
      <c r="K615" t="n">
        <v>0</v>
      </c>
      <c r="L615" t="n">
        <v>0</v>
      </c>
      <c r="M615" t="n">
        <v>0</v>
      </c>
      <c r="N615" t="n">
        <v>0</v>
      </c>
      <c r="O615" t="n">
        <v>0</v>
      </c>
      <c r="P615" t="n">
        <v>0</v>
      </c>
      <c r="Q615" t="n">
        <v>0</v>
      </c>
      <c r="R615" s="2" t="inlineStr"/>
    </row>
    <row r="616" ht="15" customHeight="1">
      <c r="A616" t="inlineStr">
        <is>
          <t>A 13282-2026</t>
        </is>
      </c>
      <c r="B616" s="1" t="n">
        <v>46093.75166666666</v>
      </c>
      <c r="C616" s="1" t="n">
        <v>46188</v>
      </c>
      <c r="D616" t="inlineStr">
        <is>
          <t>SKÅNE LÄN</t>
        </is>
      </c>
      <c r="E616" t="inlineStr">
        <is>
          <t>HÄSSLEHOLM</t>
        </is>
      </c>
      <c r="G616" t="n">
        <v>1.8</v>
      </c>
      <c r="H616" t="n">
        <v>0</v>
      </c>
      <c r="I616" t="n">
        <v>0</v>
      </c>
      <c r="J616" t="n">
        <v>0</v>
      </c>
      <c r="K616" t="n">
        <v>0</v>
      </c>
      <c r="L616" t="n">
        <v>0</v>
      </c>
      <c r="M616" t="n">
        <v>0</v>
      </c>
      <c r="N616" t="n">
        <v>0</v>
      </c>
      <c r="O616" t="n">
        <v>0</v>
      </c>
      <c r="P616" t="n">
        <v>0</v>
      </c>
      <c r="Q616" t="n">
        <v>0</v>
      </c>
      <c r="R616" s="2" t="inlineStr"/>
    </row>
    <row r="617" ht="15" customHeight="1">
      <c r="A617" t="inlineStr">
        <is>
          <t>A 59246-2024</t>
        </is>
      </c>
      <c r="B617" s="1" t="n">
        <v>45636</v>
      </c>
      <c r="C617" s="1" t="n">
        <v>46188</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20800-2023</t>
        </is>
      </c>
      <c r="B618" s="1" t="n">
        <v>45058.61640046296</v>
      </c>
      <c r="C618" s="1" t="n">
        <v>46188</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11019-2025</t>
        </is>
      </c>
      <c r="B619" s="1" t="n">
        <v>45723</v>
      </c>
      <c r="C619" s="1" t="n">
        <v>46188</v>
      </c>
      <c r="D619" t="inlineStr">
        <is>
          <t>SKÅNE LÄN</t>
        </is>
      </c>
      <c r="E619" t="inlineStr">
        <is>
          <t>HÄSSLEHOLM</t>
        </is>
      </c>
      <c r="G619" t="n">
        <v>3.2</v>
      </c>
      <c r="H619" t="n">
        <v>0</v>
      </c>
      <c r="I619" t="n">
        <v>0</v>
      </c>
      <c r="J619" t="n">
        <v>0</v>
      </c>
      <c r="K619" t="n">
        <v>0</v>
      </c>
      <c r="L619" t="n">
        <v>0</v>
      </c>
      <c r="M619" t="n">
        <v>0</v>
      </c>
      <c r="N619" t="n">
        <v>0</v>
      </c>
      <c r="O619" t="n">
        <v>0</v>
      </c>
      <c r="P619" t="n">
        <v>0</v>
      </c>
      <c r="Q619" t="n">
        <v>0</v>
      </c>
      <c r="R619" s="2" t="inlineStr"/>
    </row>
    <row r="620" ht="15" customHeight="1">
      <c r="A620" t="inlineStr">
        <is>
          <t>A 11681-2023</t>
        </is>
      </c>
      <c r="B620" s="1" t="n">
        <v>44992</v>
      </c>
      <c r="C620" s="1" t="n">
        <v>46188</v>
      </c>
      <c r="D620" t="inlineStr">
        <is>
          <t>SKÅNE LÄN</t>
        </is>
      </c>
      <c r="E620" t="inlineStr">
        <is>
          <t>HÄSSLEHOLM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33927-2021</t>
        </is>
      </c>
      <c r="B621" s="1" t="n">
        <v>44378</v>
      </c>
      <c r="C621" s="1" t="n">
        <v>46188</v>
      </c>
      <c r="D621" t="inlineStr">
        <is>
          <t>SKÅNE LÄN</t>
        </is>
      </c>
      <c r="E621" t="inlineStr">
        <is>
          <t>HÄSSLEHOLM</t>
        </is>
      </c>
      <c r="G621" t="n">
        <v>16.7</v>
      </c>
      <c r="H621" t="n">
        <v>0</v>
      </c>
      <c r="I621" t="n">
        <v>0</v>
      </c>
      <c r="J621" t="n">
        <v>0</v>
      </c>
      <c r="K621" t="n">
        <v>0</v>
      </c>
      <c r="L621" t="n">
        <v>0</v>
      </c>
      <c r="M621" t="n">
        <v>0</v>
      </c>
      <c r="N621" t="n">
        <v>0</v>
      </c>
      <c r="O621" t="n">
        <v>0</v>
      </c>
      <c r="P621" t="n">
        <v>0</v>
      </c>
      <c r="Q621" t="n">
        <v>0</v>
      </c>
      <c r="R621" s="2" t="inlineStr"/>
    </row>
    <row r="622" ht="15" customHeight="1">
      <c r="A622" t="inlineStr">
        <is>
          <t>A 7305-2025</t>
        </is>
      </c>
      <c r="B622" s="1" t="n">
        <v>45702</v>
      </c>
      <c r="C622" s="1" t="n">
        <v>46188</v>
      </c>
      <c r="D622" t="inlineStr">
        <is>
          <t>SKÅNE LÄN</t>
        </is>
      </c>
      <c r="E622" t="inlineStr">
        <is>
          <t>HÄSSLEHOLM</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5116-2023</t>
        </is>
      </c>
      <c r="B623" s="1" t="n">
        <v>44958.67546296296</v>
      </c>
      <c r="C623" s="1" t="n">
        <v>46188</v>
      </c>
      <c r="D623" t="inlineStr">
        <is>
          <t>SKÅNE LÄN</t>
        </is>
      </c>
      <c r="E623" t="inlineStr">
        <is>
          <t>HÄSSLEHOLM</t>
        </is>
      </c>
      <c r="G623" t="n">
        <v>1.7</v>
      </c>
      <c r="H623" t="n">
        <v>0</v>
      </c>
      <c r="I623" t="n">
        <v>0</v>
      </c>
      <c r="J623" t="n">
        <v>0</v>
      </c>
      <c r="K623" t="n">
        <v>0</v>
      </c>
      <c r="L623" t="n">
        <v>0</v>
      </c>
      <c r="M623" t="n">
        <v>0</v>
      </c>
      <c r="N623" t="n">
        <v>0</v>
      </c>
      <c r="O623" t="n">
        <v>0</v>
      </c>
      <c r="P623" t="n">
        <v>0</v>
      </c>
      <c r="Q623" t="n">
        <v>0</v>
      </c>
      <c r="R623" s="2" t="inlineStr"/>
    </row>
    <row r="624" ht="15" customHeight="1">
      <c r="A624" t="inlineStr">
        <is>
          <t>A 34869-2025</t>
        </is>
      </c>
      <c r="B624" s="1" t="n">
        <v>45849</v>
      </c>
      <c r="C624" s="1" t="n">
        <v>46188</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13910-2026</t>
        </is>
      </c>
      <c r="B625" s="1" t="n">
        <v>46098</v>
      </c>
      <c r="C625" s="1" t="n">
        <v>46188</v>
      </c>
      <c r="D625" t="inlineStr">
        <is>
          <t>SKÅNE LÄN</t>
        </is>
      </c>
      <c r="E625" t="inlineStr">
        <is>
          <t>HÄSSLEHOLM</t>
        </is>
      </c>
      <c r="G625" t="n">
        <v>1.5</v>
      </c>
      <c r="H625" t="n">
        <v>0</v>
      </c>
      <c r="I625" t="n">
        <v>0</v>
      </c>
      <c r="J625" t="n">
        <v>0</v>
      </c>
      <c r="K625" t="n">
        <v>0</v>
      </c>
      <c r="L625" t="n">
        <v>0</v>
      </c>
      <c r="M625" t="n">
        <v>0</v>
      </c>
      <c r="N625" t="n">
        <v>0</v>
      </c>
      <c r="O625" t="n">
        <v>0</v>
      </c>
      <c r="P625" t="n">
        <v>0</v>
      </c>
      <c r="Q625" t="n">
        <v>0</v>
      </c>
      <c r="R625" s="2" t="inlineStr"/>
    </row>
    <row r="626" ht="15" customHeight="1">
      <c r="A626" t="inlineStr">
        <is>
          <t>A 42364-2023</t>
        </is>
      </c>
      <c r="B626" s="1" t="n">
        <v>45180.54754629629</v>
      </c>
      <c r="C626" s="1" t="n">
        <v>46188</v>
      </c>
      <c r="D626" t="inlineStr">
        <is>
          <t>SKÅNE LÄN</t>
        </is>
      </c>
      <c r="E626" t="inlineStr">
        <is>
          <t>HÄSSLEHOLM</t>
        </is>
      </c>
      <c r="G626" t="n">
        <v>1.1</v>
      </c>
      <c r="H626" t="n">
        <v>0</v>
      </c>
      <c r="I626" t="n">
        <v>0</v>
      </c>
      <c r="J626" t="n">
        <v>0</v>
      </c>
      <c r="K626" t="n">
        <v>0</v>
      </c>
      <c r="L626" t="n">
        <v>0</v>
      </c>
      <c r="M626" t="n">
        <v>0</v>
      </c>
      <c r="N626" t="n">
        <v>0</v>
      </c>
      <c r="O626" t="n">
        <v>0</v>
      </c>
      <c r="P626" t="n">
        <v>0</v>
      </c>
      <c r="Q626" t="n">
        <v>0</v>
      </c>
      <c r="R626" s="2" t="inlineStr"/>
    </row>
    <row r="627" ht="15" customHeight="1">
      <c r="A627" t="inlineStr">
        <is>
          <t>A 13842-2026</t>
        </is>
      </c>
      <c r="B627" s="1" t="n">
        <v>46098.37758101852</v>
      </c>
      <c r="C627" s="1" t="n">
        <v>46188</v>
      </c>
      <c r="D627" t="inlineStr">
        <is>
          <t>SKÅNE LÄN</t>
        </is>
      </c>
      <c r="E627" t="inlineStr">
        <is>
          <t>HÄSSLEHOLM</t>
        </is>
      </c>
      <c r="G627" t="n">
        <v>10</v>
      </c>
      <c r="H627" t="n">
        <v>0</v>
      </c>
      <c r="I627" t="n">
        <v>0</v>
      </c>
      <c r="J627" t="n">
        <v>0</v>
      </c>
      <c r="K627" t="n">
        <v>0</v>
      </c>
      <c r="L627" t="n">
        <v>0</v>
      </c>
      <c r="M627" t="n">
        <v>0</v>
      </c>
      <c r="N627" t="n">
        <v>0</v>
      </c>
      <c r="O627" t="n">
        <v>0</v>
      </c>
      <c r="P627" t="n">
        <v>0</v>
      </c>
      <c r="Q627" t="n">
        <v>0</v>
      </c>
      <c r="R627" s="2" t="inlineStr"/>
    </row>
    <row r="628" ht="15" customHeight="1">
      <c r="A628" t="inlineStr">
        <is>
          <t>A 13886-2026</t>
        </is>
      </c>
      <c r="B628" s="1" t="n">
        <v>46098</v>
      </c>
      <c r="C628" s="1" t="n">
        <v>46188</v>
      </c>
      <c r="D628" t="inlineStr">
        <is>
          <t>SKÅNE LÄN</t>
        </is>
      </c>
      <c r="E628" t="inlineStr">
        <is>
          <t>HÄSSLEHOLM</t>
        </is>
      </c>
      <c r="G628" t="n">
        <v>1.6</v>
      </c>
      <c r="H628" t="n">
        <v>0</v>
      </c>
      <c r="I628" t="n">
        <v>0</v>
      </c>
      <c r="J628" t="n">
        <v>0</v>
      </c>
      <c r="K628" t="n">
        <v>0</v>
      </c>
      <c r="L628" t="n">
        <v>0</v>
      </c>
      <c r="M628" t="n">
        <v>0</v>
      </c>
      <c r="N628" t="n">
        <v>0</v>
      </c>
      <c r="O628" t="n">
        <v>0</v>
      </c>
      <c r="P628" t="n">
        <v>0</v>
      </c>
      <c r="Q628" t="n">
        <v>0</v>
      </c>
      <c r="R628" s="2" t="inlineStr"/>
    </row>
    <row r="629" ht="15" customHeight="1">
      <c r="A629" t="inlineStr">
        <is>
          <t>A 54408-2024</t>
        </is>
      </c>
      <c r="B629" s="1" t="n">
        <v>45617.47263888889</v>
      </c>
      <c r="C629" s="1" t="n">
        <v>46188</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13588-2026</t>
        </is>
      </c>
      <c r="B630" s="1" t="n">
        <v>46095.80452546296</v>
      </c>
      <c r="C630" s="1" t="n">
        <v>46188</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13906-2026</t>
        </is>
      </c>
      <c r="B631" s="1" t="n">
        <v>46098</v>
      </c>
      <c r="C631" s="1" t="n">
        <v>46188</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5780-2024</t>
        </is>
      </c>
      <c r="B632" s="1" t="n">
        <v>45335.41983796296</v>
      </c>
      <c r="C632" s="1" t="n">
        <v>46188</v>
      </c>
      <c r="D632" t="inlineStr">
        <is>
          <t>SKÅNE LÄN</t>
        </is>
      </c>
      <c r="E632" t="inlineStr">
        <is>
          <t>HÄSSLEHOLM</t>
        </is>
      </c>
      <c r="G632" t="n">
        <v>2.5</v>
      </c>
      <c r="H632" t="n">
        <v>0</v>
      </c>
      <c r="I632" t="n">
        <v>0</v>
      </c>
      <c r="J632" t="n">
        <v>0</v>
      </c>
      <c r="K632" t="n">
        <v>0</v>
      </c>
      <c r="L632" t="n">
        <v>0</v>
      </c>
      <c r="M632" t="n">
        <v>0</v>
      </c>
      <c r="N632" t="n">
        <v>0</v>
      </c>
      <c r="O632" t="n">
        <v>0</v>
      </c>
      <c r="P632" t="n">
        <v>0</v>
      </c>
      <c r="Q632" t="n">
        <v>0</v>
      </c>
      <c r="R632" s="2" t="inlineStr"/>
    </row>
    <row r="633" ht="15" customHeight="1">
      <c r="A633" t="inlineStr">
        <is>
          <t>A 14541-2026</t>
        </is>
      </c>
      <c r="B633" s="1" t="n">
        <v>46100.67851851852</v>
      </c>
      <c r="C633" s="1" t="n">
        <v>46188</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14538-2026</t>
        </is>
      </c>
      <c r="B634" s="1" t="n">
        <v>46100.67711805556</v>
      </c>
      <c r="C634" s="1" t="n">
        <v>46188</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7481-2023</t>
        </is>
      </c>
      <c r="B635" s="1" t="n">
        <v>44971</v>
      </c>
      <c r="C635" s="1" t="n">
        <v>46188</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14191-2026</t>
        </is>
      </c>
      <c r="B636" s="1" t="n">
        <v>46099.528125</v>
      </c>
      <c r="C636" s="1" t="n">
        <v>46188</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59728-2022</t>
        </is>
      </c>
      <c r="B637" s="1" t="n">
        <v>44900</v>
      </c>
      <c r="C637" s="1" t="n">
        <v>46188</v>
      </c>
      <c r="D637" t="inlineStr">
        <is>
          <t>SKÅNE LÄN</t>
        </is>
      </c>
      <c r="E637" t="inlineStr">
        <is>
          <t>HÄSSLEHOLM</t>
        </is>
      </c>
      <c r="G637" t="n">
        <v>0.3</v>
      </c>
      <c r="H637" t="n">
        <v>0</v>
      </c>
      <c r="I637" t="n">
        <v>0</v>
      </c>
      <c r="J637" t="n">
        <v>0</v>
      </c>
      <c r="K637" t="n">
        <v>0</v>
      </c>
      <c r="L637" t="n">
        <v>0</v>
      </c>
      <c r="M637" t="n">
        <v>0</v>
      </c>
      <c r="N637" t="n">
        <v>0</v>
      </c>
      <c r="O637" t="n">
        <v>0</v>
      </c>
      <c r="P637" t="n">
        <v>0</v>
      </c>
      <c r="Q637" t="n">
        <v>0</v>
      </c>
      <c r="R637" s="2" t="inlineStr"/>
    </row>
    <row r="638" ht="15" customHeight="1">
      <c r="A638" t="inlineStr">
        <is>
          <t>A 14471-2026</t>
        </is>
      </c>
      <c r="B638" s="1" t="n">
        <v>46100.56711805556</v>
      </c>
      <c r="C638" s="1" t="n">
        <v>46188</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23683-2023</t>
        </is>
      </c>
      <c r="B639" s="1" t="n">
        <v>45077</v>
      </c>
      <c r="C639" s="1" t="n">
        <v>46188</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14540-2026</t>
        </is>
      </c>
      <c r="B640" s="1" t="n">
        <v>46100.67826388889</v>
      </c>
      <c r="C640" s="1" t="n">
        <v>46188</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14549-2026</t>
        </is>
      </c>
      <c r="B641" s="1" t="n">
        <v>46100</v>
      </c>
      <c r="C641" s="1" t="n">
        <v>46188</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14965-2026</t>
        </is>
      </c>
      <c r="B642" s="1" t="n">
        <v>46104.56096064814</v>
      </c>
      <c r="C642" s="1" t="n">
        <v>46188</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14971-2026</t>
        </is>
      </c>
      <c r="B643" s="1" t="n">
        <v>46104.56393518519</v>
      </c>
      <c r="C643" s="1" t="n">
        <v>46188</v>
      </c>
      <c r="D643" t="inlineStr">
        <is>
          <t>SKÅNE LÄN</t>
        </is>
      </c>
      <c r="E643" t="inlineStr">
        <is>
          <t>HÄSSLEHOLM</t>
        </is>
      </c>
      <c r="G643" t="n">
        <v>2.8</v>
      </c>
      <c r="H643" t="n">
        <v>0</v>
      </c>
      <c r="I643" t="n">
        <v>0</v>
      </c>
      <c r="J643" t="n">
        <v>0</v>
      </c>
      <c r="K643" t="n">
        <v>0</v>
      </c>
      <c r="L643" t="n">
        <v>0</v>
      </c>
      <c r="M643" t="n">
        <v>0</v>
      </c>
      <c r="N643" t="n">
        <v>0</v>
      </c>
      <c r="O643" t="n">
        <v>0</v>
      </c>
      <c r="P643" t="n">
        <v>0</v>
      </c>
      <c r="Q643" t="n">
        <v>0</v>
      </c>
      <c r="R643" s="2" t="inlineStr"/>
    </row>
    <row r="644" ht="15" customHeight="1">
      <c r="A644" t="inlineStr">
        <is>
          <t>A 2663-2023</t>
        </is>
      </c>
      <c r="B644" s="1" t="n">
        <v>44942</v>
      </c>
      <c r="C644" s="1" t="n">
        <v>46188</v>
      </c>
      <c r="D644" t="inlineStr">
        <is>
          <t>SKÅNE LÄN</t>
        </is>
      </c>
      <c r="E644" t="inlineStr">
        <is>
          <t>HÄSSLEHOLM</t>
        </is>
      </c>
      <c r="F644" t="inlineStr">
        <is>
          <t>Kyrkan</t>
        </is>
      </c>
      <c r="G644" t="n">
        <v>0.8</v>
      </c>
      <c r="H644" t="n">
        <v>0</v>
      </c>
      <c r="I644" t="n">
        <v>0</v>
      </c>
      <c r="J644" t="n">
        <v>0</v>
      </c>
      <c r="K644" t="n">
        <v>0</v>
      </c>
      <c r="L644" t="n">
        <v>0</v>
      </c>
      <c r="M644" t="n">
        <v>0</v>
      </c>
      <c r="N644" t="n">
        <v>0</v>
      </c>
      <c r="O644" t="n">
        <v>0</v>
      </c>
      <c r="P644" t="n">
        <v>0</v>
      </c>
      <c r="Q644" t="n">
        <v>0</v>
      </c>
      <c r="R644" s="2" t="inlineStr"/>
    </row>
    <row r="645" ht="15" customHeight="1">
      <c r="A645" t="inlineStr">
        <is>
          <t>A 23172-2022</t>
        </is>
      </c>
      <c r="B645" s="1" t="n">
        <v>44719</v>
      </c>
      <c r="C645" s="1" t="n">
        <v>46188</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23173-2022</t>
        </is>
      </c>
      <c r="B646" s="1" t="n">
        <v>44719.72155092593</v>
      </c>
      <c r="C646" s="1" t="n">
        <v>46188</v>
      </c>
      <c r="D646" t="inlineStr">
        <is>
          <t>SKÅNE LÄN</t>
        </is>
      </c>
      <c r="E646" t="inlineStr">
        <is>
          <t>HÄSSLEHOLM</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50664-2023</t>
        </is>
      </c>
      <c r="B647" s="1" t="n">
        <v>45217</v>
      </c>
      <c r="C647" s="1" t="n">
        <v>46188</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42428-2022</t>
        </is>
      </c>
      <c r="B648" s="1" t="n">
        <v>44831</v>
      </c>
      <c r="C648" s="1" t="n">
        <v>46188</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62171-2022</t>
        </is>
      </c>
      <c r="B649" s="1" t="n">
        <v>44915</v>
      </c>
      <c r="C649" s="1" t="n">
        <v>46188</v>
      </c>
      <c r="D649" t="inlineStr">
        <is>
          <t>SKÅNE LÄN</t>
        </is>
      </c>
      <c r="E649" t="inlineStr">
        <is>
          <t>HÄSSLEHOLM</t>
        </is>
      </c>
      <c r="F649" t="inlineStr">
        <is>
          <t>Kyrkan</t>
        </is>
      </c>
      <c r="G649" t="n">
        <v>9</v>
      </c>
      <c r="H649" t="n">
        <v>0</v>
      </c>
      <c r="I649" t="n">
        <v>0</v>
      </c>
      <c r="J649" t="n">
        <v>0</v>
      </c>
      <c r="K649" t="n">
        <v>0</v>
      </c>
      <c r="L649" t="n">
        <v>0</v>
      </c>
      <c r="M649" t="n">
        <v>0</v>
      </c>
      <c r="N649" t="n">
        <v>0</v>
      </c>
      <c r="O649" t="n">
        <v>0</v>
      </c>
      <c r="P649" t="n">
        <v>0</v>
      </c>
      <c r="Q649" t="n">
        <v>0</v>
      </c>
      <c r="R649" s="2" t="inlineStr"/>
    </row>
    <row r="650" ht="15" customHeight="1">
      <c r="A650" t="inlineStr">
        <is>
          <t>A 56956-2024</t>
        </is>
      </c>
      <c r="B650" s="1" t="n">
        <v>45626</v>
      </c>
      <c r="C650" s="1" t="n">
        <v>46188</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20970-2025</t>
        </is>
      </c>
      <c r="B651" s="1" t="n">
        <v>45777.45417824074</v>
      </c>
      <c r="C651" s="1" t="n">
        <v>46188</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56490-2021</t>
        </is>
      </c>
      <c r="B652" s="1" t="n">
        <v>44480</v>
      </c>
      <c r="C652" s="1" t="n">
        <v>46188</v>
      </c>
      <c r="D652" t="inlineStr">
        <is>
          <t>SKÅNE LÄN</t>
        </is>
      </c>
      <c r="E652" t="inlineStr">
        <is>
          <t>HÄSSLEHOLM</t>
        </is>
      </c>
      <c r="F652" t="inlineStr">
        <is>
          <t>Kyrkan</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17413-2025</t>
        </is>
      </c>
      <c r="B653" s="1" t="n">
        <v>45757.37480324074</v>
      </c>
      <c r="C653" s="1" t="n">
        <v>46188</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21668-2026</t>
        </is>
      </c>
      <c r="B654" s="1" t="n">
        <v>46149.47572916667</v>
      </c>
      <c r="C654" s="1" t="n">
        <v>46188</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21658-2026</t>
        </is>
      </c>
      <c r="B655" s="1" t="n">
        <v>46149.45797453704</v>
      </c>
      <c r="C655" s="1" t="n">
        <v>46188</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61680-2022</t>
        </is>
      </c>
      <c r="B656" s="1" t="n">
        <v>44917.36372685185</v>
      </c>
      <c r="C656" s="1" t="n">
        <v>46188</v>
      </c>
      <c r="D656" t="inlineStr">
        <is>
          <t>SKÅNE LÄN</t>
        </is>
      </c>
      <c r="E656" t="inlineStr">
        <is>
          <t>HÄSSLEHOLM</t>
        </is>
      </c>
      <c r="G656" t="n">
        <v>2.4</v>
      </c>
      <c r="H656" t="n">
        <v>0</v>
      </c>
      <c r="I656" t="n">
        <v>0</v>
      </c>
      <c r="J656" t="n">
        <v>0</v>
      </c>
      <c r="K656" t="n">
        <v>0</v>
      </c>
      <c r="L656" t="n">
        <v>0</v>
      </c>
      <c r="M656" t="n">
        <v>0</v>
      </c>
      <c r="N656" t="n">
        <v>0</v>
      </c>
      <c r="O656" t="n">
        <v>0</v>
      </c>
      <c r="P656" t="n">
        <v>0</v>
      </c>
      <c r="Q656" t="n">
        <v>0</v>
      </c>
      <c r="R656" s="2" t="inlineStr"/>
    </row>
    <row r="657" ht="15" customHeight="1">
      <c r="A657" t="inlineStr">
        <is>
          <t>A 61489-2024</t>
        </is>
      </c>
      <c r="B657" s="1" t="n">
        <v>45646.54875</v>
      </c>
      <c r="C657" s="1" t="n">
        <v>46188</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17699-2024</t>
        </is>
      </c>
      <c r="B658" s="1" t="n">
        <v>45418.46094907408</v>
      </c>
      <c r="C658" s="1" t="n">
        <v>46188</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17702-2024</t>
        </is>
      </c>
      <c r="B659" s="1" t="n">
        <v>45418.46534722222</v>
      </c>
      <c r="C659" s="1" t="n">
        <v>46188</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6101-2022</t>
        </is>
      </c>
      <c r="B660" s="1" t="n">
        <v>44599.63016203704</v>
      </c>
      <c r="C660" s="1" t="n">
        <v>46188</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16951-2025</t>
        </is>
      </c>
      <c r="B661" s="1" t="n">
        <v>45755</v>
      </c>
      <c r="C661" s="1" t="n">
        <v>46188</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16614-2025</t>
        </is>
      </c>
      <c r="B662" s="1" t="n">
        <v>45754.283125</v>
      </c>
      <c r="C662" s="1" t="n">
        <v>46188</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3888-2024</t>
        </is>
      </c>
      <c r="B663" s="1" t="n">
        <v>45322.45089120371</v>
      </c>
      <c r="C663" s="1" t="n">
        <v>46188</v>
      </c>
      <c r="D663" t="inlineStr">
        <is>
          <t>SKÅNE LÄN</t>
        </is>
      </c>
      <c r="E663" t="inlineStr">
        <is>
          <t>HÄSSLEHOLM</t>
        </is>
      </c>
      <c r="G663" t="n">
        <v>2.4</v>
      </c>
      <c r="H663" t="n">
        <v>0</v>
      </c>
      <c r="I663" t="n">
        <v>0</v>
      </c>
      <c r="J663" t="n">
        <v>0</v>
      </c>
      <c r="K663" t="n">
        <v>0</v>
      </c>
      <c r="L663" t="n">
        <v>0</v>
      </c>
      <c r="M663" t="n">
        <v>0</v>
      </c>
      <c r="N663" t="n">
        <v>0</v>
      </c>
      <c r="O663" t="n">
        <v>0</v>
      </c>
      <c r="P663" t="n">
        <v>0</v>
      </c>
      <c r="Q663" t="n">
        <v>0</v>
      </c>
      <c r="R663" s="2" t="inlineStr"/>
    </row>
    <row r="664" ht="15" customHeight="1">
      <c r="A664" t="inlineStr">
        <is>
          <t>A 3889-2024</t>
        </is>
      </c>
      <c r="B664" s="1" t="n">
        <v>45322.45234953704</v>
      </c>
      <c r="C664" s="1" t="n">
        <v>46188</v>
      </c>
      <c r="D664" t="inlineStr">
        <is>
          <t>SKÅNE LÄN</t>
        </is>
      </c>
      <c r="E664" t="inlineStr">
        <is>
          <t>HÄSSLEHOLM</t>
        </is>
      </c>
      <c r="G664" t="n">
        <v>1.4</v>
      </c>
      <c r="H664" t="n">
        <v>0</v>
      </c>
      <c r="I664" t="n">
        <v>0</v>
      </c>
      <c r="J664" t="n">
        <v>0</v>
      </c>
      <c r="K664" t="n">
        <v>0</v>
      </c>
      <c r="L664" t="n">
        <v>0</v>
      </c>
      <c r="M664" t="n">
        <v>0</v>
      </c>
      <c r="N664" t="n">
        <v>0</v>
      </c>
      <c r="O664" t="n">
        <v>0</v>
      </c>
      <c r="P664" t="n">
        <v>0</v>
      </c>
      <c r="Q664" t="n">
        <v>0</v>
      </c>
      <c r="R664" s="2" t="inlineStr"/>
    </row>
    <row r="665" ht="15" customHeight="1">
      <c r="A665" t="inlineStr">
        <is>
          <t>A 3294-2025</t>
        </is>
      </c>
      <c r="B665" s="1" t="n">
        <v>45679.64125</v>
      </c>
      <c r="C665" s="1" t="n">
        <v>46188</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21674-2026</t>
        </is>
      </c>
      <c r="B666" s="1" t="n">
        <v>46149.4872337963</v>
      </c>
      <c r="C666" s="1" t="n">
        <v>46188</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15881-2026</t>
        </is>
      </c>
      <c r="B667" s="1" t="n">
        <v>46107</v>
      </c>
      <c r="C667" s="1" t="n">
        <v>46188</v>
      </c>
      <c r="D667" t="inlineStr">
        <is>
          <t>SKÅNE LÄN</t>
        </is>
      </c>
      <c r="E667" t="inlineStr">
        <is>
          <t>HÄSSLEHOLM</t>
        </is>
      </c>
      <c r="F667" t="inlineStr">
        <is>
          <t>Kyrkan</t>
        </is>
      </c>
      <c r="G667" t="n">
        <v>2.2</v>
      </c>
      <c r="H667" t="n">
        <v>0</v>
      </c>
      <c r="I667" t="n">
        <v>0</v>
      </c>
      <c r="J667" t="n">
        <v>0</v>
      </c>
      <c r="K667" t="n">
        <v>0</v>
      </c>
      <c r="L667" t="n">
        <v>0</v>
      </c>
      <c r="M667" t="n">
        <v>0</v>
      </c>
      <c r="N667" t="n">
        <v>0</v>
      </c>
      <c r="O667" t="n">
        <v>0</v>
      </c>
      <c r="P667" t="n">
        <v>0</v>
      </c>
      <c r="Q667" t="n">
        <v>0</v>
      </c>
      <c r="R667" s="2" t="inlineStr"/>
    </row>
    <row r="668" ht="15" customHeight="1">
      <c r="A668" t="inlineStr">
        <is>
          <t>A 9669-2025</t>
        </is>
      </c>
      <c r="B668" s="1" t="n">
        <v>45716.32921296296</v>
      </c>
      <c r="C668" s="1" t="n">
        <v>46188</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31995-2023</t>
        </is>
      </c>
      <c r="B669" s="1" t="n">
        <v>45107</v>
      </c>
      <c r="C669" s="1" t="n">
        <v>46188</v>
      </c>
      <c r="D669" t="inlineStr">
        <is>
          <t>SKÅNE LÄN</t>
        </is>
      </c>
      <c r="E669" t="inlineStr">
        <is>
          <t>HÄSSLEHOLM</t>
        </is>
      </c>
      <c r="G669" t="n">
        <v>7.3</v>
      </c>
      <c r="H669" t="n">
        <v>0</v>
      </c>
      <c r="I669" t="n">
        <v>0</v>
      </c>
      <c r="J669" t="n">
        <v>0</v>
      </c>
      <c r="K669" t="n">
        <v>0</v>
      </c>
      <c r="L669" t="n">
        <v>0</v>
      </c>
      <c r="M669" t="n">
        <v>0</v>
      </c>
      <c r="N669" t="n">
        <v>0</v>
      </c>
      <c r="O669" t="n">
        <v>0</v>
      </c>
      <c r="P669" t="n">
        <v>0</v>
      </c>
      <c r="Q669" t="n">
        <v>0</v>
      </c>
      <c r="R669" s="2" t="inlineStr"/>
    </row>
    <row r="670" ht="15" customHeight="1">
      <c r="A670" t="inlineStr">
        <is>
          <t>A 31998-2023</t>
        </is>
      </c>
      <c r="B670" s="1" t="n">
        <v>45119</v>
      </c>
      <c r="C670" s="1" t="n">
        <v>46188</v>
      </c>
      <c r="D670" t="inlineStr">
        <is>
          <t>SKÅNE LÄN</t>
        </is>
      </c>
      <c r="E670" t="inlineStr">
        <is>
          <t>HÄSSLEHOLM</t>
        </is>
      </c>
      <c r="G670" t="n">
        <v>1.8</v>
      </c>
      <c r="H670" t="n">
        <v>0</v>
      </c>
      <c r="I670" t="n">
        <v>0</v>
      </c>
      <c r="J670" t="n">
        <v>0</v>
      </c>
      <c r="K670" t="n">
        <v>0</v>
      </c>
      <c r="L670" t="n">
        <v>0</v>
      </c>
      <c r="M670" t="n">
        <v>0</v>
      </c>
      <c r="N670" t="n">
        <v>0</v>
      </c>
      <c r="O670" t="n">
        <v>0</v>
      </c>
      <c r="P670" t="n">
        <v>0</v>
      </c>
      <c r="Q670" t="n">
        <v>0</v>
      </c>
      <c r="R670" s="2" t="inlineStr"/>
    </row>
    <row r="671" ht="15" customHeight="1">
      <c r="A671" t="inlineStr">
        <is>
          <t>A 7150-2025</t>
        </is>
      </c>
      <c r="B671" s="1" t="n">
        <v>45702.38239583333</v>
      </c>
      <c r="C671" s="1" t="n">
        <v>46188</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15979-2026</t>
        </is>
      </c>
      <c r="B672" s="1" t="n">
        <v>46108.35431712963</v>
      </c>
      <c r="C672" s="1" t="n">
        <v>46188</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20185-2023</t>
        </is>
      </c>
      <c r="B673" s="1" t="n">
        <v>45055.56795138889</v>
      </c>
      <c r="C673" s="1" t="n">
        <v>46188</v>
      </c>
      <c r="D673" t="inlineStr">
        <is>
          <t>SKÅNE LÄN</t>
        </is>
      </c>
      <c r="E673" t="inlineStr">
        <is>
          <t>HÄSSLEHOLM</t>
        </is>
      </c>
      <c r="G673" t="n">
        <v>3.5</v>
      </c>
      <c r="H673" t="n">
        <v>0</v>
      </c>
      <c r="I673" t="n">
        <v>0</v>
      </c>
      <c r="J673" t="n">
        <v>0</v>
      </c>
      <c r="K673" t="n">
        <v>0</v>
      </c>
      <c r="L673" t="n">
        <v>0</v>
      </c>
      <c r="M673" t="n">
        <v>0</v>
      </c>
      <c r="N673" t="n">
        <v>0</v>
      </c>
      <c r="O673" t="n">
        <v>0</v>
      </c>
      <c r="P673" t="n">
        <v>0</v>
      </c>
      <c r="Q673" t="n">
        <v>0</v>
      </c>
      <c r="R673" s="2" t="inlineStr"/>
    </row>
    <row r="674" ht="15" customHeight="1">
      <c r="A674" t="inlineStr">
        <is>
          <t>A 61170-2022</t>
        </is>
      </c>
      <c r="B674" s="1" t="n">
        <v>44915.48543981482</v>
      </c>
      <c r="C674" s="1" t="n">
        <v>46188</v>
      </c>
      <c r="D674" t="inlineStr">
        <is>
          <t>SKÅNE LÄN</t>
        </is>
      </c>
      <c r="E674" t="inlineStr">
        <is>
          <t>HÄSSLEHOLM</t>
        </is>
      </c>
      <c r="G674" t="n">
        <v>1.2</v>
      </c>
      <c r="H674" t="n">
        <v>0</v>
      </c>
      <c r="I674" t="n">
        <v>0</v>
      </c>
      <c r="J674" t="n">
        <v>0</v>
      </c>
      <c r="K674" t="n">
        <v>0</v>
      </c>
      <c r="L674" t="n">
        <v>0</v>
      </c>
      <c r="M674" t="n">
        <v>0</v>
      </c>
      <c r="N674" t="n">
        <v>0</v>
      </c>
      <c r="O674" t="n">
        <v>0</v>
      </c>
      <c r="P674" t="n">
        <v>0</v>
      </c>
      <c r="Q674" t="n">
        <v>0</v>
      </c>
      <c r="R674" s="2" t="inlineStr"/>
    </row>
    <row r="675" ht="15" customHeight="1">
      <c r="A675" t="inlineStr">
        <is>
          <t>A 21613-2026</t>
        </is>
      </c>
      <c r="B675" s="1" t="n">
        <v>46149.40085648148</v>
      </c>
      <c r="C675" s="1" t="n">
        <v>46188</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21807-2026</t>
        </is>
      </c>
      <c r="B676" s="1" t="n">
        <v>46148</v>
      </c>
      <c r="C676" s="1" t="n">
        <v>46188</v>
      </c>
      <c r="D676" t="inlineStr">
        <is>
          <t>SKÅNE LÄN</t>
        </is>
      </c>
      <c r="E676" t="inlineStr">
        <is>
          <t>HÄSSLEHOLM</t>
        </is>
      </c>
      <c r="G676" t="n">
        <v>5.2</v>
      </c>
      <c r="H676" t="n">
        <v>0</v>
      </c>
      <c r="I676" t="n">
        <v>0</v>
      </c>
      <c r="J676" t="n">
        <v>0</v>
      </c>
      <c r="K676" t="n">
        <v>0</v>
      </c>
      <c r="L676" t="n">
        <v>0</v>
      </c>
      <c r="M676" t="n">
        <v>0</v>
      </c>
      <c r="N676" t="n">
        <v>0</v>
      </c>
      <c r="O676" t="n">
        <v>0</v>
      </c>
      <c r="P676" t="n">
        <v>0</v>
      </c>
      <c r="Q676" t="n">
        <v>0</v>
      </c>
      <c r="R676" s="2" t="inlineStr"/>
    </row>
    <row r="677" ht="15" customHeight="1">
      <c r="A677" t="inlineStr">
        <is>
          <t>A 15882-2026</t>
        </is>
      </c>
      <c r="B677" s="1" t="n">
        <v>46107</v>
      </c>
      <c r="C677" s="1" t="n">
        <v>46188</v>
      </c>
      <c r="D677" t="inlineStr">
        <is>
          <t>SKÅNE LÄN</t>
        </is>
      </c>
      <c r="E677" t="inlineStr">
        <is>
          <t>HÄSSLEHOLM</t>
        </is>
      </c>
      <c r="F677" t="inlineStr">
        <is>
          <t>Kyrkan</t>
        </is>
      </c>
      <c r="G677" t="n">
        <v>0.7</v>
      </c>
      <c r="H677" t="n">
        <v>0</v>
      </c>
      <c r="I677" t="n">
        <v>0</v>
      </c>
      <c r="J677" t="n">
        <v>0</v>
      </c>
      <c r="K677" t="n">
        <v>0</v>
      </c>
      <c r="L677" t="n">
        <v>0</v>
      </c>
      <c r="M677" t="n">
        <v>0</v>
      </c>
      <c r="N677" t="n">
        <v>0</v>
      </c>
      <c r="O677" t="n">
        <v>0</v>
      </c>
      <c r="P677" t="n">
        <v>0</v>
      </c>
      <c r="Q677" t="n">
        <v>0</v>
      </c>
      <c r="R677" s="2" t="inlineStr"/>
    </row>
    <row r="678" ht="15" customHeight="1">
      <c r="A678" t="inlineStr">
        <is>
          <t>A 21673-2026</t>
        </is>
      </c>
      <c r="B678" s="1" t="n">
        <v>46149.48615740741</v>
      </c>
      <c r="C678" s="1" t="n">
        <v>46188</v>
      </c>
      <c r="D678" t="inlineStr">
        <is>
          <t>SKÅNE LÄN</t>
        </is>
      </c>
      <c r="E678" t="inlineStr">
        <is>
          <t>HÄSSLEHOLM</t>
        </is>
      </c>
      <c r="G678" t="n">
        <v>5</v>
      </c>
      <c r="H678" t="n">
        <v>0</v>
      </c>
      <c r="I678" t="n">
        <v>0</v>
      </c>
      <c r="J678" t="n">
        <v>0</v>
      </c>
      <c r="K678" t="n">
        <v>0</v>
      </c>
      <c r="L678" t="n">
        <v>0</v>
      </c>
      <c r="M678" t="n">
        <v>0</v>
      </c>
      <c r="N678" t="n">
        <v>0</v>
      </c>
      <c r="O678" t="n">
        <v>0</v>
      </c>
      <c r="P678" t="n">
        <v>0</v>
      </c>
      <c r="Q678" t="n">
        <v>0</v>
      </c>
      <c r="R678" s="2" t="inlineStr"/>
    </row>
    <row r="679" ht="15" customHeight="1">
      <c r="A679" t="inlineStr">
        <is>
          <t>A 21615-2026</t>
        </is>
      </c>
      <c r="B679" s="1" t="n">
        <v>46149.40331018518</v>
      </c>
      <c r="C679" s="1" t="n">
        <v>46188</v>
      </c>
      <c r="D679" t="inlineStr">
        <is>
          <t>SKÅNE LÄN</t>
        </is>
      </c>
      <c r="E679" t="inlineStr">
        <is>
          <t>HÄSSLEHOLM</t>
        </is>
      </c>
      <c r="G679" t="n">
        <v>1.6</v>
      </c>
      <c r="H679" t="n">
        <v>0</v>
      </c>
      <c r="I679" t="n">
        <v>0</v>
      </c>
      <c r="J679" t="n">
        <v>0</v>
      </c>
      <c r="K679" t="n">
        <v>0</v>
      </c>
      <c r="L679" t="n">
        <v>0</v>
      </c>
      <c r="M679" t="n">
        <v>0</v>
      </c>
      <c r="N679" t="n">
        <v>0</v>
      </c>
      <c r="O679" t="n">
        <v>0</v>
      </c>
      <c r="P679" t="n">
        <v>0</v>
      </c>
      <c r="Q679" t="n">
        <v>0</v>
      </c>
      <c r="R679" s="2" t="inlineStr"/>
    </row>
    <row r="680" ht="15" customHeight="1">
      <c r="A680" t="inlineStr">
        <is>
          <t>A 43629-2023</t>
        </is>
      </c>
      <c r="B680" s="1" t="n">
        <v>45184</v>
      </c>
      <c r="C680" s="1" t="n">
        <v>46188</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13990-2022</t>
        </is>
      </c>
      <c r="B681" s="1" t="n">
        <v>44650</v>
      </c>
      <c r="C681" s="1" t="n">
        <v>46188</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16470-2026</t>
        </is>
      </c>
      <c r="B682" s="1" t="n">
        <v>46112.37516203704</v>
      </c>
      <c r="C682" s="1" t="n">
        <v>46188</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50564-2023</t>
        </is>
      </c>
      <c r="B683" s="1" t="n">
        <v>45217.37957175926</v>
      </c>
      <c r="C683" s="1" t="n">
        <v>46188</v>
      </c>
      <c r="D683" t="inlineStr">
        <is>
          <t>SKÅNE LÄN</t>
        </is>
      </c>
      <c r="E683" t="inlineStr">
        <is>
          <t>HÄSSLEHOLM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16476-2026</t>
        </is>
      </c>
      <c r="B684" s="1" t="n">
        <v>46112.38662037037</v>
      </c>
      <c r="C684" s="1" t="n">
        <v>46188</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43061-2024</t>
        </is>
      </c>
      <c r="B685" s="1" t="n">
        <v>45567</v>
      </c>
      <c r="C685" s="1" t="n">
        <v>46188</v>
      </c>
      <c r="D685" t="inlineStr">
        <is>
          <t>SKÅNE LÄN</t>
        </is>
      </c>
      <c r="E685" t="inlineStr">
        <is>
          <t>HÄSSLEHOLM</t>
        </is>
      </c>
      <c r="G685" t="n">
        <v>4.5</v>
      </c>
      <c r="H685" t="n">
        <v>0</v>
      </c>
      <c r="I685" t="n">
        <v>0</v>
      </c>
      <c r="J685" t="n">
        <v>0</v>
      </c>
      <c r="K685" t="n">
        <v>0</v>
      </c>
      <c r="L685" t="n">
        <v>0</v>
      </c>
      <c r="M685" t="n">
        <v>0</v>
      </c>
      <c r="N685" t="n">
        <v>0</v>
      </c>
      <c r="O685" t="n">
        <v>0</v>
      </c>
      <c r="P685" t="n">
        <v>0</v>
      </c>
      <c r="Q685" t="n">
        <v>0</v>
      </c>
      <c r="R685" s="2" t="inlineStr"/>
    </row>
    <row r="686" ht="15" customHeight="1">
      <c r="A686" t="inlineStr">
        <is>
          <t>A 54171-2021</t>
        </is>
      </c>
      <c r="B686" s="1" t="n">
        <v>44470</v>
      </c>
      <c r="C686" s="1" t="n">
        <v>46188</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24640-2023</t>
        </is>
      </c>
      <c r="B687" s="1" t="n">
        <v>45084.43181712963</v>
      </c>
      <c r="C687" s="1" t="n">
        <v>46188</v>
      </c>
      <c r="D687" t="inlineStr">
        <is>
          <t>SKÅNE LÄN</t>
        </is>
      </c>
      <c r="E687" t="inlineStr">
        <is>
          <t>HÄSSLEHOLM</t>
        </is>
      </c>
      <c r="G687" t="n">
        <v>1.5</v>
      </c>
      <c r="H687" t="n">
        <v>0</v>
      </c>
      <c r="I687" t="n">
        <v>0</v>
      </c>
      <c r="J687" t="n">
        <v>0</v>
      </c>
      <c r="K687" t="n">
        <v>0</v>
      </c>
      <c r="L687" t="n">
        <v>0</v>
      </c>
      <c r="M687" t="n">
        <v>0</v>
      </c>
      <c r="N687" t="n">
        <v>0</v>
      </c>
      <c r="O687" t="n">
        <v>0</v>
      </c>
      <c r="P687" t="n">
        <v>0</v>
      </c>
      <c r="Q687" t="n">
        <v>0</v>
      </c>
      <c r="R687" s="2" t="inlineStr"/>
    </row>
    <row r="688" ht="15" customHeight="1">
      <c r="A688" t="inlineStr">
        <is>
          <t>A 51618-2024</t>
        </is>
      </c>
      <c r="B688" s="1" t="n">
        <v>45604.82615740741</v>
      </c>
      <c r="C688" s="1" t="n">
        <v>46188</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8249-2023</t>
        </is>
      </c>
      <c r="B689" s="1" t="n">
        <v>44974</v>
      </c>
      <c r="C689" s="1" t="n">
        <v>46188</v>
      </c>
      <c r="D689" t="inlineStr">
        <is>
          <t>SKÅNE LÄN</t>
        </is>
      </c>
      <c r="E689" t="inlineStr">
        <is>
          <t>HÄSSLEHOLM</t>
        </is>
      </c>
      <c r="G689" t="n">
        <v>5.8</v>
      </c>
      <c r="H689" t="n">
        <v>0</v>
      </c>
      <c r="I689" t="n">
        <v>0</v>
      </c>
      <c r="J689" t="n">
        <v>0</v>
      </c>
      <c r="K689" t="n">
        <v>0</v>
      </c>
      <c r="L689" t="n">
        <v>0</v>
      </c>
      <c r="M689" t="n">
        <v>0</v>
      </c>
      <c r="N689" t="n">
        <v>0</v>
      </c>
      <c r="O689" t="n">
        <v>0</v>
      </c>
      <c r="P689" t="n">
        <v>0</v>
      </c>
      <c r="Q689" t="n">
        <v>0</v>
      </c>
      <c r="R689" s="2" t="inlineStr"/>
    </row>
    <row r="690" ht="15" customHeight="1">
      <c r="A690" t="inlineStr">
        <is>
          <t>A 19666-2025</t>
        </is>
      </c>
      <c r="B690" s="1" t="n">
        <v>45770.69326388889</v>
      </c>
      <c r="C690" s="1" t="n">
        <v>46188</v>
      </c>
      <c r="D690" t="inlineStr">
        <is>
          <t>SKÅNE LÄN</t>
        </is>
      </c>
      <c r="E690" t="inlineStr">
        <is>
          <t>HÄSSLEHOLM</t>
        </is>
      </c>
      <c r="G690" t="n">
        <v>2.4</v>
      </c>
      <c r="H690" t="n">
        <v>0</v>
      </c>
      <c r="I690" t="n">
        <v>0</v>
      </c>
      <c r="J690" t="n">
        <v>0</v>
      </c>
      <c r="K690" t="n">
        <v>0</v>
      </c>
      <c r="L690" t="n">
        <v>0</v>
      </c>
      <c r="M690" t="n">
        <v>0</v>
      </c>
      <c r="N690" t="n">
        <v>0</v>
      </c>
      <c r="O690" t="n">
        <v>0</v>
      </c>
      <c r="P690" t="n">
        <v>0</v>
      </c>
      <c r="Q690" t="n">
        <v>0</v>
      </c>
      <c r="R690" s="2" t="inlineStr"/>
    </row>
    <row r="691" ht="15" customHeight="1">
      <c r="A691" t="inlineStr">
        <is>
          <t>A 36359-2025</t>
        </is>
      </c>
      <c r="B691" s="1" t="n">
        <v>45867</v>
      </c>
      <c r="C691" s="1" t="n">
        <v>46188</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47840-2023</t>
        </is>
      </c>
      <c r="B692" s="1" t="n">
        <v>45204</v>
      </c>
      <c r="C692" s="1" t="n">
        <v>46188</v>
      </c>
      <c r="D692" t="inlineStr">
        <is>
          <t>SKÅNE LÄN</t>
        </is>
      </c>
      <c r="E692" t="inlineStr">
        <is>
          <t>HÄSSLEHOLM</t>
        </is>
      </c>
      <c r="G692" t="n">
        <v>2.4</v>
      </c>
      <c r="H692" t="n">
        <v>0</v>
      </c>
      <c r="I692" t="n">
        <v>0</v>
      </c>
      <c r="J692" t="n">
        <v>0</v>
      </c>
      <c r="K692" t="n">
        <v>0</v>
      </c>
      <c r="L692" t="n">
        <v>0</v>
      </c>
      <c r="M692" t="n">
        <v>0</v>
      </c>
      <c r="N692" t="n">
        <v>0</v>
      </c>
      <c r="O692" t="n">
        <v>0</v>
      </c>
      <c r="P692" t="n">
        <v>0</v>
      </c>
      <c r="Q692" t="n">
        <v>0</v>
      </c>
      <c r="R692" s="2" t="inlineStr"/>
    </row>
    <row r="693" ht="15" customHeight="1">
      <c r="A693" t="inlineStr">
        <is>
          <t>A 62277-2023</t>
        </is>
      </c>
      <c r="B693" s="1" t="n">
        <v>45266</v>
      </c>
      <c r="C693" s="1" t="n">
        <v>46188</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34369-2023</t>
        </is>
      </c>
      <c r="B694" s="1" t="n">
        <v>45139.47817129629</v>
      </c>
      <c r="C694" s="1" t="n">
        <v>46188</v>
      </c>
      <c r="D694" t="inlineStr">
        <is>
          <t>SKÅNE LÄN</t>
        </is>
      </c>
      <c r="E694" t="inlineStr">
        <is>
          <t>HÄSSLEHOLM</t>
        </is>
      </c>
      <c r="G694" t="n">
        <v>2</v>
      </c>
      <c r="H694" t="n">
        <v>0</v>
      </c>
      <c r="I694" t="n">
        <v>0</v>
      </c>
      <c r="J694" t="n">
        <v>0</v>
      </c>
      <c r="K694" t="n">
        <v>0</v>
      </c>
      <c r="L694" t="n">
        <v>0</v>
      </c>
      <c r="M694" t="n">
        <v>0</v>
      </c>
      <c r="N694" t="n">
        <v>0</v>
      </c>
      <c r="O694" t="n">
        <v>0</v>
      </c>
      <c r="P694" t="n">
        <v>0</v>
      </c>
      <c r="Q694" t="n">
        <v>0</v>
      </c>
      <c r="R694" s="2" t="inlineStr"/>
    </row>
    <row r="695" ht="15" customHeight="1">
      <c r="A695" t="inlineStr">
        <is>
          <t>A 34834-2023</t>
        </is>
      </c>
      <c r="B695" s="1" t="n">
        <v>45141.7199537037</v>
      </c>
      <c r="C695" s="1" t="n">
        <v>46188</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48627-2023</t>
        </is>
      </c>
      <c r="B696" s="1" t="n">
        <v>45208.57371527778</v>
      </c>
      <c r="C696" s="1" t="n">
        <v>46188</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11607-2025</t>
        </is>
      </c>
      <c r="B697" s="1" t="n">
        <v>45727</v>
      </c>
      <c r="C697" s="1" t="n">
        <v>46188</v>
      </c>
      <c r="D697" t="inlineStr">
        <is>
          <t>SKÅNE LÄN</t>
        </is>
      </c>
      <c r="E697" t="inlineStr">
        <is>
          <t>HÄSSLEHOLM</t>
        </is>
      </c>
      <c r="G697" t="n">
        <v>4.1</v>
      </c>
      <c r="H697" t="n">
        <v>0</v>
      </c>
      <c r="I697" t="n">
        <v>0</v>
      </c>
      <c r="J697" t="n">
        <v>0</v>
      </c>
      <c r="K697" t="n">
        <v>0</v>
      </c>
      <c r="L697" t="n">
        <v>0</v>
      </c>
      <c r="M697" t="n">
        <v>0</v>
      </c>
      <c r="N697" t="n">
        <v>0</v>
      </c>
      <c r="O697" t="n">
        <v>0</v>
      </c>
      <c r="P697" t="n">
        <v>0</v>
      </c>
      <c r="Q697" t="n">
        <v>0</v>
      </c>
      <c r="R697" s="2" t="inlineStr"/>
    </row>
    <row r="698" ht="15" customHeight="1">
      <c r="A698" t="inlineStr">
        <is>
          <t>A 720-2025</t>
        </is>
      </c>
      <c r="B698" s="1" t="n">
        <v>45665.3744212963</v>
      </c>
      <c r="C698" s="1" t="n">
        <v>46188</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23258-2026</t>
        </is>
      </c>
      <c r="B699" s="1" t="n">
        <v>46162.44547453704</v>
      </c>
      <c r="C699" s="1" t="n">
        <v>46188</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23266-2026</t>
        </is>
      </c>
      <c r="B700" s="1" t="n">
        <v>46162.45515046296</v>
      </c>
      <c r="C700" s="1" t="n">
        <v>46188</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23249-2026</t>
        </is>
      </c>
      <c r="B701" s="1" t="n">
        <v>46162.42958333333</v>
      </c>
      <c r="C701" s="1" t="n">
        <v>46188</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23259-2026</t>
        </is>
      </c>
      <c r="B702" s="1" t="n">
        <v>46162.44567129629</v>
      </c>
      <c r="C702" s="1" t="n">
        <v>46188</v>
      </c>
      <c r="D702" t="inlineStr">
        <is>
          <t>SKÅNE LÄN</t>
        </is>
      </c>
      <c r="E702" t="inlineStr">
        <is>
          <t>HÄSSLEHOLM</t>
        </is>
      </c>
      <c r="G702" t="n">
        <v>0.2</v>
      </c>
      <c r="H702" t="n">
        <v>0</v>
      </c>
      <c r="I702" t="n">
        <v>0</v>
      </c>
      <c r="J702" t="n">
        <v>0</v>
      </c>
      <c r="K702" t="n">
        <v>0</v>
      </c>
      <c r="L702" t="n">
        <v>0</v>
      </c>
      <c r="M702" t="n">
        <v>0</v>
      </c>
      <c r="N702" t="n">
        <v>0</v>
      </c>
      <c r="O702" t="n">
        <v>0</v>
      </c>
      <c r="P702" t="n">
        <v>0</v>
      </c>
      <c r="Q702" t="n">
        <v>0</v>
      </c>
      <c r="R702" s="2" t="inlineStr"/>
    </row>
    <row r="703" ht="15" customHeight="1">
      <c r="A703" t="inlineStr">
        <is>
          <t>A 23050-2026</t>
        </is>
      </c>
      <c r="B703" s="1" t="n">
        <v>46161.43168981482</v>
      </c>
      <c r="C703" s="1" t="n">
        <v>46188</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60848-2022</t>
        </is>
      </c>
      <c r="B704" s="1" t="n">
        <v>44914</v>
      </c>
      <c r="C704" s="1" t="n">
        <v>46188</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23411-2026</t>
        </is>
      </c>
      <c r="B705" s="1" t="n">
        <v>46162.83384259259</v>
      </c>
      <c r="C705" s="1" t="n">
        <v>46188</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23284-2026</t>
        </is>
      </c>
      <c r="B706" s="1" t="n">
        <v>46162.47378472222</v>
      </c>
      <c r="C706" s="1" t="n">
        <v>46188</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23265-2026</t>
        </is>
      </c>
      <c r="B707" s="1" t="n">
        <v>46162.45505787037</v>
      </c>
      <c r="C707" s="1" t="n">
        <v>46188</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6164-2023</t>
        </is>
      </c>
      <c r="B708" s="1" t="n">
        <v>44964.66871527778</v>
      </c>
      <c r="C708" s="1" t="n">
        <v>46188</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23378-2026</t>
        </is>
      </c>
      <c r="B709" s="1" t="n">
        <v>46162.64511574074</v>
      </c>
      <c r="C709" s="1" t="n">
        <v>46188</v>
      </c>
      <c r="D709" t="inlineStr">
        <is>
          <t>SKÅNE LÄN</t>
        </is>
      </c>
      <c r="E709" t="inlineStr">
        <is>
          <t>HÄSSLEHOLM</t>
        </is>
      </c>
      <c r="G709" t="n">
        <v>5.3</v>
      </c>
      <c r="H709" t="n">
        <v>0</v>
      </c>
      <c r="I709" t="n">
        <v>0</v>
      </c>
      <c r="J709" t="n">
        <v>0</v>
      </c>
      <c r="K709" t="n">
        <v>0</v>
      </c>
      <c r="L709" t="n">
        <v>0</v>
      </c>
      <c r="M709" t="n">
        <v>0</v>
      </c>
      <c r="N709" t="n">
        <v>0</v>
      </c>
      <c r="O709" t="n">
        <v>0</v>
      </c>
      <c r="P709" t="n">
        <v>0</v>
      </c>
      <c r="Q709" t="n">
        <v>0</v>
      </c>
      <c r="R709" s="2" t="inlineStr"/>
    </row>
    <row r="710" ht="15" customHeight="1">
      <c r="A710" t="inlineStr">
        <is>
          <t>A 45392-2024</t>
        </is>
      </c>
      <c r="B710" s="1" t="n">
        <v>45576.55008101852</v>
      </c>
      <c r="C710" s="1" t="n">
        <v>46188</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16454-2023</t>
        </is>
      </c>
      <c r="B711" s="1" t="n">
        <v>45029.48425925926</v>
      </c>
      <c r="C711" s="1" t="n">
        <v>46188</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17335-2024</t>
        </is>
      </c>
      <c r="B712" s="1" t="n">
        <v>45414.5687962963</v>
      </c>
      <c r="C712" s="1" t="n">
        <v>46188</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24246-2023</t>
        </is>
      </c>
      <c r="B713" s="1" t="n">
        <v>45079</v>
      </c>
      <c r="C713" s="1" t="n">
        <v>46188</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24249-2023</t>
        </is>
      </c>
      <c r="B714" s="1" t="n">
        <v>45079.62466435185</v>
      </c>
      <c r="C714" s="1" t="n">
        <v>46188</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23283-2026</t>
        </is>
      </c>
      <c r="B715" s="1" t="n">
        <v>46162.47375</v>
      </c>
      <c r="C715" s="1" t="n">
        <v>46188</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31989-2024</t>
        </is>
      </c>
      <c r="B716" s="1" t="n">
        <v>45510.58085648148</v>
      </c>
      <c r="C716" s="1" t="n">
        <v>46188</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23285-2026</t>
        </is>
      </c>
      <c r="B717" s="1" t="n">
        <v>46162.47381944444</v>
      </c>
      <c r="C717" s="1" t="n">
        <v>46188</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1120-2024</t>
        </is>
      </c>
      <c r="B718" s="1" t="n">
        <v>45302.4452662037</v>
      </c>
      <c r="C718" s="1" t="n">
        <v>46188</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32008-2024</t>
        </is>
      </c>
      <c r="B719" s="1" t="n">
        <v>45510</v>
      </c>
      <c r="C719" s="1" t="n">
        <v>46188</v>
      </c>
      <c r="D719" t="inlineStr">
        <is>
          <t>SKÅNE LÄN</t>
        </is>
      </c>
      <c r="E719" t="inlineStr">
        <is>
          <t>HÄSSLEHOLM</t>
        </is>
      </c>
      <c r="G719" t="n">
        <v>5.1</v>
      </c>
      <c r="H719" t="n">
        <v>0</v>
      </c>
      <c r="I719" t="n">
        <v>0</v>
      </c>
      <c r="J719" t="n">
        <v>0</v>
      </c>
      <c r="K719" t="n">
        <v>0</v>
      </c>
      <c r="L719" t="n">
        <v>0</v>
      </c>
      <c r="M719" t="n">
        <v>0</v>
      </c>
      <c r="N719" t="n">
        <v>0</v>
      </c>
      <c r="O719" t="n">
        <v>0</v>
      </c>
      <c r="P719" t="n">
        <v>0</v>
      </c>
      <c r="Q719" t="n">
        <v>0</v>
      </c>
      <c r="R719" s="2" t="inlineStr"/>
    </row>
    <row r="720" ht="15" customHeight="1">
      <c r="A720" t="inlineStr">
        <is>
          <t>A 60973-2024</t>
        </is>
      </c>
      <c r="B720" s="1" t="n">
        <v>45644</v>
      </c>
      <c r="C720" s="1" t="n">
        <v>46188</v>
      </c>
      <c r="D720" t="inlineStr">
        <is>
          <t>SKÅNE LÄN</t>
        </is>
      </c>
      <c r="E720" t="inlineStr">
        <is>
          <t>HÄSSLEHOLM</t>
        </is>
      </c>
      <c r="G720" t="n">
        <v>3.6</v>
      </c>
      <c r="H720" t="n">
        <v>0</v>
      </c>
      <c r="I720" t="n">
        <v>0</v>
      </c>
      <c r="J720" t="n">
        <v>0</v>
      </c>
      <c r="K720" t="n">
        <v>0</v>
      </c>
      <c r="L720" t="n">
        <v>0</v>
      </c>
      <c r="M720" t="n">
        <v>0</v>
      </c>
      <c r="N720" t="n">
        <v>0</v>
      </c>
      <c r="O720" t="n">
        <v>0</v>
      </c>
      <c r="P720" t="n">
        <v>0</v>
      </c>
      <c r="Q720" t="n">
        <v>0</v>
      </c>
      <c r="R720" s="2" t="inlineStr"/>
    </row>
    <row r="721" ht="15" customHeight="1">
      <c r="A721" t="inlineStr">
        <is>
          <t>A 27478-2023</t>
        </is>
      </c>
      <c r="B721" s="1" t="n">
        <v>45092</v>
      </c>
      <c r="C721" s="1" t="n">
        <v>46188</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37898-2021</t>
        </is>
      </c>
      <c r="B722" s="1" t="n">
        <v>44403</v>
      </c>
      <c r="C722" s="1" t="n">
        <v>46188</v>
      </c>
      <c r="D722" t="inlineStr">
        <is>
          <t>SKÅNE LÄN</t>
        </is>
      </c>
      <c r="E722" t="inlineStr">
        <is>
          <t>HÄSSLEHOLM</t>
        </is>
      </c>
      <c r="F722" t="inlineStr">
        <is>
          <t>Kommuner</t>
        </is>
      </c>
      <c r="G722" t="n">
        <v>8.4</v>
      </c>
      <c r="H722" t="n">
        <v>0</v>
      </c>
      <c r="I722" t="n">
        <v>0</v>
      </c>
      <c r="J722" t="n">
        <v>0</v>
      </c>
      <c r="K722" t="n">
        <v>0</v>
      </c>
      <c r="L722" t="n">
        <v>0</v>
      </c>
      <c r="M722" t="n">
        <v>0</v>
      </c>
      <c r="N722" t="n">
        <v>0</v>
      </c>
      <c r="O722" t="n">
        <v>0</v>
      </c>
      <c r="P722" t="n">
        <v>0</v>
      </c>
      <c r="Q722" t="n">
        <v>0</v>
      </c>
      <c r="R722" s="2" t="inlineStr"/>
    </row>
    <row r="723" ht="15" customHeight="1">
      <c r="A723" t="inlineStr">
        <is>
          <t>A 8209-2025</t>
        </is>
      </c>
      <c r="B723" s="1" t="n">
        <v>45708.44244212963</v>
      </c>
      <c r="C723" s="1" t="n">
        <v>46188</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26641-2023</t>
        </is>
      </c>
      <c r="B724" s="1" t="n">
        <v>45092.89619212963</v>
      </c>
      <c r="C724" s="1" t="n">
        <v>46188</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16397-2022</t>
        </is>
      </c>
      <c r="B725" s="1" t="n">
        <v>44671</v>
      </c>
      <c r="C725" s="1" t="n">
        <v>46188</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16398-2022</t>
        </is>
      </c>
      <c r="B726" s="1" t="n">
        <v>44671</v>
      </c>
      <c r="C726" s="1" t="n">
        <v>46188</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17835-2026</t>
        </is>
      </c>
      <c r="B727" s="1" t="n">
        <v>46121</v>
      </c>
      <c r="C727" s="1" t="n">
        <v>46188</v>
      </c>
      <c r="D727" t="inlineStr">
        <is>
          <t>SKÅNE LÄN</t>
        </is>
      </c>
      <c r="E727" t="inlineStr">
        <is>
          <t>HÄSSLEHOLM</t>
        </is>
      </c>
      <c r="G727" t="n">
        <v>12.6</v>
      </c>
      <c r="H727" t="n">
        <v>0</v>
      </c>
      <c r="I727" t="n">
        <v>0</v>
      </c>
      <c r="J727" t="n">
        <v>0</v>
      </c>
      <c r="K727" t="n">
        <v>0</v>
      </c>
      <c r="L727" t="n">
        <v>0</v>
      </c>
      <c r="M727" t="n">
        <v>0</v>
      </c>
      <c r="N727" t="n">
        <v>0</v>
      </c>
      <c r="O727" t="n">
        <v>0</v>
      </c>
      <c r="P727" t="n">
        <v>0</v>
      </c>
      <c r="Q727" t="n">
        <v>0</v>
      </c>
      <c r="R727" s="2" t="inlineStr"/>
    </row>
    <row r="728" ht="15" customHeight="1">
      <c r="A728" t="inlineStr">
        <is>
          <t>A 17844-2026</t>
        </is>
      </c>
      <c r="B728" s="1" t="n">
        <v>46121</v>
      </c>
      <c r="C728" s="1" t="n">
        <v>46188</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4512-2024</t>
        </is>
      </c>
      <c r="B729" s="1" t="n">
        <v>45327.6312962963</v>
      </c>
      <c r="C729" s="1" t="n">
        <v>46188</v>
      </c>
      <c r="D729" t="inlineStr">
        <is>
          <t>SKÅNE LÄN</t>
        </is>
      </c>
      <c r="E729" t="inlineStr">
        <is>
          <t>HÄSSLEHOLM</t>
        </is>
      </c>
      <c r="G729" t="n">
        <v>2</v>
      </c>
      <c r="H729" t="n">
        <v>0</v>
      </c>
      <c r="I729" t="n">
        <v>0</v>
      </c>
      <c r="J729" t="n">
        <v>0</v>
      </c>
      <c r="K729" t="n">
        <v>0</v>
      </c>
      <c r="L729" t="n">
        <v>0</v>
      </c>
      <c r="M729" t="n">
        <v>0</v>
      </c>
      <c r="N729" t="n">
        <v>0</v>
      </c>
      <c r="O729" t="n">
        <v>0</v>
      </c>
      <c r="P729" t="n">
        <v>0</v>
      </c>
      <c r="Q729" t="n">
        <v>0</v>
      </c>
      <c r="R729" s="2" t="inlineStr"/>
    </row>
    <row r="730" ht="15" customHeight="1">
      <c r="A730" t="inlineStr">
        <is>
          <t>A 39044-2024</t>
        </is>
      </c>
      <c r="B730" s="1" t="n">
        <v>45548.47707175926</v>
      </c>
      <c r="C730" s="1" t="n">
        <v>46188</v>
      </c>
      <c r="D730" t="inlineStr">
        <is>
          <t>SKÅNE LÄN</t>
        </is>
      </c>
      <c r="E730" t="inlineStr">
        <is>
          <t>HÄSSLEHOLM</t>
        </is>
      </c>
      <c r="G730" t="n">
        <v>2.8</v>
      </c>
      <c r="H730" t="n">
        <v>0</v>
      </c>
      <c r="I730" t="n">
        <v>0</v>
      </c>
      <c r="J730" t="n">
        <v>0</v>
      </c>
      <c r="K730" t="n">
        <v>0</v>
      </c>
      <c r="L730" t="n">
        <v>0</v>
      </c>
      <c r="M730" t="n">
        <v>0</v>
      </c>
      <c r="N730" t="n">
        <v>0</v>
      </c>
      <c r="O730" t="n">
        <v>0</v>
      </c>
      <c r="P730" t="n">
        <v>0</v>
      </c>
      <c r="Q730" t="n">
        <v>0</v>
      </c>
      <c r="R730" s="2" t="inlineStr"/>
    </row>
    <row r="731" ht="15" customHeight="1">
      <c r="A731" t="inlineStr">
        <is>
          <t>A 19020-2024</t>
        </is>
      </c>
      <c r="B731" s="1" t="n">
        <v>45427.66167824074</v>
      </c>
      <c r="C731" s="1" t="n">
        <v>46188</v>
      </c>
      <c r="D731" t="inlineStr">
        <is>
          <t>SKÅNE LÄN</t>
        </is>
      </c>
      <c r="E731" t="inlineStr">
        <is>
          <t>HÄSSLEHOLM</t>
        </is>
      </c>
      <c r="G731" t="n">
        <v>2.3</v>
      </c>
      <c r="H731" t="n">
        <v>0</v>
      </c>
      <c r="I731" t="n">
        <v>0</v>
      </c>
      <c r="J731" t="n">
        <v>0</v>
      </c>
      <c r="K731" t="n">
        <v>0</v>
      </c>
      <c r="L731" t="n">
        <v>0</v>
      </c>
      <c r="M731" t="n">
        <v>0</v>
      </c>
      <c r="N731" t="n">
        <v>0</v>
      </c>
      <c r="O731" t="n">
        <v>0</v>
      </c>
      <c r="P731" t="n">
        <v>0</v>
      </c>
      <c r="Q731" t="n">
        <v>0</v>
      </c>
      <c r="R731" s="2" t="inlineStr"/>
    </row>
    <row r="732" ht="15" customHeight="1">
      <c r="A732" t="inlineStr">
        <is>
          <t>A 40734-2024</t>
        </is>
      </c>
      <c r="B732" s="1" t="n">
        <v>45558</v>
      </c>
      <c r="C732" s="1" t="n">
        <v>46188</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40738-2024</t>
        </is>
      </c>
      <c r="B733" s="1" t="n">
        <v>45558</v>
      </c>
      <c r="C733" s="1" t="n">
        <v>46188</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49199-2024</t>
        </is>
      </c>
      <c r="B734" s="1" t="n">
        <v>45595</v>
      </c>
      <c r="C734" s="1" t="n">
        <v>46188</v>
      </c>
      <c r="D734" t="inlineStr">
        <is>
          <t>SKÅNE LÄN</t>
        </is>
      </c>
      <c r="E734" t="inlineStr">
        <is>
          <t>HÄSSLEHOLM</t>
        </is>
      </c>
      <c r="G734" t="n">
        <v>5.2</v>
      </c>
      <c r="H734" t="n">
        <v>0</v>
      </c>
      <c r="I734" t="n">
        <v>0</v>
      </c>
      <c r="J734" t="n">
        <v>0</v>
      </c>
      <c r="K734" t="n">
        <v>0</v>
      </c>
      <c r="L734" t="n">
        <v>0</v>
      </c>
      <c r="M734" t="n">
        <v>0</v>
      </c>
      <c r="N734" t="n">
        <v>0</v>
      </c>
      <c r="O734" t="n">
        <v>0</v>
      </c>
      <c r="P734" t="n">
        <v>0</v>
      </c>
      <c r="Q734" t="n">
        <v>0</v>
      </c>
      <c r="R734" s="2" t="inlineStr"/>
    </row>
    <row r="735" ht="15" customHeight="1">
      <c r="A735" t="inlineStr">
        <is>
          <t>A 2712-2024</t>
        </is>
      </c>
      <c r="B735" s="1" t="n">
        <v>45314</v>
      </c>
      <c r="C735" s="1" t="n">
        <v>46188</v>
      </c>
      <c r="D735" t="inlineStr">
        <is>
          <t>SKÅNE LÄN</t>
        </is>
      </c>
      <c r="E735" t="inlineStr">
        <is>
          <t>HÄSSLEHOLM</t>
        </is>
      </c>
      <c r="G735" t="n">
        <v>11.3</v>
      </c>
      <c r="H735" t="n">
        <v>0</v>
      </c>
      <c r="I735" t="n">
        <v>0</v>
      </c>
      <c r="J735" t="n">
        <v>0</v>
      </c>
      <c r="K735" t="n">
        <v>0</v>
      </c>
      <c r="L735" t="n">
        <v>0</v>
      </c>
      <c r="M735" t="n">
        <v>0</v>
      </c>
      <c r="N735" t="n">
        <v>0</v>
      </c>
      <c r="O735" t="n">
        <v>0</v>
      </c>
      <c r="P735" t="n">
        <v>0</v>
      </c>
      <c r="Q735" t="n">
        <v>0</v>
      </c>
      <c r="R735" s="2" t="inlineStr"/>
    </row>
    <row r="736" ht="15" customHeight="1">
      <c r="A736" t="inlineStr">
        <is>
          <t>A 37286-2025</t>
        </is>
      </c>
      <c r="B736" s="1" t="n">
        <v>45876.50116898148</v>
      </c>
      <c r="C736" s="1" t="n">
        <v>46188</v>
      </c>
      <c r="D736" t="inlineStr">
        <is>
          <t>SKÅNE LÄN</t>
        </is>
      </c>
      <c r="E736" t="inlineStr">
        <is>
          <t>HÄSSLEHOLM</t>
        </is>
      </c>
      <c r="G736" t="n">
        <v>2.9</v>
      </c>
      <c r="H736" t="n">
        <v>0</v>
      </c>
      <c r="I736" t="n">
        <v>0</v>
      </c>
      <c r="J736" t="n">
        <v>0</v>
      </c>
      <c r="K736" t="n">
        <v>0</v>
      </c>
      <c r="L736" t="n">
        <v>0</v>
      </c>
      <c r="M736" t="n">
        <v>0</v>
      </c>
      <c r="N736" t="n">
        <v>0</v>
      </c>
      <c r="O736" t="n">
        <v>0</v>
      </c>
      <c r="P736" t="n">
        <v>0</v>
      </c>
      <c r="Q736" t="n">
        <v>0</v>
      </c>
      <c r="R736" s="2" t="inlineStr"/>
    </row>
    <row r="737" ht="15" customHeight="1">
      <c r="A737" t="inlineStr">
        <is>
          <t>A 37271-2025</t>
        </is>
      </c>
      <c r="B737" s="1" t="n">
        <v>45876.47828703704</v>
      </c>
      <c r="C737" s="1" t="n">
        <v>46188</v>
      </c>
      <c r="D737" t="inlineStr">
        <is>
          <t>SKÅNE LÄN</t>
        </is>
      </c>
      <c r="E737" t="inlineStr">
        <is>
          <t>HÄSSLEHOLM</t>
        </is>
      </c>
      <c r="G737" t="n">
        <v>4.1</v>
      </c>
      <c r="H737" t="n">
        <v>0</v>
      </c>
      <c r="I737" t="n">
        <v>0</v>
      </c>
      <c r="J737" t="n">
        <v>0</v>
      </c>
      <c r="K737" t="n">
        <v>0</v>
      </c>
      <c r="L737" t="n">
        <v>0</v>
      </c>
      <c r="M737" t="n">
        <v>0</v>
      </c>
      <c r="N737" t="n">
        <v>0</v>
      </c>
      <c r="O737" t="n">
        <v>0</v>
      </c>
      <c r="P737" t="n">
        <v>0</v>
      </c>
      <c r="Q737" t="n">
        <v>0</v>
      </c>
      <c r="R737" s="2" t="inlineStr"/>
    </row>
    <row r="738" ht="15" customHeight="1">
      <c r="A738" t="inlineStr">
        <is>
          <t>A 56986-2024</t>
        </is>
      </c>
      <c r="B738" s="1" t="n">
        <v>45626</v>
      </c>
      <c r="C738" s="1" t="n">
        <v>46188</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32981-2025</t>
        </is>
      </c>
      <c r="B739" s="1" t="n">
        <v>45839.86820601852</v>
      </c>
      <c r="C739" s="1" t="n">
        <v>46188</v>
      </c>
      <c r="D739" t="inlineStr">
        <is>
          <t>SKÅNE LÄN</t>
        </is>
      </c>
      <c r="E739" t="inlineStr">
        <is>
          <t>HÄSSLEHOLM</t>
        </is>
      </c>
      <c r="G739" t="n">
        <v>2.7</v>
      </c>
      <c r="H739" t="n">
        <v>0</v>
      </c>
      <c r="I739" t="n">
        <v>0</v>
      </c>
      <c r="J739" t="n">
        <v>0</v>
      </c>
      <c r="K739" t="n">
        <v>0</v>
      </c>
      <c r="L739" t="n">
        <v>0</v>
      </c>
      <c r="M739" t="n">
        <v>0</v>
      </c>
      <c r="N739" t="n">
        <v>0</v>
      </c>
      <c r="O739" t="n">
        <v>0</v>
      </c>
      <c r="P739" t="n">
        <v>0</v>
      </c>
      <c r="Q739" t="n">
        <v>0</v>
      </c>
      <c r="R739" s="2" t="inlineStr"/>
    </row>
    <row r="740" ht="15" customHeight="1">
      <c r="A740" t="inlineStr">
        <is>
          <t>A 46222-2022</t>
        </is>
      </c>
      <c r="B740" s="1" t="n">
        <v>44847.58725694445</v>
      </c>
      <c r="C740" s="1" t="n">
        <v>46188</v>
      </c>
      <c r="D740" t="inlineStr">
        <is>
          <t>SKÅNE LÄN</t>
        </is>
      </c>
      <c r="E740" t="inlineStr">
        <is>
          <t>HÄSSLEHOLM</t>
        </is>
      </c>
      <c r="G740" t="n">
        <v>6.3</v>
      </c>
      <c r="H740" t="n">
        <v>0</v>
      </c>
      <c r="I740" t="n">
        <v>0</v>
      </c>
      <c r="J740" t="n">
        <v>0</v>
      </c>
      <c r="K740" t="n">
        <v>0</v>
      </c>
      <c r="L740" t="n">
        <v>0</v>
      </c>
      <c r="M740" t="n">
        <v>0</v>
      </c>
      <c r="N740" t="n">
        <v>0</v>
      </c>
      <c r="O740" t="n">
        <v>0</v>
      </c>
      <c r="P740" t="n">
        <v>0</v>
      </c>
      <c r="Q740" t="n">
        <v>0</v>
      </c>
      <c r="R740" s="2" t="inlineStr"/>
    </row>
    <row r="741" ht="15" customHeight="1">
      <c r="A741" t="inlineStr">
        <is>
          <t>A 2567-2024</t>
        </is>
      </c>
      <c r="B741" s="1" t="n">
        <v>45313.62460648148</v>
      </c>
      <c r="C741" s="1" t="n">
        <v>46188</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18109-2025</t>
        </is>
      </c>
      <c r="B742" s="1" t="n">
        <v>45761</v>
      </c>
      <c r="C742" s="1" t="n">
        <v>46188</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28632-2024</t>
        </is>
      </c>
      <c r="B743" s="1" t="n">
        <v>45478</v>
      </c>
      <c r="C743" s="1" t="n">
        <v>46188</v>
      </c>
      <c r="D743" t="inlineStr">
        <is>
          <t>SKÅNE LÄN</t>
        </is>
      </c>
      <c r="E743" t="inlineStr">
        <is>
          <t>HÄSSLEHOLM</t>
        </is>
      </c>
      <c r="G743" t="n">
        <v>4</v>
      </c>
      <c r="H743" t="n">
        <v>0</v>
      </c>
      <c r="I743" t="n">
        <v>0</v>
      </c>
      <c r="J743" t="n">
        <v>0</v>
      </c>
      <c r="K743" t="n">
        <v>0</v>
      </c>
      <c r="L743" t="n">
        <v>0</v>
      </c>
      <c r="M743" t="n">
        <v>0</v>
      </c>
      <c r="N743" t="n">
        <v>0</v>
      </c>
      <c r="O743" t="n">
        <v>0</v>
      </c>
      <c r="P743" t="n">
        <v>0</v>
      </c>
      <c r="Q743" t="n">
        <v>0</v>
      </c>
      <c r="R743" s="2" t="inlineStr"/>
    </row>
    <row r="744" ht="15" customHeight="1">
      <c r="A744" t="inlineStr">
        <is>
          <t>A 11708-2025</t>
        </is>
      </c>
      <c r="B744" s="1" t="n">
        <v>45727.58626157408</v>
      </c>
      <c r="C744" s="1" t="n">
        <v>46188</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18398-2026</t>
        </is>
      </c>
      <c r="B745" s="1" t="n">
        <v>46126.66273148148</v>
      </c>
      <c r="C745" s="1" t="n">
        <v>46188</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69357-2021</t>
        </is>
      </c>
      <c r="B746" s="1" t="n">
        <v>44531</v>
      </c>
      <c r="C746" s="1" t="n">
        <v>46188</v>
      </c>
      <c r="D746" t="inlineStr">
        <is>
          <t>SKÅNE LÄN</t>
        </is>
      </c>
      <c r="E746" t="inlineStr">
        <is>
          <t>HÄSSLEHOLM</t>
        </is>
      </c>
      <c r="G746" t="n">
        <v>1.6</v>
      </c>
      <c r="H746" t="n">
        <v>0</v>
      </c>
      <c r="I746" t="n">
        <v>0</v>
      </c>
      <c r="J746" t="n">
        <v>0</v>
      </c>
      <c r="K746" t="n">
        <v>0</v>
      </c>
      <c r="L746" t="n">
        <v>0</v>
      </c>
      <c r="M746" t="n">
        <v>0</v>
      </c>
      <c r="N746" t="n">
        <v>0</v>
      </c>
      <c r="O746" t="n">
        <v>0</v>
      </c>
      <c r="P746" t="n">
        <v>0</v>
      </c>
      <c r="Q746" t="n">
        <v>0</v>
      </c>
      <c r="R746" s="2" t="inlineStr"/>
    </row>
    <row r="747" ht="15" customHeight="1">
      <c r="A747" t="inlineStr">
        <is>
          <t>A 3855-2023</t>
        </is>
      </c>
      <c r="B747" s="1" t="n">
        <v>44951.69708333333</v>
      </c>
      <c r="C747" s="1" t="n">
        <v>46188</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33481-2024</t>
        </is>
      </c>
      <c r="B748" s="1" t="n">
        <v>45519</v>
      </c>
      <c r="C748" s="1" t="n">
        <v>46188</v>
      </c>
      <c r="D748" t="inlineStr">
        <is>
          <t>SKÅNE LÄN</t>
        </is>
      </c>
      <c r="E748" t="inlineStr">
        <is>
          <t>HÄSSLEHOLM</t>
        </is>
      </c>
      <c r="G748" t="n">
        <v>3</v>
      </c>
      <c r="H748" t="n">
        <v>0</v>
      </c>
      <c r="I748" t="n">
        <v>0</v>
      </c>
      <c r="J748" t="n">
        <v>0</v>
      </c>
      <c r="K748" t="n">
        <v>0</v>
      </c>
      <c r="L748" t="n">
        <v>0</v>
      </c>
      <c r="M748" t="n">
        <v>0</v>
      </c>
      <c r="N748" t="n">
        <v>0</v>
      </c>
      <c r="O748" t="n">
        <v>0</v>
      </c>
      <c r="P748" t="n">
        <v>0</v>
      </c>
      <c r="Q748" t="n">
        <v>0</v>
      </c>
      <c r="R748" s="2" t="inlineStr"/>
    </row>
    <row r="749" ht="15" customHeight="1">
      <c r="A749" t="inlineStr">
        <is>
          <t>A 1289-2024</t>
        </is>
      </c>
      <c r="B749" s="1" t="n">
        <v>45303.32234953704</v>
      </c>
      <c r="C749" s="1" t="n">
        <v>46188</v>
      </c>
      <c r="D749" t="inlineStr">
        <is>
          <t>SKÅNE LÄN</t>
        </is>
      </c>
      <c r="E749" t="inlineStr">
        <is>
          <t>HÄSSLEHOLM</t>
        </is>
      </c>
      <c r="G749" t="n">
        <v>4.6</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46188</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17996-2026</t>
        </is>
      </c>
      <c r="B751" s="1" t="n">
        <v>46124.87434027778</v>
      </c>
      <c r="C751" s="1" t="n">
        <v>46188</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7152-2025</t>
        </is>
      </c>
      <c r="B752" s="1" t="n">
        <v>45702.3837037037</v>
      </c>
      <c r="C752" s="1" t="n">
        <v>46188</v>
      </c>
      <c r="D752" t="inlineStr">
        <is>
          <t>SKÅNE LÄN</t>
        </is>
      </c>
      <c r="E752" t="inlineStr">
        <is>
          <t>HÄSSLEHOLM</t>
        </is>
      </c>
      <c r="G752" t="n">
        <v>1.3</v>
      </c>
      <c r="H752" t="n">
        <v>0</v>
      </c>
      <c r="I752" t="n">
        <v>0</v>
      </c>
      <c r="J752" t="n">
        <v>0</v>
      </c>
      <c r="K752" t="n">
        <v>0</v>
      </c>
      <c r="L752" t="n">
        <v>0</v>
      </c>
      <c r="M752" t="n">
        <v>0</v>
      </c>
      <c r="N752" t="n">
        <v>0</v>
      </c>
      <c r="O752" t="n">
        <v>0</v>
      </c>
      <c r="P752" t="n">
        <v>0</v>
      </c>
      <c r="Q752" t="n">
        <v>0</v>
      </c>
      <c r="R752" s="2" t="inlineStr"/>
    </row>
    <row r="753" ht="15" customHeight="1">
      <c r="A753" t="inlineStr">
        <is>
          <t>A 7160-2025</t>
        </is>
      </c>
      <c r="B753" s="1" t="n">
        <v>45702.3875462963</v>
      </c>
      <c r="C753" s="1" t="n">
        <v>46188</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18484-2026</t>
        </is>
      </c>
      <c r="B754" s="1" t="n">
        <v>46126</v>
      </c>
      <c r="C754" s="1" t="n">
        <v>46188</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27291-2023</t>
        </is>
      </c>
      <c r="B755" s="1" t="n">
        <v>45096</v>
      </c>
      <c r="C755" s="1" t="n">
        <v>46188</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441-2022</t>
        </is>
      </c>
      <c r="B756" s="1" t="n">
        <v>44565.97125</v>
      </c>
      <c r="C756" s="1" t="n">
        <v>46188</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5887-2025</t>
        </is>
      </c>
      <c r="B757" s="1" t="n">
        <v>45695.37925925926</v>
      </c>
      <c r="C757" s="1" t="n">
        <v>46188</v>
      </c>
      <c r="D757" t="inlineStr">
        <is>
          <t>SKÅNE LÄN</t>
        </is>
      </c>
      <c r="E757" t="inlineStr">
        <is>
          <t>HÄSSLEHOLM</t>
        </is>
      </c>
      <c r="G757" t="n">
        <v>4.8</v>
      </c>
      <c r="H757" t="n">
        <v>0</v>
      </c>
      <c r="I757" t="n">
        <v>0</v>
      </c>
      <c r="J757" t="n">
        <v>0</v>
      </c>
      <c r="K757" t="n">
        <v>0</v>
      </c>
      <c r="L757" t="n">
        <v>0</v>
      </c>
      <c r="M757" t="n">
        <v>0</v>
      </c>
      <c r="N757" t="n">
        <v>0</v>
      </c>
      <c r="O757" t="n">
        <v>0</v>
      </c>
      <c r="P757" t="n">
        <v>0</v>
      </c>
      <c r="Q757" t="n">
        <v>0</v>
      </c>
      <c r="R757" s="2" t="inlineStr"/>
    </row>
    <row r="758" ht="15" customHeight="1">
      <c r="A758" t="inlineStr">
        <is>
          <t>A 24084-2026</t>
        </is>
      </c>
      <c r="B758" s="1" t="n">
        <v>46168.37322916667</v>
      </c>
      <c r="C758" s="1" t="n">
        <v>46188</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54874-2022</t>
        </is>
      </c>
      <c r="B759" s="1" t="n">
        <v>44881</v>
      </c>
      <c r="C759" s="1" t="n">
        <v>46188</v>
      </c>
      <c r="D759" t="inlineStr">
        <is>
          <t>SKÅNE LÄN</t>
        </is>
      </c>
      <c r="E759" t="inlineStr">
        <is>
          <t>HÄSSLEHOLM</t>
        </is>
      </c>
      <c r="G759" t="n">
        <v>8.1</v>
      </c>
      <c r="H759" t="n">
        <v>0</v>
      </c>
      <c r="I759" t="n">
        <v>0</v>
      </c>
      <c r="J759" t="n">
        <v>0</v>
      </c>
      <c r="K759" t="n">
        <v>0</v>
      </c>
      <c r="L759" t="n">
        <v>0</v>
      </c>
      <c r="M759" t="n">
        <v>0</v>
      </c>
      <c r="N759" t="n">
        <v>0</v>
      </c>
      <c r="O759" t="n">
        <v>0</v>
      </c>
      <c r="P759" t="n">
        <v>0</v>
      </c>
      <c r="Q759" t="n">
        <v>0</v>
      </c>
      <c r="R759" s="2" t="inlineStr"/>
    </row>
    <row r="760" ht="15" customHeight="1">
      <c r="A760" t="inlineStr">
        <is>
          <t>A 47422-2025</t>
        </is>
      </c>
      <c r="B760" s="1" t="n">
        <v>45930</v>
      </c>
      <c r="C760" s="1" t="n">
        <v>46188</v>
      </c>
      <c r="D760" t="inlineStr">
        <is>
          <t>SKÅNE LÄN</t>
        </is>
      </c>
      <c r="E760" t="inlineStr">
        <is>
          <t>HÄSSLEHOLM</t>
        </is>
      </c>
      <c r="G760" t="n">
        <v>2.3</v>
      </c>
      <c r="H760" t="n">
        <v>0</v>
      </c>
      <c r="I760" t="n">
        <v>0</v>
      </c>
      <c r="J760" t="n">
        <v>0</v>
      </c>
      <c r="K760" t="n">
        <v>0</v>
      </c>
      <c r="L760" t="n">
        <v>0</v>
      </c>
      <c r="M760" t="n">
        <v>0</v>
      </c>
      <c r="N760" t="n">
        <v>0</v>
      </c>
      <c r="O760" t="n">
        <v>0</v>
      </c>
      <c r="P760" t="n">
        <v>0</v>
      </c>
      <c r="Q760" t="n">
        <v>0</v>
      </c>
      <c r="R760" s="2" t="inlineStr"/>
    </row>
    <row r="761" ht="15" customHeight="1">
      <c r="A761" t="inlineStr">
        <is>
          <t>A 17152-2025</t>
        </is>
      </c>
      <c r="B761" s="1" t="n">
        <v>45756.33318287037</v>
      </c>
      <c r="C761" s="1" t="n">
        <v>46188</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34301-2024</t>
        </is>
      </c>
      <c r="B762" s="1" t="n">
        <v>45524</v>
      </c>
      <c r="C762" s="1" t="n">
        <v>46188</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27242-2022</t>
        </is>
      </c>
      <c r="B763" s="1" t="n">
        <v>44741</v>
      </c>
      <c r="C763" s="1" t="n">
        <v>46188</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61158-2022</t>
        </is>
      </c>
      <c r="B764" s="1" t="n">
        <v>44915.47112268519</v>
      </c>
      <c r="C764" s="1" t="n">
        <v>46188</v>
      </c>
      <c r="D764" t="inlineStr">
        <is>
          <t>SKÅNE LÄN</t>
        </is>
      </c>
      <c r="E764" t="inlineStr">
        <is>
          <t>HÄSSLEHOLM</t>
        </is>
      </c>
      <c r="G764" t="n">
        <v>8.4</v>
      </c>
      <c r="H764" t="n">
        <v>0</v>
      </c>
      <c r="I764" t="n">
        <v>0</v>
      </c>
      <c r="J764" t="n">
        <v>0</v>
      </c>
      <c r="K764" t="n">
        <v>0</v>
      </c>
      <c r="L764" t="n">
        <v>0</v>
      </c>
      <c r="M764" t="n">
        <v>0</v>
      </c>
      <c r="N764" t="n">
        <v>0</v>
      </c>
      <c r="O764" t="n">
        <v>0</v>
      </c>
      <c r="P764" t="n">
        <v>0</v>
      </c>
      <c r="Q764" t="n">
        <v>0</v>
      </c>
      <c r="R764" s="2" t="inlineStr"/>
    </row>
    <row r="765" ht="15" customHeight="1">
      <c r="A765" t="inlineStr">
        <is>
          <t>A 61186-2022</t>
        </is>
      </c>
      <c r="B765" s="1" t="n">
        <v>44915.50745370371</v>
      </c>
      <c r="C765" s="1" t="n">
        <v>46188</v>
      </c>
      <c r="D765" t="inlineStr">
        <is>
          <t>SKÅNE LÄN</t>
        </is>
      </c>
      <c r="E765" t="inlineStr">
        <is>
          <t>HÄSSLEHOLM</t>
        </is>
      </c>
      <c r="G765" t="n">
        <v>2.9</v>
      </c>
      <c r="H765" t="n">
        <v>0</v>
      </c>
      <c r="I765" t="n">
        <v>0</v>
      </c>
      <c r="J765" t="n">
        <v>0</v>
      </c>
      <c r="K765" t="n">
        <v>0</v>
      </c>
      <c r="L765" t="n">
        <v>0</v>
      </c>
      <c r="M765" t="n">
        <v>0</v>
      </c>
      <c r="N765" t="n">
        <v>0</v>
      </c>
      <c r="O765" t="n">
        <v>0</v>
      </c>
      <c r="P765" t="n">
        <v>0</v>
      </c>
      <c r="Q765" t="n">
        <v>0</v>
      </c>
      <c r="R765" s="2" t="inlineStr"/>
    </row>
    <row r="766" ht="15" customHeight="1">
      <c r="A766" t="inlineStr">
        <is>
          <t>A 47432-2025</t>
        </is>
      </c>
      <c r="B766" s="1" t="n">
        <v>45930</v>
      </c>
      <c r="C766" s="1" t="n">
        <v>46188</v>
      </c>
      <c r="D766" t="inlineStr">
        <is>
          <t>SKÅNE LÄN</t>
        </is>
      </c>
      <c r="E766" t="inlineStr">
        <is>
          <t>HÄSSLEHOLM</t>
        </is>
      </c>
      <c r="G766" t="n">
        <v>2.7</v>
      </c>
      <c r="H766" t="n">
        <v>0</v>
      </c>
      <c r="I766" t="n">
        <v>0</v>
      </c>
      <c r="J766" t="n">
        <v>0</v>
      </c>
      <c r="K766" t="n">
        <v>0</v>
      </c>
      <c r="L766" t="n">
        <v>0</v>
      </c>
      <c r="M766" t="n">
        <v>0</v>
      </c>
      <c r="N766" t="n">
        <v>0</v>
      </c>
      <c r="O766" t="n">
        <v>0</v>
      </c>
      <c r="P766" t="n">
        <v>0</v>
      </c>
      <c r="Q766" t="n">
        <v>0</v>
      </c>
      <c r="R766" s="2" t="inlineStr"/>
    </row>
    <row r="767" ht="15" customHeight="1">
      <c r="A767" t="inlineStr">
        <is>
          <t>A 18483-2026</t>
        </is>
      </c>
      <c r="B767" s="1" t="n">
        <v>46127.44652777778</v>
      </c>
      <c r="C767" s="1" t="n">
        <v>46188</v>
      </c>
      <c r="D767" t="inlineStr">
        <is>
          <t>SKÅNE LÄN</t>
        </is>
      </c>
      <c r="E767" t="inlineStr">
        <is>
          <t>HÄSSLEHOLM</t>
        </is>
      </c>
      <c r="G767" t="n">
        <v>2.9</v>
      </c>
      <c r="H767" t="n">
        <v>0</v>
      </c>
      <c r="I767" t="n">
        <v>0</v>
      </c>
      <c r="J767" t="n">
        <v>0</v>
      </c>
      <c r="K767" t="n">
        <v>0</v>
      </c>
      <c r="L767" t="n">
        <v>0</v>
      </c>
      <c r="M767" t="n">
        <v>0</v>
      </c>
      <c r="N767" t="n">
        <v>0</v>
      </c>
      <c r="O767" t="n">
        <v>0</v>
      </c>
      <c r="P767" t="n">
        <v>0</v>
      </c>
      <c r="Q767" t="n">
        <v>0</v>
      </c>
      <c r="R767" s="2" t="inlineStr"/>
    </row>
    <row r="768" ht="15" customHeight="1">
      <c r="A768" t="inlineStr">
        <is>
          <t>A 14981-2026</t>
        </is>
      </c>
      <c r="B768" s="1" t="n">
        <v>46104</v>
      </c>
      <c r="C768" s="1" t="n">
        <v>46188</v>
      </c>
      <c r="D768" t="inlineStr">
        <is>
          <t>SKÅNE LÄN</t>
        </is>
      </c>
      <c r="E768" t="inlineStr">
        <is>
          <t>HÄSSLEHOLM</t>
        </is>
      </c>
      <c r="G768" t="n">
        <v>7.7</v>
      </c>
      <c r="H768" t="n">
        <v>0</v>
      </c>
      <c r="I768" t="n">
        <v>0</v>
      </c>
      <c r="J768" t="n">
        <v>0</v>
      </c>
      <c r="K768" t="n">
        <v>0</v>
      </c>
      <c r="L768" t="n">
        <v>0</v>
      </c>
      <c r="M768" t="n">
        <v>0</v>
      </c>
      <c r="N768" t="n">
        <v>0</v>
      </c>
      <c r="O768" t="n">
        <v>0</v>
      </c>
      <c r="P768" t="n">
        <v>0</v>
      </c>
      <c r="Q768" t="n">
        <v>0</v>
      </c>
      <c r="R768" s="2" t="inlineStr"/>
    </row>
    <row r="769" ht="15" customHeight="1">
      <c r="A769" t="inlineStr">
        <is>
          <t>A 33465-2024</t>
        </is>
      </c>
      <c r="B769" s="1" t="n">
        <v>45519.59619212963</v>
      </c>
      <c r="C769" s="1" t="n">
        <v>46188</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26642-2023</t>
        </is>
      </c>
      <c r="B770" s="1" t="n">
        <v>45092.8975</v>
      </c>
      <c r="C770" s="1" t="n">
        <v>46188</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66321-2021</t>
        </is>
      </c>
      <c r="B771" s="1" t="n">
        <v>44518</v>
      </c>
      <c r="C771" s="1" t="n">
        <v>46188</v>
      </c>
      <c r="D771" t="inlineStr">
        <is>
          <t>SKÅNE LÄN</t>
        </is>
      </c>
      <c r="E771" t="inlineStr">
        <is>
          <t>HÄSSLEHOLM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16668-2025</t>
        </is>
      </c>
      <c r="B772" s="1" t="n">
        <v>45754.43009259259</v>
      </c>
      <c r="C772" s="1" t="n">
        <v>46188</v>
      </c>
      <c r="D772" t="inlineStr">
        <is>
          <t>SKÅNE LÄN</t>
        </is>
      </c>
      <c r="E772" t="inlineStr">
        <is>
          <t>HÄSSLEHOLM</t>
        </is>
      </c>
      <c r="G772" t="n">
        <v>4</v>
      </c>
      <c r="H772" t="n">
        <v>0</v>
      </c>
      <c r="I772" t="n">
        <v>0</v>
      </c>
      <c r="J772" t="n">
        <v>0</v>
      </c>
      <c r="K772" t="n">
        <v>0</v>
      </c>
      <c r="L772" t="n">
        <v>0</v>
      </c>
      <c r="M772" t="n">
        <v>0</v>
      </c>
      <c r="N772" t="n">
        <v>0</v>
      </c>
      <c r="O772" t="n">
        <v>0</v>
      </c>
      <c r="P772" t="n">
        <v>0</v>
      </c>
      <c r="Q772" t="n">
        <v>0</v>
      </c>
      <c r="R772" s="2" t="inlineStr"/>
    </row>
    <row r="773" ht="15" customHeight="1">
      <c r="A773" t="inlineStr">
        <is>
          <t>A 23857-2024</t>
        </is>
      </c>
      <c r="B773" s="1" t="n">
        <v>45455</v>
      </c>
      <c r="C773" s="1" t="n">
        <v>46188</v>
      </c>
      <c r="D773" t="inlineStr">
        <is>
          <t>SKÅNE LÄN</t>
        </is>
      </c>
      <c r="E773" t="inlineStr">
        <is>
          <t>HÄSSLEHOLM</t>
        </is>
      </c>
      <c r="G773" t="n">
        <v>3</v>
      </c>
      <c r="H773" t="n">
        <v>0</v>
      </c>
      <c r="I773" t="n">
        <v>0</v>
      </c>
      <c r="J773" t="n">
        <v>0</v>
      </c>
      <c r="K773" t="n">
        <v>0</v>
      </c>
      <c r="L773" t="n">
        <v>0</v>
      </c>
      <c r="M773" t="n">
        <v>0</v>
      </c>
      <c r="N773" t="n">
        <v>0</v>
      </c>
      <c r="O773" t="n">
        <v>0</v>
      </c>
      <c r="P773" t="n">
        <v>0</v>
      </c>
      <c r="Q773" t="n">
        <v>0</v>
      </c>
      <c r="R773" s="2" t="inlineStr"/>
    </row>
    <row r="774" ht="15" customHeight="1">
      <c r="A774" t="inlineStr">
        <is>
          <t>A 31268-2024</t>
        </is>
      </c>
      <c r="B774" s="1" t="n">
        <v>45504</v>
      </c>
      <c r="C774" s="1" t="n">
        <v>46188</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51287-2022</t>
        </is>
      </c>
      <c r="B775" s="1" t="n">
        <v>44868.83146990741</v>
      </c>
      <c r="C775" s="1" t="n">
        <v>46188</v>
      </c>
      <c r="D775" t="inlineStr">
        <is>
          <t>SKÅNE LÄN</t>
        </is>
      </c>
      <c r="E775" t="inlineStr">
        <is>
          <t>HÄSSLEHOLM</t>
        </is>
      </c>
      <c r="G775" t="n">
        <v>2.2</v>
      </c>
      <c r="H775" t="n">
        <v>0</v>
      </c>
      <c r="I775" t="n">
        <v>0</v>
      </c>
      <c r="J775" t="n">
        <v>0</v>
      </c>
      <c r="K775" t="n">
        <v>0</v>
      </c>
      <c r="L775" t="n">
        <v>0</v>
      </c>
      <c r="M775" t="n">
        <v>0</v>
      </c>
      <c r="N775" t="n">
        <v>0</v>
      </c>
      <c r="O775" t="n">
        <v>0</v>
      </c>
      <c r="P775" t="n">
        <v>0</v>
      </c>
      <c r="Q775" t="n">
        <v>0</v>
      </c>
      <c r="R775" s="2" t="inlineStr"/>
    </row>
    <row r="776" ht="15" customHeight="1">
      <c r="A776" t="inlineStr">
        <is>
          <t>A 20494-2024</t>
        </is>
      </c>
      <c r="B776" s="1" t="n">
        <v>45435</v>
      </c>
      <c r="C776" s="1" t="n">
        <v>46188</v>
      </c>
      <c r="D776" t="inlineStr">
        <is>
          <t>SKÅNE LÄN</t>
        </is>
      </c>
      <c r="E776" t="inlineStr">
        <is>
          <t>HÄSSLEHOLM</t>
        </is>
      </c>
      <c r="G776" t="n">
        <v>1.4</v>
      </c>
      <c r="H776" t="n">
        <v>0</v>
      </c>
      <c r="I776" t="n">
        <v>0</v>
      </c>
      <c r="J776" t="n">
        <v>0</v>
      </c>
      <c r="K776" t="n">
        <v>0</v>
      </c>
      <c r="L776" t="n">
        <v>0</v>
      </c>
      <c r="M776" t="n">
        <v>0</v>
      </c>
      <c r="N776" t="n">
        <v>0</v>
      </c>
      <c r="O776" t="n">
        <v>0</v>
      </c>
      <c r="P776" t="n">
        <v>0</v>
      </c>
      <c r="Q776" t="n">
        <v>0</v>
      </c>
      <c r="R776" s="2" t="inlineStr"/>
    </row>
    <row r="777" ht="15" customHeight="1">
      <c r="A777" t="inlineStr">
        <is>
          <t>A 55454-2021</t>
        </is>
      </c>
      <c r="B777" s="1" t="n">
        <v>44475</v>
      </c>
      <c r="C777" s="1" t="n">
        <v>46188</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31572-2022</t>
        </is>
      </c>
      <c r="B778" s="1" t="n">
        <v>44775</v>
      </c>
      <c r="C778" s="1" t="n">
        <v>46188</v>
      </c>
      <c r="D778" t="inlineStr">
        <is>
          <t>SKÅNE LÄN</t>
        </is>
      </c>
      <c r="E778" t="inlineStr">
        <is>
          <t>HÄSSLEHOLM</t>
        </is>
      </c>
      <c r="F778" t="inlineStr">
        <is>
          <t>Kommuner</t>
        </is>
      </c>
      <c r="G778" t="n">
        <v>1.2</v>
      </c>
      <c r="H778" t="n">
        <v>0</v>
      </c>
      <c r="I778" t="n">
        <v>0</v>
      </c>
      <c r="J778" t="n">
        <v>0</v>
      </c>
      <c r="K778" t="n">
        <v>0</v>
      </c>
      <c r="L778" t="n">
        <v>0</v>
      </c>
      <c r="M778" t="n">
        <v>0</v>
      </c>
      <c r="N778" t="n">
        <v>0</v>
      </c>
      <c r="O778" t="n">
        <v>0</v>
      </c>
      <c r="P778" t="n">
        <v>0</v>
      </c>
      <c r="Q778" t="n">
        <v>0</v>
      </c>
      <c r="R778" s="2" t="inlineStr"/>
    </row>
    <row r="779" ht="15" customHeight="1">
      <c r="A779" t="inlineStr">
        <is>
          <t>A 4356-2024</t>
        </is>
      </c>
      <c r="B779" s="1" t="n">
        <v>45325.36195601852</v>
      </c>
      <c r="C779" s="1" t="n">
        <v>46188</v>
      </c>
      <c r="D779" t="inlineStr">
        <is>
          <t>SKÅNE LÄN</t>
        </is>
      </c>
      <c r="E779" t="inlineStr">
        <is>
          <t>HÄSSLEHOLM</t>
        </is>
      </c>
      <c r="G779" t="n">
        <v>3.2</v>
      </c>
      <c r="H779" t="n">
        <v>0</v>
      </c>
      <c r="I779" t="n">
        <v>0</v>
      </c>
      <c r="J779" t="n">
        <v>0</v>
      </c>
      <c r="K779" t="n">
        <v>0</v>
      </c>
      <c r="L779" t="n">
        <v>0</v>
      </c>
      <c r="M779" t="n">
        <v>0</v>
      </c>
      <c r="N779" t="n">
        <v>0</v>
      </c>
      <c r="O779" t="n">
        <v>0</v>
      </c>
      <c r="P779" t="n">
        <v>0</v>
      </c>
      <c r="Q779" t="n">
        <v>0</v>
      </c>
      <c r="R779" s="2" t="inlineStr"/>
    </row>
    <row r="780" ht="15" customHeight="1">
      <c r="A780" t="inlineStr">
        <is>
          <t>A 3480-2024</t>
        </is>
      </c>
      <c r="B780" s="1" t="n">
        <v>45320.43998842593</v>
      </c>
      <c r="C780" s="1" t="n">
        <v>46188</v>
      </c>
      <c r="D780" t="inlineStr">
        <is>
          <t>SKÅNE LÄN</t>
        </is>
      </c>
      <c r="E780" t="inlineStr">
        <is>
          <t>HÄSSLEHOLM</t>
        </is>
      </c>
      <c r="G780" t="n">
        <v>0.4</v>
      </c>
      <c r="H780" t="n">
        <v>0</v>
      </c>
      <c r="I780" t="n">
        <v>0</v>
      </c>
      <c r="J780" t="n">
        <v>0</v>
      </c>
      <c r="K780" t="n">
        <v>0</v>
      </c>
      <c r="L780" t="n">
        <v>0</v>
      </c>
      <c r="M780" t="n">
        <v>0</v>
      </c>
      <c r="N780" t="n">
        <v>0</v>
      </c>
      <c r="O780" t="n">
        <v>0</v>
      </c>
      <c r="P780" t="n">
        <v>0</v>
      </c>
      <c r="Q780" t="n">
        <v>0</v>
      </c>
      <c r="R780" s="2" t="inlineStr"/>
    </row>
    <row r="781" ht="15" customHeight="1">
      <c r="A781" t="inlineStr">
        <is>
          <t>A 5980-2024</t>
        </is>
      </c>
      <c r="B781" s="1" t="n">
        <v>45335</v>
      </c>
      <c r="C781" s="1" t="n">
        <v>46188</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25145-2026</t>
        </is>
      </c>
      <c r="B782" s="1" t="n">
        <v>46175.42761574074</v>
      </c>
      <c r="C782" s="1" t="n">
        <v>46188</v>
      </c>
      <c r="D782" t="inlineStr">
        <is>
          <t>SKÅNE LÄN</t>
        </is>
      </c>
      <c r="E782" t="inlineStr">
        <is>
          <t>HÄSSLEHOLM</t>
        </is>
      </c>
      <c r="G782" t="n">
        <v>5.1</v>
      </c>
      <c r="H782" t="n">
        <v>0</v>
      </c>
      <c r="I782" t="n">
        <v>0</v>
      </c>
      <c r="J782" t="n">
        <v>0</v>
      </c>
      <c r="K782" t="n">
        <v>0</v>
      </c>
      <c r="L782" t="n">
        <v>0</v>
      </c>
      <c r="M782" t="n">
        <v>0</v>
      </c>
      <c r="N782" t="n">
        <v>0</v>
      </c>
      <c r="O782" t="n">
        <v>0</v>
      </c>
      <c r="P782" t="n">
        <v>0</v>
      </c>
      <c r="Q782" t="n">
        <v>0</v>
      </c>
      <c r="R782" s="2" t="inlineStr"/>
    </row>
    <row r="783" ht="15" customHeight="1">
      <c r="A783" t="inlineStr">
        <is>
          <t>A 10802-2024</t>
        </is>
      </c>
      <c r="B783" s="1" t="n">
        <v>45369</v>
      </c>
      <c r="C783" s="1" t="n">
        <v>46188</v>
      </c>
      <c r="D783" t="inlineStr">
        <is>
          <t>SKÅNE LÄN</t>
        </is>
      </c>
      <c r="E783" t="inlineStr">
        <is>
          <t>HÄSSLEHOLM</t>
        </is>
      </c>
      <c r="G783" t="n">
        <v>3.4</v>
      </c>
      <c r="H783" t="n">
        <v>0</v>
      </c>
      <c r="I783" t="n">
        <v>0</v>
      </c>
      <c r="J783" t="n">
        <v>0</v>
      </c>
      <c r="K783" t="n">
        <v>0</v>
      </c>
      <c r="L783" t="n">
        <v>0</v>
      </c>
      <c r="M783" t="n">
        <v>0</v>
      </c>
      <c r="N783" t="n">
        <v>0</v>
      </c>
      <c r="O783" t="n">
        <v>0</v>
      </c>
      <c r="P783" t="n">
        <v>0</v>
      </c>
      <c r="Q783" t="n">
        <v>0</v>
      </c>
      <c r="R783" s="2" t="inlineStr"/>
    </row>
    <row r="784" ht="15" customHeight="1">
      <c r="A784" t="inlineStr">
        <is>
          <t>A 24990-2026</t>
        </is>
      </c>
      <c r="B784" s="1" t="n">
        <v>46174.60291666666</v>
      </c>
      <c r="C784" s="1" t="n">
        <v>46188</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19318-2026</t>
        </is>
      </c>
      <c r="B785" s="1" t="n">
        <v>46133.39378472222</v>
      </c>
      <c r="C785" s="1" t="n">
        <v>46188</v>
      </c>
      <c r="D785" t="inlineStr">
        <is>
          <t>SKÅNE LÄN</t>
        </is>
      </c>
      <c r="E785" t="inlineStr">
        <is>
          <t>HÄSSLEHOLM</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260-2024</t>
        </is>
      </c>
      <c r="B786" s="1" t="n">
        <v>45294</v>
      </c>
      <c r="C786" s="1" t="n">
        <v>46188</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62417-2025</t>
        </is>
      </c>
      <c r="B787" s="1" t="n">
        <v>46007</v>
      </c>
      <c r="C787" s="1" t="n">
        <v>46188</v>
      </c>
      <c r="D787" t="inlineStr">
        <is>
          <t>SKÅNE LÄN</t>
        </is>
      </c>
      <c r="E787" t="inlineStr">
        <is>
          <t>HÄSSLEHOLM</t>
        </is>
      </c>
      <c r="G787" t="n">
        <v>2</v>
      </c>
      <c r="H787" t="n">
        <v>0</v>
      </c>
      <c r="I787" t="n">
        <v>0</v>
      </c>
      <c r="J787" t="n">
        <v>0</v>
      </c>
      <c r="K787" t="n">
        <v>0</v>
      </c>
      <c r="L787" t="n">
        <v>0</v>
      </c>
      <c r="M787" t="n">
        <v>0</v>
      </c>
      <c r="N787" t="n">
        <v>0</v>
      </c>
      <c r="O787" t="n">
        <v>0</v>
      </c>
      <c r="P787" t="n">
        <v>0</v>
      </c>
      <c r="Q787" t="n">
        <v>0</v>
      </c>
      <c r="R787" s="2" t="inlineStr"/>
    </row>
    <row r="788" ht="15" customHeight="1">
      <c r="A788" t="inlineStr">
        <is>
          <t>A 40780-2022</t>
        </is>
      </c>
      <c r="B788" s="1" t="n">
        <v>44820</v>
      </c>
      <c r="C788" s="1" t="n">
        <v>46188</v>
      </c>
      <c r="D788" t="inlineStr">
        <is>
          <t>SKÅNE LÄN</t>
        </is>
      </c>
      <c r="E788" t="inlineStr">
        <is>
          <t>HÄSSLEHOLM</t>
        </is>
      </c>
      <c r="G788" t="n">
        <v>7.4</v>
      </c>
      <c r="H788" t="n">
        <v>0</v>
      </c>
      <c r="I788" t="n">
        <v>0</v>
      </c>
      <c r="J788" t="n">
        <v>0</v>
      </c>
      <c r="K788" t="n">
        <v>0</v>
      </c>
      <c r="L788" t="n">
        <v>0</v>
      </c>
      <c r="M788" t="n">
        <v>0</v>
      </c>
      <c r="N788" t="n">
        <v>0</v>
      </c>
      <c r="O788" t="n">
        <v>0</v>
      </c>
      <c r="P788" t="n">
        <v>0</v>
      </c>
      <c r="Q788" t="n">
        <v>0</v>
      </c>
      <c r="R788" s="2" t="inlineStr"/>
    </row>
    <row r="789" ht="15" customHeight="1">
      <c r="A789" t="inlineStr">
        <is>
          <t>A 5316-2023</t>
        </is>
      </c>
      <c r="B789" s="1" t="n">
        <v>44959</v>
      </c>
      <c r="C789" s="1" t="n">
        <v>46188</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25141-2026</t>
        </is>
      </c>
      <c r="B790" s="1" t="n">
        <v>46175.42425925926</v>
      </c>
      <c r="C790" s="1" t="n">
        <v>46188</v>
      </c>
      <c r="D790" t="inlineStr">
        <is>
          <t>SKÅNE LÄN</t>
        </is>
      </c>
      <c r="E790" t="inlineStr">
        <is>
          <t>HÄSSLEHOLM</t>
        </is>
      </c>
      <c r="G790" t="n">
        <v>5</v>
      </c>
      <c r="H790" t="n">
        <v>0</v>
      </c>
      <c r="I790" t="n">
        <v>0</v>
      </c>
      <c r="J790" t="n">
        <v>0</v>
      </c>
      <c r="K790" t="n">
        <v>0</v>
      </c>
      <c r="L790" t="n">
        <v>0</v>
      </c>
      <c r="M790" t="n">
        <v>0</v>
      </c>
      <c r="N790" t="n">
        <v>0</v>
      </c>
      <c r="O790" t="n">
        <v>0</v>
      </c>
      <c r="P790" t="n">
        <v>0</v>
      </c>
      <c r="Q790" t="n">
        <v>0</v>
      </c>
      <c r="R790" s="2" t="inlineStr"/>
    </row>
    <row r="791" ht="15" customHeight="1">
      <c r="A791" t="inlineStr">
        <is>
          <t>A 54798-2025</t>
        </is>
      </c>
      <c r="B791" s="1" t="n">
        <v>45966</v>
      </c>
      <c r="C791" s="1" t="n">
        <v>46188</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19003-2026</t>
        </is>
      </c>
      <c r="B792" s="1" t="n">
        <v>46129.86017361111</v>
      </c>
      <c r="C792" s="1" t="n">
        <v>46188</v>
      </c>
      <c r="D792" t="inlineStr">
        <is>
          <t>SKÅNE LÄN</t>
        </is>
      </c>
      <c r="E792" t="inlineStr">
        <is>
          <t>HÄSSLEHOLM</t>
        </is>
      </c>
      <c r="G792" t="n">
        <v>9</v>
      </c>
      <c r="H792" t="n">
        <v>0</v>
      </c>
      <c r="I792" t="n">
        <v>0</v>
      </c>
      <c r="J792" t="n">
        <v>0</v>
      </c>
      <c r="K792" t="n">
        <v>0</v>
      </c>
      <c r="L792" t="n">
        <v>0</v>
      </c>
      <c r="M792" t="n">
        <v>0</v>
      </c>
      <c r="N792" t="n">
        <v>0</v>
      </c>
      <c r="O792" t="n">
        <v>0</v>
      </c>
      <c r="P792" t="n">
        <v>0</v>
      </c>
      <c r="Q792" t="n">
        <v>0</v>
      </c>
      <c r="R792" s="2" t="inlineStr"/>
    </row>
    <row r="793" ht="15" customHeight="1">
      <c r="A793" t="inlineStr">
        <is>
          <t>A 25086-2026</t>
        </is>
      </c>
      <c r="B793" s="1" t="n">
        <v>46175.2780324074</v>
      </c>
      <c r="C793" s="1" t="n">
        <v>46188</v>
      </c>
      <c r="D793" t="inlineStr">
        <is>
          <t>SKÅNE LÄN</t>
        </is>
      </c>
      <c r="E793" t="inlineStr">
        <is>
          <t>HÄSSLEHOLM</t>
        </is>
      </c>
      <c r="G793" t="n">
        <v>4</v>
      </c>
      <c r="H793" t="n">
        <v>0</v>
      </c>
      <c r="I793" t="n">
        <v>0</v>
      </c>
      <c r="J793" t="n">
        <v>0</v>
      </c>
      <c r="K793" t="n">
        <v>0</v>
      </c>
      <c r="L793" t="n">
        <v>0</v>
      </c>
      <c r="M793" t="n">
        <v>0</v>
      </c>
      <c r="N793" t="n">
        <v>0</v>
      </c>
      <c r="O793" t="n">
        <v>0</v>
      </c>
      <c r="P793" t="n">
        <v>0</v>
      </c>
      <c r="Q793" t="n">
        <v>0</v>
      </c>
      <c r="R793" s="2" t="inlineStr"/>
    </row>
    <row r="794" ht="15" customHeight="1">
      <c r="A794" t="inlineStr">
        <is>
          <t>A 25144-2026</t>
        </is>
      </c>
      <c r="B794" s="1" t="n">
        <v>46175.4255787037</v>
      </c>
      <c r="C794" s="1" t="n">
        <v>46188</v>
      </c>
      <c r="D794" t="inlineStr">
        <is>
          <t>SKÅNE LÄN</t>
        </is>
      </c>
      <c r="E794" t="inlineStr">
        <is>
          <t>HÄSSLEHOLM</t>
        </is>
      </c>
      <c r="G794" t="n">
        <v>4</v>
      </c>
      <c r="H794" t="n">
        <v>0</v>
      </c>
      <c r="I794" t="n">
        <v>0</v>
      </c>
      <c r="J794" t="n">
        <v>0</v>
      </c>
      <c r="K794" t="n">
        <v>0</v>
      </c>
      <c r="L794" t="n">
        <v>0</v>
      </c>
      <c r="M794" t="n">
        <v>0</v>
      </c>
      <c r="N794" t="n">
        <v>0</v>
      </c>
      <c r="O794" t="n">
        <v>0</v>
      </c>
      <c r="P794" t="n">
        <v>0</v>
      </c>
      <c r="Q794" t="n">
        <v>0</v>
      </c>
      <c r="R794" s="2" t="inlineStr"/>
    </row>
    <row r="795" ht="15" customHeight="1">
      <c r="A795" t="inlineStr">
        <is>
          <t>A 64884-2023</t>
        </is>
      </c>
      <c r="B795" s="1" t="n">
        <v>45282.57809027778</v>
      </c>
      <c r="C795" s="1" t="n">
        <v>46188</v>
      </c>
      <c r="D795" t="inlineStr">
        <is>
          <t>SKÅNE LÄN</t>
        </is>
      </c>
      <c r="E795" t="inlineStr">
        <is>
          <t>HÄSSLEHOLM</t>
        </is>
      </c>
      <c r="G795" t="n">
        <v>4.6</v>
      </c>
      <c r="H795" t="n">
        <v>0</v>
      </c>
      <c r="I795" t="n">
        <v>0</v>
      </c>
      <c r="J795" t="n">
        <v>0</v>
      </c>
      <c r="K795" t="n">
        <v>0</v>
      </c>
      <c r="L795" t="n">
        <v>0</v>
      </c>
      <c r="M795" t="n">
        <v>0</v>
      </c>
      <c r="N795" t="n">
        <v>0</v>
      </c>
      <c r="O795" t="n">
        <v>0</v>
      </c>
      <c r="P795" t="n">
        <v>0</v>
      </c>
      <c r="Q795" t="n">
        <v>0</v>
      </c>
      <c r="R795" s="2" t="inlineStr"/>
    </row>
    <row r="796" ht="15" customHeight="1">
      <c r="A796" t="inlineStr">
        <is>
          <t>A 48112-2024</t>
        </is>
      </c>
      <c r="B796" s="1" t="n">
        <v>45589.6295949074</v>
      </c>
      <c r="C796" s="1" t="n">
        <v>46188</v>
      </c>
      <c r="D796" t="inlineStr">
        <is>
          <t>SKÅNE LÄN</t>
        </is>
      </c>
      <c r="E796" t="inlineStr">
        <is>
          <t>HÄSSLEHOLM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6310-2025</t>
        </is>
      </c>
      <c r="B797" s="1" t="n">
        <v>45698</v>
      </c>
      <c r="C797" s="1" t="n">
        <v>46188</v>
      </c>
      <c r="D797" t="inlineStr">
        <is>
          <t>SKÅNE LÄN</t>
        </is>
      </c>
      <c r="E797" t="inlineStr">
        <is>
          <t>HÄSSLEHOLM</t>
        </is>
      </c>
      <c r="G797" t="n">
        <v>2.7</v>
      </c>
      <c r="H797" t="n">
        <v>0</v>
      </c>
      <c r="I797" t="n">
        <v>0</v>
      </c>
      <c r="J797" t="n">
        <v>0</v>
      </c>
      <c r="K797" t="n">
        <v>0</v>
      </c>
      <c r="L797" t="n">
        <v>0</v>
      </c>
      <c r="M797" t="n">
        <v>0</v>
      </c>
      <c r="N797" t="n">
        <v>0</v>
      </c>
      <c r="O797" t="n">
        <v>0</v>
      </c>
      <c r="P797" t="n">
        <v>0</v>
      </c>
      <c r="Q797" t="n">
        <v>0</v>
      </c>
      <c r="R797" s="2" t="inlineStr"/>
    </row>
    <row r="798" ht="15" customHeight="1">
      <c r="A798" t="inlineStr">
        <is>
          <t>A 19101-2026</t>
        </is>
      </c>
      <c r="B798" s="1" t="n">
        <v>46132.43923611111</v>
      </c>
      <c r="C798" s="1" t="n">
        <v>46188</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48097-2024</t>
        </is>
      </c>
      <c r="B799" s="1" t="n">
        <v>45589.61413194444</v>
      </c>
      <c r="C799" s="1" t="n">
        <v>46188</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60846-2022</t>
        </is>
      </c>
      <c r="B800" s="1" t="n">
        <v>44914</v>
      </c>
      <c r="C800" s="1" t="n">
        <v>46188</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42776-2021</t>
        </is>
      </c>
      <c r="B801" s="1" t="n">
        <v>44428</v>
      </c>
      <c r="C801" s="1" t="n">
        <v>46188</v>
      </c>
      <c r="D801" t="inlineStr">
        <is>
          <t>SKÅNE LÄN</t>
        </is>
      </c>
      <c r="E801" t="inlineStr">
        <is>
          <t>HÄSSLEHOLM</t>
        </is>
      </c>
      <c r="G801" t="n">
        <v>3.2</v>
      </c>
      <c r="H801" t="n">
        <v>0</v>
      </c>
      <c r="I801" t="n">
        <v>0</v>
      </c>
      <c r="J801" t="n">
        <v>0</v>
      </c>
      <c r="K801" t="n">
        <v>0</v>
      </c>
      <c r="L801" t="n">
        <v>0</v>
      </c>
      <c r="M801" t="n">
        <v>0</v>
      </c>
      <c r="N801" t="n">
        <v>0</v>
      </c>
      <c r="O801" t="n">
        <v>0</v>
      </c>
      <c r="P801" t="n">
        <v>0</v>
      </c>
      <c r="Q801" t="n">
        <v>0</v>
      </c>
      <c r="R801" s="2" t="inlineStr"/>
    </row>
    <row r="802" ht="15" customHeight="1">
      <c r="A802" t="inlineStr">
        <is>
          <t>A 25388-2026</t>
        </is>
      </c>
      <c r="B802" s="1" t="n">
        <v>46176.69976851852</v>
      </c>
      <c r="C802" s="1" t="n">
        <v>46188</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14700-2023</t>
        </is>
      </c>
      <c r="B803" s="1" t="n">
        <v>45014.38376157408</v>
      </c>
      <c r="C803" s="1" t="n">
        <v>46188</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25417-2026</t>
        </is>
      </c>
      <c r="B804" s="1" t="n">
        <v>46176.90253472222</v>
      </c>
      <c r="C804" s="1" t="n">
        <v>46188</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39915-2023</t>
        </is>
      </c>
      <c r="B805" s="1" t="n">
        <v>45168.4684375</v>
      </c>
      <c r="C805" s="1" t="n">
        <v>46188</v>
      </c>
      <c r="D805" t="inlineStr">
        <is>
          <t>SKÅNE LÄN</t>
        </is>
      </c>
      <c r="E805" t="inlineStr">
        <is>
          <t>HÄSSLEHOLM</t>
        </is>
      </c>
      <c r="G805" t="n">
        <v>0.4</v>
      </c>
      <c r="H805" t="n">
        <v>0</v>
      </c>
      <c r="I805" t="n">
        <v>0</v>
      </c>
      <c r="J805" t="n">
        <v>0</v>
      </c>
      <c r="K805" t="n">
        <v>0</v>
      </c>
      <c r="L805" t="n">
        <v>0</v>
      </c>
      <c r="M805" t="n">
        <v>0</v>
      </c>
      <c r="N805" t="n">
        <v>0</v>
      </c>
      <c r="O805" t="n">
        <v>0</v>
      </c>
      <c r="P805" t="n">
        <v>0</v>
      </c>
      <c r="Q805" t="n">
        <v>0</v>
      </c>
      <c r="R805" s="2" t="inlineStr"/>
    </row>
    <row r="806" ht="15" customHeight="1">
      <c r="A806" t="inlineStr">
        <is>
          <t>A 25418-2026</t>
        </is>
      </c>
      <c r="B806" s="1" t="n">
        <v>46176.90523148148</v>
      </c>
      <c r="C806" s="1" t="n">
        <v>46188</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19642-2026</t>
        </is>
      </c>
      <c r="B807" s="1" t="n">
        <v>46134.57986111111</v>
      </c>
      <c r="C807" s="1" t="n">
        <v>46188</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20058-2023</t>
        </is>
      </c>
      <c r="B808" s="1" t="n">
        <v>45054.68476851852</v>
      </c>
      <c r="C808" s="1" t="n">
        <v>46188</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8619-2023</t>
        </is>
      </c>
      <c r="B809" s="1" t="n">
        <v>44977.81979166667</v>
      </c>
      <c r="C809" s="1" t="n">
        <v>46188</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9543-2025</t>
        </is>
      </c>
      <c r="B810" s="1" t="n">
        <v>45715</v>
      </c>
      <c r="C810" s="1" t="n">
        <v>46188</v>
      </c>
      <c r="D810" t="inlineStr">
        <is>
          <t>SKÅNE LÄN</t>
        </is>
      </c>
      <c r="E810" t="inlineStr">
        <is>
          <t>HÄSSLEHOLM</t>
        </is>
      </c>
      <c r="G810" t="n">
        <v>2.6</v>
      </c>
      <c r="H810" t="n">
        <v>0</v>
      </c>
      <c r="I810" t="n">
        <v>0</v>
      </c>
      <c r="J810" t="n">
        <v>0</v>
      </c>
      <c r="K810" t="n">
        <v>0</v>
      </c>
      <c r="L810" t="n">
        <v>0</v>
      </c>
      <c r="M810" t="n">
        <v>0</v>
      </c>
      <c r="N810" t="n">
        <v>0</v>
      </c>
      <c r="O810" t="n">
        <v>0</v>
      </c>
      <c r="P810" t="n">
        <v>0</v>
      </c>
      <c r="Q810" t="n">
        <v>0</v>
      </c>
      <c r="R810" s="2" t="inlineStr"/>
    </row>
    <row r="811" ht="15" customHeight="1">
      <c r="A811" t="inlineStr">
        <is>
          <t>A 53067-2022</t>
        </is>
      </c>
      <c r="B811" s="1" t="n">
        <v>44873</v>
      </c>
      <c r="C811" s="1" t="n">
        <v>46188</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46188</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46185-2022</t>
        </is>
      </c>
      <c r="B813" s="1" t="n">
        <v>44847</v>
      </c>
      <c r="C813" s="1" t="n">
        <v>46188</v>
      </c>
      <c r="D813" t="inlineStr">
        <is>
          <t>SKÅNE LÄN</t>
        </is>
      </c>
      <c r="E813" t="inlineStr">
        <is>
          <t>HÄSSLEHOLM</t>
        </is>
      </c>
      <c r="G813" t="n">
        <v>16.8</v>
      </c>
      <c r="H813" t="n">
        <v>0</v>
      </c>
      <c r="I813" t="n">
        <v>0</v>
      </c>
      <c r="J813" t="n">
        <v>0</v>
      </c>
      <c r="K813" t="n">
        <v>0</v>
      </c>
      <c r="L813" t="n">
        <v>0</v>
      </c>
      <c r="M813" t="n">
        <v>0</v>
      </c>
      <c r="N813" t="n">
        <v>0</v>
      </c>
      <c r="O813" t="n">
        <v>0</v>
      </c>
      <c r="P813" t="n">
        <v>0</v>
      </c>
      <c r="Q813" t="n">
        <v>0</v>
      </c>
      <c r="R813" s="2" t="inlineStr"/>
    </row>
    <row r="814" ht="15" customHeight="1">
      <c r="A814" t="inlineStr">
        <is>
          <t>A 6087-2025</t>
        </is>
      </c>
      <c r="B814" s="1" t="n">
        <v>45697.69782407407</v>
      </c>
      <c r="C814" s="1" t="n">
        <v>46188</v>
      </c>
      <c r="D814" t="inlineStr">
        <is>
          <t>SKÅNE LÄN</t>
        </is>
      </c>
      <c r="E814" t="inlineStr">
        <is>
          <t>HÄSSLEHOLM</t>
        </is>
      </c>
      <c r="G814" t="n">
        <v>1.4</v>
      </c>
      <c r="H814" t="n">
        <v>0</v>
      </c>
      <c r="I814" t="n">
        <v>0</v>
      </c>
      <c r="J814" t="n">
        <v>0</v>
      </c>
      <c r="K814" t="n">
        <v>0</v>
      </c>
      <c r="L814" t="n">
        <v>0</v>
      </c>
      <c r="M814" t="n">
        <v>0</v>
      </c>
      <c r="N814" t="n">
        <v>0</v>
      </c>
      <c r="O814" t="n">
        <v>0</v>
      </c>
      <c r="P814" t="n">
        <v>0</v>
      </c>
      <c r="Q814" t="n">
        <v>0</v>
      </c>
      <c r="R814" s="2" t="inlineStr"/>
    </row>
    <row r="815" ht="15" customHeight="1">
      <c r="A815" t="inlineStr">
        <is>
          <t>A 18623-2023</t>
        </is>
      </c>
      <c r="B815" s="1" t="n">
        <v>45043</v>
      </c>
      <c r="C815" s="1" t="n">
        <v>46188</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33873-2021</t>
        </is>
      </c>
      <c r="B816" s="1" t="n">
        <v>44378</v>
      </c>
      <c r="C816" s="1" t="n">
        <v>46188</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15053-2023</t>
        </is>
      </c>
      <c r="B817" s="1" t="n">
        <v>45015</v>
      </c>
      <c r="C817" s="1" t="n">
        <v>46188</v>
      </c>
      <c r="D817" t="inlineStr">
        <is>
          <t>SKÅNE LÄN</t>
        </is>
      </c>
      <c r="E817" t="inlineStr">
        <is>
          <t>HÄSSLEHOLM</t>
        </is>
      </c>
      <c r="G817" t="n">
        <v>1</v>
      </c>
      <c r="H817" t="n">
        <v>0</v>
      </c>
      <c r="I817" t="n">
        <v>0</v>
      </c>
      <c r="J817" t="n">
        <v>0</v>
      </c>
      <c r="K817" t="n">
        <v>0</v>
      </c>
      <c r="L817" t="n">
        <v>0</v>
      </c>
      <c r="M817" t="n">
        <v>0</v>
      </c>
      <c r="N817" t="n">
        <v>0</v>
      </c>
      <c r="O817" t="n">
        <v>0</v>
      </c>
      <c r="P817" t="n">
        <v>0</v>
      </c>
      <c r="Q817" t="n">
        <v>0</v>
      </c>
      <c r="R817" s="2" t="inlineStr"/>
    </row>
    <row r="818" ht="15" customHeight="1">
      <c r="A818" t="inlineStr">
        <is>
          <t>A 23967-2022</t>
        </is>
      </c>
      <c r="B818" s="1" t="n">
        <v>44722.74079861111</v>
      </c>
      <c r="C818" s="1" t="n">
        <v>46188</v>
      </c>
      <c r="D818" t="inlineStr">
        <is>
          <t>SKÅNE LÄN</t>
        </is>
      </c>
      <c r="E818" t="inlineStr">
        <is>
          <t>HÄSSLEHOLM</t>
        </is>
      </c>
      <c r="F818" t="inlineStr">
        <is>
          <t>Kyrkan</t>
        </is>
      </c>
      <c r="G818" t="n">
        <v>12.4</v>
      </c>
      <c r="H818" t="n">
        <v>0</v>
      </c>
      <c r="I818" t="n">
        <v>0</v>
      </c>
      <c r="J818" t="n">
        <v>0</v>
      </c>
      <c r="K818" t="n">
        <v>0</v>
      </c>
      <c r="L818" t="n">
        <v>0</v>
      </c>
      <c r="M818" t="n">
        <v>0</v>
      </c>
      <c r="N818" t="n">
        <v>0</v>
      </c>
      <c r="O818" t="n">
        <v>0</v>
      </c>
      <c r="P818" t="n">
        <v>0</v>
      </c>
      <c r="Q818" t="n">
        <v>0</v>
      </c>
      <c r="R818" s="2" t="inlineStr"/>
    </row>
    <row r="819" ht="15" customHeight="1">
      <c r="A819" t="inlineStr">
        <is>
          <t>A 47907-2021</t>
        </is>
      </c>
      <c r="B819" s="1" t="n">
        <v>44448</v>
      </c>
      <c r="C819" s="1" t="n">
        <v>46188</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1197-2024</t>
        </is>
      </c>
      <c r="B820" s="1" t="n">
        <v>45302</v>
      </c>
      <c r="C820" s="1" t="n">
        <v>46188</v>
      </c>
      <c r="D820" t="inlineStr">
        <is>
          <t>SKÅNE LÄN</t>
        </is>
      </c>
      <c r="E820" t="inlineStr">
        <is>
          <t>HÄSSLEHOLM</t>
        </is>
      </c>
      <c r="G820" t="n">
        <v>1.7</v>
      </c>
      <c r="H820" t="n">
        <v>0</v>
      </c>
      <c r="I820" t="n">
        <v>0</v>
      </c>
      <c r="J820" t="n">
        <v>0</v>
      </c>
      <c r="K820" t="n">
        <v>0</v>
      </c>
      <c r="L820" t="n">
        <v>0</v>
      </c>
      <c r="M820" t="n">
        <v>0</v>
      </c>
      <c r="N820" t="n">
        <v>0</v>
      </c>
      <c r="O820" t="n">
        <v>0</v>
      </c>
      <c r="P820" t="n">
        <v>0</v>
      </c>
      <c r="Q820" t="n">
        <v>0</v>
      </c>
      <c r="R820" s="2" t="inlineStr"/>
    </row>
    <row r="821" ht="15" customHeight="1">
      <c r="A821" t="inlineStr">
        <is>
          <t>A 20381-2026</t>
        </is>
      </c>
      <c r="B821" s="1" t="n">
        <v>46139</v>
      </c>
      <c r="C821" s="1" t="n">
        <v>46188</v>
      </c>
      <c r="D821" t="inlineStr">
        <is>
          <t>SKÅNE LÄN</t>
        </is>
      </c>
      <c r="E821" t="inlineStr">
        <is>
          <t>HÄSSLEHOLM</t>
        </is>
      </c>
      <c r="G821" t="n">
        <v>1.7</v>
      </c>
      <c r="H821" t="n">
        <v>0</v>
      </c>
      <c r="I821" t="n">
        <v>0</v>
      </c>
      <c r="J821" t="n">
        <v>0</v>
      </c>
      <c r="K821" t="n">
        <v>0</v>
      </c>
      <c r="L821" t="n">
        <v>0</v>
      </c>
      <c r="M821" t="n">
        <v>0</v>
      </c>
      <c r="N821" t="n">
        <v>0</v>
      </c>
      <c r="O821" t="n">
        <v>0</v>
      </c>
      <c r="P821" t="n">
        <v>0</v>
      </c>
      <c r="Q821" t="n">
        <v>0</v>
      </c>
      <c r="R821" s="2" t="inlineStr"/>
    </row>
    <row r="822" ht="15" customHeight="1">
      <c r="A822" t="inlineStr">
        <is>
          <t>A 49950-2023</t>
        </is>
      </c>
      <c r="B822" s="1" t="n">
        <v>45215</v>
      </c>
      <c r="C822" s="1" t="n">
        <v>46188</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41694-2024</t>
        </is>
      </c>
      <c r="B823" s="1" t="n">
        <v>45560.68341435185</v>
      </c>
      <c r="C823" s="1" t="n">
        <v>46188</v>
      </c>
      <c r="D823" t="inlineStr">
        <is>
          <t>SKÅNE LÄN</t>
        </is>
      </c>
      <c r="E823" t="inlineStr">
        <is>
          <t>HÄSSLEHOLM</t>
        </is>
      </c>
      <c r="G823" t="n">
        <v>0.4</v>
      </c>
      <c r="H823" t="n">
        <v>0</v>
      </c>
      <c r="I823" t="n">
        <v>0</v>
      </c>
      <c r="J823" t="n">
        <v>0</v>
      </c>
      <c r="K823" t="n">
        <v>0</v>
      </c>
      <c r="L823" t="n">
        <v>0</v>
      </c>
      <c r="M823" t="n">
        <v>0</v>
      </c>
      <c r="N823" t="n">
        <v>0</v>
      </c>
      <c r="O823" t="n">
        <v>0</v>
      </c>
      <c r="P823" t="n">
        <v>0</v>
      </c>
      <c r="Q823" t="n">
        <v>0</v>
      </c>
      <c r="R823" s="2" t="inlineStr"/>
    </row>
    <row r="824" ht="15" customHeight="1">
      <c r="A824" t="inlineStr">
        <is>
          <t>A 36795-2023</t>
        </is>
      </c>
      <c r="B824" s="1" t="n">
        <v>45154.38245370371</v>
      </c>
      <c r="C824" s="1" t="n">
        <v>46188</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46942-2024</t>
        </is>
      </c>
      <c r="B825" s="1" t="n">
        <v>45585.6684375</v>
      </c>
      <c r="C825" s="1" t="n">
        <v>46188</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20382-2026</t>
        </is>
      </c>
      <c r="B826" s="1" t="n">
        <v>46139</v>
      </c>
      <c r="C826" s="1" t="n">
        <v>46188</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37141-2021</t>
        </is>
      </c>
      <c r="B827" s="1" t="n">
        <v>44396</v>
      </c>
      <c r="C827" s="1" t="n">
        <v>46188</v>
      </c>
      <c r="D827" t="inlineStr">
        <is>
          <t>SKÅNE LÄN</t>
        </is>
      </c>
      <c r="E827" t="inlineStr">
        <is>
          <t>HÄSSLEHOLM</t>
        </is>
      </c>
      <c r="G827" t="n">
        <v>12.8</v>
      </c>
      <c r="H827" t="n">
        <v>0</v>
      </c>
      <c r="I827" t="n">
        <v>0</v>
      </c>
      <c r="J827" t="n">
        <v>0</v>
      </c>
      <c r="K827" t="n">
        <v>0</v>
      </c>
      <c r="L827" t="n">
        <v>0</v>
      </c>
      <c r="M827" t="n">
        <v>0</v>
      </c>
      <c r="N827" t="n">
        <v>0</v>
      </c>
      <c r="O827" t="n">
        <v>0</v>
      </c>
      <c r="P827" t="n">
        <v>0</v>
      </c>
      <c r="Q827" t="n">
        <v>0</v>
      </c>
      <c r="R827" s="2" t="inlineStr"/>
    </row>
    <row r="828" ht="15" customHeight="1">
      <c r="A828" t="inlineStr">
        <is>
          <t>A 1562-2023</t>
        </is>
      </c>
      <c r="B828" s="1" t="n">
        <v>44937.60450231482</v>
      </c>
      <c r="C828" s="1" t="n">
        <v>46188</v>
      </c>
      <c r="D828" t="inlineStr">
        <is>
          <t>SKÅNE LÄN</t>
        </is>
      </c>
      <c r="E828" t="inlineStr">
        <is>
          <t>HÄSSLEHOLM</t>
        </is>
      </c>
      <c r="G828" t="n">
        <v>2.7</v>
      </c>
      <c r="H828" t="n">
        <v>0</v>
      </c>
      <c r="I828" t="n">
        <v>0</v>
      </c>
      <c r="J828" t="n">
        <v>0</v>
      </c>
      <c r="K828" t="n">
        <v>0</v>
      </c>
      <c r="L828" t="n">
        <v>0</v>
      </c>
      <c r="M828" t="n">
        <v>0</v>
      </c>
      <c r="N828" t="n">
        <v>0</v>
      </c>
      <c r="O828" t="n">
        <v>0</v>
      </c>
      <c r="P828" t="n">
        <v>0</v>
      </c>
      <c r="Q828" t="n">
        <v>0</v>
      </c>
      <c r="R828" s="2" t="inlineStr"/>
    </row>
    <row r="829" ht="15" customHeight="1">
      <c r="A829" t="inlineStr">
        <is>
          <t>A 43696-2024</t>
        </is>
      </c>
      <c r="B829" s="1" t="n">
        <v>45569.58855324074</v>
      </c>
      <c r="C829" s="1" t="n">
        <v>46188</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36706-2022</t>
        </is>
      </c>
      <c r="B830" s="1" t="n">
        <v>44805.32891203704</v>
      </c>
      <c r="C830" s="1" t="n">
        <v>46188</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7857-2022</t>
        </is>
      </c>
      <c r="B831" s="1" t="n">
        <v>44607</v>
      </c>
      <c r="C831" s="1" t="n">
        <v>46188</v>
      </c>
      <c r="D831" t="inlineStr">
        <is>
          <t>SKÅNE LÄN</t>
        </is>
      </c>
      <c r="E831" t="inlineStr">
        <is>
          <t>HÄSSLEHOLM</t>
        </is>
      </c>
      <c r="F831" t="inlineStr">
        <is>
          <t>Kyrkan</t>
        </is>
      </c>
      <c r="G831" t="n">
        <v>12.2</v>
      </c>
      <c r="H831" t="n">
        <v>0</v>
      </c>
      <c r="I831" t="n">
        <v>0</v>
      </c>
      <c r="J831" t="n">
        <v>0</v>
      </c>
      <c r="K831" t="n">
        <v>0</v>
      </c>
      <c r="L831" t="n">
        <v>0</v>
      </c>
      <c r="M831" t="n">
        <v>0</v>
      </c>
      <c r="N831" t="n">
        <v>0</v>
      </c>
      <c r="O831" t="n">
        <v>0</v>
      </c>
      <c r="P831" t="n">
        <v>0</v>
      </c>
      <c r="Q831" t="n">
        <v>0</v>
      </c>
      <c r="R831" s="2" t="inlineStr"/>
    </row>
    <row r="832" ht="15" customHeight="1">
      <c r="A832" t="inlineStr">
        <is>
          <t>A 8239-2025</t>
        </is>
      </c>
      <c r="B832" s="1" t="n">
        <v>45708.47984953703</v>
      </c>
      <c r="C832" s="1" t="n">
        <v>46188</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38160-2021</t>
        </is>
      </c>
      <c r="B833" s="1" t="n">
        <v>44405.42719907407</v>
      </c>
      <c r="C833" s="1" t="n">
        <v>46188</v>
      </c>
      <c r="D833" t="inlineStr">
        <is>
          <t>SKÅNE LÄN</t>
        </is>
      </c>
      <c r="E833" t="inlineStr">
        <is>
          <t>HÄSSLEHOLM</t>
        </is>
      </c>
      <c r="G833" t="n">
        <v>2.2</v>
      </c>
      <c r="H833" t="n">
        <v>0</v>
      </c>
      <c r="I833" t="n">
        <v>0</v>
      </c>
      <c r="J833" t="n">
        <v>0</v>
      </c>
      <c r="K833" t="n">
        <v>0</v>
      </c>
      <c r="L833" t="n">
        <v>0</v>
      </c>
      <c r="M833" t="n">
        <v>0</v>
      </c>
      <c r="N833" t="n">
        <v>0</v>
      </c>
      <c r="O833" t="n">
        <v>0</v>
      </c>
      <c r="P833" t="n">
        <v>0</v>
      </c>
      <c r="Q833" t="n">
        <v>0</v>
      </c>
      <c r="R833" s="2" t="inlineStr"/>
    </row>
    <row r="834" ht="15" customHeight="1">
      <c r="A834" t="inlineStr">
        <is>
          <t>A 22594-2024</t>
        </is>
      </c>
      <c r="B834" s="1" t="n">
        <v>45447.60892361111</v>
      </c>
      <c r="C834" s="1" t="n">
        <v>46188</v>
      </c>
      <c r="D834" t="inlineStr">
        <is>
          <t>SKÅNE LÄN</t>
        </is>
      </c>
      <c r="E834" t="inlineStr">
        <is>
          <t>HÄSSLEHOLM</t>
        </is>
      </c>
      <c r="G834" t="n">
        <v>1.1</v>
      </c>
      <c r="H834" t="n">
        <v>0</v>
      </c>
      <c r="I834" t="n">
        <v>0</v>
      </c>
      <c r="J834" t="n">
        <v>0</v>
      </c>
      <c r="K834" t="n">
        <v>0</v>
      </c>
      <c r="L834" t="n">
        <v>0</v>
      </c>
      <c r="M834" t="n">
        <v>0</v>
      </c>
      <c r="N834" t="n">
        <v>0</v>
      </c>
      <c r="O834" t="n">
        <v>0</v>
      </c>
      <c r="P834" t="n">
        <v>0</v>
      </c>
      <c r="Q834" t="n">
        <v>0</v>
      </c>
      <c r="R834" s="2" t="inlineStr"/>
    </row>
    <row r="835" ht="15" customHeight="1">
      <c r="A835" t="inlineStr">
        <is>
          <t>A 25213-2023</t>
        </is>
      </c>
      <c r="B835" s="1" t="n">
        <v>45086.60010416667</v>
      </c>
      <c r="C835" s="1" t="n">
        <v>46188</v>
      </c>
      <c r="D835" t="inlineStr">
        <is>
          <t>SKÅNE LÄN</t>
        </is>
      </c>
      <c r="E835" t="inlineStr">
        <is>
          <t>HÄSSLEHOLM</t>
        </is>
      </c>
      <c r="G835" t="n">
        <v>7.2</v>
      </c>
      <c r="H835" t="n">
        <v>0</v>
      </c>
      <c r="I835" t="n">
        <v>0</v>
      </c>
      <c r="J835" t="n">
        <v>0</v>
      </c>
      <c r="K835" t="n">
        <v>0</v>
      </c>
      <c r="L835" t="n">
        <v>0</v>
      </c>
      <c r="M835" t="n">
        <v>0</v>
      </c>
      <c r="N835" t="n">
        <v>0</v>
      </c>
      <c r="O835" t="n">
        <v>0</v>
      </c>
      <c r="P835" t="n">
        <v>0</v>
      </c>
      <c r="Q835" t="n">
        <v>0</v>
      </c>
      <c r="R835" s="2" t="inlineStr"/>
    </row>
    <row r="836" ht="15" customHeight="1">
      <c r="A836" t="inlineStr">
        <is>
          <t>A 26007-2026</t>
        </is>
      </c>
      <c r="B836" s="1" t="n">
        <v>46181.4503125</v>
      </c>
      <c r="C836" s="1" t="n">
        <v>46188</v>
      </c>
      <c r="D836" t="inlineStr">
        <is>
          <t>SKÅNE LÄN</t>
        </is>
      </c>
      <c r="E836" t="inlineStr">
        <is>
          <t>HÄSSLEHOLM</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18063-2023</t>
        </is>
      </c>
      <c r="B837" s="1" t="n">
        <v>45040.62850694444</v>
      </c>
      <c r="C837" s="1" t="n">
        <v>46188</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61524-2022</t>
        </is>
      </c>
      <c r="B838" s="1" t="n">
        <v>44910</v>
      </c>
      <c r="C838" s="1" t="n">
        <v>46188</v>
      </c>
      <c r="D838" t="inlineStr">
        <is>
          <t>SKÅNE LÄN</t>
        </is>
      </c>
      <c r="E838" t="inlineStr">
        <is>
          <t>HÄSSLEHOLM</t>
        </is>
      </c>
      <c r="F838" t="inlineStr">
        <is>
          <t>Kyrkan</t>
        </is>
      </c>
      <c r="G838" t="n">
        <v>2.1</v>
      </c>
      <c r="H838" t="n">
        <v>0</v>
      </c>
      <c r="I838" t="n">
        <v>0</v>
      </c>
      <c r="J838" t="n">
        <v>0</v>
      </c>
      <c r="K838" t="n">
        <v>0</v>
      </c>
      <c r="L838" t="n">
        <v>0</v>
      </c>
      <c r="M838" t="n">
        <v>0</v>
      </c>
      <c r="N838" t="n">
        <v>0</v>
      </c>
      <c r="O838" t="n">
        <v>0</v>
      </c>
      <c r="P838" t="n">
        <v>0</v>
      </c>
      <c r="Q838" t="n">
        <v>0</v>
      </c>
      <c r="R838" s="2" t="inlineStr"/>
    </row>
    <row r="839" ht="15" customHeight="1">
      <c r="A839" t="inlineStr">
        <is>
          <t>A 61578-2023</t>
        </is>
      </c>
      <c r="B839" s="1" t="n">
        <v>45265.47399305556</v>
      </c>
      <c r="C839" s="1" t="n">
        <v>46188</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25542-2024</t>
        </is>
      </c>
      <c r="B840" s="1" t="n">
        <v>45463</v>
      </c>
      <c r="C840" s="1" t="n">
        <v>46188</v>
      </c>
      <c r="D840" t="inlineStr">
        <is>
          <t>SKÅNE LÄN</t>
        </is>
      </c>
      <c r="E840" t="inlineStr">
        <is>
          <t>HÄSSLEHOLM</t>
        </is>
      </c>
      <c r="G840" t="n">
        <v>6.9</v>
      </c>
      <c r="H840" t="n">
        <v>0</v>
      </c>
      <c r="I840" t="n">
        <v>0</v>
      </c>
      <c r="J840" t="n">
        <v>0</v>
      </c>
      <c r="K840" t="n">
        <v>0</v>
      </c>
      <c r="L840" t="n">
        <v>0</v>
      </c>
      <c r="M840" t="n">
        <v>0</v>
      </c>
      <c r="N840" t="n">
        <v>0</v>
      </c>
      <c r="O840" t="n">
        <v>0</v>
      </c>
      <c r="P840" t="n">
        <v>0</v>
      </c>
      <c r="Q840" t="n">
        <v>0</v>
      </c>
      <c r="R840" s="2" t="inlineStr"/>
    </row>
    <row r="841" ht="15" customHeight="1">
      <c r="A841" t="inlineStr">
        <is>
          <t>A 24675-2025</t>
        </is>
      </c>
      <c r="B841" s="1" t="n">
        <v>45798.653125</v>
      </c>
      <c r="C841" s="1" t="n">
        <v>46188</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42370-2023</t>
        </is>
      </c>
      <c r="B842" s="1" t="n">
        <v>45180</v>
      </c>
      <c r="C842" s="1" t="n">
        <v>46188</v>
      </c>
      <c r="D842" t="inlineStr">
        <is>
          <t>SKÅNE LÄN</t>
        </is>
      </c>
      <c r="E842" t="inlineStr">
        <is>
          <t>HÄSSLEHOLM</t>
        </is>
      </c>
      <c r="G842" t="n">
        <v>2.6</v>
      </c>
      <c r="H842" t="n">
        <v>0</v>
      </c>
      <c r="I842" t="n">
        <v>0</v>
      </c>
      <c r="J842" t="n">
        <v>0</v>
      </c>
      <c r="K842" t="n">
        <v>0</v>
      </c>
      <c r="L842" t="n">
        <v>0</v>
      </c>
      <c r="M842" t="n">
        <v>0</v>
      </c>
      <c r="N842" t="n">
        <v>0</v>
      </c>
      <c r="O842" t="n">
        <v>0</v>
      </c>
      <c r="P842" t="n">
        <v>0</v>
      </c>
      <c r="Q842" t="n">
        <v>0</v>
      </c>
      <c r="R842" s="2" t="inlineStr"/>
    </row>
    <row r="843" ht="15" customHeight="1">
      <c r="A843" t="inlineStr">
        <is>
          <t>A 11422-2025</t>
        </is>
      </c>
      <c r="B843" s="1" t="n">
        <v>45726</v>
      </c>
      <c r="C843" s="1" t="n">
        <v>46188</v>
      </c>
      <c r="D843" t="inlineStr">
        <is>
          <t>SKÅNE LÄN</t>
        </is>
      </c>
      <c r="E843" t="inlineStr">
        <is>
          <t>HÄSSLEHOLM</t>
        </is>
      </c>
      <c r="G843" t="n">
        <v>14.9</v>
      </c>
      <c r="H843" t="n">
        <v>0</v>
      </c>
      <c r="I843" t="n">
        <v>0</v>
      </c>
      <c r="J843" t="n">
        <v>0</v>
      </c>
      <c r="K843" t="n">
        <v>0</v>
      </c>
      <c r="L843" t="n">
        <v>0</v>
      </c>
      <c r="M843" t="n">
        <v>0</v>
      </c>
      <c r="N843" t="n">
        <v>0</v>
      </c>
      <c r="O843" t="n">
        <v>0</v>
      </c>
      <c r="P843" t="n">
        <v>0</v>
      </c>
      <c r="Q843" t="n">
        <v>0</v>
      </c>
      <c r="R843" s="2" t="inlineStr"/>
    </row>
    <row r="844" ht="15" customHeight="1">
      <c r="A844" t="inlineStr">
        <is>
          <t>A 60704-2023</t>
        </is>
      </c>
      <c r="B844" s="1" t="n">
        <v>45260.51340277777</v>
      </c>
      <c r="C844" s="1" t="n">
        <v>46188</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7604-2024</t>
        </is>
      </c>
      <c r="B845" s="1" t="n">
        <v>45348</v>
      </c>
      <c r="C845" s="1" t="n">
        <v>46188</v>
      </c>
      <c r="D845" t="inlineStr">
        <is>
          <t>SKÅNE LÄN</t>
        </is>
      </c>
      <c r="E845" t="inlineStr">
        <is>
          <t>HÄSSLEHOLM</t>
        </is>
      </c>
      <c r="G845" t="n">
        <v>11.1</v>
      </c>
      <c r="H845" t="n">
        <v>0</v>
      </c>
      <c r="I845" t="n">
        <v>0</v>
      </c>
      <c r="J845" t="n">
        <v>0</v>
      </c>
      <c r="K845" t="n">
        <v>0</v>
      </c>
      <c r="L845" t="n">
        <v>0</v>
      </c>
      <c r="M845" t="n">
        <v>0</v>
      </c>
      <c r="N845" t="n">
        <v>0</v>
      </c>
      <c r="O845" t="n">
        <v>0</v>
      </c>
      <c r="P845" t="n">
        <v>0</v>
      </c>
      <c r="Q845" t="n">
        <v>0</v>
      </c>
      <c r="R845" s="2" t="inlineStr"/>
    </row>
    <row r="846" ht="15" customHeight="1">
      <c r="A846" t="inlineStr">
        <is>
          <t>A 29853-2024</t>
        </is>
      </c>
      <c r="B846" s="1" t="n">
        <v>45485.65844907407</v>
      </c>
      <c r="C846" s="1" t="n">
        <v>46188</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29287-2023</t>
        </is>
      </c>
      <c r="B847" s="1" t="n">
        <v>45098</v>
      </c>
      <c r="C847" s="1" t="n">
        <v>46188</v>
      </c>
      <c r="D847" t="inlineStr">
        <is>
          <t>SKÅNE LÄN</t>
        </is>
      </c>
      <c r="E847" t="inlineStr">
        <is>
          <t>HÄSSLEHOLM</t>
        </is>
      </c>
      <c r="G847" t="n">
        <v>5.7</v>
      </c>
      <c r="H847" t="n">
        <v>0</v>
      </c>
      <c r="I847" t="n">
        <v>0</v>
      </c>
      <c r="J847" t="n">
        <v>0</v>
      </c>
      <c r="K847" t="n">
        <v>0</v>
      </c>
      <c r="L847" t="n">
        <v>0</v>
      </c>
      <c r="M847" t="n">
        <v>0</v>
      </c>
      <c r="N847" t="n">
        <v>0</v>
      </c>
      <c r="O847" t="n">
        <v>0</v>
      </c>
      <c r="P847" t="n">
        <v>0</v>
      </c>
      <c r="Q847" t="n">
        <v>0</v>
      </c>
      <c r="R847" s="2" t="inlineStr"/>
    </row>
    <row r="848" ht="15" customHeight="1">
      <c r="A848" t="inlineStr">
        <is>
          <t>A 5992-2022</t>
        </is>
      </c>
      <c r="B848" s="1" t="n">
        <v>44599</v>
      </c>
      <c r="C848" s="1" t="n">
        <v>46188</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13345-2025</t>
        </is>
      </c>
      <c r="B849" s="1" t="n">
        <v>45735.63017361111</v>
      </c>
      <c r="C849" s="1" t="n">
        <v>46188</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25324-2024</t>
        </is>
      </c>
      <c r="B850" s="1" t="n">
        <v>45462.804375</v>
      </c>
      <c r="C850" s="1" t="n">
        <v>46188</v>
      </c>
      <c r="D850" t="inlineStr">
        <is>
          <t>SKÅNE LÄN</t>
        </is>
      </c>
      <c r="E850" t="inlineStr">
        <is>
          <t>HÄSSLEHOLM</t>
        </is>
      </c>
      <c r="G850" t="n">
        <v>0.2</v>
      </c>
      <c r="H850" t="n">
        <v>0</v>
      </c>
      <c r="I850" t="n">
        <v>0</v>
      </c>
      <c r="J850" t="n">
        <v>0</v>
      </c>
      <c r="K850" t="n">
        <v>0</v>
      </c>
      <c r="L850" t="n">
        <v>0</v>
      </c>
      <c r="M850" t="n">
        <v>0</v>
      </c>
      <c r="N850" t="n">
        <v>0</v>
      </c>
      <c r="O850" t="n">
        <v>0</v>
      </c>
      <c r="P850" t="n">
        <v>0</v>
      </c>
      <c r="Q850" t="n">
        <v>0</v>
      </c>
      <c r="R850" s="2" t="inlineStr"/>
    </row>
    <row r="851" ht="15" customHeight="1">
      <c r="A851" t="inlineStr">
        <is>
          <t>A 8803-2023</t>
        </is>
      </c>
      <c r="B851" s="1" t="n">
        <v>44978.61712962963</v>
      </c>
      <c r="C851" s="1" t="n">
        <v>46188</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4809-2025</t>
        </is>
      </c>
      <c r="B852" s="1" t="n">
        <v>45688.60148148148</v>
      </c>
      <c r="C852" s="1" t="n">
        <v>46188</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12780-2024</t>
        </is>
      </c>
      <c r="B853" s="1" t="n">
        <v>45384.59726851852</v>
      </c>
      <c r="C853" s="1" t="n">
        <v>46188</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9375-2023</t>
        </is>
      </c>
      <c r="B854" s="1" t="n">
        <v>44981</v>
      </c>
      <c r="C854" s="1" t="n">
        <v>46188</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9615-2025</t>
        </is>
      </c>
      <c r="B855" s="1" t="n">
        <v>45715</v>
      </c>
      <c r="C855" s="1" t="n">
        <v>46188</v>
      </c>
      <c r="D855" t="inlineStr">
        <is>
          <t>SKÅNE LÄN</t>
        </is>
      </c>
      <c r="E855" t="inlineStr">
        <is>
          <t>HÄSSLEHOLM</t>
        </is>
      </c>
      <c r="G855" t="n">
        <v>1.8</v>
      </c>
      <c r="H855" t="n">
        <v>0</v>
      </c>
      <c r="I855" t="n">
        <v>0</v>
      </c>
      <c r="J855" t="n">
        <v>0</v>
      </c>
      <c r="K855" t="n">
        <v>0</v>
      </c>
      <c r="L855" t="n">
        <v>0</v>
      </c>
      <c r="M855" t="n">
        <v>0</v>
      </c>
      <c r="N855" t="n">
        <v>0</v>
      </c>
      <c r="O855" t="n">
        <v>0</v>
      </c>
      <c r="P855" t="n">
        <v>0</v>
      </c>
      <c r="Q855" t="n">
        <v>0</v>
      </c>
      <c r="R855" s="2" t="inlineStr"/>
    </row>
    <row r="856" ht="15" customHeight="1">
      <c r="A856" t="inlineStr">
        <is>
          <t>A 54807-2025</t>
        </is>
      </c>
      <c r="B856" s="1" t="n">
        <v>45966</v>
      </c>
      <c r="C856" s="1" t="n">
        <v>46188</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30006-2023</t>
        </is>
      </c>
      <c r="B857" s="1" t="n">
        <v>45109.79962962963</v>
      </c>
      <c r="C857" s="1" t="n">
        <v>46188</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62055-2023</t>
        </is>
      </c>
      <c r="B858" s="1" t="n">
        <v>45266.70287037037</v>
      </c>
      <c r="C858" s="1" t="n">
        <v>46188</v>
      </c>
      <c r="D858" t="inlineStr">
        <is>
          <t>SKÅNE LÄN</t>
        </is>
      </c>
      <c r="E858" t="inlineStr">
        <is>
          <t>HÄSSLEHOLM</t>
        </is>
      </c>
      <c r="G858" t="n">
        <v>5.2</v>
      </c>
      <c r="H858" t="n">
        <v>0</v>
      </c>
      <c r="I858" t="n">
        <v>0</v>
      </c>
      <c r="J858" t="n">
        <v>0</v>
      </c>
      <c r="K858" t="n">
        <v>0</v>
      </c>
      <c r="L858" t="n">
        <v>0</v>
      </c>
      <c r="M858" t="n">
        <v>0</v>
      </c>
      <c r="N858" t="n">
        <v>0</v>
      </c>
      <c r="O858" t="n">
        <v>0</v>
      </c>
      <c r="P858" t="n">
        <v>0</v>
      </c>
      <c r="Q858" t="n">
        <v>0</v>
      </c>
      <c r="R858" s="2" t="inlineStr"/>
    </row>
    <row r="859" ht="15" customHeight="1">
      <c r="A859" t="inlineStr">
        <is>
          <t>A 49167-2022</t>
        </is>
      </c>
      <c r="B859" s="1" t="n">
        <v>44860</v>
      </c>
      <c r="C859" s="1" t="n">
        <v>46188</v>
      </c>
      <c r="D859" t="inlineStr">
        <is>
          <t>SKÅNE LÄN</t>
        </is>
      </c>
      <c r="E859" t="inlineStr">
        <is>
          <t>HÄSSLEHOLM</t>
        </is>
      </c>
      <c r="G859" t="n">
        <v>1.3</v>
      </c>
      <c r="H859" t="n">
        <v>0</v>
      </c>
      <c r="I859" t="n">
        <v>0</v>
      </c>
      <c r="J859" t="n">
        <v>0</v>
      </c>
      <c r="K859" t="n">
        <v>0</v>
      </c>
      <c r="L859" t="n">
        <v>0</v>
      </c>
      <c r="M859" t="n">
        <v>0</v>
      </c>
      <c r="N859" t="n">
        <v>0</v>
      </c>
      <c r="O859" t="n">
        <v>0</v>
      </c>
      <c r="P859" t="n">
        <v>0</v>
      </c>
      <c r="Q859" t="n">
        <v>0</v>
      </c>
      <c r="R859" s="2" t="inlineStr"/>
    </row>
    <row r="860" ht="15" customHeight="1">
      <c r="A860" t="inlineStr">
        <is>
          <t>A 57963-2023</t>
        </is>
      </c>
      <c r="B860" s="1" t="n">
        <v>45247.57732638889</v>
      </c>
      <c r="C860" s="1" t="n">
        <v>46188</v>
      </c>
      <c r="D860" t="inlineStr">
        <is>
          <t>SKÅNE LÄN</t>
        </is>
      </c>
      <c r="E860" t="inlineStr">
        <is>
          <t>HÄSSLEHOLM</t>
        </is>
      </c>
      <c r="G860" t="n">
        <v>4.6</v>
      </c>
      <c r="H860" t="n">
        <v>0</v>
      </c>
      <c r="I860" t="n">
        <v>0</v>
      </c>
      <c r="J860" t="n">
        <v>0</v>
      </c>
      <c r="K860" t="n">
        <v>0</v>
      </c>
      <c r="L860" t="n">
        <v>0</v>
      </c>
      <c r="M860" t="n">
        <v>0</v>
      </c>
      <c r="N860" t="n">
        <v>0</v>
      </c>
      <c r="O860" t="n">
        <v>0</v>
      </c>
      <c r="P860" t="n">
        <v>0</v>
      </c>
      <c r="Q860" t="n">
        <v>0</v>
      </c>
      <c r="R860" s="2" t="inlineStr"/>
    </row>
    <row r="861" ht="15" customHeight="1">
      <c r="A861" t="inlineStr">
        <is>
          <t>A 57033-2022</t>
        </is>
      </c>
      <c r="B861" s="1" t="n">
        <v>44895.31270833333</v>
      </c>
      <c r="C861" s="1" t="n">
        <v>46188</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35845-2022</t>
        </is>
      </c>
      <c r="B862" s="1" t="n">
        <v>44802</v>
      </c>
      <c r="C862" s="1" t="n">
        <v>46188</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22140-2023</t>
        </is>
      </c>
      <c r="B863" s="1" t="n">
        <v>45065</v>
      </c>
      <c r="C863" s="1" t="n">
        <v>46188</v>
      </c>
      <c r="D863" t="inlineStr">
        <is>
          <t>SKÅNE LÄN</t>
        </is>
      </c>
      <c r="E863" t="inlineStr">
        <is>
          <t>HÄSSLEHOLM</t>
        </is>
      </c>
      <c r="G863" t="n">
        <v>6.7</v>
      </c>
      <c r="H863" t="n">
        <v>0</v>
      </c>
      <c r="I863" t="n">
        <v>0</v>
      </c>
      <c r="J863" t="n">
        <v>0</v>
      </c>
      <c r="K863" t="n">
        <v>0</v>
      </c>
      <c r="L863" t="n">
        <v>0</v>
      </c>
      <c r="M863" t="n">
        <v>0</v>
      </c>
      <c r="N863" t="n">
        <v>0</v>
      </c>
      <c r="O863" t="n">
        <v>0</v>
      </c>
      <c r="P863" t="n">
        <v>0</v>
      </c>
      <c r="Q863" t="n">
        <v>0</v>
      </c>
      <c r="R863" s="2" t="inlineStr"/>
    </row>
    <row r="864" ht="15" customHeight="1">
      <c r="A864" t="inlineStr">
        <is>
          <t>A 7653-2024</t>
        </is>
      </c>
      <c r="B864" s="1" t="n">
        <v>45348.69043981482</v>
      </c>
      <c r="C864" s="1" t="n">
        <v>46188</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6328-2026</t>
        </is>
      </c>
      <c r="B865" s="1" t="n">
        <v>46055</v>
      </c>
      <c r="C865" s="1" t="n">
        <v>46188</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24679-2023</t>
        </is>
      </c>
      <c r="B866" s="1" t="n">
        <v>45084</v>
      </c>
      <c r="C866" s="1" t="n">
        <v>46188</v>
      </c>
      <c r="D866" t="inlineStr">
        <is>
          <t>SKÅNE LÄN</t>
        </is>
      </c>
      <c r="E866" t="inlineStr">
        <is>
          <t>HÄSSLEHOLM</t>
        </is>
      </c>
      <c r="G866" t="n">
        <v>7.1</v>
      </c>
      <c r="H866" t="n">
        <v>0</v>
      </c>
      <c r="I866" t="n">
        <v>0</v>
      </c>
      <c r="J866" t="n">
        <v>0</v>
      </c>
      <c r="K866" t="n">
        <v>0</v>
      </c>
      <c r="L866" t="n">
        <v>0</v>
      </c>
      <c r="M866" t="n">
        <v>0</v>
      </c>
      <c r="N866" t="n">
        <v>0</v>
      </c>
      <c r="O866" t="n">
        <v>0</v>
      </c>
      <c r="P866" t="n">
        <v>0</v>
      </c>
      <c r="Q866" t="n">
        <v>0</v>
      </c>
      <c r="R866" s="2" t="inlineStr"/>
    </row>
    <row r="867" ht="15" customHeight="1">
      <c r="A867" t="inlineStr">
        <is>
          <t>A 49219-2021</t>
        </is>
      </c>
      <c r="B867" s="1" t="n">
        <v>44454</v>
      </c>
      <c r="C867" s="1" t="n">
        <v>46188</v>
      </c>
      <c r="D867" t="inlineStr">
        <is>
          <t>SKÅNE LÄN</t>
        </is>
      </c>
      <c r="E867" t="inlineStr">
        <is>
          <t>HÄSSLEHOLM</t>
        </is>
      </c>
      <c r="G867" t="n">
        <v>7.8</v>
      </c>
      <c r="H867" t="n">
        <v>0</v>
      </c>
      <c r="I867" t="n">
        <v>0</v>
      </c>
      <c r="J867" t="n">
        <v>0</v>
      </c>
      <c r="K867" t="n">
        <v>0</v>
      </c>
      <c r="L867" t="n">
        <v>0</v>
      </c>
      <c r="M867" t="n">
        <v>0</v>
      </c>
      <c r="N867" t="n">
        <v>0</v>
      </c>
      <c r="O867" t="n">
        <v>0</v>
      </c>
      <c r="P867" t="n">
        <v>0</v>
      </c>
      <c r="Q867" t="n">
        <v>0</v>
      </c>
      <c r="R867" s="2" t="inlineStr"/>
    </row>
    <row r="868" ht="15" customHeight="1">
      <c r="A868" t="inlineStr">
        <is>
          <t>A 13544-2025</t>
        </is>
      </c>
      <c r="B868" s="1" t="n">
        <v>45736</v>
      </c>
      <c r="C868" s="1" t="n">
        <v>46188</v>
      </c>
      <c r="D868" t="inlineStr">
        <is>
          <t>SKÅNE LÄN</t>
        </is>
      </c>
      <c r="E868" t="inlineStr">
        <is>
          <t>HÄSSLEHOLM</t>
        </is>
      </c>
      <c r="G868" t="n">
        <v>2.5</v>
      </c>
      <c r="H868" t="n">
        <v>0</v>
      </c>
      <c r="I868" t="n">
        <v>0</v>
      </c>
      <c r="J868" t="n">
        <v>0</v>
      </c>
      <c r="K868" t="n">
        <v>0</v>
      </c>
      <c r="L868" t="n">
        <v>0</v>
      </c>
      <c r="M868" t="n">
        <v>0</v>
      </c>
      <c r="N868" t="n">
        <v>0</v>
      </c>
      <c r="O868" t="n">
        <v>0</v>
      </c>
      <c r="P868" t="n">
        <v>0</v>
      </c>
      <c r="Q868" t="n">
        <v>0</v>
      </c>
      <c r="R868" s="2" t="inlineStr"/>
    </row>
    <row r="869" ht="15" customHeight="1">
      <c r="A869" t="inlineStr">
        <is>
          <t>A 5890-2023</t>
        </is>
      </c>
      <c r="B869" s="1" t="n">
        <v>44963.64527777778</v>
      </c>
      <c r="C869" s="1" t="n">
        <v>46188</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12936-2025</t>
        </is>
      </c>
      <c r="B870" s="1" t="n">
        <v>45734</v>
      </c>
      <c r="C870" s="1" t="n">
        <v>46188</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56062-2024</t>
        </is>
      </c>
      <c r="B871" s="1" t="n">
        <v>45624.37105324074</v>
      </c>
      <c r="C871" s="1" t="n">
        <v>46188</v>
      </c>
      <c r="D871" t="inlineStr">
        <is>
          <t>SKÅNE LÄN</t>
        </is>
      </c>
      <c r="E871" t="inlineStr">
        <is>
          <t>HÄSSLEHOLM</t>
        </is>
      </c>
      <c r="F871" t="inlineStr">
        <is>
          <t>Övriga Aktiebolag</t>
        </is>
      </c>
      <c r="G871" t="n">
        <v>0.6</v>
      </c>
      <c r="H871" t="n">
        <v>0</v>
      </c>
      <c r="I871" t="n">
        <v>0</v>
      </c>
      <c r="J871" t="n">
        <v>0</v>
      </c>
      <c r="K871" t="n">
        <v>0</v>
      </c>
      <c r="L871" t="n">
        <v>0</v>
      </c>
      <c r="M871" t="n">
        <v>0</v>
      </c>
      <c r="N871" t="n">
        <v>0</v>
      </c>
      <c r="O871" t="n">
        <v>0</v>
      </c>
      <c r="P871" t="n">
        <v>0</v>
      </c>
      <c r="Q871" t="n">
        <v>0</v>
      </c>
      <c r="R871" s="2" t="inlineStr"/>
    </row>
    <row r="872" ht="15" customHeight="1">
      <c r="A872" t="inlineStr">
        <is>
          <t>A 13309-2025</t>
        </is>
      </c>
      <c r="B872" s="1" t="n">
        <v>45735.58512731481</v>
      </c>
      <c r="C872" s="1" t="n">
        <v>46188</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41209-2023</t>
        </is>
      </c>
      <c r="B873" s="1" t="n">
        <v>45174.43481481481</v>
      </c>
      <c r="C873" s="1" t="n">
        <v>46188</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45361-2023</t>
        </is>
      </c>
      <c r="B874" s="1" t="n">
        <v>45192.49068287037</v>
      </c>
      <c r="C874" s="1" t="n">
        <v>46188</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26058-2026</t>
        </is>
      </c>
      <c r="B875" s="1" t="n">
        <v>46177</v>
      </c>
      <c r="C875" s="1" t="n">
        <v>46188</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57275-2023</t>
        </is>
      </c>
      <c r="B876" s="1" t="n">
        <v>45245.58886574074</v>
      </c>
      <c r="C876" s="1" t="n">
        <v>46188</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53302-2022</t>
        </is>
      </c>
      <c r="B877" s="1" t="n">
        <v>44877</v>
      </c>
      <c r="C877" s="1" t="n">
        <v>46188</v>
      </c>
      <c r="D877" t="inlineStr">
        <is>
          <t>SKÅNE LÄN</t>
        </is>
      </c>
      <c r="E877" t="inlineStr">
        <is>
          <t>HÄSSLEHOLM</t>
        </is>
      </c>
      <c r="G877" t="n">
        <v>0.1</v>
      </c>
      <c r="H877" t="n">
        <v>0</v>
      </c>
      <c r="I877" t="n">
        <v>0</v>
      </c>
      <c r="J877" t="n">
        <v>0</v>
      </c>
      <c r="K877" t="n">
        <v>0</v>
      </c>
      <c r="L877" t="n">
        <v>0</v>
      </c>
      <c r="M877" t="n">
        <v>0</v>
      </c>
      <c r="N877" t="n">
        <v>0</v>
      </c>
      <c r="O877" t="n">
        <v>0</v>
      </c>
      <c r="P877" t="n">
        <v>0</v>
      </c>
      <c r="Q877" t="n">
        <v>0</v>
      </c>
      <c r="R877" s="2" t="inlineStr"/>
    </row>
    <row r="878" ht="15" customHeight="1">
      <c r="A878" t="inlineStr">
        <is>
          <t>A 27991-2024</t>
        </is>
      </c>
      <c r="B878" s="1" t="n">
        <v>45476</v>
      </c>
      <c r="C878" s="1" t="n">
        <v>46188</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31946-2023</t>
        </is>
      </c>
      <c r="B879" s="1" t="n">
        <v>45119.35158564815</v>
      </c>
      <c r="C879" s="1" t="n">
        <v>46188</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48798-2023</t>
        </is>
      </c>
      <c r="B880" s="1" t="n">
        <v>45209.25318287037</v>
      </c>
      <c r="C880" s="1" t="n">
        <v>46188</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48844-2023</t>
        </is>
      </c>
      <c r="B881" s="1" t="n">
        <v>45209</v>
      </c>
      <c r="C881" s="1" t="n">
        <v>46188</v>
      </c>
      <c r="D881" t="inlineStr">
        <is>
          <t>SKÅNE LÄN</t>
        </is>
      </c>
      <c r="E881" t="inlineStr">
        <is>
          <t>HÄSSLEHOLM</t>
        </is>
      </c>
      <c r="G881" t="n">
        <v>4</v>
      </c>
      <c r="H881" t="n">
        <v>0</v>
      </c>
      <c r="I881" t="n">
        <v>0</v>
      </c>
      <c r="J881" t="n">
        <v>0</v>
      </c>
      <c r="K881" t="n">
        <v>0</v>
      </c>
      <c r="L881" t="n">
        <v>0</v>
      </c>
      <c r="M881" t="n">
        <v>0</v>
      </c>
      <c r="N881" t="n">
        <v>0</v>
      </c>
      <c r="O881" t="n">
        <v>0</v>
      </c>
      <c r="P881" t="n">
        <v>0</v>
      </c>
      <c r="Q881" t="n">
        <v>0</v>
      </c>
      <c r="R881" s="2" t="inlineStr"/>
    </row>
    <row r="882" ht="15" customHeight="1">
      <c r="A882" t="inlineStr">
        <is>
          <t>A 48877-2024</t>
        </is>
      </c>
      <c r="B882" s="1" t="n">
        <v>45594.31729166667</v>
      </c>
      <c r="C882" s="1" t="n">
        <v>46188</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45984-2021</t>
        </is>
      </c>
      <c r="B883" s="1" t="n">
        <v>44441</v>
      </c>
      <c r="C883" s="1" t="n">
        <v>46188</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8378-2023</t>
        </is>
      </c>
      <c r="B884" s="1" t="n">
        <v>44971</v>
      </c>
      <c r="C884" s="1" t="n">
        <v>46188</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13549-2025</t>
        </is>
      </c>
      <c r="B885" s="1" t="n">
        <v>45736</v>
      </c>
      <c r="C885" s="1" t="n">
        <v>46188</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45398-2024</t>
        </is>
      </c>
      <c r="B886" s="1" t="n">
        <v>45576.56260416667</v>
      </c>
      <c r="C886" s="1" t="n">
        <v>46188</v>
      </c>
      <c r="D886" t="inlineStr">
        <is>
          <t>SKÅNE LÄN</t>
        </is>
      </c>
      <c r="E886" t="inlineStr">
        <is>
          <t>HÄSSLEHOLM</t>
        </is>
      </c>
      <c r="G886" t="n">
        <v>4.2</v>
      </c>
      <c r="H886" t="n">
        <v>0</v>
      </c>
      <c r="I886" t="n">
        <v>0</v>
      </c>
      <c r="J886" t="n">
        <v>0</v>
      </c>
      <c r="K886" t="n">
        <v>0</v>
      </c>
      <c r="L886" t="n">
        <v>0</v>
      </c>
      <c r="M886" t="n">
        <v>0</v>
      </c>
      <c r="N886" t="n">
        <v>0</v>
      </c>
      <c r="O886" t="n">
        <v>0</v>
      </c>
      <c r="P886" t="n">
        <v>0</v>
      </c>
      <c r="Q886" t="n">
        <v>0</v>
      </c>
      <c r="R886" s="2" t="inlineStr"/>
    </row>
    <row r="887" ht="15" customHeight="1">
      <c r="A887" t="inlineStr">
        <is>
          <t>A 4140-2023</t>
        </is>
      </c>
      <c r="B887" s="1" t="n">
        <v>44953</v>
      </c>
      <c r="C887" s="1" t="n">
        <v>46188</v>
      </c>
      <c r="D887" t="inlineStr">
        <is>
          <t>SKÅNE LÄN</t>
        </is>
      </c>
      <c r="E887" t="inlineStr">
        <is>
          <t>HÄSSLEHOLM</t>
        </is>
      </c>
      <c r="G887" t="n">
        <v>10.6</v>
      </c>
      <c r="H887" t="n">
        <v>0</v>
      </c>
      <c r="I887" t="n">
        <v>0</v>
      </c>
      <c r="J887" t="n">
        <v>0</v>
      </c>
      <c r="K887" t="n">
        <v>0</v>
      </c>
      <c r="L887" t="n">
        <v>0</v>
      </c>
      <c r="M887" t="n">
        <v>0</v>
      </c>
      <c r="N887" t="n">
        <v>0</v>
      </c>
      <c r="O887" t="n">
        <v>0</v>
      </c>
      <c r="P887" t="n">
        <v>0</v>
      </c>
      <c r="Q887" t="n">
        <v>0</v>
      </c>
      <c r="R887" s="2" t="inlineStr"/>
    </row>
    <row r="888" ht="15" customHeight="1">
      <c r="A888" t="inlineStr">
        <is>
          <t>A 50000-2023</t>
        </is>
      </c>
      <c r="B888" s="1" t="n">
        <v>45215.4434837963</v>
      </c>
      <c r="C888" s="1" t="n">
        <v>46188</v>
      </c>
      <c r="D888" t="inlineStr">
        <is>
          <t>SKÅNE LÄN</t>
        </is>
      </c>
      <c r="E888" t="inlineStr">
        <is>
          <t>HÄSSLEHOLM</t>
        </is>
      </c>
      <c r="G888" t="n">
        <v>1.6</v>
      </c>
      <c r="H888" t="n">
        <v>0</v>
      </c>
      <c r="I888" t="n">
        <v>0</v>
      </c>
      <c r="J888" t="n">
        <v>0</v>
      </c>
      <c r="K888" t="n">
        <v>0</v>
      </c>
      <c r="L888" t="n">
        <v>0</v>
      </c>
      <c r="M888" t="n">
        <v>0</v>
      </c>
      <c r="N888" t="n">
        <v>0</v>
      </c>
      <c r="O888" t="n">
        <v>0</v>
      </c>
      <c r="P888" t="n">
        <v>0</v>
      </c>
      <c r="Q888" t="n">
        <v>0</v>
      </c>
      <c r="R888" s="2" t="inlineStr"/>
    </row>
    <row r="889" ht="15" customHeight="1">
      <c r="A889" t="inlineStr">
        <is>
          <t>A 24992-2026</t>
        </is>
      </c>
      <c r="B889" s="1" t="n">
        <v>46174</v>
      </c>
      <c r="C889" s="1" t="n">
        <v>46188</v>
      </c>
      <c r="D889" t="inlineStr">
        <is>
          <t>SKÅNE LÄN</t>
        </is>
      </c>
      <c r="E889" t="inlineStr">
        <is>
          <t>HÄSSLEHOLM</t>
        </is>
      </c>
      <c r="G889" t="n">
        <v>10.4</v>
      </c>
      <c r="H889" t="n">
        <v>0</v>
      </c>
      <c r="I889" t="n">
        <v>0</v>
      </c>
      <c r="J889" t="n">
        <v>0</v>
      </c>
      <c r="K889" t="n">
        <v>0</v>
      </c>
      <c r="L889" t="n">
        <v>0</v>
      </c>
      <c r="M889" t="n">
        <v>0</v>
      </c>
      <c r="N889" t="n">
        <v>0</v>
      </c>
      <c r="O889" t="n">
        <v>0</v>
      </c>
      <c r="P889" t="n">
        <v>0</v>
      </c>
      <c r="Q889" t="n">
        <v>0</v>
      </c>
      <c r="R889" s="2" t="inlineStr"/>
    </row>
    <row r="890" ht="15" customHeight="1">
      <c r="A890" t="inlineStr">
        <is>
          <t>A 417-2022</t>
        </is>
      </c>
      <c r="B890" s="1" t="n">
        <v>44565.84615740741</v>
      </c>
      <c r="C890" s="1" t="n">
        <v>46188</v>
      </c>
      <c r="D890" t="inlineStr">
        <is>
          <t>SKÅNE LÄN</t>
        </is>
      </c>
      <c r="E890" t="inlineStr">
        <is>
          <t>HÄSSLEHOLM</t>
        </is>
      </c>
      <c r="G890" t="n">
        <v>0</v>
      </c>
      <c r="H890" t="n">
        <v>0</v>
      </c>
      <c r="I890" t="n">
        <v>0</v>
      </c>
      <c r="J890" t="n">
        <v>0</v>
      </c>
      <c r="K890" t="n">
        <v>0</v>
      </c>
      <c r="L890" t="n">
        <v>0</v>
      </c>
      <c r="M890" t="n">
        <v>0</v>
      </c>
      <c r="N890" t="n">
        <v>0</v>
      </c>
      <c r="O890" t="n">
        <v>0</v>
      </c>
      <c r="P890" t="n">
        <v>0</v>
      </c>
      <c r="Q890" t="n">
        <v>0</v>
      </c>
      <c r="R890" s="2" t="inlineStr"/>
    </row>
    <row r="891" ht="15" customHeight="1">
      <c r="A891" t="inlineStr">
        <is>
          <t>A 51040-2024</t>
        </is>
      </c>
      <c r="B891" s="1" t="n">
        <v>45603.43222222223</v>
      </c>
      <c r="C891" s="1" t="n">
        <v>46188</v>
      </c>
      <c r="D891" t="inlineStr">
        <is>
          <t>SKÅNE LÄN</t>
        </is>
      </c>
      <c r="E891" t="inlineStr">
        <is>
          <t>HÄSSLEHOLM</t>
        </is>
      </c>
      <c r="G891" t="n">
        <v>2.7</v>
      </c>
      <c r="H891" t="n">
        <v>0</v>
      </c>
      <c r="I891" t="n">
        <v>0</v>
      </c>
      <c r="J891" t="n">
        <v>0</v>
      </c>
      <c r="K891" t="n">
        <v>0</v>
      </c>
      <c r="L891" t="n">
        <v>0</v>
      </c>
      <c r="M891" t="n">
        <v>0</v>
      </c>
      <c r="N891" t="n">
        <v>0</v>
      </c>
      <c r="O891" t="n">
        <v>0</v>
      </c>
      <c r="P891" t="n">
        <v>0</v>
      </c>
      <c r="Q891" t="n">
        <v>0</v>
      </c>
      <c r="R891" s="2" t="inlineStr"/>
    </row>
    <row r="892" ht="15" customHeight="1">
      <c r="A892" t="inlineStr">
        <is>
          <t>A 50249-2024</t>
        </is>
      </c>
      <c r="B892" s="1" t="n">
        <v>45600.56866898148</v>
      </c>
      <c r="C892" s="1" t="n">
        <v>46188</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33879-2025</t>
        </is>
      </c>
      <c r="B893" s="1" t="n">
        <v>45842.55766203703</v>
      </c>
      <c r="C893" s="1" t="n">
        <v>46188</v>
      </c>
      <c r="D893" t="inlineStr">
        <is>
          <t>SKÅNE LÄN</t>
        </is>
      </c>
      <c r="E893" t="inlineStr">
        <is>
          <t>HÄSSLEHOLM</t>
        </is>
      </c>
      <c r="G893" t="n">
        <v>6.1</v>
      </c>
      <c r="H893" t="n">
        <v>0</v>
      </c>
      <c r="I893" t="n">
        <v>0</v>
      </c>
      <c r="J893" t="n">
        <v>0</v>
      </c>
      <c r="K893" t="n">
        <v>0</v>
      </c>
      <c r="L893" t="n">
        <v>0</v>
      </c>
      <c r="M893" t="n">
        <v>0</v>
      </c>
      <c r="N893" t="n">
        <v>0</v>
      </c>
      <c r="O893" t="n">
        <v>0</v>
      </c>
      <c r="P893" t="n">
        <v>0</v>
      </c>
      <c r="Q893" t="n">
        <v>0</v>
      </c>
      <c r="R893" s="2" t="inlineStr"/>
    </row>
    <row r="894" ht="15" customHeight="1">
      <c r="A894" t="inlineStr">
        <is>
          <t>A 54326-2022</t>
        </is>
      </c>
      <c r="B894" s="1" t="n">
        <v>44882.42965277778</v>
      </c>
      <c r="C894" s="1" t="n">
        <v>46188</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54174-2022</t>
        </is>
      </c>
      <c r="B895" s="1" t="n">
        <v>44881</v>
      </c>
      <c r="C895" s="1" t="n">
        <v>46188</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38376-2022</t>
        </is>
      </c>
      <c r="B896" s="1" t="n">
        <v>44812</v>
      </c>
      <c r="C896" s="1" t="n">
        <v>46188</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22678-2025</t>
        </is>
      </c>
      <c r="B897" s="1" t="n">
        <v>45789.49725694444</v>
      </c>
      <c r="C897" s="1" t="n">
        <v>46188</v>
      </c>
      <c r="D897" t="inlineStr">
        <is>
          <t>SKÅNE LÄN</t>
        </is>
      </c>
      <c r="E897" t="inlineStr">
        <is>
          <t>HÄSSLEHOLM</t>
        </is>
      </c>
      <c r="G897" t="n">
        <v>2.2</v>
      </c>
      <c r="H897" t="n">
        <v>0</v>
      </c>
      <c r="I897" t="n">
        <v>0</v>
      </c>
      <c r="J897" t="n">
        <v>0</v>
      </c>
      <c r="K897" t="n">
        <v>0</v>
      </c>
      <c r="L897" t="n">
        <v>0</v>
      </c>
      <c r="M897" t="n">
        <v>0</v>
      </c>
      <c r="N897" t="n">
        <v>0</v>
      </c>
      <c r="O897" t="n">
        <v>0</v>
      </c>
      <c r="P897" t="n">
        <v>0</v>
      </c>
      <c r="Q897" t="n">
        <v>0</v>
      </c>
      <c r="R897" s="2" t="inlineStr"/>
    </row>
    <row r="898" ht="15" customHeight="1">
      <c r="A898" t="inlineStr">
        <is>
          <t>A 25646-2026</t>
        </is>
      </c>
      <c r="B898" s="1" t="n">
        <v>46177.90385416667</v>
      </c>
      <c r="C898" s="1" t="n">
        <v>46188</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54659-2023</t>
        </is>
      </c>
      <c r="B899" s="1" t="n">
        <v>45235</v>
      </c>
      <c r="C899" s="1" t="n">
        <v>46188</v>
      </c>
      <c r="D899" t="inlineStr">
        <is>
          <t>SKÅNE LÄN</t>
        </is>
      </c>
      <c r="E899" t="inlineStr">
        <is>
          <t>HÄSSLEHOLM</t>
        </is>
      </c>
      <c r="G899" t="n">
        <v>5</v>
      </c>
      <c r="H899" t="n">
        <v>0</v>
      </c>
      <c r="I899" t="n">
        <v>0</v>
      </c>
      <c r="J899" t="n">
        <v>0</v>
      </c>
      <c r="K899" t="n">
        <v>0</v>
      </c>
      <c r="L899" t="n">
        <v>0</v>
      </c>
      <c r="M899" t="n">
        <v>0</v>
      </c>
      <c r="N899" t="n">
        <v>0</v>
      </c>
      <c r="O899" t="n">
        <v>0</v>
      </c>
      <c r="P899" t="n">
        <v>0</v>
      </c>
      <c r="Q899" t="n">
        <v>0</v>
      </c>
      <c r="R899" s="2" t="inlineStr"/>
    </row>
    <row r="900" ht="15" customHeight="1">
      <c r="A900" t="inlineStr">
        <is>
          <t>A 1706-2025</t>
        </is>
      </c>
      <c r="B900" s="1" t="n">
        <v>45670</v>
      </c>
      <c r="C900" s="1" t="n">
        <v>46188</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15036-2024</t>
        </is>
      </c>
      <c r="B901" s="1" t="n">
        <v>45399.48100694444</v>
      </c>
      <c r="C901" s="1" t="n">
        <v>46188</v>
      </c>
      <c r="D901" t="inlineStr">
        <is>
          <t>SKÅNE LÄN</t>
        </is>
      </c>
      <c r="E901" t="inlineStr">
        <is>
          <t>HÄSSLEHOLM</t>
        </is>
      </c>
      <c r="G901" t="n">
        <v>1.6</v>
      </c>
      <c r="H901" t="n">
        <v>0</v>
      </c>
      <c r="I901" t="n">
        <v>0</v>
      </c>
      <c r="J901" t="n">
        <v>0</v>
      </c>
      <c r="K901" t="n">
        <v>0</v>
      </c>
      <c r="L901" t="n">
        <v>0</v>
      </c>
      <c r="M901" t="n">
        <v>0</v>
      </c>
      <c r="N901" t="n">
        <v>0</v>
      </c>
      <c r="O901" t="n">
        <v>0</v>
      </c>
      <c r="P901" t="n">
        <v>0</v>
      </c>
      <c r="Q901" t="n">
        <v>0</v>
      </c>
      <c r="R901" s="2" t="inlineStr"/>
    </row>
    <row r="902" ht="15" customHeight="1">
      <c r="A902" t="inlineStr">
        <is>
          <t>A 20872-2025</t>
        </is>
      </c>
      <c r="B902" s="1" t="n">
        <v>45777.34688657407</v>
      </c>
      <c r="C902" s="1" t="n">
        <v>46188</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19831-2026</t>
        </is>
      </c>
      <c r="B903" s="1" t="n">
        <v>46135</v>
      </c>
      <c r="C903" s="1" t="n">
        <v>46188</v>
      </c>
      <c r="D903" t="inlineStr">
        <is>
          <t>SKÅNE LÄN</t>
        </is>
      </c>
      <c r="E903" t="inlineStr">
        <is>
          <t>HÄSSLEHOLM</t>
        </is>
      </c>
      <c r="G903" t="n">
        <v>2.8</v>
      </c>
      <c r="H903" t="n">
        <v>0</v>
      </c>
      <c r="I903" t="n">
        <v>0</v>
      </c>
      <c r="J903" t="n">
        <v>0</v>
      </c>
      <c r="K903" t="n">
        <v>0</v>
      </c>
      <c r="L903" t="n">
        <v>0</v>
      </c>
      <c r="M903" t="n">
        <v>0</v>
      </c>
      <c r="N903" t="n">
        <v>0</v>
      </c>
      <c r="O903" t="n">
        <v>0</v>
      </c>
      <c r="P903" t="n">
        <v>0</v>
      </c>
      <c r="Q903" t="n">
        <v>0</v>
      </c>
      <c r="R903" s="2" t="inlineStr"/>
    </row>
    <row r="904" ht="15" customHeight="1">
      <c r="A904" t="inlineStr">
        <is>
          <t>A 9709-2023</t>
        </is>
      </c>
      <c r="B904" s="1" t="n">
        <v>44984.48376157408</v>
      </c>
      <c r="C904" s="1" t="n">
        <v>46188</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26011-2026</t>
        </is>
      </c>
      <c r="B905" s="1" t="n">
        <v>46181.45269675926</v>
      </c>
      <c r="C905" s="1" t="n">
        <v>46188</v>
      </c>
      <c r="D905" t="inlineStr">
        <is>
          <t>SKÅNE LÄN</t>
        </is>
      </c>
      <c r="E905" t="inlineStr">
        <is>
          <t>HÄSSLEHOLM</t>
        </is>
      </c>
      <c r="G905" t="n">
        <v>9.1</v>
      </c>
      <c r="H905" t="n">
        <v>0</v>
      </c>
      <c r="I905" t="n">
        <v>0</v>
      </c>
      <c r="J905" t="n">
        <v>0</v>
      </c>
      <c r="K905" t="n">
        <v>0</v>
      </c>
      <c r="L905" t="n">
        <v>0</v>
      </c>
      <c r="M905" t="n">
        <v>0</v>
      </c>
      <c r="N905" t="n">
        <v>0</v>
      </c>
      <c r="O905" t="n">
        <v>0</v>
      </c>
      <c r="P905" t="n">
        <v>0</v>
      </c>
      <c r="Q905" t="n">
        <v>0</v>
      </c>
      <c r="R905" s="2" t="inlineStr"/>
    </row>
    <row r="906" ht="15" customHeight="1">
      <c r="A906" t="inlineStr">
        <is>
          <t>A 8524-2024</t>
        </is>
      </c>
      <c r="B906" s="1" t="n">
        <v>45355.48570601852</v>
      </c>
      <c r="C906" s="1" t="n">
        <v>46188</v>
      </c>
      <c r="D906" t="inlineStr">
        <is>
          <t>SKÅNE LÄN</t>
        </is>
      </c>
      <c r="E906" t="inlineStr">
        <is>
          <t>HÄSSLEHOLM</t>
        </is>
      </c>
      <c r="G906" t="n">
        <v>4</v>
      </c>
      <c r="H906" t="n">
        <v>0</v>
      </c>
      <c r="I906" t="n">
        <v>0</v>
      </c>
      <c r="J906" t="n">
        <v>0</v>
      </c>
      <c r="K906" t="n">
        <v>0</v>
      </c>
      <c r="L906" t="n">
        <v>0</v>
      </c>
      <c r="M906" t="n">
        <v>0</v>
      </c>
      <c r="N906" t="n">
        <v>0</v>
      </c>
      <c r="O906" t="n">
        <v>0</v>
      </c>
      <c r="P906" t="n">
        <v>0</v>
      </c>
      <c r="Q906" t="n">
        <v>0</v>
      </c>
      <c r="R906" s="2" t="inlineStr"/>
    </row>
    <row r="907" ht="15" customHeight="1">
      <c r="A907" t="inlineStr">
        <is>
          <t>A 23987-2024</t>
        </is>
      </c>
      <c r="B907" s="1" t="n">
        <v>45456</v>
      </c>
      <c r="C907" s="1" t="n">
        <v>46188</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4042-2023</t>
        </is>
      </c>
      <c r="B908" s="1" t="n">
        <v>44952.59950231481</v>
      </c>
      <c r="C908" s="1" t="n">
        <v>46188</v>
      </c>
      <c r="D908" t="inlineStr">
        <is>
          <t>SKÅNE LÄN</t>
        </is>
      </c>
      <c r="E908" t="inlineStr">
        <is>
          <t>HÄSSLEHOLM</t>
        </is>
      </c>
      <c r="G908" t="n">
        <v>2.7</v>
      </c>
      <c r="H908" t="n">
        <v>0</v>
      </c>
      <c r="I908" t="n">
        <v>0</v>
      </c>
      <c r="J908" t="n">
        <v>0</v>
      </c>
      <c r="K908" t="n">
        <v>0</v>
      </c>
      <c r="L908" t="n">
        <v>0</v>
      </c>
      <c r="M908" t="n">
        <v>0</v>
      </c>
      <c r="N908" t="n">
        <v>0</v>
      </c>
      <c r="O908" t="n">
        <v>0</v>
      </c>
      <c r="P908" t="n">
        <v>0</v>
      </c>
      <c r="Q908" t="n">
        <v>0</v>
      </c>
      <c r="R908" s="2" t="inlineStr"/>
    </row>
    <row r="909" ht="15" customHeight="1">
      <c r="A909" t="inlineStr">
        <is>
          <t>A 31160-2024</t>
        </is>
      </c>
      <c r="B909" s="1" t="n">
        <v>45503</v>
      </c>
      <c r="C909" s="1" t="n">
        <v>46188</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5054-2022</t>
        </is>
      </c>
      <c r="B910" s="1" t="n">
        <v>44593.69065972222</v>
      </c>
      <c r="C910" s="1" t="n">
        <v>46188</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26393-2026</t>
        </is>
      </c>
      <c r="B911" s="1" t="n">
        <v>46183.36888888889</v>
      </c>
      <c r="C911" s="1" t="n">
        <v>46188</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26443-2026</t>
        </is>
      </c>
      <c r="B912" s="1" t="n">
        <v>46182</v>
      </c>
      <c r="C912" s="1" t="n">
        <v>46188</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31391-2023</t>
        </is>
      </c>
      <c r="B913" s="1" t="n">
        <v>45114.56143518518</v>
      </c>
      <c r="C913" s="1" t="n">
        <v>46188</v>
      </c>
      <c r="D913" t="inlineStr">
        <is>
          <t>SKÅNE LÄN</t>
        </is>
      </c>
      <c r="E913" t="inlineStr">
        <is>
          <t>HÄSSLEHOLM</t>
        </is>
      </c>
      <c r="G913" t="n">
        <v>3.1</v>
      </c>
      <c r="H913" t="n">
        <v>0</v>
      </c>
      <c r="I913" t="n">
        <v>0</v>
      </c>
      <c r="J913" t="n">
        <v>0</v>
      </c>
      <c r="K913" t="n">
        <v>0</v>
      </c>
      <c r="L913" t="n">
        <v>0</v>
      </c>
      <c r="M913" t="n">
        <v>0</v>
      </c>
      <c r="N913" t="n">
        <v>0</v>
      </c>
      <c r="O913" t="n">
        <v>0</v>
      </c>
      <c r="P913" t="n">
        <v>0</v>
      </c>
      <c r="Q913" t="n">
        <v>0</v>
      </c>
      <c r="R913" s="2" t="inlineStr"/>
    </row>
    <row r="914" ht="15" customHeight="1">
      <c r="A914" t="inlineStr">
        <is>
          <t>A 23723-2023</t>
        </is>
      </c>
      <c r="B914" s="1" t="n">
        <v>45077</v>
      </c>
      <c r="C914" s="1" t="n">
        <v>46188</v>
      </c>
      <c r="D914" t="inlineStr">
        <is>
          <t>SKÅNE LÄN</t>
        </is>
      </c>
      <c r="E914" t="inlineStr">
        <is>
          <t>HÄSSLEHOLM</t>
        </is>
      </c>
      <c r="G914" t="n">
        <v>3.9</v>
      </c>
      <c r="H914" t="n">
        <v>0</v>
      </c>
      <c r="I914" t="n">
        <v>0</v>
      </c>
      <c r="J914" t="n">
        <v>0</v>
      </c>
      <c r="K914" t="n">
        <v>0</v>
      </c>
      <c r="L914" t="n">
        <v>0</v>
      </c>
      <c r="M914" t="n">
        <v>0</v>
      </c>
      <c r="N914" t="n">
        <v>0</v>
      </c>
      <c r="O914" t="n">
        <v>0</v>
      </c>
      <c r="P914" t="n">
        <v>0</v>
      </c>
      <c r="Q914" t="n">
        <v>0</v>
      </c>
      <c r="R914" s="2" t="inlineStr"/>
    </row>
    <row r="915" ht="15" customHeight="1">
      <c r="A915" t="inlineStr">
        <is>
          <t>A 31933-2024</t>
        </is>
      </c>
      <c r="B915" s="1" t="n">
        <v>45510.41123842593</v>
      </c>
      <c r="C915" s="1" t="n">
        <v>46188</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31581-2023</t>
        </is>
      </c>
      <c r="B916" s="1" t="n">
        <v>45117.45165509259</v>
      </c>
      <c r="C916" s="1" t="n">
        <v>46188</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55303-2024</t>
        </is>
      </c>
      <c r="B917" s="1" t="n">
        <v>45621.6434837963</v>
      </c>
      <c r="C917" s="1" t="n">
        <v>46188</v>
      </c>
      <c r="D917" t="inlineStr">
        <is>
          <t>SKÅNE LÄN</t>
        </is>
      </c>
      <c r="E917" t="inlineStr">
        <is>
          <t>HÄSSLEHOLM</t>
        </is>
      </c>
      <c r="G917" t="n">
        <v>3.3</v>
      </c>
      <c r="H917" t="n">
        <v>0</v>
      </c>
      <c r="I917" t="n">
        <v>0</v>
      </c>
      <c r="J917" t="n">
        <v>0</v>
      </c>
      <c r="K917" t="n">
        <v>0</v>
      </c>
      <c r="L917" t="n">
        <v>0</v>
      </c>
      <c r="M917" t="n">
        <v>0</v>
      </c>
      <c r="N917" t="n">
        <v>0</v>
      </c>
      <c r="O917" t="n">
        <v>0</v>
      </c>
      <c r="P917" t="n">
        <v>0</v>
      </c>
      <c r="Q917" t="n">
        <v>0</v>
      </c>
      <c r="R917" s="2" t="inlineStr"/>
    </row>
    <row r="918" ht="15" customHeight="1">
      <c r="A918" t="inlineStr">
        <is>
          <t>A 13932-2023</t>
        </is>
      </c>
      <c r="B918" s="1" t="n">
        <v>45008.43935185186</v>
      </c>
      <c r="C918" s="1" t="n">
        <v>46188</v>
      </c>
      <c r="D918" t="inlineStr">
        <is>
          <t>SKÅNE LÄN</t>
        </is>
      </c>
      <c r="E918" t="inlineStr">
        <is>
          <t>HÄSSLEHOLM</t>
        </is>
      </c>
      <c r="G918" t="n">
        <v>3.3</v>
      </c>
      <c r="H918" t="n">
        <v>0</v>
      </c>
      <c r="I918" t="n">
        <v>0</v>
      </c>
      <c r="J918" t="n">
        <v>0</v>
      </c>
      <c r="K918" t="n">
        <v>0</v>
      </c>
      <c r="L918" t="n">
        <v>0</v>
      </c>
      <c r="M918" t="n">
        <v>0</v>
      </c>
      <c r="N918" t="n">
        <v>0</v>
      </c>
      <c r="O918" t="n">
        <v>0</v>
      </c>
      <c r="P918" t="n">
        <v>0</v>
      </c>
      <c r="Q918" t="n">
        <v>0</v>
      </c>
      <c r="R918" s="2" t="inlineStr"/>
    </row>
    <row r="919" ht="15" customHeight="1">
      <c r="A919" t="inlineStr">
        <is>
          <t>A 5497-2026</t>
        </is>
      </c>
      <c r="B919" s="1" t="n">
        <v>46050.61875</v>
      </c>
      <c r="C919" s="1" t="n">
        <v>46188</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40202-2022</t>
        </is>
      </c>
      <c r="B920" s="1" t="n">
        <v>44820.60614583334</v>
      </c>
      <c r="C920" s="1" t="n">
        <v>46188</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4382-2023</t>
        </is>
      </c>
      <c r="B921" s="1" t="n">
        <v>44955.61152777778</v>
      </c>
      <c r="C921" s="1" t="n">
        <v>46188</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52608-2023</t>
        </is>
      </c>
      <c r="B922" s="1" t="n">
        <v>45219</v>
      </c>
      <c r="C922" s="1" t="n">
        <v>46188</v>
      </c>
      <c r="D922" t="inlineStr">
        <is>
          <t>SKÅNE LÄN</t>
        </is>
      </c>
      <c r="E922" t="inlineStr">
        <is>
          <t>HÄSSLEHOLM</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26291-2026</t>
        </is>
      </c>
      <c r="B923" s="1" t="n">
        <v>46182.5646412037</v>
      </c>
      <c r="C923" s="1" t="n">
        <v>46188</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26316-2026</t>
        </is>
      </c>
      <c r="B924" s="1" t="n">
        <v>46182.59857638889</v>
      </c>
      <c r="C924" s="1" t="n">
        <v>46188</v>
      </c>
      <c r="D924" t="inlineStr">
        <is>
          <t>SKÅNE LÄN</t>
        </is>
      </c>
      <c r="E924" t="inlineStr">
        <is>
          <t>HÄSSLEHOLM</t>
        </is>
      </c>
      <c r="F924" t="inlineStr">
        <is>
          <t>Övriga Aktiebolag</t>
        </is>
      </c>
      <c r="G924" t="n">
        <v>2.5</v>
      </c>
      <c r="H924" t="n">
        <v>0</v>
      </c>
      <c r="I924" t="n">
        <v>0</v>
      </c>
      <c r="J924" t="n">
        <v>0</v>
      </c>
      <c r="K924" t="n">
        <v>0</v>
      </c>
      <c r="L924" t="n">
        <v>0</v>
      </c>
      <c r="M924" t="n">
        <v>0</v>
      </c>
      <c r="N924" t="n">
        <v>0</v>
      </c>
      <c r="O924" t="n">
        <v>0</v>
      </c>
      <c r="P924" t="n">
        <v>0</v>
      </c>
      <c r="Q924" t="n">
        <v>0</v>
      </c>
      <c r="R924" s="2" t="inlineStr"/>
    </row>
    <row r="925" ht="15" customHeight="1">
      <c r="A925" t="inlineStr">
        <is>
          <t>A 26447-2026</t>
        </is>
      </c>
      <c r="B925" s="1" t="n">
        <v>46182</v>
      </c>
      <c r="C925" s="1" t="n">
        <v>46188</v>
      </c>
      <c r="D925" t="inlineStr">
        <is>
          <t>SKÅNE LÄN</t>
        </is>
      </c>
      <c r="E925" t="inlineStr">
        <is>
          <t>HÄSSLEHOLM</t>
        </is>
      </c>
      <c r="G925" t="n">
        <v>7.9</v>
      </c>
      <c r="H925" t="n">
        <v>0</v>
      </c>
      <c r="I925" t="n">
        <v>0</v>
      </c>
      <c r="J925" t="n">
        <v>0</v>
      </c>
      <c r="K925" t="n">
        <v>0</v>
      </c>
      <c r="L925" t="n">
        <v>0</v>
      </c>
      <c r="M925" t="n">
        <v>0</v>
      </c>
      <c r="N925" t="n">
        <v>0</v>
      </c>
      <c r="O925" t="n">
        <v>0</v>
      </c>
      <c r="P925" t="n">
        <v>0</v>
      </c>
      <c r="Q925" t="n">
        <v>0</v>
      </c>
      <c r="R925" s="2" t="inlineStr"/>
    </row>
    <row r="926" ht="15" customHeight="1">
      <c r="A926" t="inlineStr">
        <is>
          <t>A 27954-2022</t>
        </is>
      </c>
      <c r="B926" s="1" t="n">
        <v>44743</v>
      </c>
      <c r="C926" s="1" t="n">
        <v>46188</v>
      </c>
      <c r="D926" t="inlineStr">
        <is>
          <t>SKÅNE LÄN</t>
        </is>
      </c>
      <c r="E926" t="inlineStr">
        <is>
          <t>HÄSSLEHOLM</t>
        </is>
      </c>
      <c r="G926" t="n">
        <v>9.4</v>
      </c>
      <c r="H926" t="n">
        <v>0</v>
      </c>
      <c r="I926" t="n">
        <v>0</v>
      </c>
      <c r="J926" t="n">
        <v>0</v>
      </c>
      <c r="K926" t="n">
        <v>0</v>
      </c>
      <c r="L926" t="n">
        <v>0</v>
      </c>
      <c r="M926" t="n">
        <v>0</v>
      </c>
      <c r="N926" t="n">
        <v>0</v>
      </c>
      <c r="O926" t="n">
        <v>0</v>
      </c>
      <c r="P926" t="n">
        <v>0</v>
      </c>
      <c r="Q926" t="n">
        <v>0</v>
      </c>
      <c r="R926" s="2" t="inlineStr"/>
    </row>
    <row r="927" ht="15" customHeight="1">
      <c r="A927" t="inlineStr">
        <is>
          <t>A 20493-2024</t>
        </is>
      </c>
      <c r="B927" s="1" t="n">
        <v>45435</v>
      </c>
      <c r="C927" s="1" t="n">
        <v>46188</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41873-2023</t>
        </is>
      </c>
      <c r="B928" s="1" t="n">
        <v>45176</v>
      </c>
      <c r="C928" s="1" t="n">
        <v>46188</v>
      </c>
      <c r="D928" t="inlineStr">
        <is>
          <t>SKÅNE LÄN</t>
        </is>
      </c>
      <c r="E928" t="inlineStr">
        <is>
          <t>HÄSSLEHOLM</t>
        </is>
      </c>
      <c r="G928" t="n">
        <v>2.8</v>
      </c>
      <c r="H928" t="n">
        <v>0</v>
      </c>
      <c r="I928" t="n">
        <v>0</v>
      </c>
      <c r="J928" t="n">
        <v>0</v>
      </c>
      <c r="K928" t="n">
        <v>0</v>
      </c>
      <c r="L928" t="n">
        <v>0</v>
      </c>
      <c r="M928" t="n">
        <v>0</v>
      </c>
      <c r="N928" t="n">
        <v>0</v>
      </c>
      <c r="O928" t="n">
        <v>0</v>
      </c>
      <c r="P928" t="n">
        <v>0</v>
      </c>
      <c r="Q928" t="n">
        <v>0</v>
      </c>
      <c r="R928" s="2" t="inlineStr"/>
    </row>
    <row r="929" ht="15" customHeight="1">
      <c r="A929" t="inlineStr">
        <is>
          <t>A 41998-2021</t>
        </is>
      </c>
      <c r="B929" s="1" t="n">
        <v>44425</v>
      </c>
      <c r="C929" s="1" t="n">
        <v>46188</v>
      </c>
      <c r="D929" t="inlineStr">
        <is>
          <t>SKÅNE LÄN</t>
        </is>
      </c>
      <c r="E929" t="inlineStr">
        <is>
          <t>HÄSSLEHOLM</t>
        </is>
      </c>
      <c r="G929" t="n">
        <v>1.3</v>
      </c>
      <c r="H929" t="n">
        <v>0</v>
      </c>
      <c r="I929" t="n">
        <v>0</v>
      </c>
      <c r="J929" t="n">
        <v>0</v>
      </c>
      <c r="K929" t="n">
        <v>0</v>
      </c>
      <c r="L929" t="n">
        <v>0</v>
      </c>
      <c r="M929" t="n">
        <v>0</v>
      </c>
      <c r="N929" t="n">
        <v>0</v>
      </c>
      <c r="O929" t="n">
        <v>0</v>
      </c>
      <c r="P929" t="n">
        <v>0</v>
      </c>
      <c r="Q929" t="n">
        <v>0</v>
      </c>
      <c r="R929" s="2" t="inlineStr"/>
    </row>
    <row r="930" ht="15" customHeight="1">
      <c r="A930" t="inlineStr">
        <is>
          <t>A 35712-2024</t>
        </is>
      </c>
      <c r="B930" s="1" t="n">
        <v>45532</v>
      </c>
      <c r="C930" s="1" t="n">
        <v>46188</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61691-2021</t>
        </is>
      </c>
      <c r="B931" s="1" t="n">
        <v>44501</v>
      </c>
      <c r="C931" s="1" t="n">
        <v>46188</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26437-2026</t>
        </is>
      </c>
      <c r="B932" s="1" t="n">
        <v>46182</v>
      </c>
      <c r="C932" s="1" t="n">
        <v>46188</v>
      </c>
      <c r="D932" t="inlineStr">
        <is>
          <t>SKÅNE LÄN</t>
        </is>
      </c>
      <c r="E932" t="inlineStr">
        <is>
          <t>HÄSSLEHOLM</t>
        </is>
      </c>
      <c r="G932" t="n">
        <v>2.2</v>
      </c>
      <c r="H932" t="n">
        <v>0</v>
      </c>
      <c r="I932" t="n">
        <v>0</v>
      </c>
      <c r="J932" t="n">
        <v>0</v>
      </c>
      <c r="K932" t="n">
        <v>0</v>
      </c>
      <c r="L932" t="n">
        <v>0</v>
      </c>
      <c r="M932" t="n">
        <v>0</v>
      </c>
      <c r="N932" t="n">
        <v>0</v>
      </c>
      <c r="O932" t="n">
        <v>0</v>
      </c>
      <c r="P932" t="n">
        <v>0</v>
      </c>
      <c r="Q932" t="n">
        <v>0</v>
      </c>
      <c r="R932" s="2" t="inlineStr"/>
    </row>
    <row r="933" ht="15" customHeight="1">
      <c r="A933" t="inlineStr">
        <is>
          <t>A 26166-2026</t>
        </is>
      </c>
      <c r="B933" s="1" t="n">
        <v>46181.91915509259</v>
      </c>
      <c r="C933" s="1" t="n">
        <v>46188</v>
      </c>
      <c r="D933" t="inlineStr">
        <is>
          <t>SKÅNE LÄN</t>
        </is>
      </c>
      <c r="E933" t="inlineStr">
        <is>
          <t>HÄSSLEHOLM</t>
        </is>
      </c>
      <c r="G933" t="n">
        <v>3.9</v>
      </c>
      <c r="H933" t="n">
        <v>0</v>
      </c>
      <c r="I933" t="n">
        <v>0</v>
      </c>
      <c r="J933" t="n">
        <v>0</v>
      </c>
      <c r="K933" t="n">
        <v>0</v>
      </c>
      <c r="L933" t="n">
        <v>0</v>
      </c>
      <c r="M933" t="n">
        <v>0</v>
      </c>
      <c r="N933" t="n">
        <v>0</v>
      </c>
      <c r="O933" t="n">
        <v>0</v>
      </c>
      <c r="P933" t="n">
        <v>0</v>
      </c>
      <c r="Q933" t="n">
        <v>0</v>
      </c>
      <c r="R933" s="2" t="inlineStr"/>
    </row>
    <row r="934" ht="15" customHeight="1">
      <c r="A934" t="inlineStr">
        <is>
          <t>A 57647-2024</t>
        </is>
      </c>
      <c r="B934" s="1" t="n">
        <v>45630</v>
      </c>
      <c r="C934" s="1" t="n">
        <v>46188</v>
      </c>
      <c r="D934" t="inlineStr">
        <is>
          <t>SKÅNE LÄN</t>
        </is>
      </c>
      <c r="E934" t="inlineStr">
        <is>
          <t>HÄSSLEHOLM</t>
        </is>
      </c>
      <c r="G934" t="n">
        <v>2.9</v>
      </c>
      <c r="H934" t="n">
        <v>0</v>
      </c>
      <c r="I934" t="n">
        <v>0</v>
      </c>
      <c r="J934" t="n">
        <v>0</v>
      </c>
      <c r="K934" t="n">
        <v>0</v>
      </c>
      <c r="L934" t="n">
        <v>0</v>
      </c>
      <c r="M934" t="n">
        <v>0</v>
      </c>
      <c r="N934" t="n">
        <v>0</v>
      </c>
      <c r="O934" t="n">
        <v>0</v>
      </c>
      <c r="P934" t="n">
        <v>0</v>
      </c>
      <c r="Q934" t="n">
        <v>0</v>
      </c>
      <c r="R934" s="2" t="inlineStr"/>
    </row>
    <row r="935" ht="15" customHeight="1">
      <c r="A935" t="inlineStr">
        <is>
          <t>A 20564-2023</t>
        </is>
      </c>
      <c r="B935" s="1" t="n">
        <v>45057</v>
      </c>
      <c r="C935" s="1" t="n">
        <v>46188</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46641-2023</t>
        </is>
      </c>
      <c r="B936" s="1" t="n">
        <v>45198.44523148148</v>
      </c>
      <c r="C936" s="1" t="n">
        <v>46188</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46645-2023</t>
        </is>
      </c>
      <c r="B937" s="1" t="n">
        <v>45198.44686342592</v>
      </c>
      <c r="C937" s="1" t="n">
        <v>46188</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26286-2026</t>
        </is>
      </c>
      <c r="B938" s="1" t="n">
        <v>46182.5616087963</v>
      </c>
      <c r="C938" s="1" t="n">
        <v>46188</v>
      </c>
      <c r="D938" t="inlineStr">
        <is>
          <t>SKÅNE LÄN</t>
        </is>
      </c>
      <c r="E938" t="inlineStr">
        <is>
          <t>HÄSSLEHOLM</t>
        </is>
      </c>
      <c r="G938" t="n">
        <v>2.5</v>
      </c>
      <c r="H938" t="n">
        <v>0</v>
      </c>
      <c r="I938" t="n">
        <v>0</v>
      </c>
      <c r="J938" t="n">
        <v>0</v>
      </c>
      <c r="K938" t="n">
        <v>0</v>
      </c>
      <c r="L938" t="n">
        <v>0</v>
      </c>
      <c r="M938" t="n">
        <v>0</v>
      </c>
      <c r="N938" t="n">
        <v>0</v>
      </c>
      <c r="O938" t="n">
        <v>0</v>
      </c>
      <c r="P938" t="n">
        <v>0</v>
      </c>
      <c r="Q938" t="n">
        <v>0</v>
      </c>
      <c r="R938" s="2" t="inlineStr"/>
    </row>
    <row r="939" ht="15" customHeight="1">
      <c r="A939" t="inlineStr">
        <is>
          <t>A 26505-2026</t>
        </is>
      </c>
      <c r="B939" s="1" t="n">
        <v>46183.56869212963</v>
      </c>
      <c r="C939" s="1" t="n">
        <v>46188</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31986-2023</t>
        </is>
      </c>
      <c r="B940" s="1" t="n">
        <v>45119</v>
      </c>
      <c r="C940" s="1" t="n">
        <v>46188</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26403-2026</t>
        </is>
      </c>
      <c r="B941" s="1" t="n">
        <v>46182</v>
      </c>
      <c r="C941" s="1" t="n">
        <v>46188</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62044-2022</t>
        </is>
      </c>
      <c r="B942" s="1" t="n">
        <v>44918.55976851852</v>
      </c>
      <c r="C942" s="1" t="n">
        <v>46188</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52341-2023</t>
        </is>
      </c>
      <c r="B943" s="1" t="n">
        <v>45224.67006944444</v>
      </c>
      <c r="C943" s="1" t="n">
        <v>46188</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27464-2022</t>
        </is>
      </c>
      <c r="B944" s="1" t="n">
        <v>44742.58704861111</v>
      </c>
      <c r="C944" s="1" t="n">
        <v>46188</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6798-2025</t>
        </is>
      </c>
      <c r="B945" s="1" t="n">
        <v>45700.668125</v>
      </c>
      <c r="C945" s="1" t="n">
        <v>46188</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23264-2026</t>
        </is>
      </c>
      <c r="B946" s="1" t="n">
        <v>46162</v>
      </c>
      <c r="C946" s="1" t="n">
        <v>46188</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10752-2025</t>
        </is>
      </c>
      <c r="B947" s="1" t="n">
        <v>45722</v>
      </c>
      <c r="C947" s="1" t="n">
        <v>46188</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19240-2026</t>
        </is>
      </c>
      <c r="B948" s="1" t="n">
        <v>46132</v>
      </c>
      <c r="C948" s="1" t="n">
        <v>46188</v>
      </c>
      <c r="D948" t="inlineStr">
        <is>
          <t>SKÅNE LÄN</t>
        </is>
      </c>
      <c r="E948" t="inlineStr">
        <is>
          <t>HÄSSLEHOLM</t>
        </is>
      </c>
      <c r="G948" t="n">
        <v>4</v>
      </c>
      <c r="H948" t="n">
        <v>0</v>
      </c>
      <c r="I948" t="n">
        <v>0</v>
      </c>
      <c r="J948" t="n">
        <v>0</v>
      </c>
      <c r="K948" t="n">
        <v>0</v>
      </c>
      <c r="L948" t="n">
        <v>0</v>
      </c>
      <c r="M948" t="n">
        <v>0</v>
      </c>
      <c r="N948" t="n">
        <v>0</v>
      </c>
      <c r="O948" t="n">
        <v>0</v>
      </c>
      <c r="P948" t="n">
        <v>0</v>
      </c>
      <c r="Q948" t="n">
        <v>0</v>
      </c>
      <c r="R948" s="2" t="inlineStr"/>
    </row>
    <row r="949" ht="15" customHeight="1">
      <c r="A949" t="inlineStr">
        <is>
          <t>A 54426-2025</t>
        </is>
      </c>
      <c r="B949" s="1" t="n">
        <v>45965</v>
      </c>
      <c r="C949" s="1" t="n">
        <v>46188</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47450-2025</t>
        </is>
      </c>
      <c r="B950" s="1" t="n">
        <v>45930</v>
      </c>
      <c r="C950" s="1" t="n">
        <v>46188</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14008-2023</t>
        </is>
      </c>
      <c r="B951" s="1" t="n">
        <v>45008.56725694444</v>
      </c>
      <c r="C951" s="1" t="n">
        <v>46188</v>
      </c>
      <c r="D951" t="inlineStr">
        <is>
          <t>SKÅNE LÄN</t>
        </is>
      </c>
      <c r="E951" t="inlineStr">
        <is>
          <t>HÄSSLEHOLM</t>
        </is>
      </c>
      <c r="G951" t="n">
        <v>3.3</v>
      </c>
      <c r="H951" t="n">
        <v>0</v>
      </c>
      <c r="I951" t="n">
        <v>0</v>
      </c>
      <c r="J951" t="n">
        <v>0</v>
      </c>
      <c r="K951" t="n">
        <v>0</v>
      </c>
      <c r="L951" t="n">
        <v>0</v>
      </c>
      <c r="M951" t="n">
        <v>0</v>
      </c>
      <c r="N951" t="n">
        <v>0</v>
      </c>
      <c r="O951" t="n">
        <v>0</v>
      </c>
      <c r="P951" t="n">
        <v>0</v>
      </c>
      <c r="Q951" t="n">
        <v>0</v>
      </c>
      <c r="R951" s="2" t="inlineStr"/>
    </row>
    <row r="952" ht="15" customHeight="1">
      <c r="A952" t="inlineStr">
        <is>
          <t>A 315-2022</t>
        </is>
      </c>
      <c r="B952" s="1" t="n">
        <v>44565.55630787037</v>
      </c>
      <c r="C952" s="1" t="n">
        <v>46188</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42372-2024</t>
        </is>
      </c>
      <c r="B953" s="1" t="n">
        <v>45564.5127199074</v>
      </c>
      <c r="C953" s="1" t="n">
        <v>46188</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57695-2023</t>
        </is>
      </c>
      <c r="B954" s="1" t="n">
        <v>45246</v>
      </c>
      <c r="C954" s="1" t="n">
        <v>46188</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47394-2025</t>
        </is>
      </c>
      <c r="B955" s="1" t="n">
        <v>45930</v>
      </c>
      <c r="C955" s="1" t="n">
        <v>46188</v>
      </c>
      <c r="D955" t="inlineStr">
        <is>
          <t>SKÅNE LÄN</t>
        </is>
      </c>
      <c r="E955" t="inlineStr">
        <is>
          <t>HÄSSLEHOLM</t>
        </is>
      </c>
      <c r="G955" t="n">
        <v>2.4</v>
      </c>
      <c r="H955" t="n">
        <v>0</v>
      </c>
      <c r="I955" t="n">
        <v>0</v>
      </c>
      <c r="J955" t="n">
        <v>0</v>
      </c>
      <c r="K955" t="n">
        <v>0</v>
      </c>
      <c r="L955" t="n">
        <v>0</v>
      </c>
      <c r="M955" t="n">
        <v>0</v>
      </c>
      <c r="N955" t="n">
        <v>0</v>
      </c>
      <c r="O955" t="n">
        <v>0</v>
      </c>
      <c r="P955" t="n">
        <v>0</v>
      </c>
      <c r="Q955" t="n">
        <v>0</v>
      </c>
      <c r="R955" s="2" t="inlineStr"/>
    </row>
    <row r="956" ht="15" customHeight="1">
      <c r="A956" t="inlineStr">
        <is>
          <t>A 12162-2023</t>
        </is>
      </c>
      <c r="B956" s="1" t="n">
        <v>44998.49619212963</v>
      </c>
      <c r="C956" s="1" t="n">
        <v>46188</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4916-2024</t>
        </is>
      </c>
      <c r="B957" s="1" t="n">
        <v>45329</v>
      </c>
      <c r="C957" s="1" t="n">
        <v>46188</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27175-2024</t>
        </is>
      </c>
      <c r="B958" s="1" t="n">
        <v>45471.57111111111</v>
      </c>
      <c r="C958" s="1" t="n">
        <v>46188</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54658-2023</t>
        </is>
      </c>
      <c r="B959" s="1" t="n">
        <v>45235</v>
      </c>
      <c r="C959" s="1" t="n">
        <v>46188</v>
      </c>
      <c r="D959" t="inlineStr">
        <is>
          <t>SKÅNE LÄN</t>
        </is>
      </c>
      <c r="E959" t="inlineStr">
        <is>
          <t>HÄSSLEHOLM</t>
        </is>
      </c>
      <c r="G959" t="n">
        <v>0.7</v>
      </c>
      <c r="H959" t="n">
        <v>0</v>
      </c>
      <c r="I959" t="n">
        <v>0</v>
      </c>
      <c r="J959" t="n">
        <v>0</v>
      </c>
      <c r="K959" t="n">
        <v>0</v>
      </c>
      <c r="L959" t="n">
        <v>0</v>
      </c>
      <c r="M959" t="n">
        <v>0</v>
      </c>
      <c r="N959" t="n">
        <v>0</v>
      </c>
      <c r="O959" t="n">
        <v>0</v>
      </c>
      <c r="P959" t="n">
        <v>0</v>
      </c>
      <c r="Q959" t="n">
        <v>0</v>
      </c>
      <c r="R959" s="2" t="inlineStr"/>
    </row>
    <row r="960" ht="15" customHeight="1">
      <c r="A960" t="inlineStr">
        <is>
          <t>A 47352-2025</t>
        </is>
      </c>
      <c r="B960" s="1" t="n">
        <v>45930</v>
      </c>
      <c r="C960" s="1" t="n">
        <v>46188</v>
      </c>
      <c r="D960" t="inlineStr">
        <is>
          <t>SKÅNE LÄN</t>
        </is>
      </c>
      <c r="E960" t="inlineStr">
        <is>
          <t>HÄSSLEHOLM</t>
        </is>
      </c>
      <c r="G960" t="n">
        <v>15.9</v>
      </c>
      <c r="H960" t="n">
        <v>0</v>
      </c>
      <c r="I960" t="n">
        <v>0</v>
      </c>
      <c r="J960" t="n">
        <v>0</v>
      </c>
      <c r="K960" t="n">
        <v>0</v>
      </c>
      <c r="L960" t="n">
        <v>0</v>
      </c>
      <c r="M960" t="n">
        <v>0</v>
      </c>
      <c r="N960" t="n">
        <v>0</v>
      </c>
      <c r="O960" t="n">
        <v>0</v>
      </c>
      <c r="P960" t="n">
        <v>0</v>
      </c>
      <c r="Q960" t="n">
        <v>0</v>
      </c>
      <c r="R960" s="2" t="inlineStr"/>
    </row>
    <row r="961" ht="15" customHeight="1">
      <c r="A961" t="inlineStr">
        <is>
          <t>A 23666-2023</t>
        </is>
      </c>
      <c r="B961" s="1" t="n">
        <v>45077</v>
      </c>
      <c r="C961" s="1" t="n">
        <v>46188</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3726-2024</t>
        </is>
      </c>
      <c r="B962" s="1" t="n">
        <v>45321</v>
      </c>
      <c r="C962" s="1" t="n">
        <v>46188</v>
      </c>
      <c r="D962" t="inlineStr">
        <is>
          <t>SKÅNE LÄN</t>
        </is>
      </c>
      <c r="E962" t="inlineStr">
        <is>
          <t>HÄSSLEHOLM</t>
        </is>
      </c>
      <c r="G962" t="n">
        <v>0.3</v>
      </c>
      <c r="H962" t="n">
        <v>0</v>
      </c>
      <c r="I962" t="n">
        <v>0</v>
      </c>
      <c r="J962" t="n">
        <v>0</v>
      </c>
      <c r="K962" t="n">
        <v>0</v>
      </c>
      <c r="L962" t="n">
        <v>0</v>
      </c>
      <c r="M962" t="n">
        <v>0</v>
      </c>
      <c r="N962" t="n">
        <v>0</v>
      </c>
      <c r="O962" t="n">
        <v>0</v>
      </c>
      <c r="P962" t="n">
        <v>0</v>
      </c>
      <c r="Q962" t="n">
        <v>0</v>
      </c>
      <c r="R962" s="2" t="inlineStr"/>
    </row>
    <row r="963" ht="15" customHeight="1">
      <c r="A963" t="inlineStr">
        <is>
          <t>A 53085-2022</t>
        </is>
      </c>
      <c r="B963" s="1" t="n">
        <v>44873</v>
      </c>
      <c r="C963" s="1" t="n">
        <v>46188</v>
      </c>
      <c r="D963" t="inlineStr">
        <is>
          <t>SKÅNE LÄN</t>
        </is>
      </c>
      <c r="E963" t="inlineStr">
        <is>
          <t>HÄSSLEHOLM</t>
        </is>
      </c>
      <c r="G963" t="n">
        <v>1.9</v>
      </c>
      <c r="H963" t="n">
        <v>0</v>
      </c>
      <c r="I963" t="n">
        <v>0</v>
      </c>
      <c r="J963" t="n">
        <v>0</v>
      </c>
      <c r="K963" t="n">
        <v>0</v>
      </c>
      <c r="L963" t="n">
        <v>0</v>
      </c>
      <c r="M963" t="n">
        <v>0</v>
      </c>
      <c r="N963" t="n">
        <v>0</v>
      </c>
      <c r="O963" t="n">
        <v>0</v>
      </c>
      <c r="P963" t="n">
        <v>0</v>
      </c>
      <c r="Q963" t="n">
        <v>0</v>
      </c>
      <c r="R963" s="2" t="inlineStr"/>
    </row>
    <row r="964" ht="15" customHeight="1">
      <c r="A964" t="inlineStr">
        <is>
          <t>A 28211-2022</t>
        </is>
      </c>
      <c r="B964" s="1" t="n">
        <v>44746</v>
      </c>
      <c r="C964" s="1" t="n">
        <v>46188</v>
      </c>
      <c r="D964" t="inlineStr">
        <is>
          <t>SKÅNE LÄN</t>
        </is>
      </c>
      <c r="E964" t="inlineStr">
        <is>
          <t>HÄSSLEHOLM</t>
        </is>
      </c>
      <c r="G964" t="n">
        <v>2.8</v>
      </c>
      <c r="H964" t="n">
        <v>0</v>
      </c>
      <c r="I964" t="n">
        <v>0</v>
      </c>
      <c r="J964" t="n">
        <v>0</v>
      </c>
      <c r="K964" t="n">
        <v>0</v>
      </c>
      <c r="L964" t="n">
        <v>0</v>
      </c>
      <c r="M964" t="n">
        <v>0</v>
      </c>
      <c r="N964" t="n">
        <v>0</v>
      </c>
      <c r="O964" t="n">
        <v>0</v>
      </c>
      <c r="P964" t="n">
        <v>0</v>
      </c>
      <c r="Q964" t="n">
        <v>0</v>
      </c>
      <c r="R964" s="2" t="inlineStr"/>
    </row>
    <row r="965" ht="15" customHeight="1">
      <c r="A965" t="inlineStr">
        <is>
          <t>A 15990-2023</t>
        </is>
      </c>
      <c r="B965" s="1" t="n">
        <v>45023.39584490741</v>
      </c>
      <c r="C965" s="1" t="n">
        <v>46188</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62199-2022</t>
        </is>
      </c>
      <c r="B966" s="1" t="n">
        <v>44915</v>
      </c>
      <c r="C966" s="1" t="n">
        <v>46188</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9098-2022</t>
        </is>
      </c>
      <c r="B967" s="1" t="n">
        <v>44615</v>
      </c>
      <c r="C967" s="1" t="n">
        <v>46188</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19151-2023</t>
        </is>
      </c>
      <c r="B968" s="1" t="n">
        <v>45044</v>
      </c>
      <c r="C968" s="1" t="n">
        <v>46188</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2688-2024</t>
        </is>
      </c>
      <c r="B969" s="1" t="n">
        <v>45314</v>
      </c>
      <c r="C969" s="1" t="n">
        <v>46188</v>
      </c>
      <c r="D969" t="inlineStr">
        <is>
          <t>SKÅNE LÄN</t>
        </is>
      </c>
      <c r="E969" t="inlineStr">
        <is>
          <t>HÄSSLEHOLM</t>
        </is>
      </c>
      <c r="F969" t="inlineStr">
        <is>
          <t>Övriga Aktiebolag</t>
        </is>
      </c>
      <c r="G969" t="n">
        <v>2.8</v>
      </c>
      <c r="H969" t="n">
        <v>0</v>
      </c>
      <c r="I969" t="n">
        <v>0</v>
      </c>
      <c r="J969" t="n">
        <v>0</v>
      </c>
      <c r="K969" t="n">
        <v>0</v>
      </c>
      <c r="L969" t="n">
        <v>0</v>
      </c>
      <c r="M969" t="n">
        <v>0</v>
      </c>
      <c r="N969" t="n">
        <v>0</v>
      </c>
      <c r="O969" t="n">
        <v>0</v>
      </c>
      <c r="P969" t="n">
        <v>0</v>
      </c>
      <c r="Q969" t="n">
        <v>0</v>
      </c>
      <c r="R969" s="2" t="inlineStr"/>
    </row>
    <row r="970" ht="15" customHeight="1">
      <c r="A970" t="inlineStr">
        <is>
          <t>A 29850-2024</t>
        </is>
      </c>
      <c r="B970" s="1" t="n">
        <v>45485.64620370371</v>
      </c>
      <c r="C970" s="1" t="n">
        <v>46188</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30007-2023</t>
        </is>
      </c>
      <c r="B971" s="1" t="n">
        <v>45109.80349537037</v>
      </c>
      <c r="C971" s="1" t="n">
        <v>46188</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4187-2023</t>
        </is>
      </c>
      <c r="B972" s="1" t="n">
        <v>44953</v>
      </c>
      <c r="C972" s="1" t="n">
        <v>46188</v>
      </c>
      <c r="D972" t="inlineStr">
        <is>
          <t>SKÅNE LÄN</t>
        </is>
      </c>
      <c r="E972" t="inlineStr">
        <is>
          <t>HÄSSLEHOLM</t>
        </is>
      </c>
      <c r="G972" t="n">
        <v>3.2</v>
      </c>
      <c r="H972" t="n">
        <v>0</v>
      </c>
      <c r="I972" t="n">
        <v>0</v>
      </c>
      <c r="J972" t="n">
        <v>0</v>
      </c>
      <c r="K972" t="n">
        <v>0</v>
      </c>
      <c r="L972" t="n">
        <v>0</v>
      </c>
      <c r="M972" t="n">
        <v>0</v>
      </c>
      <c r="N972" t="n">
        <v>0</v>
      </c>
      <c r="O972" t="n">
        <v>0</v>
      </c>
      <c r="P972" t="n">
        <v>0</v>
      </c>
      <c r="Q972" t="n">
        <v>0</v>
      </c>
      <c r="R972" s="2" t="inlineStr"/>
    </row>
    <row r="973" ht="15" customHeight="1">
      <c r="A973" t="inlineStr">
        <is>
          <t>A 42231-2022</t>
        </is>
      </c>
      <c r="B973" s="1" t="n">
        <v>44830.77003472222</v>
      </c>
      <c r="C973" s="1" t="n">
        <v>46188</v>
      </c>
      <c r="D973" t="inlineStr">
        <is>
          <t>SKÅNE LÄN</t>
        </is>
      </c>
      <c r="E973" t="inlineStr">
        <is>
          <t>HÄSSLEHOLM</t>
        </is>
      </c>
      <c r="G973" t="n">
        <v>2.7</v>
      </c>
      <c r="H973" t="n">
        <v>0</v>
      </c>
      <c r="I973" t="n">
        <v>0</v>
      </c>
      <c r="J973" t="n">
        <v>0</v>
      </c>
      <c r="K973" t="n">
        <v>0</v>
      </c>
      <c r="L973" t="n">
        <v>0</v>
      </c>
      <c r="M973" t="n">
        <v>0</v>
      </c>
      <c r="N973" t="n">
        <v>0</v>
      </c>
      <c r="O973" t="n">
        <v>0</v>
      </c>
      <c r="P973" t="n">
        <v>0</v>
      </c>
      <c r="Q973" t="n">
        <v>0</v>
      </c>
      <c r="R973" s="2" t="inlineStr"/>
    </row>
    <row r="974" ht="15" customHeight="1">
      <c r="A974" t="inlineStr">
        <is>
          <t>A 59390-2021</t>
        </is>
      </c>
      <c r="B974" s="1" t="n">
        <v>44490</v>
      </c>
      <c r="C974" s="1" t="n">
        <v>46188</v>
      </c>
      <c r="D974" t="inlineStr">
        <is>
          <t>SKÅNE LÄN</t>
        </is>
      </c>
      <c r="E974" t="inlineStr">
        <is>
          <t>HÄSSLEHOLM</t>
        </is>
      </c>
      <c r="G974" t="n">
        <v>7.1</v>
      </c>
      <c r="H974" t="n">
        <v>0</v>
      </c>
      <c r="I974" t="n">
        <v>0</v>
      </c>
      <c r="J974" t="n">
        <v>0</v>
      </c>
      <c r="K974" t="n">
        <v>0</v>
      </c>
      <c r="L974" t="n">
        <v>0</v>
      </c>
      <c r="M974" t="n">
        <v>0</v>
      </c>
      <c r="N974" t="n">
        <v>0</v>
      </c>
      <c r="O974" t="n">
        <v>0</v>
      </c>
      <c r="P974" t="n">
        <v>0</v>
      </c>
      <c r="Q974" t="n">
        <v>0</v>
      </c>
      <c r="R974" s="2" t="inlineStr"/>
    </row>
    <row r="975" ht="15" customHeight="1">
      <c r="A975" t="inlineStr">
        <is>
          <t>A 3452-2023</t>
        </is>
      </c>
      <c r="B975" s="1" t="n">
        <v>44949</v>
      </c>
      <c r="C975" s="1" t="n">
        <v>46188</v>
      </c>
      <c r="D975" t="inlineStr">
        <is>
          <t>SKÅNE LÄN</t>
        </is>
      </c>
      <c r="E975" t="inlineStr">
        <is>
          <t>HÄSSLEHOLM</t>
        </is>
      </c>
      <c r="G975" t="n">
        <v>1.3</v>
      </c>
      <c r="H975" t="n">
        <v>0</v>
      </c>
      <c r="I975" t="n">
        <v>0</v>
      </c>
      <c r="J975" t="n">
        <v>0</v>
      </c>
      <c r="K975" t="n">
        <v>0</v>
      </c>
      <c r="L975" t="n">
        <v>0</v>
      </c>
      <c r="M975" t="n">
        <v>0</v>
      </c>
      <c r="N975" t="n">
        <v>0</v>
      </c>
      <c r="O975" t="n">
        <v>0</v>
      </c>
      <c r="P975" t="n">
        <v>0</v>
      </c>
      <c r="Q975" t="n">
        <v>0</v>
      </c>
      <c r="R975" s="2" t="inlineStr"/>
    </row>
    <row r="976" ht="15" customHeight="1">
      <c r="A976" t="inlineStr">
        <is>
          <t>A 50525-2024</t>
        </is>
      </c>
      <c r="B976" s="1" t="n">
        <v>45601</v>
      </c>
      <c r="C976" s="1" t="n">
        <v>46188</v>
      </c>
      <c r="D976" t="inlineStr">
        <is>
          <t>SKÅNE LÄN</t>
        </is>
      </c>
      <c r="E976" t="inlineStr">
        <is>
          <t>HÄSSLEHOLM</t>
        </is>
      </c>
      <c r="G976" t="n">
        <v>2.6</v>
      </c>
      <c r="H976" t="n">
        <v>0</v>
      </c>
      <c r="I976" t="n">
        <v>0</v>
      </c>
      <c r="J976" t="n">
        <v>0</v>
      </c>
      <c r="K976" t="n">
        <v>0</v>
      </c>
      <c r="L976" t="n">
        <v>0</v>
      </c>
      <c r="M976" t="n">
        <v>0</v>
      </c>
      <c r="N976" t="n">
        <v>0</v>
      </c>
      <c r="O976" t="n">
        <v>0</v>
      </c>
      <c r="P976" t="n">
        <v>0</v>
      </c>
      <c r="Q976" t="n">
        <v>0</v>
      </c>
      <c r="R976" s="2" t="inlineStr"/>
    </row>
    <row r="977" ht="15" customHeight="1">
      <c r="A977" t="inlineStr">
        <is>
          <t>A 260-2024</t>
        </is>
      </c>
      <c r="B977" s="1" t="n">
        <v>45294</v>
      </c>
      <c r="C977" s="1" t="n">
        <v>46188</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5016-2024</t>
        </is>
      </c>
      <c r="B978" s="1" t="n">
        <v>45329</v>
      </c>
      <c r="C978" s="1" t="n">
        <v>46188</v>
      </c>
      <c r="D978" t="inlineStr">
        <is>
          <t>SKÅNE LÄN</t>
        </is>
      </c>
      <c r="E978" t="inlineStr">
        <is>
          <t>HÄSSLEHOLM</t>
        </is>
      </c>
      <c r="G978" t="n">
        <v>3.2</v>
      </c>
      <c r="H978" t="n">
        <v>0</v>
      </c>
      <c r="I978" t="n">
        <v>0</v>
      </c>
      <c r="J978" t="n">
        <v>0</v>
      </c>
      <c r="K978" t="n">
        <v>0</v>
      </c>
      <c r="L978" t="n">
        <v>0</v>
      </c>
      <c r="M978" t="n">
        <v>0</v>
      </c>
      <c r="N978" t="n">
        <v>0</v>
      </c>
      <c r="O978" t="n">
        <v>0</v>
      </c>
      <c r="P978" t="n">
        <v>0</v>
      </c>
      <c r="Q978" t="n">
        <v>0</v>
      </c>
      <c r="R978" s="2" t="inlineStr"/>
    </row>
    <row r="979" ht="15" customHeight="1">
      <c r="A979" t="inlineStr">
        <is>
          <t>A 11603-2025</t>
        </is>
      </c>
      <c r="B979" s="1" t="n">
        <v>45727</v>
      </c>
      <c r="C979" s="1" t="n">
        <v>46188</v>
      </c>
      <c r="D979" t="inlineStr">
        <is>
          <t>SKÅNE LÄN</t>
        </is>
      </c>
      <c r="E979" t="inlineStr">
        <is>
          <t>HÄSSLEHOLM</t>
        </is>
      </c>
      <c r="G979" t="n">
        <v>5.6</v>
      </c>
      <c r="H979" t="n">
        <v>0</v>
      </c>
      <c r="I979" t="n">
        <v>0</v>
      </c>
      <c r="J979" t="n">
        <v>0</v>
      </c>
      <c r="K979" t="n">
        <v>0</v>
      </c>
      <c r="L979" t="n">
        <v>0</v>
      </c>
      <c r="M979" t="n">
        <v>0</v>
      </c>
      <c r="N979" t="n">
        <v>0</v>
      </c>
      <c r="O979" t="n">
        <v>0</v>
      </c>
      <c r="P979" t="n">
        <v>0</v>
      </c>
      <c r="Q979" t="n">
        <v>0</v>
      </c>
      <c r="R979" s="2" t="inlineStr"/>
    </row>
    <row r="980" ht="15" customHeight="1">
      <c r="A980" t="inlineStr">
        <is>
          <t>A 25206-2023</t>
        </is>
      </c>
      <c r="B980" s="1" t="n">
        <v>45086.59318287037</v>
      </c>
      <c r="C980" s="1" t="n">
        <v>46188</v>
      </c>
      <c r="D980" t="inlineStr">
        <is>
          <t>SKÅNE LÄN</t>
        </is>
      </c>
      <c r="E980" t="inlineStr">
        <is>
          <t>HÄSSLEHOLM</t>
        </is>
      </c>
      <c r="G980" t="n">
        <v>2.9</v>
      </c>
      <c r="H980" t="n">
        <v>0</v>
      </c>
      <c r="I980" t="n">
        <v>0</v>
      </c>
      <c r="J980" t="n">
        <v>0</v>
      </c>
      <c r="K980" t="n">
        <v>0</v>
      </c>
      <c r="L980" t="n">
        <v>0</v>
      </c>
      <c r="M980" t="n">
        <v>0</v>
      </c>
      <c r="N980" t="n">
        <v>0</v>
      </c>
      <c r="O980" t="n">
        <v>0</v>
      </c>
      <c r="P980" t="n">
        <v>0</v>
      </c>
      <c r="Q980" t="n">
        <v>0</v>
      </c>
      <c r="R980" s="2" t="inlineStr"/>
    </row>
    <row r="981" ht="15" customHeight="1">
      <c r="A981" t="inlineStr">
        <is>
          <t>A 25221-2023</t>
        </is>
      </c>
      <c r="B981" s="1" t="n">
        <v>45086.60842592592</v>
      </c>
      <c r="C981" s="1" t="n">
        <v>46188</v>
      </c>
      <c r="D981" t="inlineStr">
        <is>
          <t>SKÅNE LÄN</t>
        </is>
      </c>
      <c r="E981" t="inlineStr">
        <is>
          <t>HÄSSLEHOLM</t>
        </is>
      </c>
      <c r="G981" t="n">
        <v>2.5</v>
      </c>
      <c r="H981" t="n">
        <v>0</v>
      </c>
      <c r="I981" t="n">
        <v>0</v>
      </c>
      <c r="J981" t="n">
        <v>0</v>
      </c>
      <c r="K981" t="n">
        <v>0</v>
      </c>
      <c r="L981" t="n">
        <v>0</v>
      </c>
      <c r="M981" t="n">
        <v>0</v>
      </c>
      <c r="N981" t="n">
        <v>0</v>
      </c>
      <c r="O981" t="n">
        <v>0</v>
      </c>
      <c r="P981" t="n">
        <v>0</v>
      </c>
      <c r="Q981" t="n">
        <v>0</v>
      </c>
      <c r="R981" s="2" t="inlineStr"/>
    </row>
    <row r="982" ht="15" customHeight="1">
      <c r="A982" t="inlineStr">
        <is>
          <t>A 57272-2023</t>
        </is>
      </c>
      <c r="B982" s="1" t="n">
        <v>45245</v>
      </c>
      <c r="C982" s="1" t="n">
        <v>46188</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13856-2025</t>
        </is>
      </c>
      <c r="B983" s="1" t="n">
        <v>45737.57289351852</v>
      </c>
      <c r="C983" s="1" t="n">
        <v>46188</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48889-2024</t>
        </is>
      </c>
      <c r="B984" s="1" t="n">
        <v>45594.33754629629</v>
      </c>
      <c r="C984" s="1" t="n">
        <v>46188</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8263-2025</t>
        </is>
      </c>
      <c r="B985" s="1" t="n">
        <v>45708.50398148148</v>
      </c>
      <c r="C985" s="1" t="n">
        <v>46188</v>
      </c>
      <c r="D985" t="inlineStr">
        <is>
          <t>SKÅNE LÄN</t>
        </is>
      </c>
      <c r="E985" t="inlineStr">
        <is>
          <t>HÄSSLEHOLM</t>
        </is>
      </c>
      <c r="G985" t="n">
        <v>2.9</v>
      </c>
      <c r="H985" t="n">
        <v>0</v>
      </c>
      <c r="I985" t="n">
        <v>0</v>
      </c>
      <c r="J985" t="n">
        <v>0</v>
      </c>
      <c r="K985" t="n">
        <v>0</v>
      </c>
      <c r="L985" t="n">
        <v>0</v>
      </c>
      <c r="M985" t="n">
        <v>0</v>
      </c>
      <c r="N985" t="n">
        <v>0</v>
      </c>
      <c r="O985" t="n">
        <v>0</v>
      </c>
      <c r="P985" t="n">
        <v>0</v>
      </c>
      <c r="Q985" t="n">
        <v>0</v>
      </c>
      <c r="R985" s="2" t="inlineStr"/>
    </row>
    <row r="986" ht="15" customHeight="1">
      <c r="A986" t="inlineStr">
        <is>
          <t>A 29275-2023</t>
        </is>
      </c>
      <c r="B986" s="1" t="n">
        <v>45105</v>
      </c>
      <c r="C986" s="1" t="n">
        <v>46188</v>
      </c>
      <c r="D986" t="inlineStr">
        <is>
          <t>SKÅNE LÄN</t>
        </is>
      </c>
      <c r="E986" t="inlineStr">
        <is>
          <t>HÄSSLEHOLM</t>
        </is>
      </c>
      <c r="G986" t="n">
        <v>2.1</v>
      </c>
      <c r="H986" t="n">
        <v>0</v>
      </c>
      <c r="I986" t="n">
        <v>0</v>
      </c>
      <c r="J986" t="n">
        <v>0</v>
      </c>
      <c r="K986" t="n">
        <v>0</v>
      </c>
      <c r="L986" t="n">
        <v>0</v>
      </c>
      <c r="M986" t="n">
        <v>0</v>
      </c>
      <c r="N986" t="n">
        <v>0</v>
      </c>
      <c r="O986" t="n">
        <v>0</v>
      </c>
      <c r="P986" t="n">
        <v>0</v>
      </c>
      <c r="Q986" t="n">
        <v>0</v>
      </c>
      <c r="R986" s="2" t="inlineStr"/>
    </row>
    <row r="987" ht="15" customHeight="1">
      <c r="A987" t="inlineStr">
        <is>
          <t>A 13018-2024</t>
        </is>
      </c>
      <c r="B987" s="1" t="n">
        <v>45385.58274305556</v>
      </c>
      <c r="C987" s="1" t="n">
        <v>46188</v>
      </c>
      <c r="D987" t="inlineStr">
        <is>
          <t>SKÅNE LÄN</t>
        </is>
      </c>
      <c r="E987" t="inlineStr">
        <is>
          <t>HÄSSLEHOLM</t>
        </is>
      </c>
      <c r="G987" t="n">
        <v>4.8</v>
      </c>
      <c r="H987" t="n">
        <v>0</v>
      </c>
      <c r="I987" t="n">
        <v>0</v>
      </c>
      <c r="J987" t="n">
        <v>0</v>
      </c>
      <c r="K987" t="n">
        <v>0</v>
      </c>
      <c r="L987" t="n">
        <v>0</v>
      </c>
      <c r="M987" t="n">
        <v>0</v>
      </c>
      <c r="N987" t="n">
        <v>0</v>
      </c>
      <c r="O987" t="n">
        <v>0</v>
      </c>
      <c r="P987" t="n">
        <v>0</v>
      </c>
      <c r="Q987" t="n">
        <v>0</v>
      </c>
      <c r="R987" s="2" t="inlineStr"/>
    </row>
    <row r="988" ht="15" customHeight="1">
      <c r="A988" t="inlineStr">
        <is>
          <t>A 22595-2024</t>
        </is>
      </c>
      <c r="B988" s="1" t="n">
        <v>45447.61053240741</v>
      </c>
      <c r="C988" s="1" t="n">
        <v>46188</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20279-2025</t>
        </is>
      </c>
      <c r="B989" s="1" t="n">
        <v>45774.38643518519</v>
      </c>
      <c r="C989" s="1" t="n">
        <v>46188</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59431-2023</t>
        </is>
      </c>
      <c r="B990" s="1" t="n">
        <v>45254.29207175926</v>
      </c>
      <c r="C990" s="1" t="n">
        <v>46188</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59433-2023</t>
        </is>
      </c>
      <c r="B991" s="1" t="n">
        <v>45254.29768518519</v>
      </c>
      <c r="C991" s="1" t="n">
        <v>46188</v>
      </c>
      <c r="D991" t="inlineStr">
        <is>
          <t>SKÅNE LÄN</t>
        </is>
      </c>
      <c r="E991" t="inlineStr">
        <is>
          <t>HÄSSLEHOLM</t>
        </is>
      </c>
      <c r="G991" t="n">
        <v>3.1</v>
      </c>
      <c r="H991" t="n">
        <v>0</v>
      </c>
      <c r="I991" t="n">
        <v>0</v>
      </c>
      <c r="J991" t="n">
        <v>0</v>
      </c>
      <c r="K991" t="n">
        <v>0</v>
      </c>
      <c r="L991" t="n">
        <v>0</v>
      </c>
      <c r="M991" t="n">
        <v>0</v>
      </c>
      <c r="N991" t="n">
        <v>0</v>
      </c>
      <c r="O991" t="n">
        <v>0</v>
      </c>
      <c r="P991" t="n">
        <v>0</v>
      </c>
      <c r="Q991" t="n">
        <v>0</v>
      </c>
      <c r="R991" s="2" t="inlineStr"/>
    </row>
    <row r="992" ht="15" customHeight="1">
      <c r="A992" t="inlineStr">
        <is>
          <t>A 55416-2021</t>
        </is>
      </c>
      <c r="B992" s="1" t="n">
        <v>44475</v>
      </c>
      <c r="C992" s="1" t="n">
        <v>46188</v>
      </c>
      <c r="D992" t="inlineStr">
        <is>
          <t>SKÅNE LÄN</t>
        </is>
      </c>
      <c r="E992" t="inlineStr">
        <is>
          <t>HÄSSLEHOLM</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4579-2025</t>
        </is>
      </c>
      <c r="B993" s="1" t="n">
        <v>45687.5009375</v>
      </c>
      <c r="C993" s="1" t="n">
        <v>46188</v>
      </c>
      <c r="D993" t="inlineStr">
        <is>
          <t>SKÅNE LÄN</t>
        </is>
      </c>
      <c r="E993" t="inlineStr">
        <is>
          <t>HÄSSLEHOLM</t>
        </is>
      </c>
      <c r="G993" t="n">
        <v>2.8</v>
      </c>
      <c r="H993" t="n">
        <v>0</v>
      </c>
      <c r="I993" t="n">
        <v>0</v>
      </c>
      <c r="J993" t="n">
        <v>0</v>
      </c>
      <c r="K993" t="n">
        <v>0</v>
      </c>
      <c r="L993" t="n">
        <v>0</v>
      </c>
      <c r="M993" t="n">
        <v>0</v>
      </c>
      <c r="N993" t="n">
        <v>0</v>
      </c>
      <c r="O993" t="n">
        <v>0</v>
      </c>
      <c r="P993" t="n">
        <v>0</v>
      </c>
      <c r="Q993" t="n">
        <v>0</v>
      </c>
      <c r="R993" s="2" t="inlineStr"/>
    </row>
    <row r="994" ht="15" customHeight="1">
      <c r="A994" t="inlineStr">
        <is>
          <t>A 21141-2024</t>
        </is>
      </c>
      <c r="B994" s="1" t="n">
        <v>45440.39012731481</v>
      </c>
      <c r="C994" s="1" t="n">
        <v>46188</v>
      </c>
      <c r="D994" t="inlineStr">
        <is>
          <t>SKÅNE LÄN</t>
        </is>
      </c>
      <c r="E994" t="inlineStr">
        <is>
          <t>HÄSSLEHOLM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36240-2023</t>
        </is>
      </c>
      <c r="B995" s="1" t="n">
        <v>45150.89295138889</v>
      </c>
      <c r="C995" s="1" t="n">
        <v>46188</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12469-2023</t>
        </is>
      </c>
      <c r="B996" s="1" t="n">
        <v>44999.62109953703</v>
      </c>
      <c r="C996" s="1" t="n">
        <v>46188</v>
      </c>
      <c r="D996" t="inlineStr">
        <is>
          <t>SKÅNE LÄN</t>
        </is>
      </c>
      <c r="E996" t="inlineStr">
        <is>
          <t>HÄSSLEHOLM</t>
        </is>
      </c>
      <c r="G996" t="n">
        <v>2.6</v>
      </c>
      <c r="H996" t="n">
        <v>0</v>
      </c>
      <c r="I996" t="n">
        <v>0</v>
      </c>
      <c r="J996" t="n">
        <v>0</v>
      </c>
      <c r="K996" t="n">
        <v>0</v>
      </c>
      <c r="L996" t="n">
        <v>0</v>
      </c>
      <c r="M996" t="n">
        <v>0</v>
      </c>
      <c r="N996" t="n">
        <v>0</v>
      </c>
      <c r="O996" t="n">
        <v>0</v>
      </c>
      <c r="P996" t="n">
        <v>0</v>
      </c>
      <c r="Q996" t="n">
        <v>0</v>
      </c>
      <c r="R996" s="2" t="inlineStr"/>
    </row>
    <row r="997" ht="15" customHeight="1">
      <c r="A997" t="inlineStr">
        <is>
          <t>A 45400-2022</t>
        </is>
      </c>
      <c r="B997" s="1" t="n">
        <v>44844.713125</v>
      </c>
      <c r="C997" s="1" t="n">
        <v>46188</v>
      </c>
      <c r="D997" t="inlineStr">
        <is>
          <t>SKÅNE LÄN</t>
        </is>
      </c>
      <c r="E997" t="inlineStr">
        <is>
          <t>HÄSSLEHOLM</t>
        </is>
      </c>
      <c r="G997" t="n">
        <v>1.6</v>
      </c>
      <c r="H997" t="n">
        <v>0</v>
      </c>
      <c r="I997" t="n">
        <v>0</v>
      </c>
      <c r="J997" t="n">
        <v>0</v>
      </c>
      <c r="K997" t="n">
        <v>0</v>
      </c>
      <c r="L997" t="n">
        <v>0</v>
      </c>
      <c r="M997" t="n">
        <v>0</v>
      </c>
      <c r="N997" t="n">
        <v>0</v>
      </c>
      <c r="O997" t="n">
        <v>0</v>
      </c>
      <c r="P997" t="n">
        <v>0</v>
      </c>
      <c r="Q997" t="n">
        <v>0</v>
      </c>
      <c r="R997" s="2" t="inlineStr"/>
    </row>
    <row r="998" ht="15" customHeight="1">
      <c r="A998" t="inlineStr">
        <is>
          <t>A 13961-2023</t>
        </is>
      </c>
      <c r="B998" s="1" t="n">
        <v>45008</v>
      </c>
      <c r="C998" s="1" t="n">
        <v>46188</v>
      </c>
      <c r="D998" t="inlineStr">
        <is>
          <t>SKÅNE LÄN</t>
        </is>
      </c>
      <c r="E998" t="inlineStr">
        <is>
          <t>HÄSSLEHOLM</t>
        </is>
      </c>
      <c r="G998" t="n">
        <v>3.8</v>
      </c>
      <c r="H998" t="n">
        <v>0</v>
      </c>
      <c r="I998" t="n">
        <v>0</v>
      </c>
      <c r="J998" t="n">
        <v>0</v>
      </c>
      <c r="K998" t="n">
        <v>0</v>
      </c>
      <c r="L998" t="n">
        <v>0</v>
      </c>
      <c r="M998" t="n">
        <v>0</v>
      </c>
      <c r="N998" t="n">
        <v>0</v>
      </c>
      <c r="O998" t="n">
        <v>0</v>
      </c>
      <c r="P998" t="n">
        <v>0</v>
      </c>
      <c r="Q998" t="n">
        <v>0</v>
      </c>
      <c r="R998" s="2" t="inlineStr"/>
    </row>
    <row r="999" ht="15" customHeight="1">
      <c r="A999" t="inlineStr">
        <is>
          <t>A 7581-2023</t>
        </is>
      </c>
      <c r="B999" s="1" t="n">
        <v>44972.39556712963</v>
      </c>
      <c r="C999" s="1" t="n">
        <v>46188</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48191-2021</t>
        </is>
      </c>
      <c r="B1000" s="1" t="n">
        <v>44449</v>
      </c>
      <c r="C1000" s="1" t="n">
        <v>46188</v>
      </c>
      <c r="D1000" t="inlineStr">
        <is>
          <t>SKÅNE LÄN</t>
        </is>
      </c>
      <c r="E1000" t="inlineStr">
        <is>
          <t>HÄSSLEHOLM</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5282-2023</t>
        </is>
      </c>
      <c r="B1001" s="1" t="n">
        <v>44959.50471064815</v>
      </c>
      <c r="C1001" s="1" t="n">
        <v>46188</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52548-2023</t>
        </is>
      </c>
      <c r="B1002" s="1" t="n">
        <v>45218</v>
      </c>
      <c r="C1002" s="1" t="n">
        <v>46188</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12503-2022</t>
        </is>
      </c>
      <c r="B1003" s="1" t="n">
        <v>44638</v>
      </c>
      <c r="C1003" s="1" t="n">
        <v>46188</v>
      </c>
      <c r="D1003" t="inlineStr">
        <is>
          <t>SKÅNE LÄN</t>
        </is>
      </c>
      <c r="E1003" t="inlineStr">
        <is>
          <t>HÄSSLEHOLM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9485-2023</t>
        </is>
      </c>
      <c r="B1004" s="1" t="n">
        <v>44981.60901620371</v>
      </c>
      <c r="C1004" s="1" t="n">
        <v>46188</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54777-2022</t>
        </is>
      </c>
      <c r="B1005" s="1" t="n">
        <v>44883</v>
      </c>
      <c r="C1005" s="1" t="n">
        <v>46188</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61929-2023</t>
        </is>
      </c>
      <c r="B1006" s="1" t="n">
        <v>45266</v>
      </c>
      <c r="C1006" s="1" t="n">
        <v>46188</v>
      </c>
      <c r="D1006" t="inlineStr">
        <is>
          <t>SKÅNE LÄN</t>
        </is>
      </c>
      <c r="E1006" t="inlineStr">
        <is>
          <t>HÄSSLEHOLM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13555-2025</t>
        </is>
      </c>
      <c r="B1007" s="1" t="n">
        <v>45736</v>
      </c>
      <c r="C1007" s="1" t="n">
        <v>46188</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44940-2023</t>
        </is>
      </c>
      <c r="B1008" s="1" t="n">
        <v>45190.68653935185</v>
      </c>
      <c r="C1008" s="1" t="n">
        <v>46188</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25533-2024</t>
        </is>
      </c>
      <c r="B1009" s="1" t="n">
        <v>45463</v>
      </c>
      <c r="C1009" s="1" t="n">
        <v>46188</v>
      </c>
      <c r="D1009" t="inlineStr">
        <is>
          <t>SKÅNE LÄN</t>
        </is>
      </c>
      <c r="E1009" t="inlineStr">
        <is>
          <t>HÄSSLEHOLM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61498-2022</t>
        </is>
      </c>
      <c r="B1010" s="1" t="n">
        <v>44910</v>
      </c>
      <c r="C1010" s="1" t="n">
        <v>46188</v>
      </c>
      <c r="D1010" t="inlineStr">
        <is>
          <t>SKÅNE LÄN</t>
        </is>
      </c>
      <c r="E1010" t="inlineStr">
        <is>
          <t>HÄSSLEHOLM</t>
        </is>
      </c>
      <c r="F1010" t="inlineStr">
        <is>
          <t>Kyrkan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22696-2023</t>
        </is>
      </c>
      <c r="B1011" s="1" t="n">
        <v>45071.69464120371</v>
      </c>
      <c r="C1011" s="1" t="n">
        <v>46188</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52337-2023</t>
        </is>
      </c>
      <c r="B1012" s="1" t="n">
        <v>45224.66359953704</v>
      </c>
      <c r="C1012" s="1" t="n">
        <v>46188</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23955-2023</t>
        </is>
      </c>
      <c r="B1013" s="1" t="n">
        <v>45078.62217592593</v>
      </c>
      <c r="C1013" s="1" t="n">
        <v>46188</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10897-2023</t>
        </is>
      </c>
      <c r="B1014" s="1" t="n">
        <v>44985</v>
      </c>
      <c r="C1014" s="1" t="n">
        <v>46188</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50571-2023</t>
        </is>
      </c>
      <c r="B1015" s="1" t="n">
        <v>45217.38359953704</v>
      </c>
      <c r="C1015" s="1" t="n">
        <v>46188</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18908-2023</t>
        </is>
      </c>
      <c r="B1016" s="1" t="n">
        <v>45044</v>
      </c>
      <c r="C1016" s="1" t="n">
        <v>46188</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10028-2024</t>
        </is>
      </c>
      <c r="B1017" s="1" t="n">
        <v>45363.97292824074</v>
      </c>
      <c r="C1017" s="1" t="n">
        <v>46188</v>
      </c>
      <c r="D1017" t="inlineStr">
        <is>
          <t>SKÅNE LÄN</t>
        </is>
      </c>
      <c r="E1017" t="inlineStr">
        <is>
          <t>HÄSSLEHOLM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13084-2025</t>
        </is>
      </c>
      <c r="B1018" s="1" t="n">
        <v>45734</v>
      </c>
      <c r="C1018" s="1" t="n">
        <v>46188</v>
      </c>
      <c r="D1018" t="inlineStr">
        <is>
          <t>SKÅNE LÄN</t>
        </is>
      </c>
      <c r="E1018" t="inlineStr">
        <is>
          <t>HÄSSLEHOLM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46000-2021</t>
        </is>
      </c>
      <c r="B1019" s="1" t="n">
        <v>44441</v>
      </c>
      <c r="C1019" s="1" t="n">
        <v>46188</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4009-2024</t>
        </is>
      </c>
      <c r="B1020" s="1" t="n">
        <v>45323</v>
      </c>
      <c r="C1020" s="1" t="n">
        <v>46188</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10928-2024</t>
        </is>
      </c>
      <c r="B1021" s="1" t="n">
        <v>45370</v>
      </c>
      <c r="C1021" s="1" t="n">
        <v>46188</v>
      </c>
      <c r="D1021" t="inlineStr">
        <is>
          <t>SKÅNE LÄN</t>
        </is>
      </c>
      <c r="E1021" t="inlineStr">
        <is>
          <t>HÄSSLEHOLM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10944-2024</t>
        </is>
      </c>
      <c r="B1022" s="1" t="n">
        <v>45370</v>
      </c>
      <c r="C1022" s="1" t="n">
        <v>46188</v>
      </c>
      <c r="D1022" t="inlineStr">
        <is>
          <t>SKÅNE LÄN</t>
        </is>
      </c>
      <c r="E1022" t="inlineStr">
        <is>
          <t>HÄSSLEHOLM</t>
        </is>
      </c>
      <c r="F1022" t="inlineStr">
        <is>
          <t>Övriga Aktiebolag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33466-2024</t>
        </is>
      </c>
      <c r="B1023" s="1" t="n">
        <v>45519</v>
      </c>
      <c r="C1023" s="1" t="n">
        <v>46188</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6612-2024</t>
        </is>
      </c>
      <c r="B1024" s="1" t="n">
        <v>45341.58859953703</v>
      </c>
      <c r="C1024" s="1" t="n">
        <v>46188</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26879-2024</t>
        </is>
      </c>
      <c r="B1025" s="1" t="n">
        <v>45470</v>
      </c>
      <c r="C1025" s="1" t="n">
        <v>46188</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54473-2023</t>
        </is>
      </c>
      <c r="B1026" s="1" t="n">
        <v>45233</v>
      </c>
      <c r="C1026" s="1" t="n">
        <v>46188</v>
      </c>
      <c r="D1026" t="inlineStr">
        <is>
          <t>SKÅNE LÄN</t>
        </is>
      </c>
      <c r="E1026" t="inlineStr">
        <is>
          <t>HÄSSLEHOLM</t>
        </is>
      </c>
      <c r="G1026" t="n">
        <v>24.5</v>
      </c>
      <c r="H1026" t="n">
        <v>0</v>
      </c>
      <c r="I1026" t="n">
        <v>0</v>
      </c>
      <c r="J1026" t="n">
        <v>0</v>
      </c>
      <c r="K1026" t="n">
        <v>0</v>
      </c>
      <c r="L1026" t="n">
        <v>0</v>
      </c>
      <c r="M1026" t="n">
        <v>0</v>
      </c>
      <c r="N1026" t="n">
        <v>0</v>
      </c>
      <c r="O1026" t="n">
        <v>0</v>
      </c>
      <c r="P1026" t="n">
        <v>0</v>
      </c>
      <c r="Q1026" t="n">
        <v>0</v>
      </c>
      <c r="R1026" s="2" t="inlineStr"/>
    </row>
    <row r="1027" ht="15" customHeight="1">
      <c r="A1027" t="inlineStr">
        <is>
          <t>A 11240-2023</t>
        </is>
      </c>
      <c r="B1027" s="1" t="n">
        <v>44992</v>
      </c>
      <c r="C1027" s="1" t="n">
        <v>46188</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16108-2025</t>
        </is>
      </c>
      <c r="B1028" s="1" t="n">
        <v>45750.34667824074</v>
      </c>
      <c r="C1028" s="1" t="n">
        <v>46188</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48326-2023</t>
        </is>
      </c>
      <c r="B1029" s="1" t="n">
        <v>45205</v>
      </c>
      <c r="C1029" s="1" t="n">
        <v>46188</v>
      </c>
      <c r="D1029" t="inlineStr">
        <is>
          <t>SKÅNE LÄN</t>
        </is>
      </c>
      <c r="E1029" t="inlineStr">
        <is>
          <t>HÄSSLEHOLM</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54518-2022</t>
        </is>
      </c>
      <c r="B1030" s="1" t="n">
        <v>44882</v>
      </c>
      <c r="C1030" s="1" t="n">
        <v>46188</v>
      </c>
      <c r="D1030" t="inlineStr">
        <is>
          <t>SKÅNE LÄN</t>
        </is>
      </c>
      <c r="E1030" t="inlineStr">
        <is>
          <t>HÄSSLEHOLM</t>
        </is>
      </c>
      <c r="F1030" t="inlineStr">
        <is>
          <t>Övriga Aktiebolag</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57491-2024</t>
        </is>
      </c>
      <c r="B1031" s="1" t="n">
        <v>45629</v>
      </c>
      <c r="C1031" s="1" t="n">
        <v>46188</v>
      </c>
      <c r="D1031" t="inlineStr">
        <is>
          <t>SKÅNE LÄN</t>
        </is>
      </c>
      <c r="E1031" t="inlineStr">
        <is>
          <t>HÄSSLEHOLM</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52912-2022</t>
        </is>
      </c>
      <c r="B1032" s="1" t="n">
        <v>44872</v>
      </c>
      <c r="C1032" s="1" t="n">
        <v>46188</v>
      </c>
      <c r="D1032" t="inlineStr">
        <is>
          <t>SKÅNE LÄN</t>
        </is>
      </c>
      <c r="E1032" t="inlineStr">
        <is>
          <t>HÄSSLEHOLM</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27502-2023</t>
        </is>
      </c>
      <c r="B1033" s="1" t="n">
        <v>45092</v>
      </c>
      <c r="C1033" s="1" t="n">
        <v>46188</v>
      </c>
      <c r="D1033" t="inlineStr">
        <is>
          <t>SKÅNE LÄN</t>
        </is>
      </c>
      <c r="E1033" t="inlineStr">
        <is>
          <t>HÄSSLEHOLM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6836-2023</t>
        </is>
      </c>
      <c r="B1034" s="1" t="n">
        <v>44967</v>
      </c>
      <c r="C1034" s="1" t="n">
        <v>46188</v>
      </c>
      <c r="D1034" t="inlineStr">
        <is>
          <t>SKÅNE LÄN</t>
        </is>
      </c>
      <c r="E1034" t="inlineStr">
        <is>
          <t>HÄSSLEHOLM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6845-2023</t>
        </is>
      </c>
      <c r="B1035" s="1" t="n">
        <v>44967</v>
      </c>
      <c r="C1035" s="1" t="n">
        <v>46188</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53887-2023</t>
        </is>
      </c>
      <c r="B1036" s="1" t="n">
        <v>45231.52675925926</v>
      </c>
      <c r="C1036" s="1" t="n">
        <v>46188</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21329-2023</t>
        </is>
      </c>
      <c r="B1037" s="1" t="n">
        <v>45062</v>
      </c>
      <c r="C1037" s="1" t="n">
        <v>46188</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18800-2023</t>
        </is>
      </c>
      <c r="B1038" s="1" t="n">
        <v>45044</v>
      </c>
      <c r="C1038" s="1" t="n">
        <v>46188</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25077-2024</t>
        </is>
      </c>
      <c r="B1039" s="1" t="n">
        <v>45462</v>
      </c>
      <c r="C1039" s="1" t="n">
        <v>46188</v>
      </c>
      <c r="D1039" t="inlineStr">
        <is>
          <t>SKÅNE LÄN</t>
        </is>
      </c>
      <c r="E1039" t="inlineStr">
        <is>
          <t>HÄSSLEHOLM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22535-2024</t>
        </is>
      </c>
      <c r="B1040" s="1" t="n">
        <v>45447</v>
      </c>
      <c r="C1040" s="1" t="n">
        <v>46188</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15060-2023</t>
        </is>
      </c>
      <c r="B1041" s="1" t="n">
        <v>45015.69832175926</v>
      </c>
      <c r="C1041" s="1" t="n">
        <v>46188</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4787-2023</t>
        </is>
      </c>
      <c r="B1042" s="1" t="n">
        <v>44957.60079861111</v>
      </c>
      <c r="C1042" s="1" t="n">
        <v>46188</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4788-2023</t>
        </is>
      </c>
      <c r="B1043" s="1" t="n">
        <v>44957.60130787037</v>
      </c>
      <c r="C1043" s="1" t="n">
        <v>46188</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34348-2022</t>
        </is>
      </c>
      <c r="B1044" s="1" t="n">
        <v>44792</v>
      </c>
      <c r="C1044" s="1" t="n">
        <v>46188</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45399-2022</t>
        </is>
      </c>
      <c r="B1045" s="1" t="n">
        <v>44844.70513888889</v>
      </c>
      <c r="C1045" s="1" t="n">
        <v>46188</v>
      </c>
      <c r="D1045" t="inlineStr">
        <is>
          <t>SKÅNE LÄN</t>
        </is>
      </c>
      <c r="E1045" t="inlineStr">
        <is>
          <t>HÄSSLEHOLM</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35640-2023</t>
        </is>
      </c>
      <c r="B1046" s="1" t="n">
        <v>45147</v>
      </c>
      <c r="C1046" s="1" t="n">
        <v>46188</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2681-2024</t>
        </is>
      </c>
      <c r="B1047" s="1" t="n">
        <v>45314</v>
      </c>
      <c r="C1047" s="1" t="n">
        <v>46188</v>
      </c>
      <c r="D1047" t="inlineStr">
        <is>
          <t>SKÅNE LÄN</t>
        </is>
      </c>
      <c r="E1047" t="inlineStr">
        <is>
          <t>HÄSSLEHOLM</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27177-2024</t>
        </is>
      </c>
      <c r="B1048" s="1" t="n">
        <v>45471.57201388889</v>
      </c>
      <c r="C1048" s="1" t="n">
        <v>46188</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49219-2024</t>
        </is>
      </c>
      <c r="B1049" s="1" t="n">
        <v>45595.40923611111</v>
      </c>
      <c r="C1049" s="1" t="n">
        <v>46188</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13646-2024</t>
        </is>
      </c>
      <c r="B1050" s="1" t="n">
        <v>45387</v>
      </c>
      <c r="C1050" s="1" t="n">
        <v>46188</v>
      </c>
      <c r="D1050" t="inlineStr">
        <is>
          <t>SKÅNE LÄN</t>
        </is>
      </c>
      <c r="E1050" t="inlineStr">
        <is>
          <t>HÄSSLEHOLM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4750-2024</t>
        </is>
      </c>
      <c r="B1051" s="1" t="n">
        <v>45328</v>
      </c>
      <c r="C1051" s="1" t="n">
        <v>46188</v>
      </c>
      <c r="D1051" t="inlineStr">
        <is>
          <t>SKÅNE LÄN</t>
        </is>
      </c>
      <c r="E1051" t="inlineStr">
        <is>
          <t>HÄSSLEHOLM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58891-2022</t>
        </is>
      </c>
      <c r="B1052" s="1" t="n">
        <v>44896</v>
      </c>
      <c r="C1052" s="1" t="n">
        <v>46188</v>
      </c>
      <c r="D1052" t="inlineStr">
        <is>
          <t>SKÅNE LÄN</t>
        </is>
      </c>
      <c r="E1052" t="inlineStr">
        <is>
          <t>HÄSSLEHOLM</t>
        </is>
      </c>
      <c r="F1052" t="inlineStr">
        <is>
          <t>Kyrkan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36568-2024</t>
        </is>
      </c>
      <c r="B1053" s="1" t="n">
        <v>45537</v>
      </c>
      <c r="C1053" s="1" t="n">
        <v>46188</v>
      </c>
      <c r="D1053" t="inlineStr">
        <is>
          <t>SKÅNE LÄN</t>
        </is>
      </c>
      <c r="E1053" t="inlineStr">
        <is>
          <t>HÄSSLEHOLM</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9323-2025</t>
        </is>
      </c>
      <c r="B1054" s="1" t="n">
        <v>45714.73532407408</v>
      </c>
      <c r="C1054" s="1" t="n">
        <v>46188</v>
      </c>
      <c r="D1054" t="inlineStr">
        <is>
          <t>SKÅNE LÄN</t>
        </is>
      </c>
      <c r="E1054" t="inlineStr">
        <is>
          <t>HÄSSLEHOLM</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19593-2023</t>
        </is>
      </c>
      <c r="B1055" s="1" t="n">
        <v>45050.75895833333</v>
      </c>
      <c r="C1055" s="1" t="n">
        <v>46188</v>
      </c>
      <c r="D1055" t="inlineStr">
        <is>
          <t>SKÅNE LÄN</t>
        </is>
      </c>
      <c r="E1055" t="inlineStr">
        <is>
          <t>HÄSSLEHOLM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16017-2023</t>
        </is>
      </c>
      <c r="B1056" s="1" t="n">
        <v>45026</v>
      </c>
      <c r="C1056" s="1" t="n">
        <v>46188</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524-2024</t>
        </is>
      </c>
      <c r="B1057" s="1" t="n">
        <v>45299</v>
      </c>
      <c r="C1057" s="1" t="n">
        <v>46188</v>
      </c>
      <c r="D1057" t="inlineStr">
        <is>
          <t>SKÅNE LÄN</t>
        </is>
      </c>
      <c r="E1057" t="inlineStr">
        <is>
          <t>HÄSSLEHOLM</t>
        </is>
      </c>
      <c r="G1057" t="n">
        <v>29.4</v>
      </c>
      <c r="H1057" t="n">
        <v>0</v>
      </c>
      <c r="I1057" t="n">
        <v>0</v>
      </c>
      <c r="J1057" t="n">
        <v>0</v>
      </c>
      <c r="K1057" t="n">
        <v>0</v>
      </c>
      <c r="L1057" t="n">
        <v>0</v>
      </c>
      <c r="M1057" t="n">
        <v>0</v>
      </c>
      <c r="N1057" t="n">
        <v>0</v>
      </c>
      <c r="O1057" t="n">
        <v>0</v>
      </c>
      <c r="P1057" t="n">
        <v>0</v>
      </c>
      <c r="Q1057" t="n">
        <v>0</v>
      </c>
      <c r="R1057" s="2" t="inlineStr"/>
    </row>
    <row r="1058" ht="15" customHeight="1">
      <c r="A1058" t="inlineStr">
        <is>
          <t>A 9394-2025</t>
        </is>
      </c>
      <c r="B1058" s="1" t="n">
        <v>45715.36387731481</v>
      </c>
      <c r="C1058" s="1" t="n">
        <v>46188</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39223-2024</t>
        </is>
      </c>
      <c r="B1059" s="1" t="n">
        <v>45550</v>
      </c>
      <c r="C1059" s="1" t="n">
        <v>46188</v>
      </c>
      <c r="D1059" t="inlineStr">
        <is>
          <t>SKÅNE LÄN</t>
        </is>
      </c>
      <c r="E1059" t="inlineStr">
        <is>
          <t>HÄSSLEHOLM</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27304-2023</t>
        </is>
      </c>
      <c r="B1060" s="1" t="n">
        <v>45096.65199074074</v>
      </c>
      <c r="C1060" s="1" t="n">
        <v>46188</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22693-2022</t>
        </is>
      </c>
      <c r="B1061" s="1" t="n">
        <v>44714.54729166667</v>
      </c>
      <c r="C1061" s="1" t="n">
        <v>46188</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15104-2023</t>
        </is>
      </c>
      <c r="B1062" s="1" t="n">
        <v>45016.40576388889</v>
      </c>
      <c r="C1062" s="1" t="n">
        <v>46188</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12507-2022</t>
        </is>
      </c>
      <c r="B1063" s="1" t="n">
        <v>44638</v>
      </c>
      <c r="C1063" s="1" t="n">
        <v>46188</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2597-2024</t>
        </is>
      </c>
      <c r="B1064" s="1" t="n">
        <v>45313</v>
      </c>
      <c r="C1064" s="1" t="n">
        <v>46188</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3531-2023</t>
        </is>
      </c>
      <c r="B1065" s="1" t="n">
        <v>44950</v>
      </c>
      <c r="C1065" s="1" t="n">
        <v>46188</v>
      </c>
      <c r="D1065" t="inlineStr">
        <is>
          <t>SKÅNE LÄN</t>
        </is>
      </c>
      <c r="E1065" t="inlineStr">
        <is>
          <t>HÄSSLEHOLM</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15417-2022</t>
        </is>
      </c>
      <c r="B1066" s="1" t="n">
        <v>44659</v>
      </c>
      <c r="C1066" s="1" t="n">
        <v>46188</v>
      </c>
      <c r="D1066" t="inlineStr">
        <is>
          <t>SKÅNE LÄN</t>
        </is>
      </c>
      <c r="E1066" t="inlineStr">
        <is>
          <t>HÄSSLEHOLM</t>
        </is>
      </c>
      <c r="F1066" t="inlineStr">
        <is>
          <t>Kyrkan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44262-2021</t>
        </is>
      </c>
      <c r="B1067" s="1" t="n">
        <v>44434</v>
      </c>
      <c r="C1067" s="1" t="n">
        <v>46188</v>
      </c>
      <c r="D1067" t="inlineStr">
        <is>
          <t>SKÅNE LÄN</t>
        </is>
      </c>
      <c r="E1067" t="inlineStr">
        <is>
          <t>HÄSSLEHOLM</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50659-2023</t>
        </is>
      </c>
      <c r="B1068" s="1" t="n">
        <v>45217</v>
      </c>
      <c r="C1068" s="1" t="n">
        <v>46188</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67801-2021</t>
        </is>
      </c>
      <c r="B1069" s="1" t="n">
        <v>44525</v>
      </c>
      <c r="C1069" s="1" t="n">
        <v>46188</v>
      </c>
      <c r="D1069" t="inlineStr">
        <is>
          <t>SKÅNE LÄN</t>
        </is>
      </c>
      <c r="E1069" t="inlineStr">
        <is>
          <t>HÄSSLEHOLM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2144-2023</t>
        </is>
      </c>
      <c r="B1070" s="1" t="n">
        <v>44940.79054398148</v>
      </c>
      <c r="C1070" s="1" t="n">
        <v>46188</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7202-2022</t>
        </is>
      </c>
      <c r="B1071" s="1" t="n">
        <v>44606</v>
      </c>
      <c r="C1071" s="1" t="n">
        <v>46188</v>
      </c>
      <c r="D1071" t="inlineStr">
        <is>
          <t>SKÅNE LÄN</t>
        </is>
      </c>
      <c r="E1071" t="inlineStr">
        <is>
          <t>HÄSSLEHOLM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21494-2023</t>
        </is>
      </c>
      <c r="B1072" s="1" t="n">
        <v>45063</v>
      </c>
      <c r="C1072" s="1" t="n">
        <v>46188</v>
      </c>
      <c r="D1072" t="inlineStr">
        <is>
          <t>SKÅNE LÄN</t>
        </is>
      </c>
      <c r="E1072" t="inlineStr">
        <is>
          <t>HÄSSLEHOLM</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21495-2023</t>
        </is>
      </c>
      <c r="B1073" s="1" t="n">
        <v>45063</v>
      </c>
      <c r="C1073" s="1" t="n">
        <v>46188</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46188</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46188</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34299-2024</t>
        </is>
      </c>
      <c r="B1076" s="1" t="n">
        <v>45524</v>
      </c>
      <c r="C1076" s="1" t="n">
        <v>46188</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9697-2023</t>
        </is>
      </c>
      <c r="B1077" s="1" t="n">
        <v>44984</v>
      </c>
      <c r="C1077" s="1" t="n">
        <v>46188</v>
      </c>
      <c r="D1077" t="inlineStr">
        <is>
          <t>SKÅNE LÄN</t>
        </is>
      </c>
      <c r="E1077" t="inlineStr">
        <is>
          <t>HÄSSLEHOLM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42232-2022</t>
        </is>
      </c>
      <c r="B1078" s="1" t="n">
        <v>44830.77591435185</v>
      </c>
      <c r="C1078" s="1" t="n">
        <v>46188</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46188</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5894-2023</t>
        </is>
      </c>
      <c r="B1080" s="1" t="n">
        <v>44963.65148148148</v>
      </c>
      <c r="C1080" s="1" t="n">
        <v>46188</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9502-2023</t>
        </is>
      </c>
      <c r="B1081" s="1" t="n">
        <v>44981.63278935185</v>
      </c>
      <c r="C1081" s="1" t="n">
        <v>46188</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46188</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57749-2023</t>
        </is>
      </c>
      <c r="B1083" s="1" t="n">
        <v>45246</v>
      </c>
      <c r="C1083" s="1" t="n">
        <v>46188</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1538-2024</t>
        </is>
      </c>
      <c r="B1084" s="1" t="n">
        <v>45306</v>
      </c>
      <c r="C1084" s="1" t="n">
        <v>46188</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3135-2023</t>
        </is>
      </c>
      <c r="B1085" s="1" t="n">
        <v>44946.51672453704</v>
      </c>
      <c r="C1085" s="1" t="n">
        <v>46188</v>
      </c>
      <c r="D1085" t="inlineStr">
        <is>
          <t>SKÅNE LÄN</t>
        </is>
      </c>
      <c r="E1085" t="inlineStr">
        <is>
          <t>HÄSSLEHOLM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46188</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3507-2024</t>
        </is>
      </c>
      <c r="B1087" s="1" t="n">
        <v>45320.4906712963</v>
      </c>
      <c r="C1087" s="1" t="n">
        <v>46188</v>
      </c>
      <c r="D1087" t="inlineStr">
        <is>
          <t>SKÅNE LÄN</t>
        </is>
      </c>
      <c r="E1087" t="inlineStr">
        <is>
          <t>HÄSSLEHOLM</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49111-2023</t>
        </is>
      </c>
      <c r="B1088" s="1" t="n">
        <v>45210.44464120371</v>
      </c>
      <c r="C1088" s="1" t="n">
        <v>46188</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61178-2022</t>
        </is>
      </c>
      <c r="B1089" s="1" t="n">
        <v>44915</v>
      </c>
      <c r="C1089" s="1" t="n">
        <v>46188</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61185-2022</t>
        </is>
      </c>
      <c r="B1090" s="1" t="n">
        <v>44915</v>
      </c>
      <c r="C1090" s="1" t="n">
        <v>46188</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58915-2023</t>
        </is>
      </c>
      <c r="B1091" s="1" t="n">
        <v>45250</v>
      </c>
      <c r="C1091" s="1" t="n">
        <v>46188</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15508-2023</t>
        </is>
      </c>
      <c r="B1092" s="1" t="n">
        <v>45020.50045138889</v>
      </c>
      <c r="C1092" s="1" t="n">
        <v>46188</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61934-2023</t>
        </is>
      </c>
      <c r="B1093" s="1" t="n">
        <v>45266.54125</v>
      </c>
      <c r="C1093" s="1" t="n">
        <v>46188</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11715-2023</t>
        </is>
      </c>
      <c r="B1094" s="1" t="n">
        <v>44992</v>
      </c>
      <c r="C1094" s="1" t="n">
        <v>46188</v>
      </c>
      <c r="D1094" t="inlineStr">
        <is>
          <t>SKÅNE LÄN</t>
        </is>
      </c>
      <c r="E1094" t="inlineStr">
        <is>
          <t>HÄSSLEHOLM</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46188</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46188</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c r="A1097" t="inlineStr">
        <is>
          <t>A 48663-2024</t>
        </is>
      </c>
      <c r="B1097" s="1" t="n">
        <v>45593.48892361111</v>
      </c>
      <c r="C1097" s="1" t="n">
        <v>46188</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2026-06-15T09:28:48Z</dcterms:created>
  <dcterms:modified xmlns:dcterms="http://purl.org/dc/terms/" xmlns:xsi="http://www.w3.org/2001/XMLSchema-instance" xsi:type="dcterms:W3CDTF">2026-06-15T09:28:49Z</dcterms:modified>
</cp:coreProperties>
</file>