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46063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46063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46063</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46063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46063</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46063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46063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46063</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46063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8253-2025</t>
        </is>
      </c>
      <c r="B11" s="1" t="n">
        <v>45708.49460648148</v>
      </c>
      <c r="C11" s="1" t="n">
        <v>46063</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46063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28736-2025</t>
        </is>
      </c>
      <c r="B13" s="1" t="n">
        <v>45820.3816087963</v>
      </c>
      <c r="C13" s="1" t="n">
        <v>46063</v>
      </c>
      <c r="D13" t="inlineStr">
        <is>
          <t>SKÅNE LÄN</t>
        </is>
      </c>
      <c r="E13" t="inlineStr">
        <is>
          <t>HÄSSLEHOLM</t>
        </is>
      </c>
      <c r="G13" t="n">
        <v>3.9</v>
      </c>
      <c r="H13" t="n">
        <v>1</v>
      </c>
      <c r="I13" t="n">
        <v>1</v>
      </c>
      <c r="J13" t="n">
        <v>0</v>
      </c>
      <c r="K13" t="n">
        <v>0</v>
      </c>
      <c r="L13" t="n">
        <v>0</v>
      </c>
      <c r="M13" t="n">
        <v>0</v>
      </c>
      <c r="N13" t="n">
        <v>0</v>
      </c>
      <c r="O13" t="n">
        <v>0</v>
      </c>
      <c r="P13" t="n">
        <v>0</v>
      </c>
      <c r="Q13" t="n">
        <v>2</v>
      </c>
      <c r="R13" s="2" t="inlineStr">
        <is>
          <t>Blomkålssvamp
Kungsfågel</t>
        </is>
      </c>
      <c r="S13">
        <f>HYPERLINK("https://klasma.github.io/Logging_1293/artfynd/A 28736-2025 artfynd.xlsx", "A 28736-2025")</f>
        <v/>
      </c>
      <c r="T13">
        <f>HYPERLINK("https://klasma.github.io/Logging_1293/kartor/A 28736-2025 karta.png", "A 28736-2025")</f>
        <v/>
      </c>
      <c r="V13">
        <f>HYPERLINK("https://klasma.github.io/Logging_1293/klagomål/A 28736-2025 FSC-klagomål.docx", "A 28736-2025")</f>
        <v/>
      </c>
      <c r="W13">
        <f>HYPERLINK("https://klasma.github.io/Logging_1293/klagomålsmail/A 28736-2025 FSC-klagomål mail.docx", "A 28736-2025")</f>
        <v/>
      </c>
      <c r="X13">
        <f>HYPERLINK("https://klasma.github.io/Logging_1293/tillsyn/A 28736-2025 tillsynsbegäran.docx", "A 28736-2025")</f>
        <v/>
      </c>
      <c r="Y13">
        <f>HYPERLINK("https://klasma.github.io/Logging_1293/tillsynsmail/A 28736-2025 tillsynsbegäran mail.docx", "A 28736-2025")</f>
        <v/>
      </c>
      <c r="Z13">
        <f>HYPERLINK("https://klasma.github.io/Logging_1293/fåglar/A 28736-2025 prioriterade fågelarter.docx", "A 28736-2025")</f>
        <v/>
      </c>
    </row>
    <row r="14" ht="15" customHeight="1">
      <c r="A14" t="inlineStr">
        <is>
          <t>A 4595-2025</t>
        </is>
      </c>
      <c r="B14" s="1" t="n">
        <v>45687</v>
      </c>
      <c r="C14" s="1" t="n">
        <v>46063</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46063</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46063</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13705-2022</t>
        </is>
      </c>
      <c r="B17" s="1" t="n">
        <v>44648</v>
      </c>
      <c r="C17" s="1" t="n">
        <v>46063</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46602-2023</t>
        </is>
      </c>
      <c r="B18" s="1" t="n">
        <v>45194</v>
      </c>
      <c r="C18" s="1" t="n">
        <v>46063</v>
      </c>
      <c r="D18" t="inlineStr">
        <is>
          <t>SKÅNE LÄN</t>
        </is>
      </c>
      <c r="E18" t="inlineStr">
        <is>
          <t>HÄSSLEHOLM</t>
        </is>
      </c>
      <c r="G18" t="n">
        <v>7.3</v>
      </c>
      <c r="H18" t="n">
        <v>0</v>
      </c>
      <c r="I18" t="n">
        <v>0</v>
      </c>
      <c r="J18" t="n">
        <v>0</v>
      </c>
      <c r="K18" t="n">
        <v>1</v>
      </c>
      <c r="L18" t="n">
        <v>0</v>
      </c>
      <c r="M18" t="n">
        <v>0</v>
      </c>
      <c r="N18" t="n">
        <v>0</v>
      </c>
      <c r="O18" t="n">
        <v>1</v>
      </c>
      <c r="P18" t="n">
        <v>1</v>
      </c>
      <c r="Q18" t="n">
        <v>1</v>
      </c>
      <c r="R18" s="2" t="inlineStr">
        <is>
          <t>Lungrot</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43874-2022</t>
        </is>
      </c>
      <c r="B19" s="1" t="n">
        <v>44838.44738425926</v>
      </c>
      <c r="C19" s="1" t="n">
        <v>46063</v>
      </c>
      <c r="D19" t="inlineStr">
        <is>
          <t>SKÅNE LÄN</t>
        </is>
      </c>
      <c r="E19" t="inlineStr">
        <is>
          <t>HÄSSLEHOLM</t>
        </is>
      </c>
      <c r="G19" t="n">
        <v>2.1</v>
      </c>
      <c r="H19" t="n">
        <v>0</v>
      </c>
      <c r="I19" t="n">
        <v>0</v>
      </c>
      <c r="J19" t="n">
        <v>1</v>
      </c>
      <c r="K19" t="n">
        <v>0</v>
      </c>
      <c r="L19" t="n">
        <v>0</v>
      </c>
      <c r="M19" t="n">
        <v>0</v>
      </c>
      <c r="N19" t="n">
        <v>0</v>
      </c>
      <c r="O19" t="n">
        <v>1</v>
      </c>
      <c r="P19" t="n">
        <v>0</v>
      </c>
      <c r="Q19" t="n">
        <v>1</v>
      </c>
      <c r="R19" s="2" t="inlineStr">
        <is>
          <t>Igelkott</t>
        </is>
      </c>
      <c r="S19">
        <f>HYPERLINK("https://klasma.github.io/Logging_1293/artfynd/A 43874-2022 artfynd.xlsx", "A 43874-2022")</f>
        <v/>
      </c>
      <c r="T19">
        <f>HYPERLINK("https://klasma.github.io/Logging_1293/kartor/A 43874-2022 karta.png", "A 43874-2022")</f>
        <v/>
      </c>
      <c r="V19">
        <f>HYPERLINK("https://klasma.github.io/Logging_1293/klagomål/A 43874-2022 FSC-klagomål.docx", "A 43874-2022")</f>
        <v/>
      </c>
      <c r="W19">
        <f>HYPERLINK("https://klasma.github.io/Logging_1293/klagomålsmail/A 43874-2022 FSC-klagomål mail.docx", "A 43874-2022")</f>
        <v/>
      </c>
      <c r="X19">
        <f>HYPERLINK("https://klasma.github.io/Logging_1293/tillsyn/A 43874-2022 tillsynsbegäran.docx", "A 43874-2022")</f>
        <v/>
      </c>
      <c r="Y19">
        <f>HYPERLINK("https://klasma.github.io/Logging_1293/tillsynsmail/A 43874-2022 tillsynsbegäran mail.docx", "A 43874-2022")</f>
        <v/>
      </c>
    </row>
    <row r="20" ht="15" customHeight="1">
      <c r="A20" t="inlineStr">
        <is>
          <t>A 4619-2025</t>
        </is>
      </c>
      <c r="B20" s="1" t="n">
        <v>45687</v>
      </c>
      <c r="C20" s="1" t="n">
        <v>46063</v>
      </c>
      <c r="D20" t="inlineStr">
        <is>
          <t>SKÅNE LÄN</t>
        </is>
      </c>
      <c r="E20" t="inlineStr">
        <is>
          <t>HÄSSLEHOLM</t>
        </is>
      </c>
      <c r="G20" t="n">
        <v>2.2</v>
      </c>
      <c r="H20" t="n">
        <v>0</v>
      </c>
      <c r="I20" t="n">
        <v>0</v>
      </c>
      <c r="J20" t="n">
        <v>0</v>
      </c>
      <c r="K20" t="n">
        <v>1</v>
      </c>
      <c r="L20" t="n">
        <v>0</v>
      </c>
      <c r="M20" t="n">
        <v>0</v>
      </c>
      <c r="N20" t="n">
        <v>0</v>
      </c>
      <c r="O20" t="n">
        <v>1</v>
      </c>
      <c r="P20" t="n">
        <v>1</v>
      </c>
      <c r="Q20" t="n">
        <v>1</v>
      </c>
      <c r="R20" s="2" t="inlineStr">
        <is>
          <t>Vildris</t>
        </is>
      </c>
      <c r="S20">
        <f>HYPERLINK("https://klasma.github.io/Logging_1293/artfynd/A 4619-2025 artfynd.xlsx", "A 4619-2025")</f>
        <v/>
      </c>
      <c r="T20">
        <f>HYPERLINK("https://klasma.github.io/Logging_1293/kartor/A 4619-2025 karta.png", "A 4619-2025")</f>
        <v/>
      </c>
      <c r="V20">
        <f>HYPERLINK("https://klasma.github.io/Logging_1293/klagomål/A 4619-2025 FSC-klagomål.docx", "A 4619-2025")</f>
        <v/>
      </c>
      <c r="W20">
        <f>HYPERLINK("https://klasma.github.io/Logging_1293/klagomålsmail/A 4619-2025 FSC-klagomål mail.docx", "A 4619-2025")</f>
        <v/>
      </c>
      <c r="X20">
        <f>HYPERLINK("https://klasma.github.io/Logging_1293/tillsyn/A 4619-2025 tillsynsbegäran.docx", "A 4619-2025")</f>
        <v/>
      </c>
      <c r="Y20">
        <f>HYPERLINK("https://klasma.github.io/Logging_1293/tillsynsmail/A 4619-2025 tillsynsbegäran mail.docx", "A 4619-2025")</f>
        <v/>
      </c>
    </row>
    <row r="21" ht="15" customHeight="1">
      <c r="A21" t="inlineStr">
        <is>
          <t>A 40613-2025</t>
        </is>
      </c>
      <c r="B21" s="1" t="n">
        <v>45896</v>
      </c>
      <c r="C21" s="1" t="n">
        <v>46063</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9289-2025</t>
        </is>
      </c>
      <c r="B22" s="1" t="n">
        <v>45714</v>
      </c>
      <c r="C22" s="1" t="n">
        <v>46063</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14933-2023</t>
        </is>
      </c>
      <c r="B23" s="1" t="n">
        <v>45014</v>
      </c>
      <c r="C23" s="1" t="n">
        <v>46063</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14933-2023 artfynd.xlsx", "A 14933-2023")</f>
        <v/>
      </c>
      <c r="T23">
        <f>HYPERLINK("https://klasma.github.io/Logging_1293/kartor/A 14933-2023 karta.png", "A 14933-2023")</f>
        <v/>
      </c>
      <c r="V23">
        <f>HYPERLINK("https://klasma.github.io/Logging_1293/klagomål/A 14933-2023 FSC-klagomål.docx", "A 14933-2023")</f>
        <v/>
      </c>
      <c r="W23">
        <f>HYPERLINK("https://klasma.github.io/Logging_1293/klagomålsmail/A 14933-2023 FSC-klagomål mail.docx", "A 14933-2023")</f>
        <v/>
      </c>
      <c r="X23">
        <f>HYPERLINK("https://klasma.github.io/Logging_1293/tillsyn/A 14933-2023 tillsynsbegäran.docx", "A 14933-2023")</f>
        <v/>
      </c>
      <c r="Y23">
        <f>HYPERLINK("https://klasma.github.io/Logging_1293/tillsynsmail/A 14933-2023 tillsynsbegäran mail.docx", "A 14933-2023")</f>
        <v/>
      </c>
    </row>
    <row r="24" ht="15" customHeight="1">
      <c r="A24" t="inlineStr">
        <is>
          <t>A 8223-2025</t>
        </is>
      </c>
      <c r="B24" s="1" t="n">
        <v>45708.46127314815</v>
      </c>
      <c r="C24" s="1" t="n">
        <v>46063</v>
      </c>
      <c r="D24" t="inlineStr">
        <is>
          <t>SKÅNE LÄN</t>
        </is>
      </c>
      <c r="E24" t="inlineStr">
        <is>
          <t>HÄSSLEHOLM</t>
        </is>
      </c>
      <c r="G24" t="n">
        <v>0.8</v>
      </c>
      <c r="H24" t="n">
        <v>1</v>
      </c>
      <c r="I24" t="n">
        <v>0</v>
      </c>
      <c r="J24" t="n">
        <v>0</v>
      </c>
      <c r="K24" t="n">
        <v>0</v>
      </c>
      <c r="L24" t="n">
        <v>0</v>
      </c>
      <c r="M24" t="n">
        <v>0</v>
      </c>
      <c r="N24" t="n">
        <v>0</v>
      </c>
      <c r="O24" t="n">
        <v>0</v>
      </c>
      <c r="P24" t="n">
        <v>0</v>
      </c>
      <c r="Q24" t="n">
        <v>1</v>
      </c>
      <c r="R24" s="2" t="inlineStr">
        <is>
          <t>Kungsfågel</t>
        </is>
      </c>
      <c r="S24">
        <f>HYPERLINK("https://klasma.github.io/Logging_1293/artfynd/A 8223-2025 artfynd.xlsx", "A 8223-2025")</f>
        <v/>
      </c>
      <c r="T24">
        <f>HYPERLINK("https://klasma.github.io/Logging_1293/kartor/A 8223-2025 karta.png", "A 8223-2025")</f>
        <v/>
      </c>
      <c r="V24">
        <f>HYPERLINK("https://klasma.github.io/Logging_1293/klagomål/A 8223-2025 FSC-klagomål.docx", "A 8223-2025")</f>
        <v/>
      </c>
      <c r="W24">
        <f>HYPERLINK("https://klasma.github.io/Logging_1293/klagomålsmail/A 8223-2025 FSC-klagomål mail.docx", "A 8223-2025")</f>
        <v/>
      </c>
      <c r="X24">
        <f>HYPERLINK("https://klasma.github.io/Logging_1293/tillsyn/A 8223-2025 tillsynsbegäran.docx", "A 8223-2025")</f>
        <v/>
      </c>
      <c r="Y24">
        <f>HYPERLINK("https://klasma.github.io/Logging_1293/tillsynsmail/A 8223-2025 tillsynsbegäran mail.docx", "A 8223-2025")</f>
        <v/>
      </c>
      <c r="Z24">
        <f>HYPERLINK("https://klasma.github.io/Logging_1293/fåglar/A 8223-2025 prioriterade fågelarter.docx", "A 8223-2025")</f>
        <v/>
      </c>
    </row>
    <row r="25" ht="15" customHeight="1">
      <c r="A25" t="inlineStr">
        <is>
          <t>A 36690-2025</t>
        </is>
      </c>
      <c r="B25" s="1" t="n">
        <v>45873.42915509259</v>
      </c>
      <c r="C25" s="1" t="n">
        <v>46063</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57533-2025</t>
        </is>
      </c>
      <c r="B26" s="1" t="n">
        <v>45980.63923611111</v>
      </c>
      <c r="C26" s="1" t="n">
        <v>46063</v>
      </c>
      <c r="D26" t="inlineStr">
        <is>
          <t>SKÅNE LÄN</t>
        </is>
      </c>
      <c r="E26" t="inlineStr">
        <is>
          <t>HÄSSLEHOLM</t>
        </is>
      </c>
      <c r="G26" t="n">
        <v>0.9</v>
      </c>
      <c r="H26" t="n">
        <v>0</v>
      </c>
      <c r="I26" t="n">
        <v>1</v>
      </c>
      <c r="J26" t="n">
        <v>0</v>
      </c>
      <c r="K26" t="n">
        <v>0</v>
      </c>
      <c r="L26" t="n">
        <v>0</v>
      </c>
      <c r="M26" t="n">
        <v>0</v>
      </c>
      <c r="N26" t="n">
        <v>0</v>
      </c>
      <c r="O26" t="n">
        <v>0</v>
      </c>
      <c r="P26" t="n">
        <v>0</v>
      </c>
      <c r="Q26" t="n">
        <v>1</v>
      </c>
      <c r="R26" s="2" t="inlineStr">
        <is>
          <t>Strutbräken</t>
        </is>
      </c>
      <c r="S26">
        <f>HYPERLINK("https://klasma.github.io/Logging_1293/artfynd/A 57533-2025 artfynd.xlsx", "A 57533-2025")</f>
        <v/>
      </c>
      <c r="T26">
        <f>HYPERLINK("https://klasma.github.io/Logging_1293/kartor/A 57533-2025 karta.png", "A 57533-2025")</f>
        <v/>
      </c>
      <c r="V26">
        <f>HYPERLINK("https://klasma.github.io/Logging_1293/klagomål/A 57533-2025 FSC-klagomål.docx", "A 57533-2025")</f>
        <v/>
      </c>
      <c r="W26">
        <f>HYPERLINK("https://klasma.github.io/Logging_1293/klagomålsmail/A 57533-2025 FSC-klagomål mail.docx", "A 57533-2025")</f>
        <v/>
      </c>
      <c r="X26">
        <f>HYPERLINK("https://klasma.github.io/Logging_1293/tillsyn/A 57533-2025 tillsynsbegäran.docx", "A 57533-2025")</f>
        <v/>
      </c>
      <c r="Y26">
        <f>HYPERLINK("https://klasma.github.io/Logging_1293/tillsynsmail/A 57533-2025 tillsynsbegäran mail.docx", "A 57533-2025")</f>
        <v/>
      </c>
    </row>
    <row r="27" ht="15" customHeight="1">
      <c r="A27" t="inlineStr">
        <is>
          <t>A 16107-2025</t>
        </is>
      </c>
      <c r="B27" s="1" t="n">
        <v>45750.34537037037</v>
      </c>
      <c r="C27" s="1" t="n">
        <v>46063</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49572-2022</t>
        </is>
      </c>
      <c r="B28" s="1" t="n">
        <v>44862.335</v>
      </c>
      <c r="C28" s="1" t="n">
        <v>46063</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29272-2023</t>
        </is>
      </c>
      <c r="B29" s="1" t="n">
        <v>45105</v>
      </c>
      <c r="C29" s="1" t="n">
        <v>46063</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7862-2024</t>
        </is>
      </c>
      <c r="B30" s="1" t="n">
        <v>45348</v>
      </c>
      <c r="C30" s="1" t="n">
        <v>46063</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20280-2025</t>
        </is>
      </c>
      <c r="B31" s="1" t="n">
        <v>45774.38790509259</v>
      </c>
      <c r="C31" s="1" t="n">
        <v>46063</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61707-2024</t>
        </is>
      </c>
      <c r="B32" s="1" t="n">
        <v>45648.61747685185</v>
      </c>
      <c r="C32" s="1" t="n">
        <v>46063</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46063</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46063</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46063</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46063</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7655-2021</t>
        </is>
      </c>
      <c r="B37" s="1" t="n">
        <v>44242</v>
      </c>
      <c r="C37" s="1" t="n">
        <v>46063</v>
      </c>
      <c r="D37" t="inlineStr">
        <is>
          <t>SKÅNE LÄN</t>
        </is>
      </c>
      <c r="E37" t="inlineStr">
        <is>
          <t>HÄSSLEHOLM</t>
        </is>
      </c>
      <c r="G37" t="n">
        <v>0.8</v>
      </c>
      <c r="H37" t="n">
        <v>0</v>
      </c>
      <c r="I37" t="n">
        <v>0</v>
      </c>
      <c r="J37" t="n">
        <v>0</v>
      </c>
      <c r="K37" t="n">
        <v>0</v>
      </c>
      <c r="L37" t="n">
        <v>0</v>
      </c>
      <c r="M37" t="n">
        <v>0</v>
      </c>
      <c r="N37" t="n">
        <v>0</v>
      </c>
      <c r="O37" t="n">
        <v>0</v>
      </c>
      <c r="P37" t="n">
        <v>0</v>
      </c>
      <c r="Q37" t="n">
        <v>0</v>
      </c>
      <c r="R37" s="2" t="inlineStr"/>
    </row>
    <row r="38" ht="15" customHeight="1">
      <c r="A38" t="inlineStr">
        <is>
          <t>A 37457-2022</t>
        </is>
      </c>
      <c r="B38" s="1" t="n">
        <v>44809</v>
      </c>
      <c r="C38" s="1" t="n">
        <v>46063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46063</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46063</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46063</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46063</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46063</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46063</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46063</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46063</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46063</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46063</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46063</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46063</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46063</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46063</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46063</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46063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46063</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46063</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46063</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46063</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46063</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46063</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46063</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46063</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46063</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46063</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46063</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46063</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46063</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46063</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46063</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46063</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46063</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46063</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46063</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46063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46063</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46063</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46063</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46063</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46063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46063</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46063</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46063</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46063</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46063</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46063</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46063</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46063</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46063</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46063</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46063</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46063</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46063</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46063</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46063</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46063</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46063</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6962-2021</t>
        </is>
      </c>
      <c r="B97" s="1" t="n">
        <v>44237</v>
      </c>
      <c r="C97" s="1" t="n">
        <v>46063</v>
      </c>
      <c r="D97" t="inlineStr">
        <is>
          <t>SKÅNE LÄN</t>
        </is>
      </c>
      <c r="E97" t="inlineStr">
        <is>
          <t>HÄSSLEHOLM</t>
        </is>
      </c>
      <c r="G97" t="n">
        <v>4.2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46063</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7522-2021</t>
        </is>
      </c>
      <c r="B99" s="1" t="n">
        <v>44238</v>
      </c>
      <c r="C99" s="1" t="n">
        <v>46063</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3277-2022</t>
        </is>
      </c>
      <c r="B100" s="1" t="n">
        <v>44584.41274305555</v>
      </c>
      <c r="C100" s="1" t="n">
        <v>46063</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8278-2021</t>
        </is>
      </c>
      <c r="B101" s="1" t="n">
        <v>44244</v>
      </c>
      <c r="C101" s="1" t="n">
        <v>46063</v>
      </c>
      <c r="D101" t="inlineStr">
        <is>
          <t>SKÅNE LÄN</t>
        </is>
      </c>
      <c r="E101" t="inlineStr">
        <is>
          <t>HÄSSLEHOLM</t>
        </is>
      </c>
      <c r="F101" t="inlineStr">
        <is>
          <t>Kyrkan</t>
        </is>
      </c>
      <c r="G101" t="n">
        <v>1.4</v>
      </c>
      <c r="H101" t="n">
        <v>0</v>
      </c>
      <c r="I101" t="n">
        <v>0</v>
      </c>
      <c r="J101" t="n">
        <v>0</v>
      </c>
      <c r="K101" t="n">
        <v>0</v>
      </c>
      <c r="L101" t="n">
        <v>0</v>
      </c>
      <c r="M101" t="n">
        <v>0</v>
      </c>
      <c r="N101" t="n">
        <v>0</v>
      </c>
      <c r="O101" t="n">
        <v>0</v>
      </c>
      <c r="P101" t="n">
        <v>0</v>
      </c>
      <c r="Q101" t="n">
        <v>0</v>
      </c>
      <c r="R101" s="2" t="inlineStr"/>
    </row>
    <row r="102" ht="15" customHeight="1">
      <c r="A102" t="inlineStr">
        <is>
          <t>A 14054-2021</t>
        </is>
      </c>
      <c r="B102" s="1" t="n">
        <v>44277</v>
      </c>
      <c r="C102" s="1" t="n">
        <v>46063</v>
      </c>
      <c r="D102" t="inlineStr">
        <is>
          <t>SKÅNE LÄN</t>
        </is>
      </c>
      <c r="E102" t="inlineStr">
        <is>
          <t>HÄSSLEHOLM</t>
        </is>
      </c>
      <c r="G102" t="n">
        <v>2</v>
      </c>
      <c r="H102" t="n">
        <v>0</v>
      </c>
      <c r="I102" t="n">
        <v>0</v>
      </c>
      <c r="J102" t="n">
        <v>0</v>
      </c>
      <c r="K102" t="n">
        <v>0</v>
      </c>
      <c r="L102" t="n">
        <v>0</v>
      </c>
      <c r="M102" t="n">
        <v>0</v>
      </c>
      <c r="N102" t="n">
        <v>0</v>
      </c>
      <c r="O102" t="n">
        <v>0</v>
      </c>
      <c r="P102" t="n">
        <v>0</v>
      </c>
      <c r="Q102" t="n">
        <v>0</v>
      </c>
      <c r="R102" s="2" t="inlineStr"/>
    </row>
    <row r="103" ht="15" customHeight="1">
      <c r="A103" t="inlineStr">
        <is>
          <t>A 9257-2021</t>
        </is>
      </c>
      <c r="B103" s="1" t="n">
        <v>44250</v>
      </c>
      <c r="C103" s="1" t="n">
        <v>46063</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4156-2022</t>
        </is>
      </c>
      <c r="B104" s="1" t="n">
        <v>44588</v>
      </c>
      <c r="C104" s="1" t="n">
        <v>46063</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19449-2021</t>
        </is>
      </c>
      <c r="B105" s="1" t="n">
        <v>44310.88846064815</v>
      </c>
      <c r="C105" s="1" t="n">
        <v>46063</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41581-2021</t>
        </is>
      </c>
      <c r="B106" s="1" t="n">
        <v>44425.40167824074</v>
      </c>
      <c r="C106" s="1" t="n">
        <v>46063</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44328-2021</t>
        </is>
      </c>
      <c r="B107" s="1" t="n">
        <v>44435</v>
      </c>
      <c r="C107" s="1" t="n">
        <v>46063</v>
      </c>
      <c r="D107" t="inlineStr">
        <is>
          <t>SKÅNE LÄN</t>
        </is>
      </c>
      <c r="E107" t="inlineStr">
        <is>
          <t>HÄSSLEHOLM</t>
        </is>
      </c>
      <c r="G107" t="n">
        <v>2.7</v>
      </c>
      <c r="H107" t="n">
        <v>0</v>
      </c>
      <c r="I107" t="n">
        <v>0</v>
      </c>
      <c r="J107" t="n">
        <v>0</v>
      </c>
      <c r="K107" t="n">
        <v>0</v>
      </c>
      <c r="L107" t="n">
        <v>0</v>
      </c>
      <c r="M107" t="n">
        <v>0</v>
      </c>
      <c r="N107" t="n">
        <v>0</v>
      </c>
      <c r="O107" t="n">
        <v>0</v>
      </c>
      <c r="P107" t="n">
        <v>0</v>
      </c>
      <c r="Q107" t="n">
        <v>0</v>
      </c>
      <c r="R107" s="2" t="inlineStr"/>
    </row>
    <row r="108" ht="15" customHeight="1">
      <c r="A108" t="inlineStr">
        <is>
          <t>A 34684-2021</t>
        </is>
      </c>
      <c r="B108" s="1" t="n">
        <v>44382</v>
      </c>
      <c r="C108" s="1" t="n">
        <v>46063</v>
      </c>
      <c r="D108" t="inlineStr">
        <is>
          <t>SKÅNE LÄN</t>
        </is>
      </c>
      <c r="E108" t="inlineStr">
        <is>
          <t>HÄSSLEHOLM</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46217-2022</t>
        </is>
      </c>
      <c r="B109" s="1" t="n">
        <v>44846</v>
      </c>
      <c r="C109" s="1" t="n">
        <v>46063</v>
      </c>
      <c r="D109" t="inlineStr">
        <is>
          <t>SKÅNE LÄN</t>
        </is>
      </c>
      <c r="E109" t="inlineStr">
        <is>
          <t>HÄSSLEHOLM</t>
        </is>
      </c>
      <c r="G109" t="n">
        <v>3.1</v>
      </c>
      <c r="H109" t="n">
        <v>0</v>
      </c>
      <c r="I109" t="n">
        <v>0</v>
      </c>
      <c r="J109" t="n">
        <v>0</v>
      </c>
      <c r="K109" t="n">
        <v>0</v>
      </c>
      <c r="L109" t="n">
        <v>0</v>
      </c>
      <c r="M109" t="n">
        <v>0</v>
      </c>
      <c r="N109" t="n">
        <v>0</v>
      </c>
      <c r="O109" t="n">
        <v>0</v>
      </c>
      <c r="P109" t="n">
        <v>0</v>
      </c>
      <c r="Q109" t="n">
        <v>0</v>
      </c>
      <c r="R109" s="2" t="inlineStr"/>
    </row>
    <row r="110" ht="15" customHeight="1">
      <c r="A110" t="inlineStr">
        <is>
          <t>A 74293-2021</t>
        </is>
      </c>
      <c r="B110" s="1" t="n">
        <v>44558</v>
      </c>
      <c r="C110" s="1" t="n">
        <v>46063</v>
      </c>
      <c r="D110" t="inlineStr">
        <is>
          <t>SKÅNE LÄN</t>
        </is>
      </c>
      <c r="E110" t="inlineStr">
        <is>
          <t>HÄSSLEHOLM</t>
        </is>
      </c>
      <c r="F110" t="inlineStr">
        <is>
          <t>Kyrkan</t>
        </is>
      </c>
      <c r="G110" t="n">
        <v>3.3</v>
      </c>
      <c r="H110" t="n">
        <v>0</v>
      </c>
      <c r="I110" t="n">
        <v>0</v>
      </c>
      <c r="J110" t="n">
        <v>0</v>
      </c>
      <c r="K110" t="n">
        <v>0</v>
      </c>
      <c r="L110" t="n">
        <v>0</v>
      </c>
      <c r="M110" t="n">
        <v>0</v>
      </c>
      <c r="N110" t="n">
        <v>0</v>
      </c>
      <c r="O110" t="n">
        <v>0</v>
      </c>
      <c r="P110" t="n">
        <v>0</v>
      </c>
      <c r="Q110" t="n">
        <v>0</v>
      </c>
      <c r="R110" s="2" t="inlineStr"/>
    </row>
    <row r="111" ht="15" customHeight="1">
      <c r="A111" t="inlineStr">
        <is>
          <t>A 45349-2022</t>
        </is>
      </c>
      <c r="B111" s="1" t="n">
        <v>44844.6118287037</v>
      </c>
      <c r="C111" s="1" t="n">
        <v>46063</v>
      </c>
      <c r="D111" t="inlineStr">
        <is>
          <t>SKÅNE LÄN</t>
        </is>
      </c>
      <c r="E111" t="inlineStr">
        <is>
          <t>HÄSSLEHOLM</t>
        </is>
      </c>
      <c r="G111" t="n">
        <v>6.2</v>
      </c>
      <c r="H111" t="n">
        <v>0</v>
      </c>
      <c r="I111" t="n">
        <v>0</v>
      </c>
      <c r="J111" t="n">
        <v>0</v>
      </c>
      <c r="K111" t="n">
        <v>0</v>
      </c>
      <c r="L111" t="n">
        <v>0</v>
      </c>
      <c r="M111" t="n">
        <v>0</v>
      </c>
      <c r="N111" t="n">
        <v>0</v>
      </c>
      <c r="O111" t="n">
        <v>0</v>
      </c>
      <c r="P111" t="n">
        <v>0</v>
      </c>
      <c r="Q111" t="n">
        <v>0</v>
      </c>
      <c r="R111" s="2" t="inlineStr"/>
    </row>
    <row r="112" ht="15" customHeight="1">
      <c r="A112" t="inlineStr">
        <is>
          <t>A 15118-2022</t>
        </is>
      </c>
      <c r="B112" s="1" t="n">
        <v>44659</v>
      </c>
      <c r="C112" s="1" t="n">
        <v>46063</v>
      </c>
      <c r="D112" t="inlineStr">
        <is>
          <t>SKÅNE LÄN</t>
        </is>
      </c>
      <c r="E112" t="inlineStr">
        <is>
          <t>HÄSSLEHOLM</t>
        </is>
      </c>
      <c r="F112" t="inlineStr">
        <is>
          <t>Kyrkan</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46063</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7701-2021</t>
        </is>
      </c>
      <c r="B114" s="1" t="n">
        <v>44242</v>
      </c>
      <c r="C114" s="1" t="n">
        <v>46063</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52461-2021</t>
        </is>
      </c>
      <c r="B115" s="1" t="n">
        <v>44466</v>
      </c>
      <c r="C115" s="1" t="n">
        <v>46063</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3276-2022</t>
        </is>
      </c>
      <c r="B116" s="1" t="n">
        <v>44584.40916666666</v>
      </c>
      <c r="C116" s="1" t="n">
        <v>46063</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63972-2021</t>
        </is>
      </c>
      <c r="B117" s="1" t="n">
        <v>44509.89649305555</v>
      </c>
      <c r="C117" s="1" t="n">
        <v>46063</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5564-2022</t>
        </is>
      </c>
      <c r="B118" s="1" t="n">
        <v>44595</v>
      </c>
      <c r="C118" s="1" t="n">
        <v>46063</v>
      </c>
      <c r="D118" t="inlineStr">
        <is>
          <t>SKÅNE LÄN</t>
        </is>
      </c>
      <c r="E118" t="inlineStr">
        <is>
          <t>HÄSSLEHOLM</t>
        </is>
      </c>
      <c r="G118" t="n">
        <v>0.3</v>
      </c>
      <c r="H118" t="n">
        <v>0</v>
      </c>
      <c r="I118" t="n">
        <v>0</v>
      </c>
      <c r="J118" t="n">
        <v>0</v>
      </c>
      <c r="K118" t="n">
        <v>0</v>
      </c>
      <c r="L118" t="n">
        <v>0</v>
      </c>
      <c r="M118" t="n">
        <v>0</v>
      </c>
      <c r="N118" t="n">
        <v>0</v>
      </c>
      <c r="O118" t="n">
        <v>0</v>
      </c>
      <c r="P118" t="n">
        <v>0</v>
      </c>
      <c r="Q118" t="n">
        <v>0</v>
      </c>
      <c r="R118" s="2" t="inlineStr"/>
    </row>
    <row r="119" ht="15" customHeight="1">
      <c r="A119" t="inlineStr">
        <is>
          <t>A 20659-2021</t>
        </is>
      </c>
      <c r="B119" s="1" t="n">
        <v>44316</v>
      </c>
      <c r="C119" s="1" t="n">
        <v>46063</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46063</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21535-2021</t>
        </is>
      </c>
      <c r="B121" s="1" t="n">
        <v>44321</v>
      </c>
      <c r="C121" s="1" t="n">
        <v>46063</v>
      </c>
      <c r="D121" t="inlineStr">
        <is>
          <t>SKÅNE LÄN</t>
        </is>
      </c>
      <c r="E121" t="inlineStr">
        <is>
          <t>HÄSSLEHOLM</t>
        </is>
      </c>
      <c r="G121" t="n">
        <v>2.8</v>
      </c>
      <c r="H121" t="n">
        <v>0</v>
      </c>
      <c r="I121" t="n">
        <v>0</v>
      </c>
      <c r="J121" t="n">
        <v>0</v>
      </c>
      <c r="K121" t="n">
        <v>0</v>
      </c>
      <c r="L121" t="n">
        <v>0</v>
      </c>
      <c r="M121" t="n">
        <v>0</v>
      </c>
      <c r="N121" t="n">
        <v>0</v>
      </c>
      <c r="O121" t="n">
        <v>0</v>
      </c>
      <c r="P121" t="n">
        <v>0</v>
      </c>
      <c r="Q121" t="n">
        <v>0</v>
      </c>
      <c r="R121" s="2" t="inlineStr"/>
    </row>
    <row r="122" ht="15" customHeight="1">
      <c r="A122" t="inlineStr">
        <is>
          <t>A 34027-2021</t>
        </is>
      </c>
      <c r="B122" s="1" t="n">
        <v>44379</v>
      </c>
      <c r="C122" s="1" t="n">
        <v>46063</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32792-2021</t>
        </is>
      </c>
      <c r="B123" s="1" t="n">
        <v>44375</v>
      </c>
      <c r="C123" s="1" t="n">
        <v>46063</v>
      </c>
      <c r="D123" t="inlineStr">
        <is>
          <t>SKÅNE LÄN</t>
        </is>
      </c>
      <c r="E123" t="inlineStr">
        <is>
          <t>HÄSSLEHOLM</t>
        </is>
      </c>
      <c r="G123" t="n">
        <v>1</v>
      </c>
      <c r="H123" t="n">
        <v>0</v>
      </c>
      <c r="I123" t="n">
        <v>0</v>
      </c>
      <c r="J123" t="n">
        <v>0</v>
      </c>
      <c r="K123" t="n">
        <v>0</v>
      </c>
      <c r="L123" t="n">
        <v>0</v>
      </c>
      <c r="M123" t="n">
        <v>0</v>
      </c>
      <c r="N123" t="n">
        <v>0</v>
      </c>
      <c r="O123" t="n">
        <v>0</v>
      </c>
      <c r="P123" t="n">
        <v>0</v>
      </c>
      <c r="Q123" t="n">
        <v>0</v>
      </c>
      <c r="R123" s="2" t="inlineStr"/>
    </row>
    <row r="124" ht="15" customHeight="1">
      <c r="A124" t="inlineStr">
        <is>
          <t>A 3167-2022</t>
        </is>
      </c>
      <c r="B124" s="1" t="n">
        <v>44582</v>
      </c>
      <c r="C124" s="1" t="n">
        <v>46063</v>
      </c>
      <c r="D124" t="inlineStr">
        <is>
          <t>SKÅNE LÄN</t>
        </is>
      </c>
      <c r="E124" t="inlineStr">
        <is>
          <t>HÄSSLEHOLM</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33736-2021</t>
        </is>
      </c>
      <c r="B125" s="1" t="n">
        <v>44378</v>
      </c>
      <c r="C125" s="1" t="n">
        <v>46063</v>
      </c>
      <c r="D125" t="inlineStr">
        <is>
          <t>SKÅNE LÄN</t>
        </is>
      </c>
      <c r="E125" t="inlineStr">
        <is>
          <t>HÄSSLEHOLM</t>
        </is>
      </c>
      <c r="G125" t="n">
        <v>7.6</v>
      </c>
      <c r="H125" t="n">
        <v>0</v>
      </c>
      <c r="I125" t="n">
        <v>0</v>
      </c>
      <c r="J125" t="n">
        <v>0</v>
      </c>
      <c r="K125" t="n">
        <v>0</v>
      </c>
      <c r="L125" t="n">
        <v>0</v>
      </c>
      <c r="M125" t="n">
        <v>0</v>
      </c>
      <c r="N125" t="n">
        <v>0</v>
      </c>
      <c r="O125" t="n">
        <v>0</v>
      </c>
      <c r="P125" t="n">
        <v>0</v>
      </c>
      <c r="Q125" t="n">
        <v>0</v>
      </c>
      <c r="R125" s="2" t="inlineStr"/>
    </row>
    <row r="126" ht="15" customHeight="1">
      <c r="A126" t="inlineStr">
        <is>
          <t>A 34679-2021</t>
        </is>
      </c>
      <c r="B126" s="1" t="n">
        <v>44382</v>
      </c>
      <c r="C126" s="1" t="n">
        <v>46063</v>
      </c>
      <c r="D126" t="inlineStr">
        <is>
          <t>SKÅNE LÄN</t>
        </is>
      </c>
      <c r="E126" t="inlineStr">
        <is>
          <t>HÄSSLEHOLM</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4161-2022</t>
        </is>
      </c>
      <c r="B127" s="1" t="n">
        <v>44588</v>
      </c>
      <c r="C127" s="1" t="n">
        <v>46063</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40702-2021</t>
        </is>
      </c>
      <c r="B128" s="1" t="n">
        <v>44420.61719907408</v>
      </c>
      <c r="C128" s="1" t="n">
        <v>46063</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1535-2022</t>
        </is>
      </c>
      <c r="B129" s="1" t="n">
        <v>44573</v>
      </c>
      <c r="C129" s="1" t="n">
        <v>46063</v>
      </c>
      <c r="D129" t="inlineStr">
        <is>
          <t>SKÅNE LÄN</t>
        </is>
      </c>
      <c r="E129" t="inlineStr">
        <is>
          <t>HÄSSLEHOLM</t>
        </is>
      </c>
      <c r="G129" t="n">
        <v>15</v>
      </c>
      <c r="H129" t="n">
        <v>0</v>
      </c>
      <c r="I129" t="n">
        <v>0</v>
      </c>
      <c r="J129" t="n">
        <v>0</v>
      </c>
      <c r="K129" t="n">
        <v>0</v>
      </c>
      <c r="L129" t="n">
        <v>0</v>
      </c>
      <c r="M129" t="n">
        <v>0</v>
      </c>
      <c r="N129" t="n">
        <v>0</v>
      </c>
      <c r="O129" t="n">
        <v>0</v>
      </c>
      <c r="P129" t="n">
        <v>0</v>
      </c>
      <c r="Q129" t="n">
        <v>0</v>
      </c>
      <c r="R129" s="2" t="inlineStr"/>
    </row>
    <row r="130" ht="15" customHeight="1">
      <c r="A130" t="inlineStr">
        <is>
          <t>A 21029-2021</t>
        </is>
      </c>
      <c r="B130" s="1" t="n">
        <v>44319.63366898148</v>
      </c>
      <c r="C130" s="1" t="n">
        <v>46063</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13982-2021</t>
        </is>
      </c>
      <c r="B131" s="1" t="n">
        <v>44277.57800925926</v>
      </c>
      <c r="C131" s="1" t="n">
        <v>46063</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64607-2021</t>
        </is>
      </c>
      <c r="B132" s="1" t="n">
        <v>44511</v>
      </c>
      <c r="C132" s="1" t="n">
        <v>46063</v>
      </c>
      <c r="D132" t="inlineStr">
        <is>
          <t>SKÅNE LÄN</t>
        </is>
      </c>
      <c r="E132" t="inlineStr">
        <is>
          <t>HÄSSLEHOLM</t>
        </is>
      </c>
      <c r="G132" t="n">
        <v>1.5</v>
      </c>
      <c r="H132" t="n">
        <v>0</v>
      </c>
      <c r="I132" t="n">
        <v>0</v>
      </c>
      <c r="J132" t="n">
        <v>0</v>
      </c>
      <c r="K132" t="n">
        <v>0</v>
      </c>
      <c r="L132" t="n">
        <v>0</v>
      </c>
      <c r="M132" t="n">
        <v>0</v>
      </c>
      <c r="N132" t="n">
        <v>0</v>
      </c>
      <c r="O132" t="n">
        <v>0</v>
      </c>
      <c r="P132" t="n">
        <v>0</v>
      </c>
      <c r="Q132" t="n">
        <v>0</v>
      </c>
      <c r="R132" s="2" t="inlineStr"/>
    </row>
    <row r="133" ht="15" customHeight="1">
      <c r="A133" t="inlineStr">
        <is>
          <t>A 2631-2022</t>
        </is>
      </c>
      <c r="B133" s="1" t="n">
        <v>44580</v>
      </c>
      <c r="C133" s="1" t="n">
        <v>46063</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18515-2021</t>
        </is>
      </c>
      <c r="B134" s="1" t="n">
        <v>44305</v>
      </c>
      <c r="C134" s="1" t="n">
        <v>46063</v>
      </c>
      <c r="D134" t="inlineStr">
        <is>
          <t>SKÅNE LÄN</t>
        </is>
      </c>
      <c r="E134" t="inlineStr">
        <is>
          <t>HÄSSLEHOLM</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18523-2021</t>
        </is>
      </c>
      <c r="B135" s="1" t="n">
        <v>44305</v>
      </c>
      <c r="C135" s="1" t="n">
        <v>46063</v>
      </c>
      <c r="D135" t="inlineStr">
        <is>
          <t>SKÅNE LÄN</t>
        </is>
      </c>
      <c r="E135" t="inlineStr">
        <is>
          <t>HÄSSLEHOLM</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12617-2021</t>
        </is>
      </c>
      <c r="B136" s="1" t="n">
        <v>44270.45030092593</v>
      </c>
      <c r="C136" s="1" t="n">
        <v>46063</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15423-2022</t>
        </is>
      </c>
      <c r="B137" s="1" t="n">
        <v>44659</v>
      </c>
      <c r="C137" s="1" t="n">
        <v>46063</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46063</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51159-2021</t>
        </is>
      </c>
      <c r="B139" s="1" t="n">
        <v>44461</v>
      </c>
      <c r="C139" s="1" t="n">
        <v>46063</v>
      </c>
      <c r="D139" t="inlineStr">
        <is>
          <t>SKÅNE LÄN</t>
        </is>
      </c>
      <c r="E139" t="inlineStr">
        <is>
          <t>HÄSSLEHOLM</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25383-2021</t>
        </is>
      </c>
      <c r="B140" s="1" t="n">
        <v>44342</v>
      </c>
      <c r="C140" s="1" t="n">
        <v>46063</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27330-2021</t>
        </is>
      </c>
      <c r="B141" s="1" t="n">
        <v>44351</v>
      </c>
      <c r="C141" s="1" t="n">
        <v>46063</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354-2022</t>
        </is>
      </c>
      <c r="B142" s="1" t="n">
        <v>44565.62510416667</v>
      </c>
      <c r="C142" s="1" t="n">
        <v>46063</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32892-2021</t>
        </is>
      </c>
      <c r="B143" s="1" t="n">
        <v>44375</v>
      </c>
      <c r="C143" s="1" t="n">
        <v>46063</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47112-2021</t>
        </is>
      </c>
      <c r="B144" s="1" t="n">
        <v>44446</v>
      </c>
      <c r="C144" s="1" t="n">
        <v>46063</v>
      </c>
      <c r="D144" t="inlineStr">
        <is>
          <t>SKÅNE LÄN</t>
        </is>
      </c>
      <c r="E144" t="inlineStr">
        <is>
          <t>HÄSSLEHOLM</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39102-2022</t>
        </is>
      </c>
      <c r="B145" s="1" t="n">
        <v>44817.43260416666</v>
      </c>
      <c r="C145" s="1" t="n">
        <v>46063</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6414-2022</t>
        </is>
      </c>
      <c r="B146" s="1" t="n">
        <v>44600</v>
      </c>
      <c r="C146" s="1" t="n">
        <v>46063</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56431-2021</t>
        </is>
      </c>
      <c r="B147" s="1" t="n">
        <v>44480</v>
      </c>
      <c r="C147" s="1" t="n">
        <v>46063</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46063</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74297-2021</t>
        </is>
      </c>
      <c r="B149" s="1" t="n">
        <v>44558</v>
      </c>
      <c r="C149" s="1" t="n">
        <v>46063</v>
      </c>
      <c r="D149" t="inlineStr">
        <is>
          <t>SKÅNE LÄN</t>
        </is>
      </c>
      <c r="E149" t="inlineStr">
        <is>
          <t>HÄSSLEHOLM</t>
        </is>
      </c>
      <c r="F149" t="inlineStr">
        <is>
          <t>Kyrkan</t>
        </is>
      </c>
      <c r="G149" t="n">
        <v>3.8</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46063</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46063</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46063</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23003-2021</t>
        </is>
      </c>
      <c r="B153" s="1" t="n">
        <v>44328</v>
      </c>
      <c r="C153" s="1" t="n">
        <v>46063</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44593.85114583333</v>
      </c>
      <c r="C154" s="1" t="n">
        <v>46063</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15986-2022</t>
        </is>
      </c>
      <c r="B155" s="1" t="n">
        <v>44664</v>
      </c>
      <c r="C155" s="1" t="n">
        <v>46063</v>
      </c>
      <c r="D155" t="inlineStr">
        <is>
          <t>SKÅNE LÄN</t>
        </is>
      </c>
      <c r="E155" t="inlineStr">
        <is>
          <t>HÄSSLEHOLM</t>
        </is>
      </c>
      <c r="F155" t="inlineStr">
        <is>
          <t>Kyrkan</t>
        </is>
      </c>
      <c r="G155" t="n">
        <v>6</v>
      </c>
      <c r="H155" t="n">
        <v>0</v>
      </c>
      <c r="I155" t="n">
        <v>0</v>
      </c>
      <c r="J155" t="n">
        <v>0</v>
      </c>
      <c r="K155" t="n">
        <v>0</v>
      </c>
      <c r="L155" t="n">
        <v>0</v>
      </c>
      <c r="M155" t="n">
        <v>0</v>
      </c>
      <c r="N155" t="n">
        <v>0</v>
      </c>
      <c r="O155" t="n">
        <v>0</v>
      </c>
      <c r="P155" t="n">
        <v>0</v>
      </c>
      <c r="Q155" t="n">
        <v>0</v>
      </c>
      <c r="R155" s="2" t="inlineStr"/>
    </row>
    <row r="156" ht="15" customHeight="1">
      <c r="A156" t="inlineStr">
        <is>
          <t>A 60260-2021</t>
        </is>
      </c>
      <c r="B156" s="1" t="n">
        <v>44495</v>
      </c>
      <c r="C156" s="1" t="n">
        <v>46063</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52786-2021</t>
        </is>
      </c>
      <c r="B157" s="1" t="n">
        <v>44467.36061342592</v>
      </c>
      <c r="C157" s="1" t="n">
        <v>46063</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51888-2021</t>
        </is>
      </c>
      <c r="B158" s="1" t="n">
        <v>44462</v>
      </c>
      <c r="C158" s="1" t="n">
        <v>46063</v>
      </c>
      <c r="D158" t="inlineStr">
        <is>
          <t>SKÅNE LÄN</t>
        </is>
      </c>
      <c r="E158" t="inlineStr">
        <is>
          <t>HÄSSLEHOLM</t>
        </is>
      </c>
      <c r="G158" t="n">
        <v>5.6</v>
      </c>
      <c r="H158" t="n">
        <v>0</v>
      </c>
      <c r="I158" t="n">
        <v>0</v>
      </c>
      <c r="J158" t="n">
        <v>0</v>
      </c>
      <c r="K158" t="n">
        <v>0</v>
      </c>
      <c r="L158" t="n">
        <v>0</v>
      </c>
      <c r="M158" t="n">
        <v>0</v>
      </c>
      <c r="N158" t="n">
        <v>0</v>
      </c>
      <c r="O158" t="n">
        <v>0</v>
      </c>
      <c r="P158" t="n">
        <v>0</v>
      </c>
      <c r="Q158" t="n">
        <v>0</v>
      </c>
      <c r="R158" s="2" t="inlineStr"/>
    </row>
    <row r="159" ht="15" customHeight="1">
      <c r="A159" t="inlineStr">
        <is>
          <t>A 29143-2021</t>
        </is>
      </c>
      <c r="B159" s="1" t="n">
        <v>44358.6319212963</v>
      </c>
      <c r="C159" s="1" t="n">
        <v>46063</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44669-2022</t>
        </is>
      </c>
      <c r="B160" s="1" t="n">
        <v>44840</v>
      </c>
      <c r="C160" s="1" t="n">
        <v>46063</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44735.6803125</v>
      </c>
      <c r="C161" s="1" t="n">
        <v>46063</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46063</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44551.69012731482</v>
      </c>
      <c r="C163" s="1" t="n">
        <v>46063</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2858-2022</t>
        </is>
      </c>
      <c r="B164" s="1" t="n">
        <v>44581</v>
      </c>
      <c r="C164" s="1" t="n">
        <v>46063</v>
      </c>
      <c r="D164" t="inlineStr">
        <is>
          <t>SKÅNE LÄN</t>
        </is>
      </c>
      <c r="E164" t="inlineStr">
        <is>
          <t>HÄSSLEHOLM</t>
        </is>
      </c>
      <c r="F164" t="inlineStr">
        <is>
          <t>Övriga Aktiebolag</t>
        </is>
      </c>
      <c r="G164" t="n">
        <v>1.3</v>
      </c>
      <c r="H164" t="n">
        <v>0</v>
      </c>
      <c r="I164" t="n">
        <v>0</v>
      </c>
      <c r="J164" t="n">
        <v>0</v>
      </c>
      <c r="K164" t="n">
        <v>0</v>
      </c>
      <c r="L164" t="n">
        <v>0</v>
      </c>
      <c r="M164" t="n">
        <v>0</v>
      </c>
      <c r="N164" t="n">
        <v>0</v>
      </c>
      <c r="O164" t="n">
        <v>0</v>
      </c>
      <c r="P164" t="n">
        <v>0</v>
      </c>
      <c r="Q164" t="n">
        <v>0</v>
      </c>
      <c r="R164" s="2" t="inlineStr"/>
    </row>
    <row r="165" ht="15" customHeight="1">
      <c r="A165" t="inlineStr">
        <is>
          <t>A 27959-2022</t>
        </is>
      </c>
      <c r="B165" s="1" t="n">
        <v>44744</v>
      </c>
      <c r="C165" s="1" t="n">
        <v>46063</v>
      </c>
      <c r="D165" t="inlineStr">
        <is>
          <t>SKÅNE LÄN</t>
        </is>
      </c>
      <c r="E165" t="inlineStr">
        <is>
          <t>HÄSSLEHOLM</t>
        </is>
      </c>
      <c r="G165" t="n">
        <v>3</v>
      </c>
      <c r="H165" t="n">
        <v>0</v>
      </c>
      <c r="I165" t="n">
        <v>0</v>
      </c>
      <c r="J165" t="n">
        <v>0</v>
      </c>
      <c r="K165" t="n">
        <v>0</v>
      </c>
      <c r="L165" t="n">
        <v>0</v>
      </c>
      <c r="M165" t="n">
        <v>0</v>
      </c>
      <c r="N165" t="n">
        <v>0</v>
      </c>
      <c r="O165" t="n">
        <v>0</v>
      </c>
      <c r="P165" t="n">
        <v>0</v>
      </c>
      <c r="Q165" t="n">
        <v>0</v>
      </c>
      <c r="R165" s="2" t="inlineStr"/>
    </row>
    <row r="166" ht="15" customHeight="1">
      <c r="A166" t="inlineStr">
        <is>
          <t>A 6967-2021</t>
        </is>
      </c>
      <c r="B166" s="1" t="n">
        <v>44237</v>
      </c>
      <c r="C166" s="1" t="n">
        <v>46063</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418-2022</t>
        </is>
      </c>
      <c r="B167" s="1" t="n">
        <v>44565.84958333334</v>
      </c>
      <c r="C167" s="1" t="n">
        <v>46063</v>
      </c>
      <c r="D167" t="inlineStr">
        <is>
          <t>SKÅNE LÄN</t>
        </is>
      </c>
      <c r="E167" t="inlineStr">
        <is>
          <t>HÄSSLEHOLM</t>
        </is>
      </c>
      <c r="G167" t="n">
        <v>0</v>
      </c>
      <c r="H167" t="n">
        <v>0</v>
      </c>
      <c r="I167" t="n">
        <v>0</v>
      </c>
      <c r="J167" t="n">
        <v>0</v>
      </c>
      <c r="K167" t="n">
        <v>0</v>
      </c>
      <c r="L167" t="n">
        <v>0</v>
      </c>
      <c r="M167" t="n">
        <v>0</v>
      </c>
      <c r="N167" t="n">
        <v>0</v>
      </c>
      <c r="O167" t="n">
        <v>0</v>
      </c>
      <c r="P167" t="n">
        <v>0</v>
      </c>
      <c r="Q167" t="n">
        <v>0</v>
      </c>
      <c r="R167" s="2" t="inlineStr"/>
    </row>
    <row r="168" ht="15" customHeight="1">
      <c r="A168" t="inlineStr">
        <is>
          <t>A 7729-2021</t>
        </is>
      </c>
      <c r="B168" s="1" t="n">
        <v>44242</v>
      </c>
      <c r="C168" s="1" t="n">
        <v>46063</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23830-2021</t>
        </is>
      </c>
      <c r="B169" s="1" t="n">
        <v>44335</v>
      </c>
      <c r="C169" s="1" t="n">
        <v>46063</v>
      </c>
      <c r="D169" t="inlineStr">
        <is>
          <t>SKÅNE LÄN</t>
        </is>
      </c>
      <c r="E169" t="inlineStr">
        <is>
          <t>HÄSSLEHOLM</t>
        </is>
      </c>
      <c r="G169" t="n">
        <v>18.7</v>
      </c>
      <c r="H169" t="n">
        <v>0</v>
      </c>
      <c r="I169" t="n">
        <v>0</v>
      </c>
      <c r="J169" t="n">
        <v>0</v>
      </c>
      <c r="K169" t="n">
        <v>0</v>
      </c>
      <c r="L169" t="n">
        <v>0</v>
      </c>
      <c r="M169" t="n">
        <v>0</v>
      </c>
      <c r="N169" t="n">
        <v>0</v>
      </c>
      <c r="O169" t="n">
        <v>0</v>
      </c>
      <c r="P169" t="n">
        <v>0</v>
      </c>
      <c r="Q169" t="n">
        <v>0</v>
      </c>
      <c r="R169" s="2" t="inlineStr"/>
    </row>
    <row r="170" ht="15" customHeight="1">
      <c r="A170" t="inlineStr">
        <is>
          <t>A 11616-2021</t>
        </is>
      </c>
      <c r="B170" s="1" t="n">
        <v>44264.63064814815</v>
      </c>
      <c r="C170" s="1" t="n">
        <v>46063</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51893-2021</t>
        </is>
      </c>
      <c r="B171" s="1" t="n">
        <v>44462</v>
      </c>
      <c r="C171" s="1" t="n">
        <v>46063</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55394-2022</t>
        </is>
      </c>
      <c r="B172" s="1" t="n">
        <v>44887.57112268519</v>
      </c>
      <c r="C172" s="1" t="n">
        <v>46063</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45357-2022</t>
        </is>
      </c>
      <c r="B173" s="1" t="n">
        <v>44844.61952546296</v>
      </c>
      <c r="C173" s="1" t="n">
        <v>46063</v>
      </c>
      <c r="D173" t="inlineStr">
        <is>
          <t>SKÅNE LÄN</t>
        </is>
      </c>
      <c r="E173" t="inlineStr">
        <is>
          <t>HÄSSLEHOLM</t>
        </is>
      </c>
      <c r="G173" t="n">
        <v>5.8</v>
      </c>
      <c r="H173" t="n">
        <v>0</v>
      </c>
      <c r="I173" t="n">
        <v>0</v>
      </c>
      <c r="J173" t="n">
        <v>0</v>
      </c>
      <c r="K173" t="n">
        <v>0</v>
      </c>
      <c r="L173" t="n">
        <v>0</v>
      </c>
      <c r="M173" t="n">
        <v>0</v>
      </c>
      <c r="N173" t="n">
        <v>0</v>
      </c>
      <c r="O173" t="n">
        <v>0</v>
      </c>
      <c r="P173" t="n">
        <v>0</v>
      </c>
      <c r="Q173" t="n">
        <v>0</v>
      </c>
      <c r="R173" s="2" t="inlineStr"/>
    </row>
    <row r="174" ht="15" customHeight="1">
      <c r="A174" t="inlineStr">
        <is>
          <t>A 45989-2021</t>
        </is>
      </c>
      <c r="B174" s="1" t="n">
        <v>44441.74627314815</v>
      </c>
      <c r="C174" s="1" t="n">
        <v>46063</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8695-2021</t>
        </is>
      </c>
      <c r="B175" s="1" t="n">
        <v>44246</v>
      </c>
      <c r="C175" s="1" t="n">
        <v>46063</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13811-2021</t>
        </is>
      </c>
      <c r="B176" s="1" t="n">
        <v>44276</v>
      </c>
      <c r="C176" s="1" t="n">
        <v>46063</v>
      </c>
      <c r="D176" t="inlineStr">
        <is>
          <t>SKÅNE LÄN</t>
        </is>
      </c>
      <c r="E176" t="inlineStr">
        <is>
          <t>HÄSSLEHOLM</t>
        </is>
      </c>
      <c r="G176" t="n">
        <v>8</v>
      </c>
      <c r="H176" t="n">
        <v>0</v>
      </c>
      <c r="I176" t="n">
        <v>0</v>
      </c>
      <c r="J176" t="n">
        <v>0</v>
      </c>
      <c r="K176" t="n">
        <v>0</v>
      </c>
      <c r="L176" t="n">
        <v>0</v>
      </c>
      <c r="M176" t="n">
        <v>0</v>
      </c>
      <c r="N176" t="n">
        <v>0</v>
      </c>
      <c r="O176" t="n">
        <v>0</v>
      </c>
      <c r="P176" t="n">
        <v>0</v>
      </c>
      <c r="Q176" t="n">
        <v>0</v>
      </c>
      <c r="R176" s="2" t="inlineStr"/>
    </row>
    <row r="177" ht="15" customHeight="1">
      <c r="A177" t="inlineStr">
        <is>
          <t>A 7904-2022</t>
        </is>
      </c>
      <c r="B177" s="1" t="n">
        <v>44607</v>
      </c>
      <c r="C177" s="1" t="n">
        <v>46063</v>
      </c>
      <c r="D177" t="inlineStr">
        <is>
          <t>SKÅNE LÄN</t>
        </is>
      </c>
      <c r="E177" t="inlineStr">
        <is>
          <t>HÄSSLEHOLM</t>
        </is>
      </c>
      <c r="F177" t="inlineStr">
        <is>
          <t>Kyrkan</t>
        </is>
      </c>
      <c r="G177" t="n">
        <v>3.9</v>
      </c>
      <c r="H177" t="n">
        <v>0</v>
      </c>
      <c r="I177" t="n">
        <v>0</v>
      </c>
      <c r="J177" t="n">
        <v>0</v>
      </c>
      <c r="K177" t="n">
        <v>0</v>
      </c>
      <c r="L177" t="n">
        <v>0</v>
      </c>
      <c r="M177" t="n">
        <v>0</v>
      </c>
      <c r="N177" t="n">
        <v>0</v>
      </c>
      <c r="O177" t="n">
        <v>0</v>
      </c>
      <c r="P177" t="n">
        <v>0</v>
      </c>
      <c r="Q177" t="n">
        <v>0</v>
      </c>
      <c r="R177" s="2" t="inlineStr"/>
    </row>
    <row r="178" ht="15" customHeight="1">
      <c r="A178" t="inlineStr">
        <is>
          <t>A 9453-2021</t>
        </is>
      </c>
      <c r="B178" s="1" t="n">
        <v>44251</v>
      </c>
      <c r="C178" s="1" t="n">
        <v>46063</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7250-2022</t>
        </is>
      </c>
      <c r="B179" s="1" t="n">
        <v>44606</v>
      </c>
      <c r="C179" s="1" t="n">
        <v>46063</v>
      </c>
      <c r="D179" t="inlineStr">
        <is>
          <t>SKÅNE LÄN</t>
        </is>
      </c>
      <c r="E179" t="inlineStr">
        <is>
          <t>HÄSSLEHOLM</t>
        </is>
      </c>
      <c r="F179" t="inlineStr">
        <is>
          <t>Övriga Aktiebolag</t>
        </is>
      </c>
      <c r="G179" t="n">
        <v>2.6</v>
      </c>
      <c r="H179" t="n">
        <v>0</v>
      </c>
      <c r="I179" t="n">
        <v>0</v>
      </c>
      <c r="J179" t="n">
        <v>0</v>
      </c>
      <c r="K179" t="n">
        <v>0</v>
      </c>
      <c r="L179" t="n">
        <v>0</v>
      </c>
      <c r="M179" t="n">
        <v>0</v>
      </c>
      <c r="N179" t="n">
        <v>0</v>
      </c>
      <c r="O179" t="n">
        <v>0</v>
      </c>
      <c r="P179" t="n">
        <v>0</v>
      </c>
      <c r="Q179" t="n">
        <v>0</v>
      </c>
      <c r="R179" s="2" t="inlineStr"/>
    </row>
    <row r="180" ht="15" customHeight="1">
      <c r="A180" t="inlineStr">
        <is>
          <t>A 51895-2021</t>
        </is>
      </c>
      <c r="B180" s="1" t="n">
        <v>44462</v>
      </c>
      <c r="C180" s="1" t="n">
        <v>46063</v>
      </c>
      <c r="D180" t="inlineStr">
        <is>
          <t>SKÅNE LÄN</t>
        </is>
      </c>
      <c r="E180" t="inlineStr">
        <is>
          <t>HÄSSLEHOLM</t>
        </is>
      </c>
      <c r="G180" t="n">
        <v>5.7</v>
      </c>
      <c r="H180" t="n">
        <v>0</v>
      </c>
      <c r="I180" t="n">
        <v>0</v>
      </c>
      <c r="J180" t="n">
        <v>0</v>
      </c>
      <c r="K180" t="n">
        <v>0</v>
      </c>
      <c r="L180" t="n">
        <v>0</v>
      </c>
      <c r="M180" t="n">
        <v>0</v>
      </c>
      <c r="N180" t="n">
        <v>0</v>
      </c>
      <c r="O180" t="n">
        <v>0</v>
      </c>
      <c r="P180" t="n">
        <v>0</v>
      </c>
      <c r="Q180" t="n">
        <v>0</v>
      </c>
      <c r="R180" s="2" t="inlineStr"/>
    </row>
    <row r="181" ht="15" customHeight="1">
      <c r="A181" t="inlineStr">
        <is>
          <t>A 219-2022</t>
        </is>
      </c>
      <c r="B181" s="1" t="n">
        <v>44564</v>
      </c>
      <c r="C181" s="1" t="n">
        <v>46063</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6048-2022</t>
        </is>
      </c>
      <c r="B182" s="1" t="n">
        <v>44599.5174537037</v>
      </c>
      <c r="C182" s="1" t="n">
        <v>46063</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55412-2022</t>
        </is>
      </c>
      <c r="B183" s="1" t="n">
        <v>44882</v>
      </c>
      <c r="C183" s="1" t="n">
        <v>46063</v>
      </c>
      <c r="D183" t="inlineStr">
        <is>
          <t>SKÅNE LÄN</t>
        </is>
      </c>
      <c r="E183" t="inlineStr">
        <is>
          <t>HÄSSLEHOLM</t>
        </is>
      </c>
      <c r="F183" t="inlineStr">
        <is>
          <t>Övriga Aktiebolag</t>
        </is>
      </c>
      <c r="G183" t="n">
        <v>4</v>
      </c>
      <c r="H183" t="n">
        <v>0</v>
      </c>
      <c r="I183" t="n">
        <v>0</v>
      </c>
      <c r="J183" t="n">
        <v>0</v>
      </c>
      <c r="K183" t="n">
        <v>0</v>
      </c>
      <c r="L183" t="n">
        <v>0</v>
      </c>
      <c r="M183" t="n">
        <v>0</v>
      </c>
      <c r="N183" t="n">
        <v>0</v>
      </c>
      <c r="O183" t="n">
        <v>0</v>
      </c>
      <c r="P183" t="n">
        <v>0</v>
      </c>
      <c r="Q183" t="n">
        <v>0</v>
      </c>
      <c r="R183" s="2" t="inlineStr"/>
    </row>
    <row r="184" ht="15" customHeight="1">
      <c r="A184" t="inlineStr">
        <is>
          <t>A 53576-2022</t>
        </is>
      </c>
      <c r="B184" s="1" t="n">
        <v>44875</v>
      </c>
      <c r="C184" s="1" t="n">
        <v>46063</v>
      </c>
      <c r="D184" t="inlineStr">
        <is>
          <t>SKÅNE LÄN</t>
        </is>
      </c>
      <c r="E184" t="inlineStr">
        <is>
          <t>HÄSSLEHOLM</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6253-2022</t>
        </is>
      </c>
      <c r="B185" s="1" t="n">
        <v>44600</v>
      </c>
      <c r="C185" s="1" t="n">
        <v>46063</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7262-2022</t>
        </is>
      </c>
      <c r="B186" s="1" t="n">
        <v>44606</v>
      </c>
      <c r="C186" s="1" t="n">
        <v>46063</v>
      </c>
      <c r="D186" t="inlineStr">
        <is>
          <t>SKÅNE LÄN</t>
        </is>
      </c>
      <c r="E186" t="inlineStr">
        <is>
          <t>HÄSSLEHOLM</t>
        </is>
      </c>
      <c r="F186" t="inlineStr">
        <is>
          <t>Övriga Aktiebolag</t>
        </is>
      </c>
      <c r="G186" t="n">
        <v>1</v>
      </c>
      <c r="H186" t="n">
        <v>0</v>
      </c>
      <c r="I186" t="n">
        <v>0</v>
      </c>
      <c r="J186" t="n">
        <v>0</v>
      </c>
      <c r="K186" t="n">
        <v>0</v>
      </c>
      <c r="L186" t="n">
        <v>0</v>
      </c>
      <c r="M186" t="n">
        <v>0</v>
      </c>
      <c r="N186" t="n">
        <v>0</v>
      </c>
      <c r="O186" t="n">
        <v>0</v>
      </c>
      <c r="P186" t="n">
        <v>0</v>
      </c>
      <c r="Q186" t="n">
        <v>0</v>
      </c>
      <c r="R186" s="2" t="inlineStr"/>
    </row>
    <row r="187" ht="15" customHeight="1">
      <c r="A187" t="inlineStr">
        <is>
          <t>A 64826-2021</t>
        </is>
      </c>
      <c r="B187" s="1" t="n">
        <v>44512.55935185185</v>
      </c>
      <c r="C187" s="1" t="n">
        <v>46063</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23967-2022</t>
        </is>
      </c>
      <c r="B188" s="1" t="n">
        <v>44722.74079861111</v>
      </c>
      <c r="C188" s="1" t="n">
        <v>46063</v>
      </c>
      <c r="D188" t="inlineStr">
        <is>
          <t>SKÅNE LÄN</t>
        </is>
      </c>
      <c r="E188" t="inlineStr">
        <is>
          <t>HÄSSLEHOLM</t>
        </is>
      </c>
      <c r="F188" t="inlineStr">
        <is>
          <t>Kyrkan</t>
        </is>
      </c>
      <c r="G188" t="n">
        <v>12.4</v>
      </c>
      <c r="H188" t="n">
        <v>0</v>
      </c>
      <c r="I188" t="n">
        <v>0</v>
      </c>
      <c r="J188" t="n">
        <v>0</v>
      </c>
      <c r="K188" t="n">
        <v>0</v>
      </c>
      <c r="L188" t="n">
        <v>0</v>
      </c>
      <c r="M188" t="n">
        <v>0</v>
      </c>
      <c r="N188" t="n">
        <v>0</v>
      </c>
      <c r="O188" t="n">
        <v>0</v>
      </c>
      <c r="P188" t="n">
        <v>0</v>
      </c>
      <c r="Q188" t="n">
        <v>0</v>
      </c>
      <c r="R188" s="2" t="inlineStr"/>
    </row>
    <row r="189" ht="15" customHeight="1">
      <c r="A189" t="inlineStr">
        <is>
          <t>A 25464-2022</t>
        </is>
      </c>
      <c r="B189" s="1" t="n">
        <v>44729</v>
      </c>
      <c r="C189" s="1" t="n">
        <v>46063</v>
      </c>
      <c r="D189" t="inlineStr">
        <is>
          <t>SKÅNE LÄN</t>
        </is>
      </c>
      <c r="E189" t="inlineStr">
        <is>
          <t>HÄSSLEHOLM</t>
        </is>
      </c>
      <c r="G189" t="n">
        <v>21</v>
      </c>
      <c r="H189" t="n">
        <v>0</v>
      </c>
      <c r="I189" t="n">
        <v>0</v>
      </c>
      <c r="J189" t="n">
        <v>0</v>
      </c>
      <c r="K189" t="n">
        <v>0</v>
      </c>
      <c r="L189" t="n">
        <v>0</v>
      </c>
      <c r="M189" t="n">
        <v>0</v>
      </c>
      <c r="N189" t="n">
        <v>0</v>
      </c>
      <c r="O189" t="n">
        <v>0</v>
      </c>
      <c r="P189" t="n">
        <v>0</v>
      </c>
      <c r="Q189" t="n">
        <v>0</v>
      </c>
      <c r="R189" s="2" t="inlineStr"/>
    </row>
    <row r="190" ht="15" customHeight="1">
      <c r="A190" t="inlineStr">
        <is>
          <t>A 8177-2022</t>
        </is>
      </c>
      <c r="B190" s="1" t="n">
        <v>44607</v>
      </c>
      <c r="C190" s="1" t="n">
        <v>46063</v>
      </c>
      <c r="D190" t="inlineStr">
        <is>
          <t>SKÅNE LÄN</t>
        </is>
      </c>
      <c r="E190" t="inlineStr">
        <is>
          <t>HÄSSLEHOLM</t>
        </is>
      </c>
      <c r="F190" t="inlineStr">
        <is>
          <t>Kyrkan</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6965-2021</t>
        </is>
      </c>
      <c r="B191" s="1" t="n">
        <v>44237</v>
      </c>
      <c r="C191" s="1" t="n">
        <v>46063</v>
      </c>
      <c r="D191" t="inlineStr">
        <is>
          <t>SKÅNE LÄN</t>
        </is>
      </c>
      <c r="E191" t="inlineStr">
        <is>
          <t>HÄSSLEHOLM</t>
        </is>
      </c>
      <c r="G191" t="n">
        <v>0.3</v>
      </c>
      <c r="H191" t="n">
        <v>0</v>
      </c>
      <c r="I191" t="n">
        <v>0</v>
      </c>
      <c r="J191" t="n">
        <v>0</v>
      </c>
      <c r="K191" t="n">
        <v>0</v>
      </c>
      <c r="L191" t="n">
        <v>0</v>
      </c>
      <c r="M191" t="n">
        <v>0</v>
      </c>
      <c r="N191" t="n">
        <v>0</v>
      </c>
      <c r="O191" t="n">
        <v>0</v>
      </c>
      <c r="P191" t="n">
        <v>0</v>
      </c>
      <c r="Q191" t="n">
        <v>0</v>
      </c>
      <c r="R191" s="2" t="inlineStr"/>
    </row>
    <row r="192" ht="15" customHeight="1">
      <c r="A192" t="inlineStr">
        <is>
          <t>A 56527-2021</t>
        </is>
      </c>
      <c r="B192" s="1" t="n">
        <v>44480</v>
      </c>
      <c r="C192" s="1" t="n">
        <v>46063</v>
      </c>
      <c r="D192" t="inlineStr">
        <is>
          <t>SKÅNE LÄN</t>
        </is>
      </c>
      <c r="E192" t="inlineStr">
        <is>
          <t>HÄSSLEHOLM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3992-2022</t>
        </is>
      </c>
      <c r="B193" s="1" t="n">
        <v>44587</v>
      </c>
      <c r="C193" s="1" t="n">
        <v>46063</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25788-2021</t>
        </is>
      </c>
      <c r="B194" s="1" t="n">
        <v>44343</v>
      </c>
      <c r="C194" s="1" t="n">
        <v>46063</v>
      </c>
      <c r="D194" t="inlineStr">
        <is>
          <t>SKÅNE LÄN</t>
        </is>
      </c>
      <c r="E194" t="inlineStr">
        <is>
          <t>HÄSSLEHOLM</t>
        </is>
      </c>
      <c r="G194" t="n">
        <v>4.8</v>
      </c>
      <c r="H194" t="n">
        <v>0</v>
      </c>
      <c r="I194" t="n">
        <v>0</v>
      </c>
      <c r="J194" t="n">
        <v>0</v>
      </c>
      <c r="K194" t="n">
        <v>0</v>
      </c>
      <c r="L194" t="n">
        <v>0</v>
      </c>
      <c r="M194" t="n">
        <v>0</v>
      </c>
      <c r="N194" t="n">
        <v>0</v>
      </c>
      <c r="O194" t="n">
        <v>0</v>
      </c>
      <c r="P194" t="n">
        <v>0</v>
      </c>
      <c r="Q194" t="n">
        <v>0</v>
      </c>
      <c r="R194" s="2" t="inlineStr"/>
    </row>
    <row r="195" ht="15" customHeight="1">
      <c r="A195" t="inlineStr">
        <is>
          <t>A 25955-2022</t>
        </is>
      </c>
      <c r="B195" s="1" t="n">
        <v>44734</v>
      </c>
      <c r="C195" s="1" t="n">
        <v>46063</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20657-2022</t>
        </is>
      </c>
      <c r="B196" s="1" t="n">
        <v>44700</v>
      </c>
      <c r="C196" s="1" t="n">
        <v>46063</v>
      </c>
      <c r="D196" t="inlineStr">
        <is>
          <t>SKÅNE LÄN</t>
        </is>
      </c>
      <c r="E196" t="inlineStr">
        <is>
          <t>HÄSSLEHOLM</t>
        </is>
      </c>
      <c r="G196" t="n">
        <v>3.8</v>
      </c>
      <c r="H196" t="n">
        <v>0</v>
      </c>
      <c r="I196" t="n">
        <v>0</v>
      </c>
      <c r="J196" t="n">
        <v>0</v>
      </c>
      <c r="K196" t="n">
        <v>0</v>
      </c>
      <c r="L196" t="n">
        <v>0</v>
      </c>
      <c r="M196" t="n">
        <v>0</v>
      </c>
      <c r="N196" t="n">
        <v>0</v>
      </c>
      <c r="O196" t="n">
        <v>0</v>
      </c>
      <c r="P196" t="n">
        <v>0</v>
      </c>
      <c r="Q196" t="n">
        <v>0</v>
      </c>
      <c r="R196" s="2" t="inlineStr"/>
    </row>
    <row r="197" ht="15" customHeight="1">
      <c r="A197" t="inlineStr">
        <is>
          <t>A 30344-2022</t>
        </is>
      </c>
      <c r="B197" s="1" t="n">
        <v>44760.50783564815</v>
      </c>
      <c r="C197" s="1" t="n">
        <v>46063</v>
      </c>
      <c r="D197" t="inlineStr">
        <is>
          <t>SKÅNE LÄN</t>
        </is>
      </c>
      <c r="E197" t="inlineStr">
        <is>
          <t>HÄSSLEHOLM</t>
        </is>
      </c>
      <c r="G197" t="n">
        <v>0.6</v>
      </c>
      <c r="H197" t="n">
        <v>0</v>
      </c>
      <c r="I197" t="n">
        <v>0</v>
      </c>
      <c r="J197" t="n">
        <v>0</v>
      </c>
      <c r="K197" t="n">
        <v>0</v>
      </c>
      <c r="L197" t="n">
        <v>0</v>
      </c>
      <c r="M197" t="n">
        <v>0</v>
      </c>
      <c r="N197" t="n">
        <v>0</v>
      </c>
      <c r="O197" t="n">
        <v>0</v>
      </c>
      <c r="P197" t="n">
        <v>0</v>
      </c>
      <c r="Q197" t="n">
        <v>0</v>
      </c>
      <c r="R197" s="2" t="inlineStr"/>
    </row>
    <row r="198" ht="15" customHeight="1">
      <c r="A198" t="inlineStr">
        <is>
          <t>A 7306-2025</t>
        </is>
      </c>
      <c r="B198" s="1" t="n">
        <v>45702</v>
      </c>
      <c r="C198" s="1" t="n">
        <v>46063</v>
      </c>
      <c r="D198" t="inlineStr">
        <is>
          <t>SKÅNE LÄN</t>
        </is>
      </c>
      <c r="E198" t="inlineStr">
        <is>
          <t>HÄSSLEHOLM</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7308-2025</t>
        </is>
      </c>
      <c r="B199" s="1" t="n">
        <v>45702</v>
      </c>
      <c r="C199" s="1" t="n">
        <v>46063</v>
      </c>
      <c r="D199" t="inlineStr">
        <is>
          <t>SKÅNE LÄN</t>
        </is>
      </c>
      <c r="E199" t="inlineStr">
        <is>
          <t>HÄSSLEHOLM</t>
        </is>
      </c>
      <c r="F199" t="inlineStr">
        <is>
          <t>Övriga Aktiebolag</t>
        </is>
      </c>
      <c r="G199" t="n">
        <v>4.8</v>
      </c>
      <c r="H199" t="n">
        <v>0</v>
      </c>
      <c r="I199" t="n">
        <v>0</v>
      </c>
      <c r="J199" t="n">
        <v>0</v>
      </c>
      <c r="K199" t="n">
        <v>0</v>
      </c>
      <c r="L199" t="n">
        <v>0</v>
      </c>
      <c r="M199" t="n">
        <v>0</v>
      </c>
      <c r="N199" t="n">
        <v>0</v>
      </c>
      <c r="O199" t="n">
        <v>0</v>
      </c>
      <c r="P199" t="n">
        <v>0</v>
      </c>
      <c r="Q199" t="n">
        <v>0</v>
      </c>
      <c r="R199" s="2" t="inlineStr"/>
    </row>
    <row r="200" ht="15" customHeight="1">
      <c r="A200" t="inlineStr">
        <is>
          <t>A 26642-2023</t>
        </is>
      </c>
      <c r="B200" s="1" t="n">
        <v>45092.8975</v>
      </c>
      <c r="C200" s="1" t="n">
        <v>46063</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4512-2024</t>
        </is>
      </c>
      <c r="B201" s="1" t="n">
        <v>45327.6312962963</v>
      </c>
      <c r="C201" s="1" t="n">
        <v>46063</v>
      </c>
      <c r="D201" t="inlineStr">
        <is>
          <t>SKÅNE LÄN</t>
        </is>
      </c>
      <c r="E201" t="inlineStr">
        <is>
          <t>HÄSSLEHOLM</t>
        </is>
      </c>
      <c r="G201" t="n">
        <v>2</v>
      </c>
      <c r="H201" t="n">
        <v>0</v>
      </c>
      <c r="I201" t="n">
        <v>0</v>
      </c>
      <c r="J201" t="n">
        <v>0</v>
      </c>
      <c r="K201" t="n">
        <v>0</v>
      </c>
      <c r="L201" t="n">
        <v>0</v>
      </c>
      <c r="M201" t="n">
        <v>0</v>
      </c>
      <c r="N201" t="n">
        <v>0</v>
      </c>
      <c r="O201" t="n">
        <v>0</v>
      </c>
      <c r="P201" t="n">
        <v>0</v>
      </c>
      <c r="Q201" t="n">
        <v>0</v>
      </c>
      <c r="R201" s="2" t="inlineStr"/>
    </row>
    <row r="202" ht="15" customHeight="1">
      <c r="A202" t="inlineStr">
        <is>
          <t>A 4916-2024</t>
        </is>
      </c>
      <c r="B202" s="1" t="n">
        <v>45329</v>
      </c>
      <c r="C202" s="1" t="n">
        <v>46063</v>
      </c>
      <c r="D202" t="inlineStr">
        <is>
          <t>SKÅNE LÄN</t>
        </is>
      </c>
      <c r="E202" t="inlineStr">
        <is>
          <t>HÄSSLEHOLM</t>
        </is>
      </c>
      <c r="G202" t="n">
        <v>1.3</v>
      </c>
      <c r="H202" t="n">
        <v>0</v>
      </c>
      <c r="I202" t="n">
        <v>0</v>
      </c>
      <c r="J202" t="n">
        <v>0</v>
      </c>
      <c r="K202" t="n">
        <v>0</v>
      </c>
      <c r="L202" t="n">
        <v>0</v>
      </c>
      <c r="M202" t="n">
        <v>0</v>
      </c>
      <c r="N202" t="n">
        <v>0</v>
      </c>
      <c r="O202" t="n">
        <v>0</v>
      </c>
      <c r="P202" t="n">
        <v>0</v>
      </c>
      <c r="Q202" t="n">
        <v>0</v>
      </c>
      <c r="R202" s="2" t="inlineStr"/>
    </row>
    <row r="203" ht="15" customHeight="1">
      <c r="A203" t="inlineStr">
        <is>
          <t>A 5016-2024</t>
        </is>
      </c>
      <c r="B203" s="1" t="n">
        <v>45329</v>
      </c>
      <c r="C203" s="1" t="n">
        <v>46063</v>
      </c>
      <c r="D203" t="inlineStr">
        <is>
          <t>SKÅNE LÄN</t>
        </is>
      </c>
      <c r="E203" t="inlineStr">
        <is>
          <t>HÄSSLEHOLM</t>
        </is>
      </c>
      <c r="G203" t="n">
        <v>3.2</v>
      </c>
      <c r="H203" t="n">
        <v>0</v>
      </c>
      <c r="I203" t="n">
        <v>0</v>
      </c>
      <c r="J203" t="n">
        <v>0</v>
      </c>
      <c r="K203" t="n">
        <v>0</v>
      </c>
      <c r="L203" t="n">
        <v>0</v>
      </c>
      <c r="M203" t="n">
        <v>0</v>
      </c>
      <c r="N203" t="n">
        <v>0</v>
      </c>
      <c r="O203" t="n">
        <v>0</v>
      </c>
      <c r="P203" t="n">
        <v>0</v>
      </c>
      <c r="Q203" t="n">
        <v>0</v>
      </c>
      <c r="R203" s="2" t="inlineStr"/>
    </row>
    <row r="204" ht="15" customHeight="1">
      <c r="A204" t="inlineStr">
        <is>
          <t>A 20279-2025</t>
        </is>
      </c>
      <c r="B204" s="1" t="n">
        <v>45774.38643518519</v>
      </c>
      <c r="C204" s="1" t="n">
        <v>46063</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62199-2022</t>
        </is>
      </c>
      <c r="B205" s="1" t="n">
        <v>44915</v>
      </c>
      <c r="C205" s="1" t="n">
        <v>46063</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18580-2023</t>
        </is>
      </c>
      <c r="B206" s="1" t="n">
        <v>45043.37037037037</v>
      </c>
      <c r="C206" s="1" t="n">
        <v>46063</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14157-2021</t>
        </is>
      </c>
      <c r="B207" s="1" t="n">
        <v>44278.43246527778</v>
      </c>
      <c r="C207" s="1" t="n">
        <v>46063</v>
      </c>
      <c r="D207" t="inlineStr">
        <is>
          <t>SKÅNE LÄN</t>
        </is>
      </c>
      <c r="E207" t="inlineStr">
        <is>
          <t>HÄSSLEHOLM</t>
        </is>
      </c>
      <c r="G207" t="n">
        <v>10.5</v>
      </c>
      <c r="H207" t="n">
        <v>0</v>
      </c>
      <c r="I207" t="n">
        <v>0</v>
      </c>
      <c r="J207" t="n">
        <v>0</v>
      </c>
      <c r="K207" t="n">
        <v>0</v>
      </c>
      <c r="L207" t="n">
        <v>0</v>
      </c>
      <c r="M207" t="n">
        <v>0</v>
      </c>
      <c r="N207" t="n">
        <v>0</v>
      </c>
      <c r="O207" t="n">
        <v>0</v>
      </c>
      <c r="P207" t="n">
        <v>0</v>
      </c>
      <c r="Q207" t="n">
        <v>0</v>
      </c>
      <c r="R207" s="2" t="inlineStr"/>
    </row>
    <row r="208" ht="15" customHeight="1">
      <c r="A208" t="inlineStr">
        <is>
          <t>A 17335-2024</t>
        </is>
      </c>
      <c r="B208" s="1" t="n">
        <v>45414.5687962963</v>
      </c>
      <c r="C208" s="1" t="n">
        <v>46063</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677-2024</t>
        </is>
      </c>
      <c r="B209" s="1" t="n">
        <v>45300</v>
      </c>
      <c r="C209" s="1" t="n">
        <v>46063</v>
      </c>
      <c r="D209" t="inlineStr">
        <is>
          <t>SKÅNE LÄN</t>
        </is>
      </c>
      <c r="E209" t="inlineStr">
        <is>
          <t>HÄSSLEHOLM</t>
        </is>
      </c>
      <c r="G209" t="n">
        <v>6.8</v>
      </c>
      <c r="H209" t="n">
        <v>0</v>
      </c>
      <c r="I209" t="n">
        <v>0</v>
      </c>
      <c r="J209" t="n">
        <v>0</v>
      </c>
      <c r="K209" t="n">
        <v>0</v>
      </c>
      <c r="L209" t="n">
        <v>0</v>
      </c>
      <c r="M209" t="n">
        <v>0</v>
      </c>
      <c r="N209" t="n">
        <v>0</v>
      </c>
      <c r="O209" t="n">
        <v>0</v>
      </c>
      <c r="P209" t="n">
        <v>0</v>
      </c>
      <c r="Q209" t="n">
        <v>0</v>
      </c>
      <c r="R209" s="2" t="inlineStr"/>
    </row>
    <row r="210" ht="15" customHeight="1">
      <c r="A210" t="inlineStr">
        <is>
          <t>A 50000-2023</t>
        </is>
      </c>
      <c r="B210" s="1" t="n">
        <v>45215.4434837963</v>
      </c>
      <c r="C210" s="1" t="n">
        <v>46063</v>
      </c>
      <c r="D210" t="inlineStr">
        <is>
          <t>SKÅNE LÄN</t>
        </is>
      </c>
      <c r="E210" t="inlineStr">
        <is>
          <t>HÄSSLEHOLM</t>
        </is>
      </c>
      <c r="G210" t="n">
        <v>1.6</v>
      </c>
      <c r="H210" t="n">
        <v>0</v>
      </c>
      <c r="I210" t="n">
        <v>0</v>
      </c>
      <c r="J210" t="n">
        <v>0</v>
      </c>
      <c r="K210" t="n">
        <v>0</v>
      </c>
      <c r="L210" t="n">
        <v>0</v>
      </c>
      <c r="M210" t="n">
        <v>0</v>
      </c>
      <c r="N210" t="n">
        <v>0</v>
      </c>
      <c r="O210" t="n">
        <v>0</v>
      </c>
      <c r="P210" t="n">
        <v>0</v>
      </c>
      <c r="Q210" t="n">
        <v>0</v>
      </c>
      <c r="R210" s="2" t="inlineStr"/>
    </row>
    <row r="211" ht="15" customHeight="1">
      <c r="A211" t="inlineStr">
        <is>
          <t>A 9323-2025</t>
        </is>
      </c>
      <c r="B211" s="1" t="n">
        <v>45714.73532407408</v>
      </c>
      <c r="C211" s="1" t="n">
        <v>46063</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28236-2022</t>
        </is>
      </c>
      <c r="B212" s="1" t="n">
        <v>44746</v>
      </c>
      <c r="C212" s="1" t="n">
        <v>46063</v>
      </c>
      <c r="D212" t="inlineStr">
        <is>
          <t>SKÅNE LÄN</t>
        </is>
      </c>
      <c r="E212" t="inlineStr">
        <is>
          <t>HÄSSLEHOLM</t>
        </is>
      </c>
      <c r="G212" t="n">
        <v>3.5</v>
      </c>
      <c r="H212" t="n">
        <v>0</v>
      </c>
      <c r="I212" t="n">
        <v>0</v>
      </c>
      <c r="J212" t="n">
        <v>0</v>
      </c>
      <c r="K212" t="n">
        <v>0</v>
      </c>
      <c r="L212" t="n">
        <v>0</v>
      </c>
      <c r="M212" t="n">
        <v>0</v>
      </c>
      <c r="N212" t="n">
        <v>0</v>
      </c>
      <c r="O212" t="n">
        <v>0</v>
      </c>
      <c r="P212" t="n">
        <v>0</v>
      </c>
      <c r="Q212" t="n">
        <v>0</v>
      </c>
      <c r="R212" s="2" t="inlineStr"/>
    </row>
    <row r="213" ht="15" customHeight="1">
      <c r="A213" t="inlineStr">
        <is>
          <t>A 15562-2024</t>
        </is>
      </c>
      <c r="B213" s="1" t="n">
        <v>45401.64975694445</v>
      </c>
      <c r="C213" s="1" t="n">
        <v>46063</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50607-2023</t>
        </is>
      </c>
      <c r="B214" s="1" t="n">
        <v>45210</v>
      </c>
      <c r="C214" s="1" t="n">
        <v>46063</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50616-2023</t>
        </is>
      </c>
      <c r="B215" s="1" t="n">
        <v>45210</v>
      </c>
      <c r="C215" s="1" t="n">
        <v>46063</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49250-2022</t>
        </is>
      </c>
      <c r="B216" s="1" t="n">
        <v>44858</v>
      </c>
      <c r="C216" s="1" t="n">
        <v>46063</v>
      </c>
      <c r="D216" t="inlineStr">
        <is>
          <t>SKÅNE LÄN</t>
        </is>
      </c>
      <c r="E216" t="inlineStr">
        <is>
          <t>HÄSSLEHOLM</t>
        </is>
      </c>
      <c r="F216" t="inlineStr">
        <is>
          <t>Kyrkan</t>
        </is>
      </c>
      <c r="G216" t="n">
        <v>1.5</v>
      </c>
      <c r="H216" t="n">
        <v>0</v>
      </c>
      <c r="I216" t="n">
        <v>0</v>
      </c>
      <c r="J216" t="n">
        <v>0</v>
      </c>
      <c r="K216" t="n">
        <v>0</v>
      </c>
      <c r="L216" t="n">
        <v>0</v>
      </c>
      <c r="M216" t="n">
        <v>0</v>
      </c>
      <c r="N216" t="n">
        <v>0</v>
      </c>
      <c r="O216" t="n">
        <v>0</v>
      </c>
      <c r="P216" t="n">
        <v>0</v>
      </c>
      <c r="Q216" t="n">
        <v>0</v>
      </c>
      <c r="R216" s="2" t="inlineStr"/>
    </row>
    <row r="217" ht="15" customHeight="1">
      <c r="A217" t="inlineStr">
        <is>
          <t>A 23946-2023</t>
        </is>
      </c>
      <c r="B217" s="1" t="n">
        <v>45078.61601851852</v>
      </c>
      <c r="C217" s="1" t="n">
        <v>46063</v>
      </c>
      <c r="D217" t="inlineStr">
        <is>
          <t>SKÅNE LÄN</t>
        </is>
      </c>
      <c r="E217" t="inlineStr">
        <is>
          <t>HÄSSLEHOLM</t>
        </is>
      </c>
      <c r="G217" t="n">
        <v>0.2</v>
      </c>
      <c r="H217" t="n">
        <v>0</v>
      </c>
      <c r="I217" t="n">
        <v>0</v>
      </c>
      <c r="J217" t="n">
        <v>0</v>
      </c>
      <c r="K217" t="n">
        <v>0</v>
      </c>
      <c r="L217" t="n">
        <v>0</v>
      </c>
      <c r="M217" t="n">
        <v>0</v>
      </c>
      <c r="N217" t="n">
        <v>0</v>
      </c>
      <c r="O217" t="n">
        <v>0</v>
      </c>
      <c r="P217" t="n">
        <v>0</v>
      </c>
      <c r="Q217" t="n">
        <v>0</v>
      </c>
      <c r="R217" s="2" t="inlineStr"/>
    </row>
    <row r="218" ht="15" customHeight="1">
      <c r="A218" t="inlineStr">
        <is>
          <t>A 8759-2024</t>
        </is>
      </c>
      <c r="B218" s="1" t="n">
        <v>45356.52271990741</v>
      </c>
      <c r="C218" s="1" t="n">
        <v>46063</v>
      </c>
      <c r="D218" t="inlineStr">
        <is>
          <t>SKÅNE LÄN</t>
        </is>
      </c>
      <c r="E218" t="inlineStr">
        <is>
          <t>HÄSSLEHOLM</t>
        </is>
      </c>
      <c r="G218" t="n">
        <v>5.7</v>
      </c>
      <c r="H218" t="n">
        <v>0</v>
      </c>
      <c r="I218" t="n">
        <v>0</v>
      </c>
      <c r="J218" t="n">
        <v>0</v>
      </c>
      <c r="K218" t="n">
        <v>0</v>
      </c>
      <c r="L218" t="n">
        <v>0</v>
      </c>
      <c r="M218" t="n">
        <v>0</v>
      </c>
      <c r="N218" t="n">
        <v>0</v>
      </c>
      <c r="O218" t="n">
        <v>0</v>
      </c>
      <c r="P218" t="n">
        <v>0</v>
      </c>
      <c r="Q218" t="n">
        <v>0</v>
      </c>
      <c r="R218" s="2" t="inlineStr"/>
    </row>
    <row r="219" ht="15" customHeight="1">
      <c r="A219" t="inlineStr">
        <is>
          <t>A 10020-2024</t>
        </is>
      </c>
      <c r="B219" s="1" t="n">
        <v>45363.96944444445</v>
      </c>
      <c r="C219" s="1" t="n">
        <v>46063</v>
      </c>
      <c r="D219" t="inlineStr">
        <is>
          <t>SKÅNE LÄN</t>
        </is>
      </c>
      <c r="E219" t="inlineStr">
        <is>
          <t>HÄSSLEHOLM</t>
        </is>
      </c>
      <c r="G219" t="n">
        <v>5.3</v>
      </c>
      <c r="H219" t="n">
        <v>0</v>
      </c>
      <c r="I219" t="n">
        <v>0</v>
      </c>
      <c r="J219" t="n">
        <v>0</v>
      </c>
      <c r="K219" t="n">
        <v>0</v>
      </c>
      <c r="L219" t="n">
        <v>0</v>
      </c>
      <c r="M219" t="n">
        <v>0</v>
      </c>
      <c r="N219" t="n">
        <v>0</v>
      </c>
      <c r="O219" t="n">
        <v>0</v>
      </c>
      <c r="P219" t="n">
        <v>0</v>
      </c>
      <c r="Q219" t="n">
        <v>0</v>
      </c>
      <c r="R219" s="2" t="inlineStr"/>
    </row>
    <row r="220" ht="15" customHeight="1">
      <c r="A220" t="inlineStr">
        <is>
          <t>A 12936-2025</t>
        </is>
      </c>
      <c r="B220" s="1" t="n">
        <v>45734</v>
      </c>
      <c r="C220" s="1" t="n">
        <v>46063</v>
      </c>
      <c r="D220" t="inlineStr">
        <is>
          <t>SKÅNE LÄN</t>
        </is>
      </c>
      <c r="E220" t="inlineStr">
        <is>
          <t>HÄSSLEHOLM</t>
        </is>
      </c>
      <c r="G220" t="n">
        <v>1.7</v>
      </c>
      <c r="H220" t="n">
        <v>0</v>
      </c>
      <c r="I220" t="n">
        <v>0</v>
      </c>
      <c r="J220" t="n">
        <v>0</v>
      </c>
      <c r="K220" t="n">
        <v>0</v>
      </c>
      <c r="L220" t="n">
        <v>0</v>
      </c>
      <c r="M220" t="n">
        <v>0</v>
      </c>
      <c r="N220" t="n">
        <v>0</v>
      </c>
      <c r="O220" t="n">
        <v>0</v>
      </c>
      <c r="P220" t="n">
        <v>0</v>
      </c>
      <c r="Q220" t="n">
        <v>0</v>
      </c>
      <c r="R220" s="2" t="inlineStr"/>
    </row>
    <row r="221" ht="15" customHeight="1">
      <c r="A221" t="inlineStr">
        <is>
          <t>A 8749-2024</t>
        </is>
      </c>
      <c r="B221" s="1" t="n">
        <v>45356.50387731481</v>
      </c>
      <c r="C221" s="1" t="n">
        <v>46063</v>
      </c>
      <c r="D221" t="inlineStr">
        <is>
          <t>SKÅNE LÄN</t>
        </is>
      </c>
      <c r="E221" t="inlineStr">
        <is>
          <t>HÄSSLEHOLM</t>
        </is>
      </c>
      <c r="G221" t="n">
        <v>2.9</v>
      </c>
      <c r="H221" t="n">
        <v>0</v>
      </c>
      <c r="I221" t="n">
        <v>0</v>
      </c>
      <c r="J221" t="n">
        <v>0</v>
      </c>
      <c r="K221" t="n">
        <v>0</v>
      </c>
      <c r="L221" t="n">
        <v>0</v>
      </c>
      <c r="M221" t="n">
        <v>0</v>
      </c>
      <c r="N221" t="n">
        <v>0</v>
      </c>
      <c r="O221" t="n">
        <v>0</v>
      </c>
      <c r="P221" t="n">
        <v>0</v>
      </c>
      <c r="Q221" t="n">
        <v>0</v>
      </c>
      <c r="R221" s="2" t="inlineStr"/>
    </row>
    <row r="222" ht="15" customHeight="1">
      <c r="A222" t="inlineStr">
        <is>
          <t>A 8752-2024</t>
        </is>
      </c>
      <c r="B222" s="1" t="n">
        <v>45356</v>
      </c>
      <c r="C222" s="1" t="n">
        <v>46063</v>
      </c>
      <c r="D222" t="inlineStr">
        <is>
          <t>SKÅNE LÄN</t>
        </is>
      </c>
      <c r="E222" t="inlineStr">
        <is>
          <t>HÄSSLEHOLM</t>
        </is>
      </c>
      <c r="G222" t="n">
        <v>3.4</v>
      </c>
      <c r="H222" t="n">
        <v>0</v>
      </c>
      <c r="I222" t="n">
        <v>0</v>
      </c>
      <c r="J222" t="n">
        <v>0</v>
      </c>
      <c r="K222" t="n">
        <v>0</v>
      </c>
      <c r="L222" t="n">
        <v>0</v>
      </c>
      <c r="M222" t="n">
        <v>0</v>
      </c>
      <c r="N222" t="n">
        <v>0</v>
      </c>
      <c r="O222" t="n">
        <v>0</v>
      </c>
      <c r="P222" t="n">
        <v>0</v>
      </c>
      <c r="Q222" t="n">
        <v>0</v>
      </c>
      <c r="R222" s="2" t="inlineStr"/>
    </row>
    <row r="223" ht="15" customHeight="1">
      <c r="A223" t="inlineStr">
        <is>
          <t>A 42906-2022</t>
        </is>
      </c>
      <c r="B223" s="1" t="n">
        <v>44833</v>
      </c>
      <c r="C223" s="1" t="n">
        <v>46063</v>
      </c>
      <c r="D223" t="inlineStr">
        <is>
          <t>SKÅNE LÄN</t>
        </is>
      </c>
      <c r="E223" t="inlineStr">
        <is>
          <t>HÄSSLEHOLM</t>
        </is>
      </c>
      <c r="G223" t="n">
        <v>1.1</v>
      </c>
      <c r="H223" t="n">
        <v>0</v>
      </c>
      <c r="I223" t="n">
        <v>0</v>
      </c>
      <c r="J223" t="n">
        <v>0</v>
      </c>
      <c r="K223" t="n">
        <v>0</v>
      </c>
      <c r="L223" t="n">
        <v>0</v>
      </c>
      <c r="M223" t="n">
        <v>0</v>
      </c>
      <c r="N223" t="n">
        <v>0</v>
      </c>
      <c r="O223" t="n">
        <v>0</v>
      </c>
      <c r="P223" t="n">
        <v>0</v>
      </c>
      <c r="Q223" t="n">
        <v>0</v>
      </c>
      <c r="R223" s="2" t="inlineStr"/>
    </row>
    <row r="224" ht="15" customHeight="1">
      <c r="A224" t="inlineStr">
        <is>
          <t>A 15036-2024</t>
        </is>
      </c>
      <c r="B224" s="1" t="n">
        <v>45399.48100694444</v>
      </c>
      <c r="C224" s="1" t="n">
        <v>46063</v>
      </c>
      <c r="D224" t="inlineStr">
        <is>
          <t>SKÅNE LÄN</t>
        </is>
      </c>
      <c r="E224" t="inlineStr">
        <is>
          <t>HÄSSLEHOLM</t>
        </is>
      </c>
      <c r="G224" t="n">
        <v>1.6</v>
      </c>
      <c r="H224" t="n">
        <v>0</v>
      </c>
      <c r="I224" t="n">
        <v>0</v>
      </c>
      <c r="J224" t="n">
        <v>0</v>
      </c>
      <c r="K224" t="n">
        <v>0</v>
      </c>
      <c r="L224" t="n">
        <v>0</v>
      </c>
      <c r="M224" t="n">
        <v>0</v>
      </c>
      <c r="N224" t="n">
        <v>0</v>
      </c>
      <c r="O224" t="n">
        <v>0</v>
      </c>
      <c r="P224" t="n">
        <v>0</v>
      </c>
      <c r="Q224" t="n">
        <v>0</v>
      </c>
      <c r="R224" s="2" t="inlineStr"/>
    </row>
    <row r="225" ht="15" customHeight="1">
      <c r="A225" t="inlineStr">
        <is>
          <t>A 44697-2021</t>
        </is>
      </c>
      <c r="B225" s="1" t="n">
        <v>44438</v>
      </c>
      <c r="C225" s="1" t="n">
        <v>46063</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58915-2023</t>
        </is>
      </c>
      <c r="B226" s="1" t="n">
        <v>45250</v>
      </c>
      <c r="C226" s="1" t="n">
        <v>46063</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18648-2021</t>
        </is>
      </c>
      <c r="B227" s="1" t="n">
        <v>44306.70583333333</v>
      </c>
      <c r="C227" s="1" t="n">
        <v>46063</v>
      </c>
      <c r="D227" t="inlineStr">
        <is>
          <t>SKÅNE LÄN</t>
        </is>
      </c>
      <c r="E227" t="inlineStr">
        <is>
          <t>HÄSSLEHOLM</t>
        </is>
      </c>
      <c r="G227" t="n">
        <v>2.5</v>
      </c>
      <c r="H227" t="n">
        <v>0</v>
      </c>
      <c r="I227" t="n">
        <v>0</v>
      </c>
      <c r="J227" t="n">
        <v>0</v>
      </c>
      <c r="K227" t="n">
        <v>0</v>
      </c>
      <c r="L227" t="n">
        <v>0</v>
      </c>
      <c r="M227" t="n">
        <v>0</v>
      </c>
      <c r="N227" t="n">
        <v>0</v>
      </c>
      <c r="O227" t="n">
        <v>0</v>
      </c>
      <c r="P227" t="n">
        <v>0</v>
      </c>
      <c r="Q227" t="n">
        <v>0</v>
      </c>
      <c r="R227" s="2" t="inlineStr"/>
    </row>
    <row r="228" ht="15" customHeight="1">
      <c r="A228" t="inlineStr">
        <is>
          <t>A 53067-2022</t>
        </is>
      </c>
      <c r="B228" s="1" t="n">
        <v>44873</v>
      </c>
      <c r="C228" s="1" t="n">
        <v>46063</v>
      </c>
      <c r="D228" t="inlineStr">
        <is>
          <t>SKÅNE LÄN</t>
        </is>
      </c>
      <c r="E228" t="inlineStr">
        <is>
          <t>HÄSSLEHOLM</t>
        </is>
      </c>
      <c r="G228" t="n">
        <v>1.2</v>
      </c>
      <c r="H228" t="n">
        <v>0</v>
      </c>
      <c r="I228" t="n">
        <v>0</v>
      </c>
      <c r="J228" t="n">
        <v>0</v>
      </c>
      <c r="K228" t="n">
        <v>0</v>
      </c>
      <c r="L228" t="n">
        <v>0</v>
      </c>
      <c r="M228" t="n">
        <v>0</v>
      </c>
      <c r="N228" t="n">
        <v>0</v>
      </c>
      <c r="O228" t="n">
        <v>0</v>
      </c>
      <c r="P228" t="n">
        <v>0</v>
      </c>
      <c r="Q228" t="n">
        <v>0</v>
      </c>
      <c r="R228" s="2" t="inlineStr"/>
    </row>
    <row r="229" ht="15" customHeight="1">
      <c r="A229" t="inlineStr">
        <is>
          <t>A 20494-2024</t>
        </is>
      </c>
      <c r="B229" s="1" t="n">
        <v>45435</v>
      </c>
      <c r="C229" s="1" t="n">
        <v>46063</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61929-2023</t>
        </is>
      </c>
      <c r="B230" s="1" t="n">
        <v>45266</v>
      </c>
      <c r="C230" s="1" t="n">
        <v>46063</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57033-2022</t>
        </is>
      </c>
      <c r="B231" s="1" t="n">
        <v>44895.31270833333</v>
      </c>
      <c r="C231" s="1" t="n">
        <v>46063</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1120-2024</t>
        </is>
      </c>
      <c r="B232" s="1" t="n">
        <v>45302.4452662037</v>
      </c>
      <c r="C232" s="1" t="n">
        <v>46063</v>
      </c>
      <c r="D232" t="inlineStr">
        <is>
          <t>SKÅNE LÄN</t>
        </is>
      </c>
      <c r="E232" t="inlineStr">
        <is>
          <t>HÄSSLEHOLM</t>
        </is>
      </c>
      <c r="G232" t="n">
        <v>2.7</v>
      </c>
      <c r="H232" t="n">
        <v>0</v>
      </c>
      <c r="I232" t="n">
        <v>0</v>
      </c>
      <c r="J232" t="n">
        <v>0</v>
      </c>
      <c r="K232" t="n">
        <v>0</v>
      </c>
      <c r="L232" t="n">
        <v>0</v>
      </c>
      <c r="M232" t="n">
        <v>0</v>
      </c>
      <c r="N232" t="n">
        <v>0</v>
      </c>
      <c r="O232" t="n">
        <v>0</v>
      </c>
      <c r="P232" t="n">
        <v>0</v>
      </c>
      <c r="Q232" t="n">
        <v>0</v>
      </c>
      <c r="R232" s="2" t="inlineStr"/>
    </row>
    <row r="233" ht="15" customHeight="1">
      <c r="A233" t="inlineStr">
        <is>
          <t>A 27177-2024</t>
        </is>
      </c>
      <c r="B233" s="1" t="n">
        <v>45471.57201388889</v>
      </c>
      <c r="C233" s="1" t="n">
        <v>46063</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42428-2022</t>
        </is>
      </c>
      <c r="B234" s="1" t="n">
        <v>44831</v>
      </c>
      <c r="C234" s="1" t="n">
        <v>46063</v>
      </c>
      <c r="D234" t="inlineStr">
        <is>
          <t>SKÅNE LÄN</t>
        </is>
      </c>
      <c r="E234" t="inlineStr">
        <is>
          <t>HÄSSLEHOLM</t>
        </is>
      </c>
      <c r="G234" t="n">
        <v>2.8</v>
      </c>
      <c r="H234" t="n">
        <v>0</v>
      </c>
      <c r="I234" t="n">
        <v>0</v>
      </c>
      <c r="J234" t="n">
        <v>0</v>
      </c>
      <c r="K234" t="n">
        <v>0</v>
      </c>
      <c r="L234" t="n">
        <v>0</v>
      </c>
      <c r="M234" t="n">
        <v>0</v>
      </c>
      <c r="N234" t="n">
        <v>0</v>
      </c>
      <c r="O234" t="n">
        <v>0</v>
      </c>
      <c r="P234" t="n">
        <v>0</v>
      </c>
      <c r="Q234" t="n">
        <v>0</v>
      </c>
      <c r="R234" s="2" t="inlineStr"/>
    </row>
    <row r="235" ht="15" customHeight="1">
      <c r="A235" t="inlineStr">
        <is>
          <t>A 61186-2022</t>
        </is>
      </c>
      <c r="B235" s="1" t="n">
        <v>44915.50745370371</v>
      </c>
      <c r="C235" s="1" t="n">
        <v>46063</v>
      </c>
      <c r="D235" t="inlineStr">
        <is>
          <t>SKÅNE LÄN</t>
        </is>
      </c>
      <c r="E235" t="inlineStr">
        <is>
          <t>HÄSSLEHOLM</t>
        </is>
      </c>
      <c r="G235" t="n">
        <v>2.9</v>
      </c>
      <c r="H235" t="n">
        <v>0</v>
      </c>
      <c r="I235" t="n">
        <v>0</v>
      </c>
      <c r="J235" t="n">
        <v>0</v>
      </c>
      <c r="K235" t="n">
        <v>0</v>
      </c>
      <c r="L235" t="n">
        <v>0</v>
      </c>
      <c r="M235" t="n">
        <v>0</v>
      </c>
      <c r="N235" t="n">
        <v>0</v>
      </c>
      <c r="O235" t="n">
        <v>0</v>
      </c>
      <c r="P235" t="n">
        <v>0</v>
      </c>
      <c r="Q235" t="n">
        <v>0</v>
      </c>
      <c r="R235" s="2" t="inlineStr"/>
    </row>
    <row r="236" ht="15" customHeight="1">
      <c r="A236" t="inlineStr">
        <is>
          <t>A 22595-2024</t>
        </is>
      </c>
      <c r="B236" s="1" t="n">
        <v>45447.61053240741</v>
      </c>
      <c r="C236" s="1" t="n">
        <v>46063</v>
      </c>
      <c r="D236" t="inlineStr">
        <is>
          <t>SKÅNE LÄN</t>
        </is>
      </c>
      <c r="E236" t="inlineStr">
        <is>
          <t>HÄSSLEHOLM</t>
        </is>
      </c>
      <c r="G236" t="n">
        <v>0.9</v>
      </c>
      <c r="H236" t="n">
        <v>0</v>
      </c>
      <c r="I236" t="n">
        <v>0</v>
      </c>
      <c r="J236" t="n">
        <v>0</v>
      </c>
      <c r="K236" t="n">
        <v>0</v>
      </c>
      <c r="L236" t="n">
        <v>0</v>
      </c>
      <c r="M236" t="n">
        <v>0</v>
      </c>
      <c r="N236" t="n">
        <v>0</v>
      </c>
      <c r="O236" t="n">
        <v>0</v>
      </c>
      <c r="P236" t="n">
        <v>0</v>
      </c>
      <c r="Q236" t="n">
        <v>0</v>
      </c>
      <c r="R236" s="2" t="inlineStr"/>
    </row>
    <row r="237" ht="15" customHeight="1">
      <c r="A237" t="inlineStr">
        <is>
          <t>A 13018-2024</t>
        </is>
      </c>
      <c r="B237" s="1" t="n">
        <v>45385.58274305556</v>
      </c>
      <c r="C237" s="1" t="n">
        <v>46063</v>
      </c>
      <c r="D237" t="inlineStr">
        <is>
          <t>SKÅNE LÄN</t>
        </is>
      </c>
      <c r="E237" t="inlineStr">
        <is>
          <t>HÄSSLEHOLM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26857-2025</t>
        </is>
      </c>
      <c r="B238" s="1" t="n">
        <v>45810</v>
      </c>
      <c r="C238" s="1" t="n">
        <v>46063</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34342-2021</t>
        </is>
      </c>
      <c r="B239" s="1" t="n">
        <v>44379</v>
      </c>
      <c r="C239" s="1" t="n">
        <v>46063</v>
      </c>
      <c r="D239" t="inlineStr">
        <is>
          <t>SKÅNE LÄN</t>
        </is>
      </c>
      <c r="E239" t="inlineStr">
        <is>
          <t>HÄSSLEHOLM</t>
        </is>
      </c>
      <c r="G239" t="n">
        <v>7</v>
      </c>
      <c r="H239" t="n">
        <v>0</v>
      </c>
      <c r="I239" t="n">
        <v>0</v>
      </c>
      <c r="J239" t="n">
        <v>0</v>
      </c>
      <c r="K239" t="n">
        <v>0</v>
      </c>
      <c r="L239" t="n">
        <v>0</v>
      </c>
      <c r="M239" t="n">
        <v>0</v>
      </c>
      <c r="N239" t="n">
        <v>0</v>
      </c>
      <c r="O239" t="n">
        <v>0</v>
      </c>
      <c r="P239" t="n">
        <v>0</v>
      </c>
      <c r="Q239" t="n">
        <v>0</v>
      </c>
      <c r="R239" s="2" t="inlineStr"/>
    </row>
    <row r="240" ht="15" customHeight="1">
      <c r="A240" t="inlineStr">
        <is>
          <t>A 42776-2021</t>
        </is>
      </c>
      <c r="B240" s="1" t="n">
        <v>44428</v>
      </c>
      <c r="C240" s="1" t="n">
        <v>46063</v>
      </c>
      <c r="D240" t="inlineStr">
        <is>
          <t>SKÅNE LÄN</t>
        </is>
      </c>
      <c r="E240" t="inlineStr">
        <is>
          <t>HÄSSLEHOLM</t>
        </is>
      </c>
      <c r="G240" t="n">
        <v>3.2</v>
      </c>
      <c r="H240" t="n">
        <v>0</v>
      </c>
      <c r="I240" t="n">
        <v>0</v>
      </c>
      <c r="J240" t="n">
        <v>0</v>
      </c>
      <c r="K240" t="n">
        <v>0</v>
      </c>
      <c r="L240" t="n">
        <v>0</v>
      </c>
      <c r="M240" t="n">
        <v>0</v>
      </c>
      <c r="N240" t="n">
        <v>0</v>
      </c>
      <c r="O240" t="n">
        <v>0</v>
      </c>
      <c r="P240" t="n">
        <v>0</v>
      </c>
      <c r="Q240" t="n">
        <v>0</v>
      </c>
      <c r="R240" s="2" t="inlineStr"/>
    </row>
    <row r="241" ht="15" customHeight="1">
      <c r="A241" t="inlineStr">
        <is>
          <t>A 38148-2022</t>
        </is>
      </c>
      <c r="B241" s="1" t="n">
        <v>44811</v>
      </c>
      <c r="C241" s="1" t="n">
        <v>46063</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12780-2024</t>
        </is>
      </c>
      <c r="B242" s="1" t="n">
        <v>45384.59726851852</v>
      </c>
      <c r="C242" s="1" t="n">
        <v>46063</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22594-2024</t>
        </is>
      </c>
      <c r="B243" s="1" t="n">
        <v>45447.60892361111</v>
      </c>
      <c r="C243" s="1" t="n">
        <v>46063</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28457-2024</t>
        </is>
      </c>
      <c r="B244" s="1" t="n">
        <v>45477.68884259259</v>
      </c>
      <c r="C244" s="1" t="n">
        <v>46063</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55056-2021</t>
        </is>
      </c>
      <c r="B245" s="1" t="n">
        <v>44474.62072916667</v>
      </c>
      <c r="C245" s="1" t="n">
        <v>46063</v>
      </c>
      <c r="D245" t="inlineStr">
        <is>
          <t>SKÅNE LÄN</t>
        </is>
      </c>
      <c r="E245" t="inlineStr">
        <is>
          <t>HÄSSLEHOLM</t>
        </is>
      </c>
      <c r="G245" t="n">
        <v>2.5</v>
      </c>
      <c r="H245" t="n">
        <v>0</v>
      </c>
      <c r="I245" t="n">
        <v>0</v>
      </c>
      <c r="J245" t="n">
        <v>0</v>
      </c>
      <c r="K245" t="n">
        <v>0</v>
      </c>
      <c r="L245" t="n">
        <v>0</v>
      </c>
      <c r="M245" t="n">
        <v>0</v>
      </c>
      <c r="N245" t="n">
        <v>0</v>
      </c>
      <c r="O245" t="n">
        <v>0</v>
      </c>
      <c r="P245" t="n">
        <v>0</v>
      </c>
      <c r="Q245" t="n">
        <v>0</v>
      </c>
      <c r="R245" s="2" t="inlineStr"/>
    </row>
    <row r="246" ht="15" customHeight="1">
      <c r="A246" t="inlineStr">
        <is>
          <t>A 4042-2023</t>
        </is>
      </c>
      <c r="B246" s="1" t="n">
        <v>44952.59950231481</v>
      </c>
      <c r="C246" s="1" t="n">
        <v>46063</v>
      </c>
      <c r="D246" t="inlineStr">
        <is>
          <t>SKÅNE LÄN</t>
        </is>
      </c>
      <c r="E246" t="inlineStr">
        <is>
          <t>HÄSSLEHOLM</t>
        </is>
      </c>
      <c r="G246" t="n">
        <v>2.7</v>
      </c>
      <c r="H246" t="n">
        <v>0</v>
      </c>
      <c r="I246" t="n">
        <v>0</v>
      </c>
      <c r="J246" t="n">
        <v>0</v>
      </c>
      <c r="K246" t="n">
        <v>0</v>
      </c>
      <c r="L246" t="n">
        <v>0</v>
      </c>
      <c r="M246" t="n">
        <v>0</v>
      </c>
      <c r="N246" t="n">
        <v>0</v>
      </c>
      <c r="O246" t="n">
        <v>0</v>
      </c>
      <c r="P246" t="n">
        <v>0</v>
      </c>
      <c r="Q246" t="n">
        <v>0</v>
      </c>
      <c r="R246" s="2" t="inlineStr"/>
    </row>
    <row r="247" ht="15" customHeight="1">
      <c r="A247" t="inlineStr">
        <is>
          <t>A 33927-2021</t>
        </is>
      </c>
      <c r="B247" s="1" t="n">
        <v>44378</v>
      </c>
      <c r="C247" s="1" t="n">
        <v>46063</v>
      </c>
      <c r="D247" t="inlineStr">
        <is>
          <t>SKÅNE LÄN</t>
        </is>
      </c>
      <c r="E247" t="inlineStr">
        <is>
          <t>HÄSSLEHOLM</t>
        </is>
      </c>
      <c r="G247" t="n">
        <v>16.7</v>
      </c>
      <c r="H247" t="n">
        <v>0</v>
      </c>
      <c r="I247" t="n">
        <v>0</v>
      </c>
      <c r="J247" t="n">
        <v>0</v>
      </c>
      <c r="K247" t="n">
        <v>0</v>
      </c>
      <c r="L247" t="n">
        <v>0</v>
      </c>
      <c r="M247" t="n">
        <v>0</v>
      </c>
      <c r="N247" t="n">
        <v>0</v>
      </c>
      <c r="O247" t="n">
        <v>0</v>
      </c>
      <c r="P247" t="n">
        <v>0</v>
      </c>
      <c r="Q247" t="n">
        <v>0</v>
      </c>
      <c r="R247" s="2" t="inlineStr"/>
    </row>
    <row r="248" ht="15" customHeight="1">
      <c r="A248" t="inlineStr">
        <is>
          <t>A 3123-2023</t>
        </is>
      </c>
      <c r="B248" s="1" t="n">
        <v>44946.4925</v>
      </c>
      <c r="C248" s="1" t="n">
        <v>46063</v>
      </c>
      <c r="D248" t="inlineStr">
        <is>
          <t>SKÅNE LÄN</t>
        </is>
      </c>
      <c r="E248" t="inlineStr">
        <is>
          <t>HÄSSLEHOLM</t>
        </is>
      </c>
      <c r="G248" t="n">
        <v>3.5</v>
      </c>
      <c r="H248" t="n">
        <v>0</v>
      </c>
      <c r="I248" t="n">
        <v>0</v>
      </c>
      <c r="J248" t="n">
        <v>0</v>
      </c>
      <c r="K248" t="n">
        <v>0</v>
      </c>
      <c r="L248" t="n">
        <v>0</v>
      </c>
      <c r="M248" t="n">
        <v>0</v>
      </c>
      <c r="N248" t="n">
        <v>0</v>
      </c>
      <c r="O248" t="n">
        <v>0</v>
      </c>
      <c r="P248" t="n">
        <v>0</v>
      </c>
      <c r="Q248" t="n">
        <v>0</v>
      </c>
      <c r="R248" s="2" t="inlineStr"/>
    </row>
    <row r="249" ht="15" customHeight="1">
      <c r="A249" t="inlineStr">
        <is>
          <t>A 3126-2023</t>
        </is>
      </c>
      <c r="B249" s="1" t="n">
        <v>44946.49570601852</v>
      </c>
      <c r="C249" s="1" t="n">
        <v>46063</v>
      </c>
      <c r="D249" t="inlineStr">
        <is>
          <t>SKÅNE LÄN</t>
        </is>
      </c>
      <c r="E249" t="inlineStr">
        <is>
          <t>HÄSSLEHOLM</t>
        </is>
      </c>
      <c r="G249" t="n">
        <v>2.2</v>
      </c>
      <c r="H249" t="n">
        <v>0</v>
      </c>
      <c r="I249" t="n">
        <v>0</v>
      </c>
      <c r="J249" t="n">
        <v>0</v>
      </c>
      <c r="K249" t="n">
        <v>0</v>
      </c>
      <c r="L249" t="n">
        <v>0</v>
      </c>
      <c r="M249" t="n">
        <v>0</v>
      </c>
      <c r="N249" t="n">
        <v>0</v>
      </c>
      <c r="O249" t="n">
        <v>0</v>
      </c>
      <c r="P249" t="n">
        <v>0</v>
      </c>
      <c r="Q249" t="n">
        <v>0</v>
      </c>
      <c r="R249" s="2" t="inlineStr"/>
    </row>
    <row r="250" ht="15" customHeight="1">
      <c r="A250" t="inlineStr">
        <is>
          <t>A 12468-2024</t>
        </is>
      </c>
      <c r="B250" s="1" t="n">
        <v>45379</v>
      </c>
      <c r="C250" s="1" t="n">
        <v>46063</v>
      </c>
      <c r="D250" t="inlineStr">
        <is>
          <t>SKÅNE LÄN</t>
        </is>
      </c>
      <c r="E250" t="inlineStr">
        <is>
          <t>HÄSSLEHOLM</t>
        </is>
      </c>
      <c r="G250" t="n">
        <v>15.5</v>
      </c>
      <c r="H250" t="n">
        <v>0</v>
      </c>
      <c r="I250" t="n">
        <v>0</v>
      </c>
      <c r="J250" t="n">
        <v>0</v>
      </c>
      <c r="K250" t="n">
        <v>0</v>
      </c>
      <c r="L250" t="n">
        <v>0</v>
      </c>
      <c r="M250" t="n">
        <v>0</v>
      </c>
      <c r="N250" t="n">
        <v>0</v>
      </c>
      <c r="O250" t="n">
        <v>0</v>
      </c>
      <c r="P250" t="n">
        <v>0</v>
      </c>
      <c r="Q250" t="n">
        <v>0</v>
      </c>
      <c r="R250" s="2" t="inlineStr"/>
    </row>
    <row r="251" ht="15" customHeight="1">
      <c r="A251" t="inlineStr">
        <is>
          <t>A 24865-2024</t>
        </is>
      </c>
      <c r="B251" s="1" t="n">
        <v>45461.48974537037</v>
      </c>
      <c r="C251" s="1" t="n">
        <v>46063</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25057-2024</t>
        </is>
      </c>
      <c r="B252" s="1" t="n">
        <v>45462</v>
      </c>
      <c r="C252" s="1" t="n">
        <v>46063</v>
      </c>
      <c r="D252" t="inlineStr">
        <is>
          <t>SKÅNE LÄN</t>
        </is>
      </c>
      <c r="E252" t="inlineStr">
        <is>
          <t>HÄSSLEHOLM</t>
        </is>
      </c>
      <c r="G252" t="n">
        <v>4.3</v>
      </c>
      <c r="H252" t="n">
        <v>0</v>
      </c>
      <c r="I252" t="n">
        <v>0</v>
      </c>
      <c r="J252" t="n">
        <v>0</v>
      </c>
      <c r="K252" t="n">
        <v>0</v>
      </c>
      <c r="L252" t="n">
        <v>0</v>
      </c>
      <c r="M252" t="n">
        <v>0</v>
      </c>
      <c r="N252" t="n">
        <v>0</v>
      </c>
      <c r="O252" t="n">
        <v>0</v>
      </c>
      <c r="P252" t="n">
        <v>0</v>
      </c>
      <c r="Q252" t="n">
        <v>0</v>
      </c>
      <c r="R252" s="2" t="inlineStr"/>
    </row>
    <row r="253" ht="15" customHeight="1">
      <c r="A253" t="inlineStr">
        <is>
          <t>A 25213-2023</t>
        </is>
      </c>
      <c r="B253" s="1" t="n">
        <v>45086.60010416667</v>
      </c>
      <c r="C253" s="1" t="n">
        <v>46063</v>
      </c>
      <c r="D253" t="inlineStr">
        <is>
          <t>SKÅNE LÄN</t>
        </is>
      </c>
      <c r="E253" t="inlineStr">
        <is>
          <t>HÄSSLEHOLM</t>
        </is>
      </c>
      <c r="G253" t="n">
        <v>7.2</v>
      </c>
      <c r="H253" t="n">
        <v>0</v>
      </c>
      <c r="I253" t="n">
        <v>0</v>
      </c>
      <c r="J253" t="n">
        <v>0</v>
      </c>
      <c r="K253" t="n">
        <v>0</v>
      </c>
      <c r="L253" t="n">
        <v>0</v>
      </c>
      <c r="M253" t="n">
        <v>0</v>
      </c>
      <c r="N253" t="n">
        <v>0</v>
      </c>
      <c r="O253" t="n">
        <v>0</v>
      </c>
      <c r="P253" t="n">
        <v>0</v>
      </c>
      <c r="Q253" t="n">
        <v>0</v>
      </c>
      <c r="R253" s="2" t="inlineStr"/>
    </row>
    <row r="254" ht="15" customHeight="1">
      <c r="A254" t="inlineStr">
        <is>
          <t>A 4009-2024</t>
        </is>
      </c>
      <c r="B254" s="1" t="n">
        <v>45323</v>
      </c>
      <c r="C254" s="1" t="n">
        <v>46063</v>
      </c>
      <c r="D254" t="inlineStr">
        <is>
          <t>SKÅNE LÄN</t>
        </is>
      </c>
      <c r="E254" t="inlineStr">
        <is>
          <t>HÄSSLEHOLM</t>
        </is>
      </c>
      <c r="G254" t="n">
        <v>2.4</v>
      </c>
      <c r="H254" t="n">
        <v>0</v>
      </c>
      <c r="I254" t="n">
        <v>0</v>
      </c>
      <c r="J254" t="n">
        <v>0</v>
      </c>
      <c r="K254" t="n">
        <v>0</v>
      </c>
      <c r="L254" t="n">
        <v>0</v>
      </c>
      <c r="M254" t="n">
        <v>0</v>
      </c>
      <c r="N254" t="n">
        <v>0</v>
      </c>
      <c r="O254" t="n">
        <v>0</v>
      </c>
      <c r="P254" t="n">
        <v>0</v>
      </c>
      <c r="Q254" t="n">
        <v>0</v>
      </c>
      <c r="R254" s="2" t="inlineStr"/>
    </row>
    <row r="255" ht="15" customHeight="1">
      <c r="A255" t="inlineStr">
        <is>
          <t>A 51287-2022</t>
        </is>
      </c>
      <c r="B255" s="1" t="n">
        <v>44868.83146990741</v>
      </c>
      <c r="C255" s="1" t="n">
        <v>46063</v>
      </c>
      <c r="D255" t="inlineStr">
        <is>
          <t>SKÅNE LÄN</t>
        </is>
      </c>
      <c r="E255" t="inlineStr">
        <is>
          <t>HÄSSLEHOLM</t>
        </is>
      </c>
      <c r="G255" t="n">
        <v>2.2</v>
      </c>
      <c r="H255" t="n">
        <v>0</v>
      </c>
      <c r="I255" t="n">
        <v>0</v>
      </c>
      <c r="J255" t="n">
        <v>0</v>
      </c>
      <c r="K255" t="n">
        <v>0</v>
      </c>
      <c r="L255" t="n">
        <v>0</v>
      </c>
      <c r="M255" t="n">
        <v>0</v>
      </c>
      <c r="N255" t="n">
        <v>0</v>
      </c>
      <c r="O255" t="n">
        <v>0</v>
      </c>
      <c r="P255" t="n">
        <v>0</v>
      </c>
      <c r="Q255" t="n">
        <v>0</v>
      </c>
      <c r="R255" s="2" t="inlineStr"/>
    </row>
    <row r="256" ht="15" customHeight="1">
      <c r="A256" t="inlineStr">
        <is>
          <t>A 60848-2022</t>
        </is>
      </c>
      <c r="B256" s="1" t="n">
        <v>44914</v>
      </c>
      <c r="C256" s="1" t="n">
        <v>46063</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57665-2022</t>
        </is>
      </c>
      <c r="B257" s="1" t="n">
        <v>44897.4494212963</v>
      </c>
      <c r="C257" s="1" t="n">
        <v>46063</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57676-2022</t>
        </is>
      </c>
      <c r="B258" s="1" t="n">
        <v>44897</v>
      </c>
      <c r="C258" s="1" t="n">
        <v>46063</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57649-2022</t>
        </is>
      </c>
      <c r="B259" s="1" t="n">
        <v>44897.42755787037</v>
      </c>
      <c r="C259" s="1" t="n">
        <v>46063</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10028-2024</t>
        </is>
      </c>
      <c r="B260" s="1" t="n">
        <v>45363.97292824074</v>
      </c>
      <c r="C260" s="1" t="n">
        <v>46063</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3507-2024</t>
        </is>
      </c>
      <c r="B261" s="1" t="n">
        <v>45320.4906712963</v>
      </c>
      <c r="C261" s="1" t="n">
        <v>46063</v>
      </c>
      <c r="D261" t="inlineStr">
        <is>
          <t>SKÅNE LÄN</t>
        </is>
      </c>
      <c r="E261" t="inlineStr">
        <is>
          <t>HÄSSLEHOLM</t>
        </is>
      </c>
      <c r="G261" t="n">
        <v>6.4</v>
      </c>
      <c r="H261" t="n">
        <v>0</v>
      </c>
      <c r="I261" t="n">
        <v>0</v>
      </c>
      <c r="J261" t="n">
        <v>0</v>
      </c>
      <c r="K261" t="n">
        <v>0</v>
      </c>
      <c r="L261" t="n">
        <v>0</v>
      </c>
      <c r="M261" t="n">
        <v>0</v>
      </c>
      <c r="N261" t="n">
        <v>0</v>
      </c>
      <c r="O261" t="n">
        <v>0</v>
      </c>
      <c r="P261" t="n">
        <v>0</v>
      </c>
      <c r="Q261" t="n">
        <v>0</v>
      </c>
      <c r="R261" s="2" t="inlineStr"/>
    </row>
    <row r="262" ht="15" customHeight="1">
      <c r="A262" t="inlineStr">
        <is>
          <t>A 4119-2024</t>
        </is>
      </c>
      <c r="B262" s="1" t="n">
        <v>45323.67920138889</v>
      </c>
      <c r="C262" s="1" t="n">
        <v>46063</v>
      </c>
      <c r="D262" t="inlineStr">
        <is>
          <t>SKÅNE LÄN</t>
        </is>
      </c>
      <c r="E262" t="inlineStr">
        <is>
          <t>HÄSSLEHOLM</t>
        </is>
      </c>
      <c r="G262" t="n">
        <v>0.8</v>
      </c>
      <c r="H262" t="n">
        <v>0</v>
      </c>
      <c r="I262" t="n">
        <v>0</v>
      </c>
      <c r="J262" t="n">
        <v>0</v>
      </c>
      <c r="K262" t="n">
        <v>0</v>
      </c>
      <c r="L262" t="n">
        <v>0</v>
      </c>
      <c r="M262" t="n">
        <v>0</v>
      </c>
      <c r="N262" t="n">
        <v>0</v>
      </c>
      <c r="O262" t="n">
        <v>0</v>
      </c>
      <c r="P262" t="n">
        <v>0</v>
      </c>
      <c r="Q262" t="n">
        <v>0</v>
      </c>
      <c r="R262" s="2" t="inlineStr"/>
    </row>
    <row r="263" ht="15" customHeight="1">
      <c r="A263" t="inlineStr">
        <is>
          <t>A 54671-2022</t>
        </is>
      </c>
      <c r="B263" s="1" t="n">
        <v>44883</v>
      </c>
      <c r="C263" s="1" t="n">
        <v>46063</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48877-2024</t>
        </is>
      </c>
      <c r="B264" s="1" t="n">
        <v>45594.31729166667</v>
      </c>
      <c r="C264" s="1" t="n">
        <v>46063</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47647-2024</t>
        </is>
      </c>
      <c r="B265" s="1" t="n">
        <v>45588</v>
      </c>
      <c r="C265" s="1" t="n">
        <v>46063</v>
      </c>
      <c r="D265" t="inlineStr">
        <is>
          <t>SKÅNE LÄN</t>
        </is>
      </c>
      <c r="E265" t="inlineStr">
        <is>
          <t>HÄSSLEHOLM</t>
        </is>
      </c>
      <c r="G265" t="n">
        <v>6.5</v>
      </c>
      <c r="H265" t="n">
        <v>0</v>
      </c>
      <c r="I265" t="n">
        <v>0</v>
      </c>
      <c r="J265" t="n">
        <v>0</v>
      </c>
      <c r="K265" t="n">
        <v>0</v>
      </c>
      <c r="L265" t="n">
        <v>0</v>
      </c>
      <c r="M265" t="n">
        <v>0</v>
      </c>
      <c r="N265" t="n">
        <v>0</v>
      </c>
      <c r="O265" t="n">
        <v>0</v>
      </c>
      <c r="P265" t="n">
        <v>0</v>
      </c>
      <c r="Q265" t="n">
        <v>0</v>
      </c>
      <c r="R265" s="2" t="inlineStr"/>
    </row>
    <row r="266" ht="15" customHeight="1">
      <c r="A266" t="inlineStr">
        <is>
          <t>A 1619-2022</t>
        </is>
      </c>
      <c r="B266" s="1" t="n">
        <v>44573</v>
      </c>
      <c r="C266" s="1" t="n">
        <v>46063</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53887-2023</t>
        </is>
      </c>
      <c r="B267" s="1" t="n">
        <v>45231.52675925926</v>
      </c>
      <c r="C267" s="1" t="n">
        <v>46063</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49167-2022</t>
        </is>
      </c>
      <c r="B268" s="1" t="n">
        <v>44860</v>
      </c>
      <c r="C268" s="1" t="n">
        <v>46063</v>
      </c>
      <c r="D268" t="inlineStr">
        <is>
          <t>SKÅNE LÄN</t>
        </is>
      </c>
      <c r="E268" t="inlineStr">
        <is>
          <t>HÄSSLEHOLM</t>
        </is>
      </c>
      <c r="G268" t="n">
        <v>1.3</v>
      </c>
      <c r="H268" t="n">
        <v>0</v>
      </c>
      <c r="I268" t="n">
        <v>0</v>
      </c>
      <c r="J268" t="n">
        <v>0</v>
      </c>
      <c r="K268" t="n">
        <v>0</v>
      </c>
      <c r="L268" t="n">
        <v>0</v>
      </c>
      <c r="M268" t="n">
        <v>0</v>
      </c>
      <c r="N268" t="n">
        <v>0</v>
      </c>
      <c r="O268" t="n">
        <v>0</v>
      </c>
      <c r="P268" t="n">
        <v>0</v>
      </c>
      <c r="Q268" t="n">
        <v>0</v>
      </c>
      <c r="R268" s="2" t="inlineStr"/>
    </row>
    <row r="269" ht="15" customHeight="1">
      <c r="A269" t="inlineStr">
        <is>
          <t>A 28071-2023</t>
        </is>
      </c>
      <c r="B269" s="1" t="n">
        <v>45099.37755787037</v>
      </c>
      <c r="C269" s="1" t="n">
        <v>46063</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22132-2024</t>
        </is>
      </c>
      <c r="B270" s="1" t="n">
        <v>45444.37234953704</v>
      </c>
      <c r="C270" s="1" t="n">
        <v>46063</v>
      </c>
      <c r="D270" t="inlineStr">
        <is>
          <t>SKÅNE LÄN</t>
        </is>
      </c>
      <c r="E270" t="inlineStr">
        <is>
          <t>HÄSSLEHOLM</t>
        </is>
      </c>
      <c r="G270" t="n">
        <v>3.1</v>
      </c>
      <c r="H270" t="n">
        <v>0</v>
      </c>
      <c r="I270" t="n">
        <v>0</v>
      </c>
      <c r="J270" t="n">
        <v>0</v>
      </c>
      <c r="K270" t="n">
        <v>0</v>
      </c>
      <c r="L270" t="n">
        <v>0</v>
      </c>
      <c r="M270" t="n">
        <v>0</v>
      </c>
      <c r="N270" t="n">
        <v>0</v>
      </c>
      <c r="O270" t="n">
        <v>0</v>
      </c>
      <c r="P270" t="n">
        <v>0</v>
      </c>
      <c r="Q270" t="n">
        <v>0</v>
      </c>
      <c r="R270" s="2" t="inlineStr"/>
    </row>
    <row r="271" ht="15" customHeight="1">
      <c r="A271" t="inlineStr">
        <is>
          <t>A 54171-2022</t>
        </is>
      </c>
      <c r="B271" s="1" t="n">
        <v>44881</v>
      </c>
      <c r="C271" s="1" t="n">
        <v>46063</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4787-2023</t>
        </is>
      </c>
      <c r="B272" s="1" t="n">
        <v>44957.60079861111</v>
      </c>
      <c r="C272" s="1" t="n">
        <v>46063</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4788-2023</t>
        </is>
      </c>
      <c r="B273" s="1" t="n">
        <v>44957.60130787037</v>
      </c>
      <c r="C273" s="1" t="n">
        <v>46063</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3245-2022</t>
        </is>
      </c>
      <c r="B274" s="1" t="n">
        <v>44583.39136574074</v>
      </c>
      <c r="C274" s="1" t="n">
        <v>46063</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23864-2024</t>
        </is>
      </c>
      <c r="B275" s="1" t="n">
        <v>45455</v>
      </c>
      <c r="C275" s="1" t="n">
        <v>46063</v>
      </c>
      <c r="D275" t="inlineStr">
        <is>
          <t>SKÅNE LÄN</t>
        </is>
      </c>
      <c r="E275" t="inlineStr">
        <is>
          <t>HÄSSLEHOLM</t>
        </is>
      </c>
      <c r="G275" t="n">
        <v>6.2</v>
      </c>
      <c r="H275" t="n">
        <v>0</v>
      </c>
      <c r="I275" t="n">
        <v>0</v>
      </c>
      <c r="J275" t="n">
        <v>0</v>
      </c>
      <c r="K275" t="n">
        <v>0</v>
      </c>
      <c r="L275" t="n">
        <v>0</v>
      </c>
      <c r="M275" t="n">
        <v>0</v>
      </c>
      <c r="N275" t="n">
        <v>0</v>
      </c>
      <c r="O275" t="n">
        <v>0</v>
      </c>
      <c r="P275" t="n">
        <v>0</v>
      </c>
      <c r="Q275" t="n">
        <v>0</v>
      </c>
      <c r="R275" s="2" t="inlineStr"/>
    </row>
    <row r="276" ht="15" customHeight="1">
      <c r="A276" t="inlineStr">
        <is>
          <t>A 32210-2024</t>
        </is>
      </c>
      <c r="B276" s="1" t="n">
        <v>45511.67777777778</v>
      </c>
      <c r="C276" s="1" t="n">
        <v>46063</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59431-2023</t>
        </is>
      </c>
      <c r="B277" s="1" t="n">
        <v>45254.29207175926</v>
      </c>
      <c r="C277" s="1" t="n">
        <v>46063</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59433-2023</t>
        </is>
      </c>
      <c r="B278" s="1" t="n">
        <v>45254.29768518519</v>
      </c>
      <c r="C278" s="1" t="n">
        <v>46063</v>
      </c>
      <c r="D278" t="inlineStr">
        <is>
          <t>SKÅNE LÄN</t>
        </is>
      </c>
      <c r="E278" t="inlineStr">
        <is>
          <t>HÄSSLEHOLM</t>
        </is>
      </c>
      <c r="G278" t="n">
        <v>3.1</v>
      </c>
      <c r="H278" t="n">
        <v>0</v>
      </c>
      <c r="I278" t="n">
        <v>0</v>
      </c>
      <c r="J278" t="n">
        <v>0</v>
      </c>
      <c r="K278" t="n">
        <v>0</v>
      </c>
      <c r="L278" t="n">
        <v>0</v>
      </c>
      <c r="M278" t="n">
        <v>0</v>
      </c>
      <c r="N278" t="n">
        <v>0</v>
      </c>
      <c r="O278" t="n">
        <v>0</v>
      </c>
      <c r="P278" t="n">
        <v>0</v>
      </c>
      <c r="Q278" t="n">
        <v>0</v>
      </c>
      <c r="R278" s="2" t="inlineStr"/>
    </row>
    <row r="279" ht="15" customHeight="1">
      <c r="A279" t="inlineStr">
        <is>
          <t>A 54174-2022</t>
        </is>
      </c>
      <c r="B279" s="1" t="n">
        <v>44881</v>
      </c>
      <c r="C279" s="1" t="n">
        <v>46063</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52235-2021</t>
        </is>
      </c>
      <c r="B280" s="1" t="n">
        <v>44463.60085648148</v>
      </c>
      <c r="C280" s="1" t="n">
        <v>46063</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31255-2024</t>
        </is>
      </c>
      <c r="B281" s="1" t="n">
        <v>45503.69114583333</v>
      </c>
      <c r="C281" s="1" t="n">
        <v>46063</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53302-2022</t>
        </is>
      </c>
      <c r="B282" s="1" t="n">
        <v>44877</v>
      </c>
      <c r="C282" s="1" t="n">
        <v>46063</v>
      </c>
      <c r="D282" t="inlineStr">
        <is>
          <t>SKÅNE LÄN</t>
        </is>
      </c>
      <c r="E282" t="inlineStr">
        <is>
          <t>HÄSSLEHOLM</t>
        </is>
      </c>
      <c r="G282" t="n">
        <v>0.1</v>
      </c>
      <c r="H282" t="n">
        <v>0</v>
      </c>
      <c r="I282" t="n">
        <v>0</v>
      </c>
      <c r="J282" t="n">
        <v>0</v>
      </c>
      <c r="K282" t="n">
        <v>0</v>
      </c>
      <c r="L282" t="n">
        <v>0</v>
      </c>
      <c r="M282" t="n">
        <v>0</v>
      </c>
      <c r="N282" t="n">
        <v>0</v>
      </c>
      <c r="O282" t="n">
        <v>0</v>
      </c>
      <c r="P282" t="n">
        <v>0</v>
      </c>
      <c r="Q282" t="n">
        <v>0</v>
      </c>
      <c r="R282" s="2" t="inlineStr"/>
    </row>
    <row r="283" ht="15" customHeight="1">
      <c r="A283" t="inlineStr">
        <is>
          <t>A 61158-2022</t>
        </is>
      </c>
      <c r="B283" s="1" t="n">
        <v>44915.47112268519</v>
      </c>
      <c r="C283" s="1" t="n">
        <v>46063</v>
      </c>
      <c r="D283" t="inlineStr">
        <is>
          <t>SKÅNE LÄN</t>
        </is>
      </c>
      <c r="E283" t="inlineStr">
        <is>
          <t>HÄSSLEHOLM</t>
        </is>
      </c>
      <c r="G283" t="n">
        <v>8.4</v>
      </c>
      <c r="H283" t="n">
        <v>0</v>
      </c>
      <c r="I283" t="n">
        <v>0</v>
      </c>
      <c r="J283" t="n">
        <v>0</v>
      </c>
      <c r="K283" t="n">
        <v>0</v>
      </c>
      <c r="L283" t="n">
        <v>0</v>
      </c>
      <c r="M283" t="n">
        <v>0</v>
      </c>
      <c r="N283" t="n">
        <v>0</v>
      </c>
      <c r="O283" t="n">
        <v>0</v>
      </c>
      <c r="P283" t="n">
        <v>0</v>
      </c>
      <c r="Q283" t="n">
        <v>0</v>
      </c>
      <c r="R283" s="2" t="inlineStr"/>
    </row>
    <row r="284" ht="15" customHeight="1">
      <c r="A284" t="inlineStr">
        <is>
          <t>A 52642-2021</t>
        </is>
      </c>
      <c r="B284" s="1" t="n">
        <v>44466.64298611111</v>
      </c>
      <c r="C284" s="1" t="n">
        <v>46063</v>
      </c>
      <c r="D284" t="inlineStr">
        <is>
          <t>SKÅNE LÄN</t>
        </is>
      </c>
      <c r="E284" t="inlineStr">
        <is>
          <t>HÄSSLEHOLM</t>
        </is>
      </c>
      <c r="G284" t="n">
        <v>3.7</v>
      </c>
      <c r="H284" t="n">
        <v>0</v>
      </c>
      <c r="I284" t="n">
        <v>0</v>
      </c>
      <c r="J284" t="n">
        <v>0</v>
      </c>
      <c r="K284" t="n">
        <v>0</v>
      </c>
      <c r="L284" t="n">
        <v>0</v>
      </c>
      <c r="M284" t="n">
        <v>0</v>
      </c>
      <c r="N284" t="n">
        <v>0</v>
      </c>
      <c r="O284" t="n">
        <v>0</v>
      </c>
      <c r="P284" t="n">
        <v>0</v>
      </c>
      <c r="Q284" t="n">
        <v>0</v>
      </c>
      <c r="R284" s="2" t="inlineStr"/>
    </row>
    <row r="285" ht="15" customHeight="1">
      <c r="A285" t="inlineStr">
        <is>
          <t>A 29850-2024</t>
        </is>
      </c>
      <c r="B285" s="1" t="n">
        <v>45485.64620370371</v>
      </c>
      <c r="C285" s="1" t="n">
        <v>46063</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40734-2024</t>
        </is>
      </c>
      <c r="B286" s="1" t="n">
        <v>45558</v>
      </c>
      <c r="C286" s="1" t="n">
        <v>46063</v>
      </c>
      <c r="D286" t="inlineStr">
        <is>
          <t>SKÅNE LÄN</t>
        </is>
      </c>
      <c r="E286" t="inlineStr">
        <is>
          <t>HÄSSLEHOLM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40738-2024</t>
        </is>
      </c>
      <c r="B287" s="1" t="n">
        <v>45558</v>
      </c>
      <c r="C287" s="1" t="n">
        <v>46063</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35711-2024</t>
        </is>
      </c>
      <c r="B288" s="1" t="n">
        <v>45532</v>
      </c>
      <c r="C288" s="1" t="n">
        <v>46063</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62041-2022</t>
        </is>
      </c>
      <c r="B289" s="1" t="n">
        <v>44918.55743055556</v>
      </c>
      <c r="C289" s="1" t="n">
        <v>46063</v>
      </c>
      <c r="D289" t="inlineStr">
        <is>
          <t>SKÅNE LÄN</t>
        </is>
      </c>
      <c r="E289" t="inlineStr">
        <is>
          <t>HÄSSLEHOLM</t>
        </is>
      </c>
      <c r="G289" t="n">
        <v>2.8</v>
      </c>
      <c r="H289" t="n">
        <v>0</v>
      </c>
      <c r="I289" t="n">
        <v>0</v>
      </c>
      <c r="J289" t="n">
        <v>0</v>
      </c>
      <c r="K289" t="n">
        <v>0</v>
      </c>
      <c r="L289" t="n">
        <v>0</v>
      </c>
      <c r="M289" t="n">
        <v>0</v>
      </c>
      <c r="N289" t="n">
        <v>0</v>
      </c>
      <c r="O289" t="n">
        <v>0</v>
      </c>
      <c r="P289" t="n">
        <v>0</v>
      </c>
      <c r="Q289" t="n">
        <v>0</v>
      </c>
      <c r="R289" s="2" t="inlineStr"/>
    </row>
    <row r="290" ht="15" customHeight="1">
      <c r="A290" t="inlineStr">
        <is>
          <t>A 6164-2023</t>
        </is>
      </c>
      <c r="B290" s="1" t="n">
        <v>44964.66871527778</v>
      </c>
      <c r="C290" s="1" t="n">
        <v>46063</v>
      </c>
      <c r="D290" t="inlineStr">
        <is>
          <t>SKÅNE LÄN</t>
        </is>
      </c>
      <c r="E290" t="inlineStr">
        <is>
          <t>HÄSSLEHOLM</t>
        </is>
      </c>
      <c r="G290" t="n">
        <v>0.7</v>
      </c>
      <c r="H290" t="n">
        <v>0</v>
      </c>
      <c r="I290" t="n">
        <v>0</v>
      </c>
      <c r="J290" t="n">
        <v>0</v>
      </c>
      <c r="K290" t="n">
        <v>0</v>
      </c>
      <c r="L290" t="n">
        <v>0</v>
      </c>
      <c r="M290" t="n">
        <v>0</v>
      </c>
      <c r="N290" t="n">
        <v>0</v>
      </c>
      <c r="O290" t="n">
        <v>0</v>
      </c>
      <c r="P290" t="n">
        <v>0</v>
      </c>
      <c r="Q290" t="n">
        <v>0</v>
      </c>
      <c r="R290" s="2" t="inlineStr"/>
    </row>
    <row r="291" ht="15" customHeight="1">
      <c r="A291" t="inlineStr">
        <is>
          <t>A 37141-2021</t>
        </is>
      </c>
      <c r="B291" s="1" t="n">
        <v>44396</v>
      </c>
      <c r="C291" s="1" t="n">
        <v>46063</v>
      </c>
      <c r="D291" t="inlineStr">
        <is>
          <t>SKÅNE LÄN</t>
        </is>
      </c>
      <c r="E291" t="inlineStr">
        <is>
          <t>HÄSSLEHOLM</t>
        </is>
      </c>
      <c r="G291" t="n">
        <v>12.8</v>
      </c>
      <c r="H291" t="n">
        <v>0</v>
      </c>
      <c r="I291" t="n">
        <v>0</v>
      </c>
      <c r="J291" t="n">
        <v>0</v>
      </c>
      <c r="K291" t="n">
        <v>0</v>
      </c>
      <c r="L291" t="n">
        <v>0</v>
      </c>
      <c r="M291" t="n">
        <v>0</v>
      </c>
      <c r="N291" t="n">
        <v>0</v>
      </c>
      <c r="O291" t="n">
        <v>0</v>
      </c>
      <c r="P291" t="n">
        <v>0</v>
      </c>
      <c r="Q291" t="n">
        <v>0</v>
      </c>
      <c r="R291" s="2" t="inlineStr"/>
    </row>
    <row r="292" ht="15" customHeight="1">
      <c r="A292" t="inlineStr">
        <is>
          <t>A 45399-2022</t>
        </is>
      </c>
      <c r="B292" s="1" t="n">
        <v>44844.70513888889</v>
      </c>
      <c r="C292" s="1" t="n">
        <v>46063</v>
      </c>
      <c r="D292" t="inlineStr">
        <is>
          <t>SKÅNE LÄN</t>
        </is>
      </c>
      <c r="E292" t="inlineStr">
        <is>
          <t>HÄSSLEHOLM</t>
        </is>
      </c>
      <c r="G292" t="n">
        <v>0</v>
      </c>
      <c r="H292" t="n">
        <v>0</v>
      </c>
      <c r="I292" t="n">
        <v>0</v>
      </c>
      <c r="J292" t="n">
        <v>0</v>
      </c>
      <c r="K292" t="n">
        <v>0</v>
      </c>
      <c r="L292" t="n">
        <v>0</v>
      </c>
      <c r="M292" t="n">
        <v>0</v>
      </c>
      <c r="N292" t="n">
        <v>0</v>
      </c>
      <c r="O292" t="n">
        <v>0</v>
      </c>
      <c r="P292" t="n">
        <v>0</v>
      </c>
      <c r="Q292" t="n">
        <v>0</v>
      </c>
      <c r="R292" s="2" t="inlineStr"/>
    </row>
    <row r="293" ht="15" customHeight="1">
      <c r="A293" t="inlineStr">
        <is>
          <t>A 49379-2021</t>
        </is>
      </c>
      <c r="B293" s="1" t="n">
        <v>44454</v>
      </c>
      <c r="C293" s="1" t="n">
        <v>46063</v>
      </c>
      <c r="D293" t="inlineStr">
        <is>
          <t>SKÅNE LÄN</t>
        </is>
      </c>
      <c r="E293" t="inlineStr">
        <is>
          <t>HÄSSLEHOLM</t>
        </is>
      </c>
      <c r="G293" t="n">
        <v>1.4</v>
      </c>
      <c r="H293" t="n">
        <v>0</v>
      </c>
      <c r="I293" t="n">
        <v>0</v>
      </c>
      <c r="J293" t="n">
        <v>0</v>
      </c>
      <c r="K293" t="n">
        <v>0</v>
      </c>
      <c r="L293" t="n">
        <v>0</v>
      </c>
      <c r="M293" t="n">
        <v>0</v>
      </c>
      <c r="N293" t="n">
        <v>0</v>
      </c>
      <c r="O293" t="n">
        <v>0</v>
      </c>
      <c r="P293" t="n">
        <v>0</v>
      </c>
      <c r="Q293" t="n">
        <v>0</v>
      </c>
      <c r="R293" s="2" t="inlineStr"/>
    </row>
    <row r="294" ht="15" customHeight="1">
      <c r="A294" t="inlineStr">
        <is>
          <t>A 32881-2024</t>
        </is>
      </c>
      <c r="B294" s="1" t="n">
        <v>45516</v>
      </c>
      <c r="C294" s="1" t="n">
        <v>46063</v>
      </c>
      <c r="D294" t="inlineStr">
        <is>
          <t>SKÅNE LÄN</t>
        </is>
      </c>
      <c r="E294" t="inlineStr">
        <is>
          <t>HÄSSLEHOLM</t>
        </is>
      </c>
      <c r="G294" t="n">
        <v>6.3</v>
      </c>
      <c r="H294" t="n">
        <v>0</v>
      </c>
      <c r="I294" t="n">
        <v>0</v>
      </c>
      <c r="J294" t="n">
        <v>0</v>
      </c>
      <c r="K294" t="n">
        <v>0</v>
      </c>
      <c r="L294" t="n">
        <v>0</v>
      </c>
      <c r="M294" t="n">
        <v>0</v>
      </c>
      <c r="N294" t="n">
        <v>0</v>
      </c>
      <c r="O294" t="n">
        <v>0</v>
      </c>
      <c r="P294" t="n">
        <v>0</v>
      </c>
      <c r="Q294" t="n">
        <v>0</v>
      </c>
      <c r="R294" s="2" t="inlineStr"/>
    </row>
    <row r="295" ht="15" customHeight="1">
      <c r="A295" t="inlineStr">
        <is>
          <t>A 2743-2023</t>
        </is>
      </c>
      <c r="B295" s="1" t="n">
        <v>44944</v>
      </c>
      <c r="C295" s="1" t="n">
        <v>46063</v>
      </c>
      <c r="D295" t="inlineStr">
        <is>
          <t>SKÅNE LÄN</t>
        </is>
      </c>
      <c r="E295" t="inlineStr">
        <is>
          <t>HÄSSLEHOLM</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3726-2024</t>
        </is>
      </c>
      <c r="B296" s="1" t="n">
        <v>45321</v>
      </c>
      <c r="C296" s="1" t="n">
        <v>46063</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62044-2022</t>
        </is>
      </c>
      <c r="B297" s="1" t="n">
        <v>44918.55976851852</v>
      </c>
      <c r="C297" s="1" t="n">
        <v>46063</v>
      </c>
      <c r="D297" t="inlineStr">
        <is>
          <t>SKÅNE LÄN</t>
        </is>
      </c>
      <c r="E297" t="inlineStr">
        <is>
          <t>HÄSSLEHOLM</t>
        </is>
      </c>
      <c r="G297" t="n">
        <v>2.1</v>
      </c>
      <c r="H297" t="n">
        <v>0</v>
      </c>
      <c r="I297" t="n">
        <v>0</v>
      </c>
      <c r="J297" t="n">
        <v>0</v>
      </c>
      <c r="K297" t="n">
        <v>0</v>
      </c>
      <c r="L297" t="n">
        <v>0</v>
      </c>
      <c r="M297" t="n">
        <v>0</v>
      </c>
      <c r="N297" t="n">
        <v>0</v>
      </c>
      <c r="O297" t="n">
        <v>0</v>
      </c>
      <c r="P297" t="n">
        <v>0</v>
      </c>
      <c r="Q297" t="n">
        <v>0</v>
      </c>
      <c r="R297" s="2" t="inlineStr"/>
    </row>
    <row r="298" ht="15" customHeight="1">
      <c r="A298" t="inlineStr">
        <is>
          <t>A 39044-2024</t>
        </is>
      </c>
      <c r="B298" s="1" t="n">
        <v>45548.47707175926</v>
      </c>
      <c r="C298" s="1" t="n">
        <v>46063</v>
      </c>
      <c r="D298" t="inlineStr">
        <is>
          <t>SKÅNE LÄN</t>
        </is>
      </c>
      <c r="E298" t="inlineStr">
        <is>
          <t>HÄSSLEHOLM</t>
        </is>
      </c>
      <c r="G298" t="n">
        <v>2.8</v>
      </c>
      <c r="H298" t="n">
        <v>0</v>
      </c>
      <c r="I298" t="n">
        <v>0</v>
      </c>
      <c r="J298" t="n">
        <v>0</v>
      </c>
      <c r="K298" t="n">
        <v>0</v>
      </c>
      <c r="L298" t="n">
        <v>0</v>
      </c>
      <c r="M298" t="n">
        <v>0</v>
      </c>
      <c r="N298" t="n">
        <v>0</v>
      </c>
      <c r="O298" t="n">
        <v>0</v>
      </c>
      <c r="P298" t="n">
        <v>0</v>
      </c>
      <c r="Q298" t="n">
        <v>0</v>
      </c>
      <c r="R298" s="2" t="inlineStr"/>
    </row>
    <row r="299" ht="15" customHeight="1">
      <c r="A299" t="inlineStr">
        <is>
          <t>A 20058-2023</t>
        </is>
      </c>
      <c r="B299" s="1" t="n">
        <v>45054.68476851852</v>
      </c>
      <c r="C299" s="1" t="n">
        <v>46063</v>
      </c>
      <c r="D299" t="inlineStr">
        <is>
          <t>SKÅNE LÄN</t>
        </is>
      </c>
      <c r="E299" t="inlineStr">
        <is>
          <t>HÄSSLEHOLM</t>
        </is>
      </c>
      <c r="G299" t="n">
        <v>1.4</v>
      </c>
      <c r="H299" t="n">
        <v>0</v>
      </c>
      <c r="I299" t="n">
        <v>0</v>
      </c>
      <c r="J299" t="n">
        <v>0</v>
      </c>
      <c r="K299" t="n">
        <v>0</v>
      </c>
      <c r="L299" t="n">
        <v>0</v>
      </c>
      <c r="M299" t="n">
        <v>0</v>
      </c>
      <c r="N299" t="n">
        <v>0</v>
      </c>
      <c r="O299" t="n">
        <v>0</v>
      </c>
      <c r="P299" t="n">
        <v>0</v>
      </c>
      <c r="Q299" t="n">
        <v>0</v>
      </c>
      <c r="R299" s="2" t="inlineStr"/>
    </row>
    <row r="300" ht="15" customHeight="1">
      <c r="A300" t="inlineStr">
        <is>
          <t>A 10897-2023</t>
        </is>
      </c>
      <c r="B300" s="1" t="n">
        <v>44985</v>
      </c>
      <c r="C300" s="1" t="n">
        <v>46063</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14255-2024</t>
        </is>
      </c>
      <c r="B301" s="1" t="n">
        <v>45393</v>
      </c>
      <c r="C301" s="1" t="n">
        <v>46063</v>
      </c>
      <c r="D301" t="inlineStr">
        <is>
          <t>SKÅNE LÄN</t>
        </is>
      </c>
      <c r="E301" t="inlineStr">
        <is>
          <t>HÄSSLEHOLM</t>
        </is>
      </c>
      <c r="G301" t="n">
        <v>11.9</v>
      </c>
      <c r="H301" t="n">
        <v>0</v>
      </c>
      <c r="I301" t="n">
        <v>0</v>
      </c>
      <c r="J301" t="n">
        <v>0</v>
      </c>
      <c r="K301" t="n">
        <v>0</v>
      </c>
      <c r="L301" t="n">
        <v>0</v>
      </c>
      <c r="M301" t="n">
        <v>0</v>
      </c>
      <c r="N301" t="n">
        <v>0</v>
      </c>
      <c r="O301" t="n">
        <v>0</v>
      </c>
      <c r="P301" t="n">
        <v>0</v>
      </c>
      <c r="Q301" t="n">
        <v>0</v>
      </c>
      <c r="R301" s="2" t="inlineStr"/>
    </row>
    <row r="302" ht="15" customHeight="1">
      <c r="A302" t="inlineStr">
        <is>
          <t>A 16108-2025</t>
        </is>
      </c>
      <c r="B302" s="1" t="n">
        <v>45750.34667824074</v>
      </c>
      <c r="C302" s="1" t="n">
        <v>46063</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56986-2024</t>
        </is>
      </c>
      <c r="B303" s="1" t="n">
        <v>45626</v>
      </c>
      <c r="C303" s="1" t="n">
        <v>46063</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49111-2023</t>
        </is>
      </c>
      <c r="B304" s="1" t="n">
        <v>45210.44464120371</v>
      </c>
      <c r="C304" s="1" t="n">
        <v>46063</v>
      </c>
      <c r="D304" t="inlineStr">
        <is>
          <t>SKÅNE LÄN</t>
        </is>
      </c>
      <c r="E304" t="inlineStr">
        <is>
          <t>HÄSSLEHOLM</t>
        </is>
      </c>
      <c r="G304" t="n">
        <v>0.2</v>
      </c>
      <c r="H304" t="n">
        <v>0</v>
      </c>
      <c r="I304" t="n">
        <v>0</v>
      </c>
      <c r="J304" t="n">
        <v>0</v>
      </c>
      <c r="K304" t="n">
        <v>0</v>
      </c>
      <c r="L304" t="n">
        <v>0</v>
      </c>
      <c r="M304" t="n">
        <v>0</v>
      </c>
      <c r="N304" t="n">
        <v>0</v>
      </c>
      <c r="O304" t="n">
        <v>0</v>
      </c>
      <c r="P304" t="n">
        <v>0</v>
      </c>
      <c r="Q304" t="n">
        <v>0</v>
      </c>
      <c r="R304" s="2" t="inlineStr"/>
    </row>
    <row r="305" ht="15" customHeight="1">
      <c r="A305" t="inlineStr">
        <is>
          <t>A 60846-2022</t>
        </is>
      </c>
      <c r="B305" s="1" t="n">
        <v>44914</v>
      </c>
      <c r="C305" s="1" t="n">
        <v>46063</v>
      </c>
      <c r="D305" t="inlineStr">
        <is>
          <t>SKÅNE LÄN</t>
        </is>
      </c>
      <c r="E305" t="inlineStr">
        <is>
          <t>HÄSSLEHOLM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54408-2024</t>
        </is>
      </c>
      <c r="B306" s="1" t="n">
        <v>45617.47263888889</v>
      </c>
      <c r="C306" s="1" t="n">
        <v>46063</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34299-2024</t>
        </is>
      </c>
      <c r="B307" s="1" t="n">
        <v>45524</v>
      </c>
      <c r="C307" s="1" t="n">
        <v>46063</v>
      </c>
      <c r="D307" t="inlineStr">
        <is>
          <t>SKÅNE LÄN</t>
        </is>
      </c>
      <c r="E307" t="inlineStr">
        <is>
          <t>HÄSSLEHOLM</t>
        </is>
      </c>
      <c r="G307" t="n">
        <v>0.7</v>
      </c>
      <c r="H307" t="n">
        <v>0</v>
      </c>
      <c r="I307" t="n">
        <v>0</v>
      </c>
      <c r="J307" t="n">
        <v>0</v>
      </c>
      <c r="K307" t="n">
        <v>0</v>
      </c>
      <c r="L307" t="n">
        <v>0</v>
      </c>
      <c r="M307" t="n">
        <v>0</v>
      </c>
      <c r="N307" t="n">
        <v>0</v>
      </c>
      <c r="O307" t="n">
        <v>0</v>
      </c>
      <c r="P307" t="n">
        <v>0</v>
      </c>
      <c r="Q307" t="n">
        <v>0</v>
      </c>
      <c r="R307" s="2" t="inlineStr"/>
    </row>
    <row r="308" ht="15" customHeight="1">
      <c r="A308" t="inlineStr">
        <is>
          <t>A 14008-2023</t>
        </is>
      </c>
      <c r="B308" s="1" t="n">
        <v>45008.56725694444</v>
      </c>
      <c r="C308" s="1" t="n">
        <v>46063</v>
      </c>
      <c r="D308" t="inlineStr">
        <is>
          <t>SKÅNE LÄN</t>
        </is>
      </c>
      <c r="E308" t="inlineStr">
        <is>
          <t>HÄSSLEHOLM</t>
        </is>
      </c>
      <c r="G308" t="n">
        <v>3.3</v>
      </c>
      <c r="H308" t="n">
        <v>0</v>
      </c>
      <c r="I308" t="n">
        <v>0</v>
      </c>
      <c r="J308" t="n">
        <v>0</v>
      </c>
      <c r="K308" t="n">
        <v>0</v>
      </c>
      <c r="L308" t="n">
        <v>0</v>
      </c>
      <c r="M308" t="n">
        <v>0</v>
      </c>
      <c r="N308" t="n">
        <v>0</v>
      </c>
      <c r="O308" t="n">
        <v>0</v>
      </c>
      <c r="P308" t="n">
        <v>0</v>
      </c>
      <c r="Q308" t="n">
        <v>0</v>
      </c>
      <c r="R308" s="2" t="inlineStr"/>
    </row>
    <row r="309" ht="15" customHeight="1">
      <c r="A309" t="inlineStr">
        <is>
          <t>A 20493-2024</t>
        </is>
      </c>
      <c r="B309" s="1" t="n">
        <v>45435</v>
      </c>
      <c r="C309" s="1" t="n">
        <v>46063</v>
      </c>
      <c r="D309" t="inlineStr">
        <is>
          <t>SKÅNE LÄN</t>
        </is>
      </c>
      <c r="E309" t="inlineStr">
        <is>
          <t>HÄSSLEHOLM</t>
        </is>
      </c>
      <c r="G309" t="n">
        <v>1.2</v>
      </c>
      <c r="H309" t="n">
        <v>0</v>
      </c>
      <c r="I309" t="n">
        <v>0</v>
      </c>
      <c r="J309" t="n">
        <v>0</v>
      </c>
      <c r="K309" t="n">
        <v>0</v>
      </c>
      <c r="L309" t="n">
        <v>0</v>
      </c>
      <c r="M309" t="n">
        <v>0</v>
      </c>
      <c r="N309" t="n">
        <v>0</v>
      </c>
      <c r="O309" t="n">
        <v>0</v>
      </c>
      <c r="P309" t="n">
        <v>0</v>
      </c>
      <c r="Q309" t="n">
        <v>0</v>
      </c>
      <c r="R309" s="2" t="inlineStr"/>
    </row>
    <row r="310" ht="15" customHeight="1">
      <c r="A310" t="inlineStr">
        <is>
          <t>A 13851-2025</t>
        </is>
      </c>
      <c r="B310" s="1" t="n">
        <v>45737.56777777777</v>
      </c>
      <c r="C310" s="1" t="n">
        <v>46063</v>
      </c>
      <c r="D310" t="inlineStr">
        <is>
          <t>SKÅNE LÄN</t>
        </is>
      </c>
      <c r="E310" t="inlineStr">
        <is>
          <t>HÄSSLEHOLM</t>
        </is>
      </c>
      <c r="G310" t="n">
        <v>3</v>
      </c>
      <c r="H310" t="n">
        <v>0</v>
      </c>
      <c r="I310" t="n">
        <v>0</v>
      </c>
      <c r="J310" t="n">
        <v>0</v>
      </c>
      <c r="K310" t="n">
        <v>0</v>
      </c>
      <c r="L310" t="n">
        <v>0</v>
      </c>
      <c r="M310" t="n">
        <v>0</v>
      </c>
      <c r="N310" t="n">
        <v>0</v>
      </c>
      <c r="O310" t="n">
        <v>0</v>
      </c>
      <c r="P310" t="n">
        <v>0</v>
      </c>
      <c r="Q310" t="n">
        <v>0</v>
      </c>
      <c r="R310" s="2" t="inlineStr"/>
    </row>
    <row r="311" ht="15" customHeight="1">
      <c r="A311" t="inlineStr">
        <is>
          <t>A 13890-2024</t>
        </is>
      </c>
      <c r="B311" s="1" t="n">
        <v>45391</v>
      </c>
      <c r="C311" s="1" t="n">
        <v>46063</v>
      </c>
      <c r="D311" t="inlineStr">
        <is>
          <t>SKÅNE LÄN</t>
        </is>
      </c>
      <c r="E311" t="inlineStr">
        <is>
          <t>HÄSSLEHOLM</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39223-2024</t>
        </is>
      </c>
      <c r="B312" s="1" t="n">
        <v>45550</v>
      </c>
      <c r="C312" s="1" t="n">
        <v>46063</v>
      </c>
      <c r="D312" t="inlineStr">
        <is>
          <t>SKÅNE LÄN</t>
        </is>
      </c>
      <c r="E312" t="inlineStr">
        <is>
          <t>HÄSSLEHOLM</t>
        </is>
      </c>
      <c r="G312" t="n">
        <v>3.1</v>
      </c>
      <c r="H312" t="n">
        <v>0</v>
      </c>
      <c r="I312" t="n">
        <v>0</v>
      </c>
      <c r="J312" t="n">
        <v>0</v>
      </c>
      <c r="K312" t="n">
        <v>0</v>
      </c>
      <c r="L312" t="n">
        <v>0</v>
      </c>
      <c r="M312" t="n">
        <v>0</v>
      </c>
      <c r="N312" t="n">
        <v>0</v>
      </c>
      <c r="O312" t="n">
        <v>0</v>
      </c>
      <c r="P312" t="n">
        <v>0</v>
      </c>
      <c r="Q312" t="n">
        <v>0</v>
      </c>
      <c r="R312" s="2" t="inlineStr"/>
    </row>
    <row r="313" ht="15" customHeight="1">
      <c r="A313" t="inlineStr">
        <is>
          <t>A 17138-2025</t>
        </is>
      </c>
      <c r="B313" s="1" t="n">
        <v>45755.80378472222</v>
      </c>
      <c r="C313" s="1" t="n">
        <v>46063</v>
      </c>
      <c r="D313" t="inlineStr">
        <is>
          <t>SKÅNE LÄN</t>
        </is>
      </c>
      <c r="E313" t="inlineStr">
        <is>
          <t>HÄSSLEHOLM</t>
        </is>
      </c>
      <c r="G313" t="n">
        <v>1.1</v>
      </c>
      <c r="H313" t="n">
        <v>0</v>
      </c>
      <c r="I313" t="n">
        <v>0</v>
      </c>
      <c r="J313" t="n">
        <v>0</v>
      </c>
      <c r="K313" t="n">
        <v>0</v>
      </c>
      <c r="L313" t="n">
        <v>0</v>
      </c>
      <c r="M313" t="n">
        <v>0</v>
      </c>
      <c r="N313" t="n">
        <v>0</v>
      </c>
      <c r="O313" t="n">
        <v>0</v>
      </c>
      <c r="P313" t="n">
        <v>0</v>
      </c>
      <c r="Q313" t="n">
        <v>0</v>
      </c>
      <c r="R313" s="2" t="inlineStr"/>
    </row>
    <row r="314" ht="15" customHeight="1">
      <c r="A314" t="inlineStr">
        <is>
          <t>A 41874-2024</t>
        </is>
      </c>
      <c r="B314" s="1" t="n">
        <v>45561</v>
      </c>
      <c r="C314" s="1" t="n">
        <v>46063</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15512-2025</t>
        </is>
      </c>
      <c r="B315" s="1" t="n">
        <v>45747</v>
      </c>
      <c r="C315" s="1" t="n">
        <v>46063</v>
      </c>
      <c r="D315" t="inlineStr">
        <is>
          <t>SKÅNE LÄN</t>
        </is>
      </c>
      <c r="E315" t="inlineStr">
        <is>
          <t>HÄSSLEHOLM</t>
        </is>
      </c>
      <c r="G315" t="n">
        <v>3.5</v>
      </c>
      <c r="H315" t="n">
        <v>0</v>
      </c>
      <c r="I315" t="n">
        <v>0</v>
      </c>
      <c r="J315" t="n">
        <v>0</v>
      </c>
      <c r="K315" t="n">
        <v>0</v>
      </c>
      <c r="L315" t="n">
        <v>0</v>
      </c>
      <c r="M315" t="n">
        <v>0</v>
      </c>
      <c r="N315" t="n">
        <v>0</v>
      </c>
      <c r="O315" t="n">
        <v>0</v>
      </c>
      <c r="P315" t="n">
        <v>0</v>
      </c>
      <c r="Q315" t="n">
        <v>0</v>
      </c>
      <c r="R315" s="2" t="inlineStr"/>
    </row>
    <row r="316" ht="15" customHeight="1">
      <c r="A316" t="inlineStr">
        <is>
          <t>A 11798-2022</t>
        </is>
      </c>
      <c r="B316" s="1" t="n">
        <v>44634.64900462963</v>
      </c>
      <c r="C316" s="1" t="n">
        <v>46063</v>
      </c>
      <c r="D316" t="inlineStr">
        <is>
          <t>SKÅNE LÄN</t>
        </is>
      </c>
      <c r="E316" t="inlineStr">
        <is>
          <t>HÄSSLEHOLM</t>
        </is>
      </c>
      <c r="G316" t="n">
        <v>2.8</v>
      </c>
      <c r="H316" t="n">
        <v>0</v>
      </c>
      <c r="I316" t="n">
        <v>0</v>
      </c>
      <c r="J316" t="n">
        <v>0</v>
      </c>
      <c r="K316" t="n">
        <v>0</v>
      </c>
      <c r="L316" t="n">
        <v>0</v>
      </c>
      <c r="M316" t="n">
        <v>0</v>
      </c>
      <c r="N316" t="n">
        <v>0</v>
      </c>
      <c r="O316" t="n">
        <v>0</v>
      </c>
      <c r="P316" t="n">
        <v>0</v>
      </c>
      <c r="Q316" t="n">
        <v>0</v>
      </c>
      <c r="R316" s="2" t="inlineStr"/>
    </row>
    <row r="317" ht="15" customHeight="1">
      <c r="A317" t="inlineStr">
        <is>
          <t>A 13932-2023</t>
        </is>
      </c>
      <c r="B317" s="1" t="n">
        <v>45008.43935185186</v>
      </c>
      <c r="C317" s="1" t="n">
        <v>46063</v>
      </c>
      <c r="D317" t="inlineStr">
        <is>
          <t>SKÅNE LÄN</t>
        </is>
      </c>
      <c r="E317" t="inlineStr">
        <is>
          <t>HÄSSLEHOLM</t>
        </is>
      </c>
      <c r="G317" t="n">
        <v>3.3</v>
      </c>
      <c r="H317" t="n">
        <v>0</v>
      </c>
      <c r="I317" t="n">
        <v>0</v>
      </c>
      <c r="J317" t="n">
        <v>0</v>
      </c>
      <c r="K317" t="n">
        <v>0</v>
      </c>
      <c r="L317" t="n">
        <v>0</v>
      </c>
      <c r="M317" t="n">
        <v>0</v>
      </c>
      <c r="N317" t="n">
        <v>0</v>
      </c>
      <c r="O317" t="n">
        <v>0</v>
      </c>
      <c r="P317" t="n">
        <v>0</v>
      </c>
      <c r="Q317" t="n">
        <v>0</v>
      </c>
      <c r="R317" s="2" t="inlineStr"/>
    </row>
    <row r="318" ht="15" customHeight="1">
      <c r="A318" t="inlineStr">
        <is>
          <t>A 34342-2021</t>
        </is>
      </c>
      <c r="B318" s="1" t="n">
        <v>44379</v>
      </c>
      <c r="C318" s="1" t="n">
        <v>46063</v>
      </c>
      <c r="D318" t="inlineStr">
        <is>
          <t>SKÅNE LÄN</t>
        </is>
      </c>
      <c r="E318" t="inlineStr">
        <is>
          <t>HÄSSLEHOLM</t>
        </is>
      </c>
      <c r="G318" t="n">
        <v>7</v>
      </c>
      <c r="H318" t="n">
        <v>0</v>
      </c>
      <c r="I318" t="n">
        <v>0</v>
      </c>
      <c r="J318" t="n">
        <v>0</v>
      </c>
      <c r="K318" t="n">
        <v>0</v>
      </c>
      <c r="L318" t="n">
        <v>0</v>
      </c>
      <c r="M318" t="n">
        <v>0</v>
      </c>
      <c r="N318" t="n">
        <v>0</v>
      </c>
      <c r="O318" t="n">
        <v>0</v>
      </c>
      <c r="P318" t="n">
        <v>0</v>
      </c>
      <c r="Q318" t="n">
        <v>0</v>
      </c>
      <c r="R318" s="2" t="inlineStr"/>
    </row>
    <row r="319" ht="15" customHeight="1">
      <c r="A319" t="inlineStr">
        <is>
          <t>A 37318-2024</t>
        </is>
      </c>
      <c r="B319" s="1" t="n">
        <v>45540</v>
      </c>
      <c r="C319" s="1" t="n">
        <v>46063</v>
      </c>
      <c r="D319" t="inlineStr">
        <is>
          <t>SKÅNE LÄN</t>
        </is>
      </c>
      <c r="E319" t="inlineStr">
        <is>
          <t>HÄSSLEHOLM</t>
        </is>
      </c>
      <c r="G319" t="n">
        <v>3.9</v>
      </c>
      <c r="H319" t="n">
        <v>0</v>
      </c>
      <c r="I319" t="n">
        <v>0</v>
      </c>
      <c r="J319" t="n">
        <v>0</v>
      </c>
      <c r="K319" t="n">
        <v>0</v>
      </c>
      <c r="L319" t="n">
        <v>0</v>
      </c>
      <c r="M319" t="n">
        <v>0</v>
      </c>
      <c r="N319" t="n">
        <v>0</v>
      </c>
      <c r="O319" t="n">
        <v>0</v>
      </c>
      <c r="P319" t="n">
        <v>0</v>
      </c>
      <c r="Q319" t="n">
        <v>0</v>
      </c>
      <c r="R319" s="2" t="inlineStr"/>
    </row>
    <row r="320" ht="15" customHeight="1">
      <c r="A320" t="inlineStr">
        <is>
          <t>A 14700-2023</t>
        </is>
      </c>
      <c r="B320" s="1" t="n">
        <v>45014.38376157408</v>
      </c>
      <c r="C320" s="1" t="n">
        <v>46063</v>
      </c>
      <c r="D320" t="inlineStr">
        <is>
          <t>SKÅNE LÄN</t>
        </is>
      </c>
      <c r="E320" t="inlineStr">
        <is>
          <t>HÄSSLEHOLM</t>
        </is>
      </c>
      <c r="G320" t="n">
        <v>0.5</v>
      </c>
      <c r="H320" t="n">
        <v>0</v>
      </c>
      <c r="I320" t="n">
        <v>0</v>
      </c>
      <c r="J320" t="n">
        <v>0</v>
      </c>
      <c r="K320" t="n">
        <v>0</v>
      </c>
      <c r="L320" t="n">
        <v>0</v>
      </c>
      <c r="M320" t="n">
        <v>0</v>
      </c>
      <c r="N320" t="n">
        <v>0</v>
      </c>
      <c r="O320" t="n">
        <v>0</v>
      </c>
      <c r="P320" t="n">
        <v>0</v>
      </c>
      <c r="Q320" t="n">
        <v>0</v>
      </c>
      <c r="R320" s="2" t="inlineStr"/>
    </row>
    <row r="321" ht="15" customHeight="1">
      <c r="A321" t="inlineStr">
        <is>
          <t>A 3531-2023</t>
        </is>
      </c>
      <c r="B321" s="1" t="n">
        <v>44950</v>
      </c>
      <c r="C321" s="1" t="n">
        <v>46063</v>
      </c>
      <c r="D321" t="inlineStr">
        <is>
          <t>SKÅNE LÄN</t>
        </is>
      </c>
      <c r="E321" t="inlineStr">
        <is>
          <t>HÄSSLEHOLM</t>
        </is>
      </c>
      <c r="G321" t="n">
        <v>10.1</v>
      </c>
      <c r="H321" t="n">
        <v>0</v>
      </c>
      <c r="I321" t="n">
        <v>0</v>
      </c>
      <c r="J321" t="n">
        <v>0</v>
      </c>
      <c r="K321" t="n">
        <v>0</v>
      </c>
      <c r="L321" t="n">
        <v>0</v>
      </c>
      <c r="M321" t="n">
        <v>0</v>
      </c>
      <c r="N321" t="n">
        <v>0</v>
      </c>
      <c r="O321" t="n">
        <v>0</v>
      </c>
      <c r="P321" t="n">
        <v>0</v>
      </c>
      <c r="Q321" t="n">
        <v>0</v>
      </c>
      <c r="R321" s="2" t="inlineStr"/>
    </row>
    <row r="322" ht="15" customHeight="1">
      <c r="A322" t="inlineStr">
        <is>
          <t>A 58891-2022</t>
        </is>
      </c>
      <c r="B322" s="1" t="n">
        <v>44896</v>
      </c>
      <c r="C322" s="1" t="n">
        <v>46063</v>
      </c>
      <c r="D322" t="inlineStr">
        <is>
          <t>SKÅNE LÄN</t>
        </is>
      </c>
      <c r="E322" t="inlineStr">
        <is>
          <t>HÄSSLEHOLM</t>
        </is>
      </c>
      <c r="F322" t="inlineStr">
        <is>
          <t>Kyrkan</t>
        </is>
      </c>
      <c r="G322" t="n">
        <v>1.6</v>
      </c>
      <c r="H322" t="n">
        <v>0</v>
      </c>
      <c r="I322" t="n">
        <v>0</v>
      </c>
      <c r="J322" t="n">
        <v>0</v>
      </c>
      <c r="K322" t="n">
        <v>0</v>
      </c>
      <c r="L322" t="n">
        <v>0</v>
      </c>
      <c r="M322" t="n">
        <v>0</v>
      </c>
      <c r="N322" t="n">
        <v>0</v>
      </c>
      <c r="O322" t="n">
        <v>0</v>
      </c>
      <c r="P322" t="n">
        <v>0</v>
      </c>
      <c r="Q322" t="n">
        <v>0</v>
      </c>
      <c r="R322" s="2" t="inlineStr"/>
    </row>
    <row r="323" ht="15" customHeight="1">
      <c r="A323" t="inlineStr">
        <is>
          <t>A 37324-2024</t>
        </is>
      </c>
      <c r="B323" s="1" t="n">
        <v>45540.50104166667</v>
      </c>
      <c r="C323" s="1" t="n">
        <v>46063</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4579-2025</t>
        </is>
      </c>
      <c r="B324" s="1" t="n">
        <v>45687.5009375</v>
      </c>
      <c r="C324" s="1" t="n">
        <v>46063</v>
      </c>
      <c r="D324" t="inlineStr">
        <is>
          <t>SKÅNE LÄN</t>
        </is>
      </c>
      <c r="E324" t="inlineStr">
        <is>
          <t>HÄSSLEHOLM</t>
        </is>
      </c>
      <c r="G324" t="n">
        <v>2.8</v>
      </c>
      <c r="H324" t="n">
        <v>0</v>
      </c>
      <c r="I324" t="n">
        <v>0</v>
      </c>
      <c r="J324" t="n">
        <v>0</v>
      </c>
      <c r="K324" t="n">
        <v>0</v>
      </c>
      <c r="L324" t="n">
        <v>0</v>
      </c>
      <c r="M324" t="n">
        <v>0</v>
      </c>
      <c r="N324" t="n">
        <v>0</v>
      </c>
      <c r="O324" t="n">
        <v>0</v>
      </c>
      <c r="P324" t="n">
        <v>0</v>
      </c>
      <c r="Q324" t="n">
        <v>0</v>
      </c>
      <c r="R324" s="2" t="inlineStr"/>
    </row>
    <row r="325" ht="15" customHeight="1">
      <c r="A325" t="inlineStr">
        <is>
          <t>A 18623-2023</t>
        </is>
      </c>
      <c r="B325" s="1" t="n">
        <v>45043</v>
      </c>
      <c r="C325" s="1" t="n">
        <v>46063</v>
      </c>
      <c r="D325" t="inlineStr">
        <is>
          <t>SKÅNE LÄN</t>
        </is>
      </c>
      <c r="E325" t="inlineStr">
        <is>
          <t>HÄSSLEHOLM</t>
        </is>
      </c>
      <c r="G325" t="n">
        <v>3.2</v>
      </c>
      <c r="H325" t="n">
        <v>0</v>
      </c>
      <c r="I325" t="n">
        <v>0</v>
      </c>
      <c r="J325" t="n">
        <v>0</v>
      </c>
      <c r="K325" t="n">
        <v>0</v>
      </c>
      <c r="L325" t="n">
        <v>0</v>
      </c>
      <c r="M325" t="n">
        <v>0</v>
      </c>
      <c r="N325" t="n">
        <v>0</v>
      </c>
      <c r="O325" t="n">
        <v>0</v>
      </c>
      <c r="P325" t="n">
        <v>0</v>
      </c>
      <c r="Q325" t="n">
        <v>0</v>
      </c>
      <c r="R325" s="2" t="inlineStr"/>
    </row>
    <row r="326" ht="15" customHeight="1">
      <c r="A326" t="inlineStr">
        <is>
          <t>A 25176-2024</t>
        </is>
      </c>
      <c r="B326" s="1" t="n">
        <v>45462.54582175926</v>
      </c>
      <c r="C326" s="1" t="n">
        <v>46063</v>
      </c>
      <c r="D326" t="inlineStr">
        <is>
          <t>SKÅNE LÄN</t>
        </is>
      </c>
      <c r="E326" t="inlineStr">
        <is>
          <t>HÄSSLEHOLM</t>
        </is>
      </c>
      <c r="G326" t="n">
        <v>3.8</v>
      </c>
      <c r="H326" t="n">
        <v>0</v>
      </c>
      <c r="I326" t="n">
        <v>0</v>
      </c>
      <c r="J326" t="n">
        <v>0</v>
      </c>
      <c r="K326" t="n">
        <v>0</v>
      </c>
      <c r="L326" t="n">
        <v>0</v>
      </c>
      <c r="M326" t="n">
        <v>0</v>
      </c>
      <c r="N326" t="n">
        <v>0</v>
      </c>
      <c r="O326" t="n">
        <v>0</v>
      </c>
      <c r="P326" t="n">
        <v>0</v>
      </c>
      <c r="Q326" t="n">
        <v>0</v>
      </c>
      <c r="R326" s="2" t="inlineStr"/>
    </row>
    <row r="327" ht="15" customHeight="1">
      <c r="A327" t="inlineStr">
        <is>
          <t>A 10115-2024</t>
        </is>
      </c>
      <c r="B327" s="1" t="n">
        <v>45364.55339120371</v>
      </c>
      <c r="C327" s="1" t="n">
        <v>46063</v>
      </c>
      <c r="D327" t="inlineStr">
        <is>
          <t>SKÅNE LÄN</t>
        </is>
      </c>
      <c r="E327" t="inlineStr">
        <is>
          <t>HÄSSLEHOLM</t>
        </is>
      </c>
      <c r="G327" t="n">
        <v>7</v>
      </c>
      <c r="H327" t="n">
        <v>0</v>
      </c>
      <c r="I327" t="n">
        <v>0</v>
      </c>
      <c r="J327" t="n">
        <v>0</v>
      </c>
      <c r="K327" t="n">
        <v>0</v>
      </c>
      <c r="L327" t="n">
        <v>0</v>
      </c>
      <c r="M327" t="n">
        <v>0</v>
      </c>
      <c r="N327" t="n">
        <v>0</v>
      </c>
      <c r="O327" t="n">
        <v>0</v>
      </c>
      <c r="P327" t="n">
        <v>0</v>
      </c>
      <c r="Q327" t="n">
        <v>0</v>
      </c>
      <c r="R327" s="2" t="inlineStr"/>
    </row>
    <row r="328" ht="15" customHeight="1">
      <c r="A328" t="inlineStr">
        <is>
          <t>A 3663-2024</t>
        </is>
      </c>
      <c r="B328" s="1" t="n">
        <v>45321.34775462963</v>
      </c>
      <c r="C328" s="1" t="n">
        <v>46063</v>
      </c>
      <c r="D328" t="inlineStr">
        <is>
          <t>SKÅNE LÄN</t>
        </is>
      </c>
      <c r="E328" t="inlineStr">
        <is>
          <t>HÄSSLEHOLM</t>
        </is>
      </c>
      <c r="G328" t="n">
        <v>0.4</v>
      </c>
      <c r="H328" t="n">
        <v>0</v>
      </c>
      <c r="I328" t="n">
        <v>0</v>
      </c>
      <c r="J328" t="n">
        <v>0</v>
      </c>
      <c r="K328" t="n">
        <v>0</v>
      </c>
      <c r="L328" t="n">
        <v>0</v>
      </c>
      <c r="M328" t="n">
        <v>0</v>
      </c>
      <c r="N328" t="n">
        <v>0</v>
      </c>
      <c r="O328" t="n">
        <v>0</v>
      </c>
      <c r="P328" t="n">
        <v>0</v>
      </c>
      <c r="Q328" t="n">
        <v>0</v>
      </c>
      <c r="R328" s="2" t="inlineStr"/>
    </row>
    <row r="329" ht="15" customHeight="1">
      <c r="A329" t="inlineStr">
        <is>
          <t>A 67801-2021</t>
        </is>
      </c>
      <c r="B329" s="1" t="n">
        <v>44525</v>
      </c>
      <c r="C329" s="1" t="n">
        <v>46063</v>
      </c>
      <c r="D329" t="inlineStr">
        <is>
          <t>SKÅNE LÄN</t>
        </is>
      </c>
      <c r="E329" t="inlineStr">
        <is>
          <t>HÄSSLEHOLM</t>
        </is>
      </c>
      <c r="G329" t="n">
        <v>2.2</v>
      </c>
      <c r="H329" t="n">
        <v>0</v>
      </c>
      <c r="I329" t="n">
        <v>0</v>
      </c>
      <c r="J329" t="n">
        <v>0</v>
      </c>
      <c r="K329" t="n">
        <v>0</v>
      </c>
      <c r="L329" t="n">
        <v>0</v>
      </c>
      <c r="M329" t="n">
        <v>0</v>
      </c>
      <c r="N329" t="n">
        <v>0</v>
      </c>
      <c r="O329" t="n">
        <v>0</v>
      </c>
      <c r="P329" t="n">
        <v>0</v>
      </c>
      <c r="Q329" t="n">
        <v>0</v>
      </c>
      <c r="R329" s="2" t="inlineStr"/>
    </row>
    <row r="330" ht="15" customHeight="1">
      <c r="A330" t="inlineStr">
        <is>
          <t>A 7771-2021</t>
        </is>
      </c>
      <c r="B330" s="1" t="n">
        <v>44242</v>
      </c>
      <c r="C330" s="1" t="n">
        <v>46063</v>
      </c>
      <c r="D330" t="inlineStr">
        <is>
          <t>SKÅNE LÄN</t>
        </is>
      </c>
      <c r="E330" t="inlineStr">
        <is>
          <t>HÄSSLEHOLM</t>
        </is>
      </c>
      <c r="G330" t="n">
        <v>4.2</v>
      </c>
      <c r="H330" t="n">
        <v>0</v>
      </c>
      <c r="I330" t="n">
        <v>0</v>
      </c>
      <c r="J330" t="n">
        <v>0</v>
      </c>
      <c r="K330" t="n">
        <v>0</v>
      </c>
      <c r="L330" t="n">
        <v>0</v>
      </c>
      <c r="M330" t="n">
        <v>0</v>
      </c>
      <c r="N330" t="n">
        <v>0</v>
      </c>
      <c r="O330" t="n">
        <v>0</v>
      </c>
      <c r="P330" t="n">
        <v>0</v>
      </c>
      <c r="Q330" t="n">
        <v>0</v>
      </c>
      <c r="R330" s="2" t="inlineStr"/>
    </row>
    <row r="331" ht="15" customHeight="1">
      <c r="A331" t="inlineStr">
        <is>
          <t>A 45398-2024</t>
        </is>
      </c>
      <c r="B331" s="1" t="n">
        <v>45576.56260416667</v>
      </c>
      <c r="C331" s="1" t="n">
        <v>46063</v>
      </c>
      <c r="D331" t="inlineStr">
        <is>
          <t>SKÅNE LÄN</t>
        </is>
      </c>
      <c r="E331" t="inlineStr">
        <is>
          <t>HÄSSLEHOLM</t>
        </is>
      </c>
      <c r="G331" t="n">
        <v>4.2</v>
      </c>
      <c r="H331" t="n">
        <v>0</v>
      </c>
      <c r="I331" t="n">
        <v>0</v>
      </c>
      <c r="J331" t="n">
        <v>0</v>
      </c>
      <c r="K331" t="n">
        <v>0</v>
      </c>
      <c r="L331" t="n">
        <v>0</v>
      </c>
      <c r="M331" t="n">
        <v>0</v>
      </c>
      <c r="N331" t="n">
        <v>0</v>
      </c>
      <c r="O331" t="n">
        <v>0</v>
      </c>
      <c r="P331" t="n">
        <v>0</v>
      </c>
      <c r="Q331" t="n">
        <v>0</v>
      </c>
      <c r="R331" s="2" t="inlineStr"/>
    </row>
    <row r="332" ht="15" customHeight="1">
      <c r="A332" t="inlineStr">
        <is>
          <t>A 4809-2025</t>
        </is>
      </c>
      <c r="B332" s="1" t="n">
        <v>45688.60148148148</v>
      </c>
      <c r="C332" s="1" t="n">
        <v>46063</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59030-2024</t>
        </is>
      </c>
      <c r="B333" s="1" t="n">
        <v>45636.68916666666</v>
      </c>
      <c r="C333" s="1" t="n">
        <v>46063</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29170-2025</t>
        </is>
      </c>
      <c r="B334" s="1" t="n">
        <v>45821.69766203704</v>
      </c>
      <c r="C334" s="1" t="n">
        <v>46063</v>
      </c>
      <c r="D334" t="inlineStr">
        <is>
          <t>SKÅNE LÄN</t>
        </is>
      </c>
      <c r="E334" t="inlineStr">
        <is>
          <t>HÄSSLEHOLM</t>
        </is>
      </c>
      <c r="G334" t="n">
        <v>3.1</v>
      </c>
      <c r="H334" t="n">
        <v>0</v>
      </c>
      <c r="I334" t="n">
        <v>0</v>
      </c>
      <c r="J334" t="n">
        <v>0</v>
      </c>
      <c r="K334" t="n">
        <v>0</v>
      </c>
      <c r="L334" t="n">
        <v>0</v>
      </c>
      <c r="M334" t="n">
        <v>0</v>
      </c>
      <c r="N334" t="n">
        <v>0</v>
      </c>
      <c r="O334" t="n">
        <v>0</v>
      </c>
      <c r="P334" t="n">
        <v>0</v>
      </c>
      <c r="Q334" t="n">
        <v>0</v>
      </c>
      <c r="R334" s="2" t="inlineStr"/>
    </row>
    <row r="335" ht="15" customHeight="1">
      <c r="A335" t="inlineStr">
        <is>
          <t>A 29168-2025</t>
        </is>
      </c>
      <c r="B335" s="1" t="n">
        <v>45821.69547453704</v>
      </c>
      <c r="C335" s="1" t="n">
        <v>46063</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7481-2023</t>
        </is>
      </c>
      <c r="B336" s="1" t="n">
        <v>44971</v>
      </c>
      <c r="C336" s="1" t="n">
        <v>46063</v>
      </c>
      <c r="D336" t="inlineStr">
        <is>
          <t>SKÅNE LÄN</t>
        </is>
      </c>
      <c r="E336" t="inlineStr">
        <is>
          <t>HÄSSLEHOLM</t>
        </is>
      </c>
      <c r="G336" t="n">
        <v>1.4</v>
      </c>
      <c r="H336" t="n">
        <v>0</v>
      </c>
      <c r="I336" t="n">
        <v>0</v>
      </c>
      <c r="J336" t="n">
        <v>0</v>
      </c>
      <c r="K336" t="n">
        <v>0</v>
      </c>
      <c r="L336" t="n">
        <v>0</v>
      </c>
      <c r="M336" t="n">
        <v>0</v>
      </c>
      <c r="N336" t="n">
        <v>0</v>
      </c>
      <c r="O336" t="n">
        <v>0</v>
      </c>
      <c r="P336" t="n">
        <v>0</v>
      </c>
      <c r="Q336" t="n">
        <v>0</v>
      </c>
      <c r="R336" s="2" t="inlineStr"/>
    </row>
    <row r="337" ht="15" customHeight="1">
      <c r="A337" t="inlineStr">
        <is>
          <t>A 29171-2025</t>
        </is>
      </c>
      <c r="B337" s="1" t="n">
        <v>45821.69863425926</v>
      </c>
      <c r="C337" s="1" t="n">
        <v>46063</v>
      </c>
      <c r="D337" t="inlineStr">
        <is>
          <t>SKÅNE LÄN</t>
        </is>
      </c>
      <c r="E337" t="inlineStr">
        <is>
          <t>HÄSSLEHOLM</t>
        </is>
      </c>
      <c r="G337" t="n">
        <v>2.6</v>
      </c>
      <c r="H337" t="n">
        <v>0</v>
      </c>
      <c r="I337" t="n">
        <v>0</v>
      </c>
      <c r="J337" t="n">
        <v>0</v>
      </c>
      <c r="K337" t="n">
        <v>0</v>
      </c>
      <c r="L337" t="n">
        <v>0</v>
      </c>
      <c r="M337" t="n">
        <v>0</v>
      </c>
      <c r="N337" t="n">
        <v>0</v>
      </c>
      <c r="O337" t="n">
        <v>0</v>
      </c>
      <c r="P337" t="n">
        <v>0</v>
      </c>
      <c r="Q337" t="n">
        <v>0</v>
      </c>
      <c r="R337" s="2" t="inlineStr"/>
    </row>
    <row r="338" ht="15" customHeight="1">
      <c r="A338" t="inlineStr">
        <is>
          <t>A 35150-2023</t>
        </is>
      </c>
      <c r="B338" s="1" t="n">
        <v>45145</v>
      </c>
      <c r="C338" s="1" t="n">
        <v>46063</v>
      </c>
      <c r="D338" t="inlineStr">
        <is>
          <t>SKÅNE LÄN</t>
        </is>
      </c>
      <c r="E338" t="inlineStr">
        <is>
          <t>HÄSSLEHOLM</t>
        </is>
      </c>
      <c r="G338" t="n">
        <v>4.9</v>
      </c>
      <c r="H338" t="n">
        <v>0</v>
      </c>
      <c r="I338" t="n">
        <v>0</v>
      </c>
      <c r="J338" t="n">
        <v>0</v>
      </c>
      <c r="K338" t="n">
        <v>0</v>
      </c>
      <c r="L338" t="n">
        <v>0</v>
      </c>
      <c r="M338" t="n">
        <v>0</v>
      </c>
      <c r="N338" t="n">
        <v>0</v>
      </c>
      <c r="O338" t="n">
        <v>0</v>
      </c>
      <c r="P338" t="n">
        <v>0</v>
      </c>
      <c r="Q338" t="n">
        <v>0</v>
      </c>
      <c r="R338" s="2" t="inlineStr"/>
    </row>
    <row r="339" ht="15" customHeight="1">
      <c r="A339" t="inlineStr">
        <is>
          <t>A 30010-2025</t>
        </is>
      </c>
      <c r="B339" s="1" t="n">
        <v>45826</v>
      </c>
      <c r="C339" s="1" t="n">
        <v>46063</v>
      </c>
      <c r="D339" t="inlineStr">
        <is>
          <t>SKÅNE LÄN</t>
        </is>
      </c>
      <c r="E339" t="inlineStr">
        <is>
          <t>HÄSSLEHOLM</t>
        </is>
      </c>
      <c r="G339" t="n">
        <v>4.5</v>
      </c>
      <c r="H339" t="n">
        <v>0</v>
      </c>
      <c r="I339" t="n">
        <v>0</v>
      </c>
      <c r="J339" t="n">
        <v>0</v>
      </c>
      <c r="K339" t="n">
        <v>0</v>
      </c>
      <c r="L339" t="n">
        <v>0</v>
      </c>
      <c r="M339" t="n">
        <v>0</v>
      </c>
      <c r="N339" t="n">
        <v>0</v>
      </c>
      <c r="O339" t="n">
        <v>0</v>
      </c>
      <c r="P339" t="n">
        <v>0</v>
      </c>
      <c r="Q339" t="n">
        <v>0</v>
      </c>
      <c r="R339" s="2" t="inlineStr"/>
    </row>
    <row r="340" ht="15" customHeight="1">
      <c r="A340" t="inlineStr">
        <is>
          <t>A 12507-2022</t>
        </is>
      </c>
      <c r="B340" s="1" t="n">
        <v>44638</v>
      </c>
      <c r="C340" s="1" t="n">
        <v>46063</v>
      </c>
      <c r="D340" t="inlineStr">
        <is>
          <t>SKÅNE LÄN</t>
        </is>
      </c>
      <c r="E340" t="inlineStr">
        <is>
          <t>HÄSSLEHOLM</t>
        </is>
      </c>
      <c r="G340" t="n">
        <v>2.7</v>
      </c>
      <c r="H340" t="n">
        <v>0</v>
      </c>
      <c r="I340" t="n">
        <v>0</v>
      </c>
      <c r="J340" t="n">
        <v>0</v>
      </c>
      <c r="K340" t="n">
        <v>0</v>
      </c>
      <c r="L340" t="n">
        <v>0</v>
      </c>
      <c r="M340" t="n">
        <v>0</v>
      </c>
      <c r="N340" t="n">
        <v>0</v>
      </c>
      <c r="O340" t="n">
        <v>0</v>
      </c>
      <c r="P340" t="n">
        <v>0</v>
      </c>
      <c r="Q340" t="n">
        <v>0</v>
      </c>
      <c r="R340" s="2" t="inlineStr"/>
    </row>
    <row r="341" ht="15" customHeight="1">
      <c r="A341" t="inlineStr">
        <is>
          <t>A 22690-2022</t>
        </is>
      </c>
      <c r="B341" s="1" t="n">
        <v>44714.5421875</v>
      </c>
      <c r="C341" s="1" t="n">
        <v>46063</v>
      </c>
      <c r="D341" t="inlineStr">
        <is>
          <t>SKÅNE LÄN</t>
        </is>
      </c>
      <c r="E341" t="inlineStr">
        <is>
          <t>HÄSSLEHOLM</t>
        </is>
      </c>
      <c r="G341" t="n">
        <v>1.7</v>
      </c>
      <c r="H341" t="n">
        <v>0</v>
      </c>
      <c r="I341" t="n">
        <v>0</v>
      </c>
      <c r="J341" t="n">
        <v>0</v>
      </c>
      <c r="K341" t="n">
        <v>0</v>
      </c>
      <c r="L341" t="n">
        <v>0</v>
      </c>
      <c r="M341" t="n">
        <v>0</v>
      </c>
      <c r="N341" t="n">
        <v>0</v>
      </c>
      <c r="O341" t="n">
        <v>0</v>
      </c>
      <c r="P341" t="n">
        <v>0</v>
      </c>
      <c r="Q341" t="n">
        <v>0</v>
      </c>
      <c r="R341" s="2" t="inlineStr"/>
    </row>
    <row r="342" ht="15" customHeight="1">
      <c r="A342" t="inlineStr">
        <is>
          <t>A 57079-2022</t>
        </is>
      </c>
      <c r="B342" s="1" t="n">
        <v>44895</v>
      </c>
      <c r="C342" s="1" t="n">
        <v>46063</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61498-2022</t>
        </is>
      </c>
      <c r="B343" s="1" t="n">
        <v>44910</v>
      </c>
      <c r="C343" s="1" t="n">
        <v>46063</v>
      </c>
      <c r="D343" t="inlineStr">
        <is>
          <t>SKÅNE LÄN</t>
        </is>
      </c>
      <c r="E343" t="inlineStr">
        <is>
          <t>HÄSSLEHOLM</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15417-2022</t>
        </is>
      </c>
      <c r="B344" s="1" t="n">
        <v>44659</v>
      </c>
      <c r="C344" s="1" t="n">
        <v>46063</v>
      </c>
      <c r="D344" t="inlineStr">
        <is>
          <t>SKÅNE LÄN</t>
        </is>
      </c>
      <c r="E344" t="inlineStr">
        <is>
          <t>HÄSSLEHOLM</t>
        </is>
      </c>
      <c r="F344" t="inlineStr">
        <is>
          <t>Kyrkan</t>
        </is>
      </c>
      <c r="G344" t="n">
        <v>2.9</v>
      </c>
      <c r="H344" t="n">
        <v>0</v>
      </c>
      <c r="I344" t="n">
        <v>0</v>
      </c>
      <c r="J344" t="n">
        <v>0</v>
      </c>
      <c r="K344" t="n">
        <v>0</v>
      </c>
      <c r="L344" t="n">
        <v>0</v>
      </c>
      <c r="M344" t="n">
        <v>0</v>
      </c>
      <c r="N344" t="n">
        <v>0</v>
      </c>
      <c r="O344" t="n">
        <v>0</v>
      </c>
      <c r="P344" t="n">
        <v>0</v>
      </c>
      <c r="Q344" t="n">
        <v>0</v>
      </c>
      <c r="R344" s="2" t="inlineStr"/>
    </row>
    <row r="345" ht="15" customHeight="1">
      <c r="A345" t="inlineStr">
        <is>
          <t>A 36240-2023</t>
        </is>
      </c>
      <c r="B345" s="1" t="n">
        <v>45150.89295138889</v>
      </c>
      <c r="C345" s="1" t="n">
        <v>46063</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20564-2023</t>
        </is>
      </c>
      <c r="B346" s="1" t="n">
        <v>45057</v>
      </c>
      <c r="C346" s="1" t="n">
        <v>46063</v>
      </c>
      <c r="D346" t="inlineStr">
        <is>
          <t>SKÅNE LÄN</t>
        </is>
      </c>
      <c r="E346" t="inlineStr">
        <is>
          <t>HÄSSLEHOLM</t>
        </is>
      </c>
      <c r="G346" t="n">
        <v>2.6</v>
      </c>
      <c r="H346" t="n">
        <v>0</v>
      </c>
      <c r="I346" t="n">
        <v>0</v>
      </c>
      <c r="J346" t="n">
        <v>0</v>
      </c>
      <c r="K346" t="n">
        <v>0</v>
      </c>
      <c r="L346" t="n">
        <v>0</v>
      </c>
      <c r="M346" t="n">
        <v>0</v>
      </c>
      <c r="N346" t="n">
        <v>0</v>
      </c>
      <c r="O346" t="n">
        <v>0</v>
      </c>
      <c r="P346" t="n">
        <v>0</v>
      </c>
      <c r="Q346" t="n">
        <v>0</v>
      </c>
      <c r="R346" s="2" t="inlineStr"/>
    </row>
    <row r="347" ht="15" customHeight="1">
      <c r="A347" t="inlineStr">
        <is>
          <t>A 41694-2024</t>
        </is>
      </c>
      <c r="B347" s="1" t="n">
        <v>45560.68341435185</v>
      </c>
      <c r="C347" s="1" t="n">
        <v>46063</v>
      </c>
      <c r="D347" t="inlineStr">
        <is>
          <t>SKÅNE LÄN</t>
        </is>
      </c>
      <c r="E347" t="inlineStr">
        <is>
          <t>HÄSSLEHOLM</t>
        </is>
      </c>
      <c r="G347" t="n">
        <v>0.4</v>
      </c>
      <c r="H347" t="n">
        <v>0</v>
      </c>
      <c r="I347" t="n">
        <v>0</v>
      </c>
      <c r="J347" t="n">
        <v>0</v>
      </c>
      <c r="K347" t="n">
        <v>0</v>
      </c>
      <c r="L347" t="n">
        <v>0</v>
      </c>
      <c r="M347" t="n">
        <v>0</v>
      </c>
      <c r="N347" t="n">
        <v>0</v>
      </c>
      <c r="O347" t="n">
        <v>0</v>
      </c>
      <c r="P347" t="n">
        <v>0</v>
      </c>
      <c r="Q347" t="n">
        <v>0</v>
      </c>
      <c r="R347" s="2" t="inlineStr"/>
    </row>
    <row r="348" ht="15" customHeight="1">
      <c r="A348" t="inlineStr">
        <is>
          <t>A 47757-2024</t>
        </is>
      </c>
      <c r="B348" s="1" t="n">
        <v>45588.55075231481</v>
      </c>
      <c r="C348" s="1" t="n">
        <v>46063</v>
      </c>
      <c r="D348" t="inlineStr">
        <is>
          <t>SKÅNE LÄN</t>
        </is>
      </c>
      <c r="E348" t="inlineStr">
        <is>
          <t>HÄSSLEHOLM</t>
        </is>
      </c>
      <c r="G348" t="n">
        <v>5.5</v>
      </c>
      <c r="H348" t="n">
        <v>0</v>
      </c>
      <c r="I348" t="n">
        <v>0</v>
      </c>
      <c r="J348" t="n">
        <v>0</v>
      </c>
      <c r="K348" t="n">
        <v>0</v>
      </c>
      <c r="L348" t="n">
        <v>0</v>
      </c>
      <c r="M348" t="n">
        <v>0</v>
      </c>
      <c r="N348" t="n">
        <v>0</v>
      </c>
      <c r="O348" t="n">
        <v>0</v>
      </c>
      <c r="P348" t="n">
        <v>0</v>
      </c>
      <c r="Q348" t="n">
        <v>0</v>
      </c>
      <c r="R348" s="2" t="inlineStr"/>
    </row>
    <row r="349" ht="15" customHeight="1">
      <c r="A349" t="inlineStr">
        <is>
          <t>A 2663-2023</t>
        </is>
      </c>
      <c r="B349" s="1" t="n">
        <v>44942</v>
      </c>
      <c r="C349" s="1" t="n">
        <v>46063</v>
      </c>
      <c r="D349" t="inlineStr">
        <is>
          <t>SKÅNE LÄN</t>
        </is>
      </c>
      <c r="E349" t="inlineStr">
        <is>
          <t>HÄSSLEHOLM</t>
        </is>
      </c>
      <c r="F349" t="inlineStr">
        <is>
          <t>Kyrkan</t>
        </is>
      </c>
      <c r="G349" t="n">
        <v>0.8</v>
      </c>
      <c r="H349" t="n">
        <v>0</v>
      </c>
      <c r="I349" t="n">
        <v>0</v>
      </c>
      <c r="J349" t="n">
        <v>0</v>
      </c>
      <c r="K349" t="n">
        <v>0</v>
      </c>
      <c r="L349" t="n">
        <v>0</v>
      </c>
      <c r="M349" t="n">
        <v>0</v>
      </c>
      <c r="N349" t="n">
        <v>0</v>
      </c>
      <c r="O349" t="n">
        <v>0</v>
      </c>
      <c r="P349" t="n">
        <v>0</v>
      </c>
      <c r="Q349" t="n">
        <v>0</v>
      </c>
      <c r="R349" s="2" t="inlineStr"/>
    </row>
    <row r="350" ht="15" customHeight="1">
      <c r="A350" t="inlineStr">
        <is>
          <t>A 31159-2025</t>
        </is>
      </c>
      <c r="B350" s="1" t="n">
        <v>45832.65322916667</v>
      </c>
      <c r="C350" s="1" t="n">
        <v>46063</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7192-2025</t>
        </is>
      </c>
      <c r="B351" s="1" t="n">
        <v>45702.44746527778</v>
      </c>
      <c r="C351" s="1" t="n">
        <v>46063</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27954-2022</t>
        </is>
      </c>
      <c r="B352" s="1" t="n">
        <v>44743</v>
      </c>
      <c r="C352" s="1" t="n">
        <v>46063</v>
      </c>
      <c r="D352" t="inlineStr">
        <is>
          <t>SKÅNE LÄN</t>
        </is>
      </c>
      <c r="E352" t="inlineStr">
        <is>
          <t>HÄSSLEHOLM</t>
        </is>
      </c>
      <c r="G352" t="n">
        <v>9.4</v>
      </c>
      <c r="H352" t="n">
        <v>0</v>
      </c>
      <c r="I352" t="n">
        <v>0</v>
      </c>
      <c r="J352" t="n">
        <v>0</v>
      </c>
      <c r="K352" t="n">
        <v>0</v>
      </c>
      <c r="L352" t="n">
        <v>0</v>
      </c>
      <c r="M352" t="n">
        <v>0</v>
      </c>
      <c r="N352" t="n">
        <v>0</v>
      </c>
      <c r="O352" t="n">
        <v>0</v>
      </c>
      <c r="P352" t="n">
        <v>0</v>
      </c>
      <c r="Q352" t="n">
        <v>0</v>
      </c>
      <c r="R352" s="2" t="inlineStr"/>
    </row>
    <row r="353" ht="15" customHeight="1">
      <c r="A353" t="inlineStr">
        <is>
          <t>A 4734-2025</t>
        </is>
      </c>
      <c r="B353" s="1" t="n">
        <v>45688.44030092593</v>
      </c>
      <c r="C353" s="1" t="n">
        <v>46063</v>
      </c>
      <c r="D353" t="inlineStr">
        <is>
          <t>SKÅNE LÄN</t>
        </is>
      </c>
      <c r="E353" t="inlineStr">
        <is>
          <t>HÄSSLEHOLM</t>
        </is>
      </c>
      <c r="G353" t="n">
        <v>19.6</v>
      </c>
      <c r="H353" t="n">
        <v>0</v>
      </c>
      <c r="I353" t="n">
        <v>0</v>
      </c>
      <c r="J353" t="n">
        <v>0</v>
      </c>
      <c r="K353" t="n">
        <v>0</v>
      </c>
      <c r="L353" t="n">
        <v>0</v>
      </c>
      <c r="M353" t="n">
        <v>0</v>
      </c>
      <c r="N353" t="n">
        <v>0</v>
      </c>
      <c r="O353" t="n">
        <v>0</v>
      </c>
      <c r="P353" t="n">
        <v>0</v>
      </c>
      <c r="Q353" t="n">
        <v>0</v>
      </c>
      <c r="R353" s="2" t="inlineStr"/>
    </row>
    <row r="354" ht="15" customHeight="1">
      <c r="A354" t="inlineStr">
        <is>
          <t>A 45984-2021</t>
        </is>
      </c>
      <c r="B354" s="1" t="n">
        <v>44441</v>
      </c>
      <c r="C354" s="1" t="n">
        <v>46063</v>
      </c>
      <c r="D354" t="inlineStr">
        <is>
          <t>SKÅNE LÄN</t>
        </is>
      </c>
      <c r="E354" t="inlineStr">
        <is>
          <t>HÄSSLEHOLM</t>
        </is>
      </c>
      <c r="G354" t="n">
        <v>2.1</v>
      </c>
      <c r="H354" t="n">
        <v>0</v>
      </c>
      <c r="I354" t="n">
        <v>0</v>
      </c>
      <c r="J354" t="n">
        <v>0</v>
      </c>
      <c r="K354" t="n">
        <v>0</v>
      </c>
      <c r="L354" t="n">
        <v>0</v>
      </c>
      <c r="M354" t="n">
        <v>0</v>
      </c>
      <c r="N354" t="n">
        <v>0</v>
      </c>
      <c r="O354" t="n">
        <v>0</v>
      </c>
      <c r="P354" t="n">
        <v>0</v>
      </c>
      <c r="Q354" t="n">
        <v>0</v>
      </c>
      <c r="R354" s="2" t="inlineStr"/>
    </row>
    <row r="355" ht="15" customHeight="1">
      <c r="A355" t="inlineStr">
        <is>
          <t>A 61170-2022</t>
        </is>
      </c>
      <c r="B355" s="1" t="n">
        <v>44915.48543981482</v>
      </c>
      <c r="C355" s="1" t="n">
        <v>46063</v>
      </c>
      <c r="D355" t="inlineStr">
        <is>
          <t>SKÅNE LÄN</t>
        </is>
      </c>
      <c r="E355" t="inlineStr">
        <is>
          <t>HÄSSLEHOLM</t>
        </is>
      </c>
      <c r="G355" t="n">
        <v>1.2</v>
      </c>
      <c r="H355" t="n">
        <v>0</v>
      </c>
      <c r="I355" t="n">
        <v>0</v>
      </c>
      <c r="J355" t="n">
        <v>0</v>
      </c>
      <c r="K355" t="n">
        <v>0</v>
      </c>
      <c r="L355" t="n">
        <v>0</v>
      </c>
      <c r="M355" t="n">
        <v>0</v>
      </c>
      <c r="N355" t="n">
        <v>0</v>
      </c>
      <c r="O355" t="n">
        <v>0</v>
      </c>
      <c r="P355" t="n">
        <v>0</v>
      </c>
      <c r="Q355" t="n">
        <v>0</v>
      </c>
      <c r="R355" s="2" t="inlineStr"/>
    </row>
    <row r="356" ht="15" customHeight="1">
      <c r="A356" t="inlineStr">
        <is>
          <t>A 26403-2024</t>
        </is>
      </c>
      <c r="B356" s="1" t="n">
        <v>45469.44505787037</v>
      </c>
      <c r="C356" s="1" t="n">
        <v>46063</v>
      </c>
      <c r="D356" t="inlineStr">
        <is>
          <t>SKÅNE LÄN</t>
        </is>
      </c>
      <c r="E356" t="inlineStr">
        <is>
          <t>HÄSSLEHOLM</t>
        </is>
      </c>
      <c r="G356" t="n">
        <v>2.6</v>
      </c>
      <c r="H356" t="n">
        <v>0</v>
      </c>
      <c r="I356" t="n">
        <v>0</v>
      </c>
      <c r="J356" t="n">
        <v>0</v>
      </c>
      <c r="K356" t="n">
        <v>0</v>
      </c>
      <c r="L356" t="n">
        <v>0</v>
      </c>
      <c r="M356" t="n">
        <v>0</v>
      </c>
      <c r="N356" t="n">
        <v>0</v>
      </c>
      <c r="O356" t="n">
        <v>0</v>
      </c>
      <c r="P356" t="n">
        <v>0</v>
      </c>
      <c r="Q356" t="n">
        <v>0</v>
      </c>
      <c r="R356" s="2" t="inlineStr"/>
    </row>
    <row r="357" ht="15" customHeight="1">
      <c r="A357" t="inlineStr">
        <is>
          <t>A 26403-2024</t>
        </is>
      </c>
      <c r="B357" s="1" t="n">
        <v>45469.44505787037</v>
      </c>
      <c r="C357" s="1" t="n">
        <v>46063</v>
      </c>
      <c r="D357" t="inlineStr">
        <is>
          <t>SKÅNE LÄN</t>
        </is>
      </c>
      <c r="E357" t="inlineStr">
        <is>
          <t>HÄSSLEHOLM</t>
        </is>
      </c>
      <c r="G357" t="n">
        <v>2.6</v>
      </c>
      <c r="H357" t="n">
        <v>0</v>
      </c>
      <c r="I357" t="n">
        <v>0</v>
      </c>
      <c r="J357" t="n">
        <v>0</v>
      </c>
      <c r="K357" t="n">
        <v>0</v>
      </c>
      <c r="L357" t="n">
        <v>0</v>
      </c>
      <c r="M357" t="n">
        <v>0</v>
      </c>
      <c r="N357" t="n">
        <v>0</v>
      </c>
      <c r="O357" t="n">
        <v>0</v>
      </c>
      <c r="P357" t="n">
        <v>0</v>
      </c>
      <c r="Q357" t="n">
        <v>0</v>
      </c>
      <c r="R357" s="2" t="inlineStr"/>
    </row>
    <row r="358" ht="15" customHeight="1">
      <c r="A358" t="inlineStr">
        <is>
          <t>A 6835-2023</t>
        </is>
      </c>
      <c r="B358" s="1" t="n">
        <v>44967</v>
      </c>
      <c r="C358" s="1" t="n">
        <v>46063</v>
      </c>
      <c r="D358" t="inlineStr">
        <is>
          <t>SKÅNE LÄN</t>
        </is>
      </c>
      <c r="E358" t="inlineStr">
        <is>
          <t>HÄSSLEHOLM</t>
        </is>
      </c>
      <c r="G358" t="n">
        <v>4.8</v>
      </c>
      <c r="H358" t="n">
        <v>0</v>
      </c>
      <c r="I358" t="n">
        <v>0</v>
      </c>
      <c r="J358" t="n">
        <v>0</v>
      </c>
      <c r="K358" t="n">
        <v>0</v>
      </c>
      <c r="L358" t="n">
        <v>0</v>
      </c>
      <c r="M358" t="n">
        <v>0</v>
      </c>
      <c r="N358" t="n">
        <v>0</v>
      </c>
      <c r="O358" t="n">
        <v>0</v>
      </c>
      <c r="P358" t="n">
        <v>0</v>
      </c>
      <c r="Q358" t="n">
        <v>0</v>
      </c>
      <c r="R358" s="2" t="inlineStr"/>
    </row>
    <row r="359" ht="15" customHeight="1">
      <c r="A359" t="inlineStr">
        <is>
          <t>A 9885-2021</t>
        </is>
      </c>
      <c r="B359" s="1" t="n">
        <v>44253</v>
      </c>
      <c r="C359" s="1" t="n">
        <v>46063</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24776-2025</t>
        </is>
      </c>
      <c r="B360" s="1" t="n">
        <v>45799.40640046296</v>
      </c>
      <c r="C360" s="1" t="n">
        <v>46063</v>
      </c>
      <c r="D360" t="inlineStr">
        <is>
          <t>SKÅNE LÄN</t>
        </is>
      </c>
      <c r="E360" t="inlineStr">
        <is>
          <t>HÄSSLEHOLM</t>
        </is>
      </c>
      <c r="G360" t="n">
        <v>5.4</v>
      </c>
      <c r="H360" t="n">
        <v>0</v>
      </c>
      <c r="I360" t="n">
        <v>0</v>
      </c>
      <c r="J360" t="n">
        <v>0</v>
      </c>
      <c r="K360" t="n">
        <v>0</v>
      </c>
      <c r="L360" t="n">
        <v>0</v>
      </c>
      <c r="M360" t="n">
        <v>0</v>
      </c>
      <c r="N360" t="n">
        <v>0</v>
      </c>
      <c r="O360" t="n">
        <v>0</v>
      </c>
      <c r="P360" t="n">
        <v>0</v>
      </c>
      <c r="Q360" t="n">
        <v>0</v>
      </c>
      <c r="R360" s="2" t="inlineStr"/>
    </row>
    <row r="361" ht="15" customHeight="1">
      <c r="A361" t="inlineStr">
        <is>
          <t>A 31933-2024</t>
        </is>
      </c>
      <c r="B361" s="1" t="n">
        <v>45510.41123842593</v>
      </c>
      <c r="C361" s="1" t="n">
        <v>46063</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9098-2022</t>
        </is>
      </c>
      <c r="B362" s="1" t="n">
        <v>44615</v>
      </c>
      <c r="C362" s="1" t="n">
        <v>46063</v>
      </c>
      <c r="D362" t="inlineStr">
        <is>
          <t>SKÅNE LÄN</t>
        </is>
      </c>
      <c r="E362" t="inlineStr">
        <is>
          <t>HÄSSLEHOLM</t>
        </is>
      </c>
      <c r="G362" t="n">
        <v>2.1</v>
      </c>
      <c r="H362" t="n">
        <v>0</v>
      </c>
      <c r="I362" t="n">
        <v>0</v>
      </c>
      <c r="J362" t="n">
        <v>0</v>
      </c>
      <c r="K362" t="n">
        <v>0</v>
      </c>
      <c r="L362" t="n">
        <v>0</v>
      </c>
      <c r="M362" t="n">
        <v>0</v>
      </c>
      <c r="N362" t="n">
        <v>0</v>
      </c>
      <c r="O362" t="n">
        <v>0</v>
      </c>
      <c r="P362" t="n">
        <v>0</v>
      </c>
      <c r="Q362" t="n">
        <v>0</v>
      </c>
      <c r="R362" s="2" t="inlineStr"/>
    </row>
    <row r="363" ht="15" customHeight="1">
      <c r="A363" t="inlineStr">
        <is>
          <t>A 12338-2024</t>
        </is>
      </c>
      <c r="B363" s="1" t="n">
        <v>45378.72869212963</v>
      </c>
      <c r="C363" s="1" t="n">
        <v>46063</v>
      </c>
      <c r="D363" t="inlineStr">
        <is>
          <t>SKÅNE LÄN</t>
        </is>
      </c>
      <c r="E363" t="inlineStr">
        <is>
          <t>HÄSSLEHOLM</t>
        </is>
      </c>
      <c r="G363" t="n">
        <v>1.8</v>
      </c>
      <c r="H363" t="n">
        <v>0</v>
      </c>
      <c r="I363" t="n">
        <v>0</v>
      </c>
      <c r="J363" t="n">
        <v>0</v>
      </c>
      <c r="K363" t="n">
        <v>0</v>
      </c>
      <c r="L363" t="n">
        <v>0</v>
      </c>
      <c r="M363" t="n">
        <v>0</v>
      </c>
      <c r="N363" t="n">
        <v>0</v>
      </c>
      <c r="O363" t="n">
        <v>0</v>
      </c>
      <c r="P363" t="n">
        <v>0</v>
      </c>
      <c r="Q363" t="n">
        <v>0</v>
      </c>
      <c r="R363" s="2" t="inlineStr"/>
    </row>
    <row r="364" ht="15" customHeight="1">
      <c r="A364" t="inlineStr">
        <is>
          <t>A 34883-2023</t>
        </is>
      </c>
      <c r="B364" s="1" t="n">
        <v>45142.37902777778</v>
      </c>
      <c r="C364" s="1" t="n">
        <v>46063</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34886-2023</t>
        </is>
      </c>
      <c r="B365" s="1" t="n">
        <v>45142.38450231482</v>
      </c>
      <c r="C365" s="1" t="n">
        <v>46063</v>
      </c>
      <c r="D365" t="inlineStr">
        <is>
          <t>SKÅNE LÄN</t>
        </is>
      </c>
      <c r="E365" t="inlineStr">
        <is>
          <t>HÄSSLEHOLM</t>
        </is>
      </c>
      <c r="G365" t="n">
        <v>1.3</v>
      </c>
      <c r="H365" t="n">
        <v>0</v>
      </c>
      <c r="I365" t="n">
        <v>0</v>
      </c>
      <c r="J365" t="n">
        <v>0</v>
      </c>
      <c r="K365" t="n">
        <v>0</v>
      </c>
      <c r="L365" t="n">
        <v>0</v>
      </c>
      <c r="M365" t="n">
        <v>0</v>
      </c>
      <c r="N365" t="n">
        <v>0</v>
      </c>
      <c r="O365" t="n">
        <v>0</v>
      </c>
      <c r="P365" t="n">
        <v>0</v>
      </c>
      <c r="Q365" t="n">
        <v>0</v>
      </c>
      <c r="R365" s="2" t="inlineStr"/>
    </row>
    <row r="366" ht="15" customHeight="1">
      <c r="A366" t="inlineStr">
        <is>
          <t>A 7476-2025</t>
        </is>
      </c>
      <c r="B366" s="1" t="n">
        <v>45702</v>
      </c>
      <c r="C366" s="1" t="n">
        <v>46063</v>
      </c>
      <c r="D366" t="inlineStr">
        <is>
          <t>SKÅNE LÄN</t>
        </is>
      </c>
      <c r="E366" t="inlineStr">
        <is>
          <t>HÄSSLEHOLM</t>
        </is>
      </c>
      <c r="F366" t="inlineStr">
        <is>
          <t>Övriga Aktiebolag</t>
        </is>
      </c>
      <c r="G366" t="n">
        <v>2.1</v>
      </c>
      <c r="H366" t="n">
        <v>0</v>
      </c>
      <c r="I366" t="n">
        <v>0</v>
      </c>
      <c r="J366" t="n">
        <v>0</v>
      </c>
      <c r="K366" t="n">
        <v>0</v>
      </c>
      <c r="L366" t="n">
        <v>0</v>
      </c>
      <c r="M366" t="n">
        <v>0</v>
      </c>
      <c r="N366" t="n">
        <v>0</v>
      </c>
      <c r="O366" t="n">
        <v>0</v>
      </c>
      <c r="P366" t="n">
        <v>0</v>
      </c>
      <c r="Q366" t="n">
        <v>0</v>
      </c>
      <c r="R366" s="2" t="inlineStr"/>
    </row>
    <row r="367" ht="15" customHeight="1">
      <c r="A367" t="inlineStr">
        <is>
          <t>A 9239-2025</t>
        </is>
      </c>
      <c r="B367" s="1" t="n">
        <v>45714</v>
      </c>
      <c r="C367" s="1" t="n">
        <v>46063</v>
      </c>
      <c r="D367" t="inlineStr">
        <is>
          <t>SKÅNE LÄN</t>
        </is>
      </c>
      <c r="E367" t="inlineStr">
        <is>
          <t>HÄSSLEHOLM</t>
        </is>
      </c>
      <c r="G367" t="n">
        <v>1.8</v>
      </c>
      <c r="H367" t="n">
        <v>0</v>
      </c>
      <c r="I367" t="n">
        <v>0</v>
      </c>
      <c r="J367" t="n">
        <v>0</v>
      </c>
      <c r="K367" t="n">
        <v>0</v>
      </c>
      <c r="L367" t="n">
        <v>0</v>
      </c>
      <c r="M367" t="n">
        <v>0</v>
      </c>
      <c r="N367" t="n">
        <v>0</v>
      </c>
      <c r="O367" t="n">
        <v>0</v>
      </c>
      <c r="P367" t="n">
        <v>0</v>
      </c>
      <c r="Q367" t="n">
        <v>0</v>
      </c>
      <c r="R367" s="2" t="inlineStr"/>
    </row>
    <row r="368" ht="15" customHeight="1">
      <c r="A368" t="inlineStr">
        <is>
          <t>A 54659-2023</t>
        </is>
      </c>
      <c r="B368" s="1" t="n">
        <v>45235</v>
      </c>
      <c r="C368" s="1" t="n">
        <v>46063</v>
      </c>
      <c r="D368" t="inlineStr">
        <is>
          <t>SKÅNE LÄN</t>
        </is>
      </c>
      <c r="E368" t="inlineStr">
        <is>
          <t>HÄSSLEHOLM</t>
        </is>
      </c>
      <c r="G368" t="n">
        <v>5</v>
      </c>
      <c r="H368" t="n">
        <v>0</v>
      </c>
      <c r="I368" t="n">
        <v>0</v>
      </c>
      <c r="J368" t="n">
        <v>0</v>
      </c>
      <c r="K368" t="n">
        <v>0</v>
      </c>
      <c r="L368" t="n">
        <v>0</v>
      </c>
      <c r="M368" t="n">
        <v>0</v>
      </c>
      <c r="N368" t="n">
        <v>0</v>
      </c>
      <c r="O368" t="n">
        <v>0</v>
      </c>
      <c r="P368" t="n">
        <v>0</v>
      </c>
      <c r="Q368" t="n">
        <v>0</v>
      </c>
      <c r="R368" s="2" t="inlineStr"/>
    </row>
    <row r="369" ht="15" customHeight="1">
      <c r="A369" t="inlineStr">
        <is>
          <t>A 16121-2025</t>
        </is>
      </c>
      <c r="B369" s="1" t="n">
        <v>45750.40384259259</v>
      </c>
      <c r="C369" s="1" t="n">
        <v>46063</v>
      </c>
      <c r="D369" t="inlineStr">
        <is>
          <t>SKÅNE LÄN</t>
        </is>
      </c>
      <c r="E369" t="inlineStr">
        <is>
          <t>HÄSSLEHOLM</t>
        </is>
      </c>
      <c r="G369" t="n">
        <v>1.6</v>
      </c>
      <c r="H369" t="n">
        <v>0</v>
      </c>
      <c r="I369" t="n">
        <v>0</v>
      </c>
      <c r="J369" t="n">
        <v>0</v>
      </c>
      <c r="K369" t="n">
        <v>0</v>
      </c>
      <c r="L369" t="n">
        <v>0</v>
      </c>
      <c r="M369" t="n">
        <v>0</v>
      </c>
      <c r="N369" t="n">
        <v>0</v>
      </c>
      <c r="O369" t="n">
        <v>0</v>
      </c>
      <c r="P369" t="n">
        <v>0</v>
      </c>
      <c r="Q369" t="n">
        <v>0</v>
      </c>
      <c r="R369" s="2" t="inlineStr"/>
    </row>
    <row r="370" ht="15" customHeight="1">
      <c r="A370" t="inlineStr">
        <is>
          <t>A 28599-2024</t>
        </is>
      </c>
      <c r="B370" s="1" t="n">
        <v>45478.4247800926</v>
      </c>
      <c r="C370" s="1" t="n">
        <v>46063</v>
      </c>
      <c r="D370" t="inlineStr">
        <is>
          <t>SKÅNE LÄN</t>
        </is>
      </c>
      <c r="E370" t="inlineStr">
        <is>
          <t>HÄSSLEHOLM</t>
        </is>
      </c>
      <c r="G370" t="n">
        <v>8.6</v>
      </c>
      <c r="H370" t="n">
        <v>0</v>
      </c>
      <c r="I370" t="n">
        <v>0</v>
      </c>
      <c r="J370" t="n">
        <v>0</v>
      </c>
      <c r="K370" t="n">
        <v>0</v>
      </c>
      <c r="L370" t="n">
        <v>0</v>
      </c>
      <c r="M370" t="n">
        <v>0</v>
      </c>
      <c r="N370" t="n">
        <v>0</v>
      </c>
      <c r="O370" t="n">
        <v>0</v>
      </c>
      <c r="P370" t="n">
        <v>0</v>
      </c>
      <c r="Q370" t="n">
        <v>0</v>
      </c>
      <c r="R370" s="2" t="inlineStr"/>
    </row>
    <row r="371" ht="15" customHeight="1">
      <c r="A371" t="inlineStr">
        <is>
          <t>A 11446-2025</t>
        </is>
      </c>
      <c r="B371" s="1" t="n">
        <v>45726</v>
      </c>
      <c r="C371" s="1" t="n">
        <v>46063</v>
      </c>
      <c r="D371" t="inlineStr">
        <is>
          <t>SKÅNE LÄN</t>
        </is>
      </c>
      <c r="E371" t="inlineStr">
        <is>
          <t>HÄSSLEHOLM</t>
        </is>
      </c>
      <c r="G371" t="n">
        <v>1.9</v>
      </c>
      <c r="H371" t="n">
        <v>0</v>
      </c>
      <c r="I371" t="n">
        <v>0</v>
      </c>
      <c r="J371" t="n">
        <v>0</v>
      </c>
      <c r="K371" t="n">
        <v>0</v>
      </c>
      <c r="L371" t="n">
        <v>0</v>
      </c>
      <c r="M371" t="n">
        <v>0</v>
      </c>
      <c r="N371" t="n">
        <v>0</v>
      </c>
      <c r="O371" t="n">
        <v>0</v>
      </c>
      <c r="P371" t="n">
        <v>0</v>
      </c>
      <c r="Q371" t="n">
        <v>0</v>
      </c>
      <c r="R371" s="2" t="inlineStr"/>
    </row>
    <row r="372" ht="15" customHeight="1">
      <c r="A372" t="inlineStr">
        <is>
          <t>A 12558-2023</t>
        </is>
      </c>
      <c r="B372" s="1" t="n">
        <v>45000.36103009259</v>
      </c>
      <c r="C372" s="1" t="n">
        <v>46063</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13673-2023</t>
        </is>
      </c>
      <c r="B373" s="1" t="n">
        <v>45006.87957175926</v>
      </c>
      <c r="C373" s="1" t="n">
        <v>46063</v>
      </c>
      <c r="D373" t="inlineStr">
        <is>
          <t>SKÅNE LÄN</t>
        </is>
      </c>
      <c r="E373" t="inlineStr">
        <is>
          <t>HÄSSLEHOLM</t>
        </is>
      </c>
      <c r="G373" t="n">
        <v>3.2</v>
      </c>
      <c r="H373" t="n">
        <v>0</v>
      </c>
      <c r="I373" t="n">
        <v>0</v>
      </c>
      <c r="J373" t="n">
        <v>0</v>
      </c>
      <c r="K373" t="n">
        <v>0</v>
      </c>
      <c r="L373" t="n">
        <v>0</v>
      </c>
      <c r="M373" t="n">
        <v>0</v>
      </c>
      <c r="N373" t="n">
        <v>0</v>
      </c>
      <c r="O373" t="n">
        <v>0</v>
      </c>
      <c r="P373" t="n">
        <v>0</v>
      </c>
      <c r="Q373" t="n">
        <v>0</v>
      </c>
      <c r="R373" s="2" t="inlineStr"/>
    </row>
    <row r="374" ht="15" customHeight="1">
      <c r="A374" t="inlineStr">
        <is>
          <t>A 16860-2025</t>
        </is>
      </c>
      <c r="B374" s="1" t="n">
        <v>45751</v>
      </c>
      <c r="C374" s="1" t="n">
        <v>46063</v>
      </c>
      <c r="D374" t="inlineStr">
        <is>
          <t>SKÅNE LÄN</t>
        </is>
      </c>
      <c r="E374" t="inlineStr">
        <is>
          <t>HÄSSLEHOLM</t>
        </is>
      </c>
      <c r="G374" t="n">
        <v>1.3</v>
      </c>
      <c r="H374" t="n">
        <v>0</v>
      </c>
      <c r="I374" t="n">
        <v>0</v>
      </c>
      <c r="J374" t="n">
        <v>0</v>
      </c>
      <c r="K374" t="n">
        <v>0</v>
      </c>
      <c r="L374" t="n">
        <v>0</v>
      </c>
      <c r="M374" t="n">
        <v>0</v>
      </c>
      <c r="N374" t="n">
        <v>0</v>
      </c>
      <c r="O374" t="n">
        <v>0</v>
      </c>
      <c r="P374" t="n">
        <v>0</v>
      </c>
      <c r="Q374" t="n">
        <v>0</v>
      </c>
      <c r="R374" s="2" t="inlineStr"/>
    </row>
    <row r="375" ht="15" customHeight="1">
      <c r="A375" t="inlineStr">
        <is>
          <t>A 9556-2025</t>
        </is>
      </c>
      <c r="B375" s="1" t="n">
        <v>45714</v>
      </c>
      <c r="C375" s="1" t="n">
        <v>46063</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48844-2023</t>
        </is>
      </c>
      <c r="B376" s="1" t="n">
        <v>45209</v>
      </c>
      <c r="C376" s="1" t="n">
        <v>46063</v>
      </c>
      <c r="D376" t="inlineStr">
        <is>
          <t>SKÅNE LÄN</t>
        </is>
      </c>
      <c r="E376" t="inlineStr">
        <is>
          <t>HÄSSLEHOLM</t>
        </is>
      </c>
      <c r="G376" t="n">
        <v>4</v>
      </c>
      <c r="H376" t="n">
        <v>0</v>
      </c>
      <c r="I376" t="n">
        <v>0</v>
      </c>
      <c r="J376" t="n">
        <v>0</v>
      </c>
      <c r="K376" t="n">
        <v>0</v>
      </c>
      <c r="L376" t="n">
        <v>0</v>
      </c>
      <c r="M376" t="n">
        <v>0</v>
      </c>
      <c r="N376" t="n">
        <v>0</v>
      </c>
      <c r="O376" t="n">
        <v>0</v>
      </c>
      <c r="P376" t="n">
        <v>0</v>
      </c>
      <c r="Q376" t="n">
        <v>0</v>
      </c>
      <c r="R376" s="2" t="inlineStr"/>
    </row>
    <row r="377" ht="15" customHeight="1">
      <c r="A377" t="inlineStr">
        <is>
          <t>A 32585-2025</t>
        </is>
      </c>
      <c r="B377" s="1" t="n">
        <v>45838.60021990741</v>
      </c>
      <c r="C377" s="1" t="n">
        <v>46063</v>
      </c>
      <c r="D377" t="inlineStr">
        <is>
          <t>SKÅNE LÄN</t>
        </is>
      </c>
      <c r="E377" t="inlineStr">
        <is>
          <t>HÄSSLEHOLM</t>
        </is>
      </c>
      <c r="G377" t="n">
        <v>2.1</v>
      </c>
      <c r="H377" t="n">
        <v>0</v>
      </c>
      <c r="I377" t="n">
        <v>0</v>
      </c>
      <c r="J377" t="n">
        <v>0</v>
      </c>
      <c r="K377" t="n">
        <v>0</v>
      </c>
      <c r="L377" t="n">
        <v>0</v>
      </c>
      <c r="M377" t="n">
        <v>0</v>
      </c>
      <c r="N377" t="n">
        <v>0</v>
      </c>
      <c r="O377" t="n">
        <v>0</v>
      </c>
      <c r="P377" t="n">
        <v>0</v>
      </c>
      <c r="Q377" t="n">
        <v>0</v>
      </c>
      <c r="R377" s="2" t="inlineStr"/>
    </row>
    <row r="378" ht="15" customHeight="1">
      <c r="A378" t="inlineStr">
        <is>
          <t>A 39453-2025</t>
        </is>
      </c>
      <c r="B378" s="1" t="n">
        <v>45889</v>
      </c>
      <c r="C378" s="1" t="n">
        <v>46063</v>
      </c>
      <c r="D378" t="inlineStr">
        <is>
          <t>SKÅNE LÄN</t>
        </is>
      </c>
      <c r="E378" t="inlineStr">
        <is>
          <t>HÄSSLEHOLM</t>
        </is>
      </c>
      <c r="G378" t="n">
        <v>2.5</v>
      </c>
      <c r="H378" t="n">
        <v>0</v>
      </c>
      <c r="I378" t="n">
        <v>0</v>
      </c>
      <c r="J378" t="n">
        <v>0</v>
      </c>
      <c r="K378" t="n">
        <v>0</v>
      </c>
      <c r="L378" t="n">
        <v>0</v>
      </c>
      <c r="M378" t="n">
        <v>0</v>
      </c>
      <c r="N378" t="n">
        <v>0</v>
      </c>
      <c r="O378" t="n">
        <v>0</v>
      </c>
      <c r="P378" t="n">
        <v>0</v>
      </c>
      <c r="Q378" t="n">
        <v>0</v>
      </c>
      <c r="R378" s="2" t="inlineStr"/>
    </row>
    <row r="379" ht="15" customHeight="1">
      <c r="A379" t="inlineStr">
        <is>
          <t>A 32592-2025</t>
        </is>
      </c>
      <c r="B379" s="1" t="n">
        <v>45838.61020833333</v>
      </c>
      <c r="C379" s="1" t="n">
        <v>46063</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39457-2025</t>
        </is>
      </c>
      <c r="B380" s="1" t="n">
        <v>45889.76887731482</v>
      </c>
      <c r="C380" s="1" t="n">
        <v>46063</v>
      </c>
      <c r="D380" t="inlineStr">
        <is>
          <t>SKÅNE LÄN</t>
        </is>
      </c>
      <c r="E380" t="inlineStr">
        <is>
          <t>HÄSSLEHOLM</t>
        </is>
      </c>
      <c r="G380" t="n">
        <v>6.6</v>
      </c>
      <c r="H380" t="n">
        <v>0</v>
      </c>
      <c r="I380" t="n">
        <v>0</v>
      </c>
      <c r="J380" t="n">
        <v>0</v>
      </c>
      <c r="K380" t="n">
        <v>0</v>
      </c>
      <c r="L380" t="n">
        <v>0</v>
      </c>
      <c r="M380" t="n">
        <v>0</v>
      </c>
      <c r="N380" t="n">
        <v>0</v>
      </c>
      <c r="O380" t="n">
        <v>0</v>
      </c>
      <c r="P380" t="n">
        <v>0</v>
      </c>
      <c r="Q380" t="n">
        <v>0</v>
      </c>
      <c r="R380" s="2" t="inlineStr"/>
    </row>
    <row r="381" ht="15" customHeight="1">
      <c r="A381" t="inlineStr">
        <is>
          <t>A 21329-2023</t>
        </is>
      </c>
      <c r="B381" s="1" t="n">
        <v>45062</v>
      </c>
      <c r="C381" s="1" t="n">
        <v>46063</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45222-2023</t>
        </is>
      </c>
      <c r="B382" s="1" t="n">
        <v>45191</v>
      </c>
      <c r="C382" s="1" t="n">
        <v>46063</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13310-2025</t>
        </is>
      </c>
      <c r="B383" s="1" t="n">
        <v>45735.58814814815</v>
      </c>
      <c r="C383" s="1" t="n">
        <v>46063</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39366-2025</t>
        </is>
      </c>
      <c r="B384" s="1" t="n">
        <v>45889</v>
      </c>
      <c r="C384" s="1" t="n">
        <v>46063</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25538-2024</t>
        </is>
      </c>
      <c r="B385" s="1" t="n">
        <v>45463</v>
      </c>
      <c r="C385" s="1" t="n">
        <v>46063</v>
      </c>
      <c r="D385" t="inlineStr">
        <is>
          <t>SKÅNE LÄN</t>
        </is>
      </c>
      <c r="E385" t="inlineStr">
        <is>
          <t>HÄSSLEHOLM</t>
        </is>
      </c>
      <c r="G385" t="n">
        <v>1.6</v>
      </c>
      <c r="H385" t="n">
        <v>0</v>
      </c>
      <c r="I385" t="n">
        <v>0</v>
      </c>
      <c r="J385" t="n">
        <v>0</v>
      </c>
      <c r="K385" t="n">
        <v>0</v>
      </c>
      <c r="L385" t="n">
        <v>0</v>
      </c>
      <c r="M385" t="n">
        <v>0</v>
      </c>
      <c r="N385" t="n">
        <v>0</v>
      </c>
      <c r="O385" t="n">
        <v>0</v>
      </c>
      <c r="P385" t="n">
        <v>0</v>
      </c>
      <c r="Q385" t="n">
        <v>0</v>
      </c>
      <c r="R385" s="2" t="inlineStr"/>
    </row>
    <row r="386" ht="15" customHeight="1">
      <c r="A386" t="inlineStr">
        <is>
          <t>A 15055-2023</t>
        </is>
      </c>
      <c r="B386" s="1" t="n">
        <v>45015</v>
      </c>
      <c r="C386" s="1" t="n">
        <v>46063</v>
      </c>
      <c r="D386" t="inlineStr">
        <is>
          <t>SKÅNE LÄN</t>
        </is>
      </c>
      <c r="E386" t="inlineStr">
        <is>
          <t>HÄSSLEHOLM</t>
        </is>
      </c>
      <c r="G386" t="n">
        <v>1.9</v>
      </c>
      <c r="H386" t="n">
        <v>0</v>
      </c>
      <c r="I386" t="n">
        <v>0</v>
      </c>
      <c r="J386" t="n">
        <v>0</v>
      </c>
      <c r="K386" t="n">
        <v>0</v>
      </c>
      <c r="L386" t="n">
        <v>0</v>
      </c>
      <c r="M386" t="n">
        <v>0</v>
      </c>
      <c r="N386" t="n">
        <v>0</v>
      </c>
      <c r="O386" t="n">
        <v>0</v>
      </c>
      <c r="P386" t="n">
        <v>0</v>
      </c>
      <c r="Q386" t="n">
        <v>0</v>
      </c>
      <c r="R386" s="2" t="inlineStr"/>
    </row>
    <row r="387" ht="15" customHeight="1">
      <c r="A387" t="inlineStr">
        <is>
          <t>A 39934-2025</t>
        </is>
      </c>
      <c r="B387" s="1" t="n">
        <v>45891.71465277778</v>
      </c>
      <c r="C387" s="1" t="n">
        <v>46063</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29649-2025</t>
        </is>
      </c>
      <c r="B388" s="1" t="n">
        <v>45825.47446759259</v>
      </c>
      <c r="C388" s="1" t="n">
        <v>46063</v>
      </c>
      <c r="D388" t="inlineStr">
        <is>
          <t>SKÅNE LÄN</t>
        </is>
      </c>
      <c r="E388" t="inlineStr">
        <is>
          <t>HÄSSLEHOLM</t>
        </is>
      </c>
      <c r="G388" t="n">
        <v>2.6</v>
      </c>
      <c r="H388" t="n">
        <v>0</v>
      </c>
      <c r="I388" t="n">
        <v>0</v>
      </c>
      <c r="J388" t="n">
        <v>0</v>
      </c>
      <c r="K388" t="n">
        <v>0</v>
      </c>
      <c r="L388" t="n">
        <v>0</v>
      </c>
      <c r="M388" t="n">
        <v>0</v>
      </c>
      <c r="N388" t="n">
        <v>0</v>
      </c>
      <c r="O388" t="n">
        <v>0</v>
      </c>
      <c r="P388" t="n">
        <v>0</v>
      </c>
      <c r="Q388" t="n">
        <v>0</v>
      </c>
      <c r="R388" s="2" t="inlineStr"/>
    </row>
    <row r="389" ht="15" customHeight="1">
      <c r="A389" t="inlineStr">
        <is>
          <t>A 39937-2025</t>
        </is>
      </c>
      <c r="B389" s="1" t="n">
        <v>45891.73162037037</v>
      </c>
      <c r="C389" s="1" t="n">
        <v>46063</v>
      </c>
      <c r="D389" t="inlineStr">
        <is>
          <t>SKÅNE LÄN</t>
        </is>
      </c>
      <c r="E389" t="inlineStr">
        <is>
          <t>HÄSSLEHOLM</t>
        </is>
      </c>
      <c r="G389" t="n">
        <v>4.5</v>
      </c>
      <c r="H389" t="n">
        <v>0</v>
      </c>
      <c r="I389" t="n">
        <v>0</v>
      </c>
      <c r="J389" t="n">
        <v>0</v>
      </c>
      <c r="K389" t="n">
        <v>0</v>
      </c>
      <c r="L389" t="n">
        <v>0</v>
      </c>
      <c r="M389" t="n">
        <v>0</v>
      </c>
      <c r="N389" t="n">
        <v>0</v>
      </c>
      <c r="O389" t="n">
        <v>0</v>
      </c>
      <c r="P389" t="n">
        <v>0</v>
      </c>
      <c r="Q389" t="n">
        <v>0</v>
      </c>
      <c r="R389" s="2" t="inlineStr"/>
    </row>
    <row r="390" ht="15" customHeight="1">
      <c r="A390" t="inlineStr">
        <is>
          <t>A 25324-2024</t>
        </is>
      </c>
      <c r="B390" s="1" t="n">
        <v>45462.804375</v>
      </c>
      <c r="C390" s="1" t="n">
        <v>46063</v>
      </c>
      <c r="D390" t="inlineStr">
        <is>
          <t>SKÅNE LÄN</t>
        </is>
      </c>
      <c r="E390" t="inlineStr">
        <is>
          <t>HÄSSLEHOLM</t>
        </is>
      </c>
      <c r="G390" t="n">
        <v>0.2</v>
      </c>
      <c r="H390" t="n">
        <v>0</v>
      </c>
      <c r="I390" t="n">
        <v>0</v>
      </c>
      <c r="J390" t="n">
        <v>0</v>
      </c>
      <c r="K390" t="n">
        <v>0</v>
      </c>
      <c r="L390" t="n">
        <v>0</v>
      </c>
      <c r="M390" t="n">
        <v>0</v>
      </c>
      <c r="N390" t="n">
        <v>0</v>
      </c>
      <c r="O390" t="n">
        <v>0</v>
      </c>
      <c r="P390" t="n">
        <v>0</v>
      </c>
      <c r="Q390" t="n">
        <v>0</v>
      </c>
      <c r="R390" s="2" t="inlineStr"/>
    </row>
    <row r="391" ht="15" customHeight="1">
      <c r="A391" t="inlineStr">
        <is>
          <t>A 9555-2025</t>
        </is>
      </c>
      <c r="B391" s="1" t="n">
        <v>45714</v>
      </c>
      <c r="C391" s="1" t="n">
        <v>46063</v>
      </c>
      <c r="D391" t="inlineStr">
        <is>
          <t>SKÅNE LÄN</t>
        </is>
      </c>
      <c r="E391" t="inlineStr">
        <is>
          <t>HÄSSLEHOLM</t>
        </is>
      </c>
      <c r="G391" t="n">
        <v>5.4</v>
      </c>
      <c r="H391" t="n">
        <v>0</v>
      </c>
      <c r="I391" t="n">
        <v>0</v>
      </c>
      <c r="J391" t="n">
        <v>0</v>
      </c>
      <c r="K391" t="n">
        <v>0</v>
      </c>
      <c r="L391" t="n">
        <v>0</v>
      </c>
      <c r="M391" t="n">
        <v>0</v>
      </c>
      <c r="N391" t="n">
        <v>0</v>
      </c>
      <c r="O391" t="n">
        <v>0</v>
      </c>
      <c r="P391" t="n">
        <v>0</v>
      </c>
      <c r="Q391" t="n">
        <v>0</v>
      </c>
      <c r="R391" s="2" t="inlineStr"/>
    </row>
    <row r="392" ht="15" customHeight="1">
      <c r="A392" t="inlineStr">
        <is>
          <t>A 33948-2025</t>
        </is>
      </c>
      <c r="B392" s="1" t="n">
        <v>45842.65945601852</v>
      </c>
      <c r="C392" s="1" t="n">
        <v>46063</v>
      </c>
      <c r="D392" t="inlineStr">
        <is>
          <t>SKÅNE LÄN</t>
        </is>
      </c>
      <c r="E392" t="inlineStr">
        <is>
          <t>HÄSSLEHOLM</t>
        </is>
      </c>
      <c r="G392" t="n">
        <v>8.5</v>
      </c>
      <c r="H392" t="n">
        <v>0</v>
      </c>
      <c r="I392" t="n">
        <v>0</v>
      </c>
      <c r="J392" t="n">
        <v>0</v>
      </c>
      <c r="K392" t="n">
        <v>0</v>
      </c>
      <c r="L392" t="n">
        <v>0</v>
      </c>
      <c r="M392" t="n">
        <v>0</v>
      </c>
      <c r="N392" t="n">
        <v>0</v>
      </c>
      <c r="O392" t="n">
        <v>0</v>
      </c>
      <c r="P392" t="n">
        <v>0</v>
      </c>
      <c r="Q392" t="n">
        <v>0</v>
      </c>
      <c r="R392" s="2" t="inlineStr"/>
    </row>
    <row r="393" ht="15" customHeight="1">
      <c r="A393" t="inlineStr">
        <is>
          <t>A 40241-2025</t>
        </is>
      </c>
      <c r="B393" s="1" t="n">
        <v>45894.87251157407</v>
      </c>
      <c r="C393" s="1" t="n">
        <v>46063</v>
      </c>
      <c r="D393" t="inlineStr">
        <is>
          <t>SKÅNE LÄN</t>
        </is>
      </c>
      <c r="E393" t="inlineStr">
        <is>
          <t>HÄSSLEHOLM</t>
        </is>
      </c>
      <c r="G393" t="n">
        <v>3.8</v>
      </c>
      <c r="H393" t="n">
        <v>0</v>
      </c>
      <c r="I393" t="n">
        <v>0</v>
      </c>
      <c r="J393" t="n">
        <v>0</v>
      </c>
      <c r="K393" t="n">
        <v>0</v>
      </c>
      <c r="L393" t="n">
        <v>0</v>
      </c>
      <c r="M393" t="n">
        <v>0</v>
      </c>
      <c r="N393" t="n">
        <v>0</v>
      </c>
      <c r="O393" t="n">
        <v>0</v>
      </c>
      <c r="P393" t="n">
        <v>0</v>
      </c>
      <c r="Q393" t="n">
        <v>0</v>
      </c>
      <c r="R393" s="2" t="inlineStr"/>
    </row>
    <row r="394" ht="15" customHeight="1">
      <c r="A394" t="inlineStr">
        <is>
          <t>A 33875-2025</t>
        </is>
      </c>
      <c r="B394" s="1" t="n">
        <v>45842.55300925926</v>
      </c>
      <c r="C394" s="1" t="n">
        <v>46063</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2290-2024</t>
        </is>
      </c>
      <c r="B395" s="1" t="n">
        <v>45310</v>
      </c>
      <c r="C395" s="1" t="n">
        <v>46063</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33877-2025</t>
        </is>
      </c>
      <c r="B396" s="1" t="n">
        <v>45842.55564814815</v>
      </c>
      <c r="C396" s="1" t="n">
        <v>46063</v>
      </c>
      <c r="D396" t="inlineStr">
        <is>
          <t>SKÅNE LÄN</t>
        </is>
      </c>
      <c r="E396" t="inlineStr">
        <is>
          <t>HÄSSLEHOLM</t>
        </is>
      </c>
      <c r="G396" t="n">
        <v>3.9</v>
      </c>
      <c r="H396" t="n">
        <v>0</v>
      </c>
      <c r="I396" t="n">
        <v>0</v>
      </c>
      <c r="J396" t="n">
        <v>0</v>
      </c>
      <c r="K396" t="n">
        <v>0</v>
      </c>
      <c r="L396" t="n">
        <v>0</v>
      </c>
      <c r="M396" t="n">
        <v>0</v>
      </c>
      <c r="N396" t="n">
        <v>0</v>
      </c>
      <c r="O396" t="n">
        <v>0</v>
      </c>
      <c r="P396" t="n">
        <v>0</v>
      </c>
      <c r="Q396" t="n">
        <v>0</v>
      </c>
      <c r="R396" s="2" t="inlineStr"/>
    </row>
    <row r="397" ht="15" customHeight="1">
      <c r="A397" t="inlineStr">
        <is>
          <t>A 33879-2025</t>
        </is>
      </c>
      <c r="B397" s="1" t="n">
        <v>45842.55766203703</v>
      </c>
      <c r="C397" s="1" t="n">
        <v>46063</v>
      </c>
      <c r="D397" t="inlineStr">
        <is>
          <t>SKÅNE LÄN</t>
        </is>
      </c>
      <c r="E397" t="inlineStr">
        <is>
          <t>HÄSSLEHOLM</t>
        </is>
      </c>
      <c r="G397" t="n">
        <v>6.1</v>
      </c>
      <c r="H397" t="n">
        <v>0</v>
      </c>
      <c r="I397" t="n">
        <v>0</v>
      </c>
      <c r="J397" t="n">
        <v>0</v>
      </c>
      <c r="K397" t="n">
        <v>0</v>
      </c>
      <c r="L397" t="n">
        <v>0</v>
      </c>
      <c r="M397" t="n">
        <v>0</v>
      </c>
      <c r="N397" t="n">
        <v>0</v>
      </c>
      <c r="O397" t="n">
        <v>0</v>
      </c>
      <c r="P397" t="n">
        <v>0</v>
      </c>
      <c r="Q397" t="n">
        <v>0</v>
      </c>
      <c r="R397" s="2" t="inlineStr"/>
    </row>
    <row r="398" ht="15" customHeight="1">
      <c r="A398" t="inlineStr">
        <is>
          <t>A 33562-2025</t>
        </is>
      </c>
      <c r="B398" s="1" t="n">
        <v>45841.57803240741</v>
      </c>
      <c r="C398" s="1" t="n">
        <v>46063</v>
      </c>
      <c r="D398" t="inlineStr">
        <is>
          <t>SKÅNE LÄN</t>
        </is>
      </c>
      <c r="E398" t="inlineStr">
        <is>
          <t>HÄSSLEHOLM</t>
        </is>
      </c>
      <c r="G398" t="n">
        <v>2.8</v>
      </c>
      <c r="H398" t="n">
        <v>0</v>
      </c>
      <c r="I398" t="n">
        <v>0</v>
      </c>
      <c r="J398" t="n">
        <v>0</v>
      </c>
      <c r="K398" t="n">
        <v>0</v>
      </c>
      <c r="L398" t="n">
        <v>0</v>
      </c>
      <c r="M398" t="n">
        <v>0</v>
      </c>
      <c r="N398" t="n">
        <v>0</v>
      </c>
      <c r="O398" t="n">
        <v>0</v>
      </c>
      <c r="P398" t="n">
        <v>0</v>
      </c>
      <c r="Q398" t="n">
        <v>0</v>
      </c>
      <c r="R398" s="2" t="inlineStr"/>
    </row>
    <row r="399" ht="15" customHeight="1">
      <c r="A399" t="inlineStr">
        <is>
          <t>A 33950-2025</t>
        </is>
      </c>
      <c r="B399" s="1" t="n">
        <v>45842</v>
      </c>
      <c r="C399" s="1" t="n">
        <v>46063</v>
      </c>
      <c r="D399" t="inlineStr">
        <is>
          <t>SKÅNE LÄN</t>
        </is>
      </c>
      <c r="E399" t="inlineStr">
        <is>
          <t>HÄSSLEHOLM</t>
        </is>
      </c>
      <c r="G399" t="n">
        <v>5.7</v>
      </c>
      <c r="H399" t="n">
        <v>0</v>
      </c>
      <c r="I399" t="n">
        <v>0</v>
      </c>
      <c r="J399" t="n">
        <v>0</v>
      </c>
      <c r="K399" t="n">
        <v>0</v>
      </c>
      <c r="L399" t="n">
        <v>0</v>
      </c>
      <c r="M399" t="n">
        <v>0</v>
      </c>
      <c r="N399" t="n">
        <v>0</v>
      </c>
      <c r="O399" t="n">
        <v>0</v>
      </c>
      <c r="P399" t="n">
        <v>0</v>
      </c>
      <c r="Q399" t="n">
        <v>0</v>
      </c>
      <c r="R399" s="2" t="inlineStr"/>
    </row>
    <row r="400" ht="15" customHeight="1">
      <c r="A400" t="inlineStr">
        <is>
          <t>A 13316-2023</t>
        </is>
      </c>
      <c r="B400" s="1" t="n">
        <v>45005.39013888889</v>
      </c>
      <c r="C400" s="1" t="n">
        <v>46063</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65235-2021</t>
        </is>
      </c>
      <c r="B401" s="1" t="n">
        <v>44515</v>
      </c>
      <c r="C401" s="1" t="n">
        <v>46063</v>
      </c>
      <c r="D401" t="inlineStr">
        <is>
          <t>SKÅNE LÄN</t>
        </is>
      </c>
      <c r="E401" t="inlineStr">
        <is>
          <t>HÄSSLEHOLM</t>
        </is>
      </c>
      <c r="G401" t="n">
        <v>2.5</v>
      </c>
      <c r="H401" t="n">
        <v>0</v>
      </c>
      <c r="I401" t="n">
        <v>0</v>
      </c>
      <c r="J401" t="n">
        <v>0</v>
      </c>
      <c r="K401" t="n">
        <v>0</v>
      </c>
      <c r="L401" t="n">
        <v>0</v>
      </c>
      <c r="M401" t="n">
        <v>0</v>
      </c>
      <c r="N401" t="n">
        <v>0</v>
      </c>
      <c r="O401" t="n">
        <v>0</v>
      </c>
      <c r="P401" t="n">
        <v>0</v>
      </c>
      <c r="Q401" t="n">
        <v>0</v>
      </c>
      <c r="R401" s="2" t="inlineStr"/>
    </row>
    <row r="402" ht="15" customHeight="1">
      <c r="A402" t="inlineStr">
        <is>
          <t>A 13358-2023</t>
        </is>
      </c>
      <c r="B402" s="1" t="n">
        <v>45005</v>
      </c>
      <c r="C402" s="1" t="n">
        <v>46063</v>
      </c>
      <c r="D402" t="inlineStr">
        <is>
          <t>SKÅNE LÄN</t>
        </is>
      </c>
      <c r="E402" t="inlineStr">
        <is>
          <t>HÄSSLEHOLM</t>
        </is>
      </c>
      <c r="F402" t="inlineStr">
        <is>
          <t>Övriga Aktiebolag</t>
        </is>
      </c>
      <c r="G402" t="n">
        <v>0.5</v>
      </c>
      <c r="H402" t="n">
        <v>0</v>
      </c>
      <c r="I402" t="n">
        <v>0</v>
      </c>
      <c r="J402" t="n">
        <v>0</v>
      </c>
      <c r="K402" t="n">
        <v>0</v>
      </c>
      <c r="L402" t="n">
        <v>0</v>
      </c>
      <c r="M402" t="n">
        <v>0</v>
      </c>
      <c r="N402" t="n">
        <v>0</v>
      </c>
      <c r="O402" t="n">
        <v>0</v>
      </c>
      <c r="P402" t="n">
        <v>0</v>
      </c>
      <c r="Q402" t="n">
        <v>0</v>
      </c>
      <c r="R402" s="2" t="inlineStr"/>
    </row>
    <row r="403" ht="15" customHeight="1">
      <c r="A403" t="inlineStr">
        <is>
          <t>A 5316-2023</t>
        </is>
      </c>
      <c r="B403" s="1" t="n">
        <v>44959</v>
      </c>
      <c r="C403" s="1" t="n">
        <v>46063</v>
      </c>
      <c r="D403" t="inlineStr">
        <is>
          <t>SKÅNE LÄN</t>
        </is>
      </c>
      <c r="E403" t="inlineStr">
        <is>
          <t>HÄSSLEHOLM</t>
        </is>
      </c>
      <c r="G403" t="n">
        <v>2.1</v>
      </c>
      <c r="H403" t="n">
        <v>0</v>
      </c>
      <c r="I403" t="n">
        <v>0</v>
      </c>
      <c r="J403" t="n">
        <v>0</v>
      </c>
      <c r="K403" t="n">
        <v>0</v>
      </c>
      <c r="L403" t="n">
        <v>0</v>
      </c>
      <c r="M403" t="n">
        <v>0</v>
      </c>
      <c r="N403" t="n">
        <v>0</v>
      </c>
      <c r="O403" t="n">
        <v>0</v>
      </c>
      <c r="P403" t="n">
        <v>0</v>
      </c>
      <c r="Q403" t="n">
        <v>0</v>
      </c>
      <c r="R403" s="2" t="inlineStr"/>
    </row>
    <row r="404" ht="15" customHeight="1">
      <c r="A404" t="inlineStr">
        <is>
          <t>A 32794-2023</t>
        </is>
      </c>
      <c r="B404" s="1" t="n">
        <v>45124.40446759259</v>
      </c>
      <c r="C404" s="1" t="n">
        <v>46063</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34174-2025</t>
        </is>
      </c>
      <c r="B405" s="1" t="n">
        <v>45844</v>
      </c>
      <c r="C405" s="1" t="n">
        <v>46063</v>
      </c>
      <c r="D405" t="inlineStr">
        <is>
          <t>SKÅNE LÄN</t>
        </is>
      </c>
      <c r="E405" t="inlineStr">
        <is>
          <t>HÄSSLEHOLM</t>
        </is>
      </c>
      <c r="G405" t="n">
        <v>4.7</v>
      </c>
      <c r="H405" t="n">
        <v>0</v>
      </c>
      <c r="I405" t="n">
        <v>0</v>
      </c>
      <c r="J405" t="n">
        <v>0</v>
      </c>
      <c r="K405" t="n">
        <v>0</v>
      </c>
      <c r="L405" t="n">
        <v>0</v>
      </c>
      <c r="M405" t="n">
        <v>0</v>
      </c>
      <c r="N405" t="n">
        <v>0</v>
      </c>
      <c r="O405" t="n">
        <v>0</v>
      </c>
      <c r="P405" t="n">
        <v>0</v>
      </c>
      <c r="Q405" t="n">
        <v>0</v>
      </c>
      <c r="R405" s="2" t="inlineStr"/>
    </row>
    <row r="406" ht="15" customHeight="1">
      <c r="A406" t="inlineStr">
        <is>
          <t>A 28211-2022</t>
        </is>
      </c>
      <c r="B406" s="1" t="n">
        <v>44746</v>
      </c>
      <c r="C406" s="1" t="n">
        <v>46063</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12162-2023</t>
        </is>
      </c>
      <c r="B407" s="1" t="n">
        <v>44998.49619212963</v>
      </c>
      <c r="C407" s="1" t="n">
        <v>46063</v>
      </c>
      <c r="D407" t="inlineStr">
        <is>
          <t>SKÅNE LÄN</t>
        </is>
      </c>
      <c r="E407" t="inlineStr">
        <is>
          <t>HÄSSLEHOLM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34177-2025</t>
        </is>
      </c>
      <c r="B408" s="1" t="n">
        <v>45844</v>
      </c>
      <c r="C408" s="1" t="n">
        <v>46063</v>
      </c>
      <c r="D408" t="inlineStr">
        <is>
          <t>SKÅNE LÄN</t>
        </is>
      </c>
      <c r="E408" t="inlineStr">
        <is>
          <t>HÄSSLEHOLM</t>
        </is>
      </c>
      <c r="G408" t="n">
        <v>3</v>
      </c>
      <c r="H408" t="n">
        <v>0</v>
      </c>
      <c r="I408" t="n">
        <v>0</v>
      </c>
      <c r="J408" t="n">
        <v>0</v>
      </c>
      <c r="K408" t="n">
        <v>0</v>
      </c>
      <c r="L408" t="n">
        <v>0</v>
      </c>
      <c r="M408" t="n">
        <v>0</v>
      </c>
      <c r="N408" t="n">
        <v>0</v>
      </c>
      <c r="O408" t="n">
        <v>0</v>
      </c>
      <c r="P408" t="n">
        <v>0</v>
      </c>
      <c r="Q408" t="n">
        <v>0</v>
      </c>
      <c r="R408" s="2" t="inlineStr"/>
    </row>
    <row r="409" ht="15" customHeight="1">
      <c r="A409" t="inlineStr">
        <is>
          <t>A 22678-2025</t>
        </is>
      </c>
      <c r="B409" s="1" t="n">
        <v>45789.49725694444</v>
      </c>
      <c r="C409" s="1" t="n">
        <v>46063</v>
      </c>
      <c r="D409" t="inlineStr">
        <is>
          <t>SKÅNE LÄN</t>
        </is>
      </c>
      <c r="E409" t="inlineStr">
        <is>
          <t>HÄSSLEHOLM</t>
        </is>
      </c>
      <c r="G409" t="n">
        <v>2.2</v>
      </c>
      <c r="H409" t="n">
        <v>0</v>
      </c>
      <c r="I409" t="n">
        <v>0</v>
      </c>
      <c r="J409" t="n">
        <v>0</v>
      </c>
      <c r="K409" t="n">
        <v>0</v>
      </c>
      <c r="L409" t="n">
        <v>0</v>
      </c>
      <c r="M409" t="n">
        <v>0</v>
      </c>
      <c r="N409" t="n">
        <v>0</v>
      </c>
      <c r="O409" t="n">
        <v>0</v>
      </c>
      <c r="P409" t="n">
        <v>0</v>
      </c>
      <c r="Q409" t="n">
        <v>0</v>
      </c>
      <c r="R409" s="2" t="inlineStr"/>
    </row>
    <row r="410" ht="15" customHeight="1">
      <c r="A410" t="inlineStr">
        <is>
          <t>A 14702-2025</t>
        </is>
      </c>
      <c r="B410" s="1" t="n">
        <v>45742.60403935185</v>
      </c>
      <c r="C410" s="1" t="n">
        <v>46063</v>
      </c>
      <c r="D410" t="inlineStr">
        <is>
          <t>SKÅNE LÄN</t>
        </is>
      </c>
      <c r="E410" t="inlineStr">
        <is>
          <t>HÄSSLEHOLM</t>
        </is>
      </c>
      <c r="G410" t="n">
        <v>1.8</v>
      </c>
      <c r="H410" t="n">
        <v>0</v>
      </c>
      <c r="I410" t="n">
        <v>0</v>
      </c>
      <c r="J410" t="n">
        <v>0</v>
      </c>
      <c r="K410" t="n">
        <v>0</v>
      </c>
      <c r="L410" t="n">
        <v>0</v>
      </c>
      <c r="M410" t="n">
        <v>0</v>
      </c>
      <c r="N410" t="n">
        <v>0</v>
      </c>
      <c r="O410" t="n">
        <v>0</v>
      </c>
      <c r="P410" t="n">
        <v>0</v>
      </c>
      <c r="Q410" t="n">
        <v>0</v>
      </c>
      <c r="R410" s="2" t="inlineStr"/>
    </row>
    <row r="411" ht="15" customHeight="1">
      <c r="A411" t="inlineStr">
        <is>
          <t>A 9669-2025</t>
        </is>
      </c>
      <c r="B411" s="1" t="n">
        <v>45716.32921296296</v>
      </c>
      <c r="C411" s="1" t="n">
        <v>46063</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32958-2023</t>
        </is>
      </c>
      <c r="B412" s="1" t="n">
        <v>45125.52142361111</v>
      </c>
      <c r="C412" s="1" t="n">
        <v>46063</v>
      </c>
      <c r="D412" t="inlineStr">
        <is>
          <t>SKÅNE LÄN</t>
        </is>
      </c>
      <c r="E412" t="inlineStr">
        <is>
          <t>HÄSSLEHOLM</t>
        </is>
      </c>
      <c r="G412" t="n">
        <v>7.9</v>
      </c>
      <c r="H412" t="n">
        <v>0</v>
      </c>
      <c r="I412" t="n">
        <v>0</v>
      </c>
      <c r="J412" t="n">
        <v>0</v>
      </c>
      <c r="K412" t="n">
        <v>0</v>
      </c>
      <c r="L412" t="n">
        <v>0</v>
      </c>
      <c r="M412" t="n">
        <v>0</v>
      </c>
      <c r="N412" t="n">
        <v>0</v>
      </c>
      <c r="O412" t="n">
        <v>0</v>
      </c>
      <c r="P412" t="n">
        <v>0</v>
      </c>
      <c r="Q412" t="n">
        <v>0</v>
      </c>
      <c r="R412" s="2" t="inlineStr"/>
    </row>
    <row r="413" ht="15" customHeight="1">
      <c r="A413" t="inlineStr">
        <is>
          <t>A 59109-2023</t>
        </is>
      </c>
      <c r="B413" s="1" t="n">
        <v>45253.30819444444</v>
      </c>
      <c r="C413" s="1" t="n">
        <v>46063</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41400-2025</t>
        </is>
      </c>
      <c r="B414" s="1" t="n">
        <v>45901</v>
      </c>
      <c r="C414" s="1" t="n">
        <v>46063</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58888-2024</t>
        </is>
      </c>
      <c r="B415" s="1" t="n">
        <v>45636.45962962963</v>
      </c>
      <c r="C415" s="1" t="n">
        <v>46063</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21028-2021</t>
        </is>
      </c>
      <c r="B416" s="1" t="n">
        <v>44319</v>
      </c>
      <c r="C416" s="1" t="n">
        <v>46063</v>
      </c>
      <c r="D416" t="inlineStr">
        <is>
          <t>SKÅNE LÄN</t>
        </is>
      </c>
      <c r="E416" t="inlineStr">
        <is>
          <t>HÄSSLEHOLM</t>
        </is>
      </c>
      <c r="G416" t="n">
        <v>3.1</v>
      </c>
      <c r="H416" t="n">
        <v>0</v>
      </c>
      <c r="I416" t="n">
        <v>0</v>
      </c>
      <c r="J416" t="n">
        <v>0</v>
      </c>
      <c r="K416" t="n">
        <v>0</v>
      </c>
      <c r="L416" t="n">
        <v>0</v>
      </c>
      <c r="M416" t="n">
        <v>0</v>
      </c>
      <c r="N416" t="n">
        <v>0</v>
      </c>
      <c r="O416" t="n">
        <v>0</v>
      </c>
      <c r="P416" t="n">
        <v>0</v>
      </c>
      <c r="Q416" t="n">
        <v>0</v>
      </c>
      <c r="R416" s="2" t="inlineStr"/>
    </row>
    <row r="417" ht="15" customHeight="1">
      <c r="A417" t="inlineStr">
        <is>
          <t>A 41401-2025</t>
        </is>
      </c>
      <c r="B417" s="1" t="n">
        <v>45901</v>
      </c>
      <c r="C417" s="1" t="n">
        <v>46063</v>
      </c>
      <c r="D417" t="inlineStr">
        <is>
          <t>SKÅNE LÄN</t>
        </is>
      </c>
      <c r="E417" t="inlineStr">
        <is>
          <t>HÄSSLEHOLM</t>
        </is>
      </c>
      <c r="G417" t="n">
        <v>0.4</v>
      </c>
      <c r="H417" t="n">
        <v>0</v>
      </c>
      <c r="I417" t="n">
        <v>0</v>
      </c>
      <c r="J417" t="n">
        <v>0</v>
      </c>
      <c r="K417" t="n">
        <v>0</v>
      </c>
      <c r="L417" t="n">
        <v>0</v>
      </c>
      <c r="M417" t="n">
        <v>0</v>
      </c>
      <c r="N417" t="n">
        <v>0</v>
      </c>
      <c r="O417" t="n">
        <v>0</v>
      </c>
      <c r="P417" t="n">
        <v>0</v>
      </c>
      <c r="Q417" t="n">
        <v>0</v>
      </c>
      <c r="R417" s="2" t="inlineStr"/>
    </row>
    <row r="418" ht="15" customHeight="1">
      <c r="A418" t="inlineStr">
        <is>
          <t>A 34869-2025</t>
        </is>
      </c>
      <c r="B418" s="1" t="n">
        <v>45849</v>
      </c>
      <c r="C418" s="1" t="n">
        <v>46063</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6165-2023</t>
        </is>
      </c>
      <c r="B419" s="1" t="n">
        <v>44964.67114583333</v>
      </c>
      <c r="C419" s="1" t="n">
        <v>46063</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16017-2023</t>
        </is>
      </c>
      <c r="B420" s="1" t="n">
        <v>45026</v>
      </c>
      <c r="C420" s="1" t="n">
        <v>46063</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31989-2024</t>
        </is>
      </c>
      <c r="B421" s="1" t="n">
        <v>45510.58085648148</v>
      </c>
      <c r="C421" s="1" t="n">
        <v>46063</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35259-2025</t>
        </is>
      </c>
      <c r="B422" s="1" t="n">
        <v>45853.76912037037</v>
      </c>
      <c r="C422" s="1" t="n">
        <v>46063</v>
      </c>
      <c r="D422" t="inlineStr">
        <is>
          <t>SKÅNE LÄN</t>
        </is>
      </c>
      <c r="E422" t="inlineStr">
        <is>
          <t>HÄSSLEHOLM</t>
        </is>
      </c>
      <c r="G422" t="n">
        <v>1.9</v>
      </c>
      <c r="H422" t="n">
        <v>0</v>
      </c>
      <c r="I422" t="n">
        <v>0</v>
      </c>
      <c r="J422" t="n">
        <v>0</v>
      </c>
      <c r="K422" t="n">
        <v>0</v>
      </c>
      <c r="L422" t="n">
        <v>0</v>
      </c>
      <c r="M422" t="n">
        <v>0</v>
      </c>
      <c r="N422" t="n">
        <v>0</v>
      </c>
      <c r="O422" t="n">
        <v>0</v>
      </c>
      <c r="P422" t="n">
        <v>0</v>
      </c>
      <c r="Q422" t="n">
        <v>0</v>
      </c>
      <c r="R422" s="2" t="inlineStr"/>
    </row>
    <row r="423" ht="15" customHeight="1">
      <c r="A423" t="inlineStr">
        <is>
          <t>A 20970-2025</t>
        </is>
      </c>
      <c r="B423" s="1" t="n">
        <v>45777.45417824074</v>
      </c>
      <c r="C423" s="1" t="n">
        <v>46063</v>
      </c>
      <c r="D423" t="inlineStr">
        <is>
          <t>SKÅNE LÄN</t>
        </is>
      </c>
      <c r="E423" t="inlineStr">
        <is>
          <t>HÄSSLEHOLM</t>
        </is>
      </c>
      <c r="G423" t="n">
        <v>2.2</v>
      </c>
      <c r="H423" t="n">
        <v>0</v>
      </c>
      <c r="I423" t="n">
        <v>0</v>
      </c>
      <c r="J423" t="n">
        <v>0</v>
      </c>
      <c r="K423" t="n">
        <v>0</v>
      </c>
      <c r="L423" t="n">
        <v>0</v>
      </c>
      <c r="M423" t="n">
        <v>0</v>
      </c>
      <c r="N423" t="n">
        <v>0</v>
      </c>
      <c r="O423" t="n">
        <v>0</v>
      </c>
      <c r="P423" t="n">
        <v>0</v>
      </c>
      <c r="Q423" t="n">
        <v>0</v>
      </c>
      <c r="R423" s="2" t="inlineStr"/>
    </row>
    <row r="424" ht="15" customHeight="1">
      <c r="A424" t="inlineStr">
        <is>
          <t>A 35640-2023</t>
        </is>
      </c>
      <c r="B424" s="1" t="n">
        <v>45147</v>
      </c>
      <c r="C424" s="1" t="n">
        <v>46063</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17413-2025</t>
        </is>
      </c>
      <c r="B425" s="1" t="n">
        <v>45757.37480324074</v>
      </c>
      <c r="C425" s="1" t="n">
        <v>46063</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48771-2024</t>
        </is>
      </c>
      <c r="B426" s="1" t="n">
        <v>45593.61284722222</v>
      </c>
      <c r="C426" s="1" t="n">
        <v>46063</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24241-2023</t>
        </is>
      </c>
      <c r="B427" s="1" t="n">
        <v>45079.61476851852</v>
      </c>
      <c r="C427" s="1" t="n">
        <v>46063</v>
      </c>
      <c r="D427" t="inlineStr">
        <is>
          <t>SKÅNE LÄN</t>
        </is>
      </c>
      <c r="E427" t="inlineStr">
        <is>
          <t>HÄSSLEHOLM</t>
        </is>
      </c>
      <c r="G427" t="n">
        <v>0.9</v>
      </c>
      <c r="H427" t="n">
        <v>0</v>
      </c>
      <c r="I427" t="n">
        <v>0</v>
      </c>
      <c r="J427" t="n">
        <v>0</v>
      </c>
      <c r="K427" t="n">
        <v>0</v>
      </c>
      <c r="L427" t="n">
        <v>0</v>
      </c>
      <c r="M427" t="n">
        <v>0</v>
      </c>
      <c r="N427" t="n">
        <v>0</v>
      </c>
      <c r="O427" t="n">
        <v>0</v>
      </c>
      <c r="P427" t="n">
        <v>0</v>
      </c>
      <c r="Q427" t="n">
        <v>0</v>
      </c>
      <c r="R427" s="2" t="inlineStr"/>
    </row>
    <row r="428" ht="15" customHeight="1">
      <c r="A428" t="inlineStr">
        <is>
          <t>A 23987-2024</t>
        </is>
      </c>
      <c r="B428" s="1" t="n">
        <v>45456</v>
      </c>
      <c r="C428" s="1" t="n">
        <v>46063</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19739-2023</t>
        </is>
      </c>
      <c r="B429" s="1" t="n">
        <v>45051</v>
      </c>
      <c r="C429" s="1" t="n">
        <v>46063</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59246-2024</t>
        </is>
      </c>
      <c r="B430" s="1" t="n">
        <v>45636</v>
      </c>
      <c r="C430" s="1" t="n">
        <v>46063</v>
      </c>
      <c r="D430" t="inlineStr">
        <is>
          <t>SKÅNE LÄN</t>
        </is>
      </c>
      <c r="E430" t="inlineStr">
        <is>
          <t>HÄSSLEHOLM</t>
        </is>
      </c>
      <c r="G430" t="n">
        <v>2.6</v>
      </c>
      <c r="H430" t="n">
        <v>0</v>
      </c>
      <c r="I430" t="n">
        <v>0</v>
      </c>
      <c r="J430" t="n">
        <v>0</v>
      </c>
      <c r="K430" t="n">
        <v>0</v>
      </c>
      <c r="L430" t="n">
        <v>0</v>
      </c>
      <c r="M430" t="n">
        <v>0</v>
      </c>
      <c r="N430" t="n">
        <v>0</v>
      </c>
      <c r="O430" t="n">
        <v>0</v>
      </c>
      <c r="P430" t="n">
        <v>0</v>
      </c>
      <c r="Q430" t="n">
        <v>0</v>
      </c>
      <c r="R430" s="2" t="inlineStr"/>
    </row>
    <row r="431" ht="15" customHeight="1">
      <c r="A431" t="inlineStr">
        <is>
          <t>A 23666-2023</t>
        </is>
      </c>
      <c r="B431" s="1" t="n">
        <v>45077</v>
      </c>
      <c r="C431" s="1" t="n">
        <v>46063</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35237-2023</t>
        </is>
      </c>
      <c r="B432" s="1" t="n">
        <v>45145.74532407407</v>
      </c>
      <c r="C432" s="1" t="n">
        <v>46063</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260-2024</t>
        </is>
      </c>
      <c r="B433" s="1" t="n">
        <v>45294</v>
      </c>
      <c r="C433" s="1" t="n">
        <v>46063</v>
      </c>
      <c r="D433" t="inlineStr">
        <is>
          <t>SKÅNE LÄN</t>
        </is>
      </c>
      <c r="E433" t="inlineStr">
        <is>
          <t>HÄSSLEHOLM</t>
        </is>
      </c>
      <c r="G433" t="n">
        <v>0.2</v>
      </c>
      <c r="H433" t="n">
        <v>0</v>
      </c>
      <c r="I433" t="n">
        <v>0</v>
      </c>
      <c r="J433" t="n">
        <v>0</v>
      </c>
      <c r="K433" t="n">
        <v>0</v>
      </c>
      <c r="L433" t="n">
        <v>0</v>
      </c>
      <c r="M433" t="n">
        <v>0</v>
      </c>
      <c r="N433" t="n">
        <v>0</v>
      </c>
      <c r="O433" t="n">
        <v>0</v>
      </c>
      <c r="P433" t="n">
        <v>0</v>
      </c>
      <c r="Q433" t="n">
        <v>0</v>
      </c>
      <c r="R433" s="2" t="inlineStr"/>
    </row>
    <row r="434" ht="15" customHeight="1">
      <c r="A434" t="inlineStr">
        <is>
          <t>A 57275-2023</t>
        </is>
      </c>
      <c r="B434" s="1" t="n">
        <v>45245.58886574074</v>
      </c>
      <c r="C434" s="1" t="n">
        <v>46063</v>
      </c>
      <c r="D434" t="inlineStr">
        <is>
          <t>SKÅNE LÄN</t>
        </is>
      </c>
      <c r="E434" t="inlineStr">
        <is>
          <t>HÄSSLEHOLM</t>
        </is>
      </c>
      <c r="G434" t="n">
        <v>1.7</v>
      </c>
      <c r="H434" t="n">
        <v>0</v>
      </c>
      <c r="I434" t="n">
        <v>0</v>
      </c>
      <c r="J434" t="n">
        <v>0</v>
      </c>
      <c r="K434" t="n">
        <v>0</v>
      </c>
      <c r="L434" t="n">
        <v>0</v>
      </c>
      <c r="M434" t="n">
        <v>0</v>
      </c>
      <c r="N434" t="n">
        <v>0</v>
      </c>
      <c r="O434" t="n">
        <v>0</v>
      </c>
      <c r="P434" t="n">
        <v>0</v>
      </c>
      <c r="Q434" t="n">
        <v>0</v>
      </c>
      <c r="R434" s="2" t="inlineStr"/>
    </row>
    <row r="435" ht="15" customHeight="1">
      <c r="A435" t="inlineStr">
        <is>
          <t>A 27304-2023</t>
        </is>
      </c>
      <c r="B435" s="1" t="n">
        <v>45096.65199074074</v>
      </c>
      <c r="C435" s="1" t="n">
        <v>46063</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36085-2025</t>
        </is>
      </c>
      <c r="B436" s="1" t="n">
        <v>45866.46190972222</v>
      </c>
      <c r="C436" s="1" t="n">
        <v>46063</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48191-2021</t>
        </is>
      </c>
      <c r="B437" s="1" t="n">
        <v>44449</v>
      </c>
      <c r="C437" s="1" t="n">
        <v>46063</v>
      </c>
      <c r="D437" t="inlineStr">
        <is>
          <t>SKÅNE LÄN</t>
        </is>
      </c>
      <c r="E437" t="inlineStr">
        <is>
          <t>HÄSSLEHOLM</t>
        </is>
      </c>
      <c r="G437" t="n">
        <v>6</v>
      </c>
      <c r="H437" t="n">
        <v>0</v>
      </c>
      <c r="I437" t="n">
        <v>0</v>
      </c>
      <c r="J437" t="n">
        <v>0</v>
      </c>
      <c r="K437" t="n">
        <v>0</v>
      </c>
      <c r="L437" t="n">
        <v>0</v>
      </c>
      <c r="M437" t="n">
        <v>0</v>
      </c>
      <c r="N437" t="n">
        <v>0</v>
      </c>
      <c r="O437" t="n">
        <v>0</v>
      </c>
      <c r="P437" t="n">
        <v>0</v>
      </c>
      <c r="Q437" t="n">
        <v>0</v>
      </c>
      <c r="R437" s="2" t="inlineStr"/>
    </row>
    <row r="438" ht="15" customHeight="1">
      <c r="A438" t="inlineStr">
        <is>
          <t>A 6845-2023</t>
        </is>
      </c>
      <c r="B438" s="1" t="n">
        <v>44967</v>
      </c>
      <c r="C438" s="1" t="n">
        <v>46063</v>
      </c>
      <c r="D438" t="inlineStr">
        <is>
          <t>SKÅNE LÄN</t>
        </is>
      </c>
      <c r="E438" t="inlineStr">
        <is>
          <t>HÄSSLEHOLM</t>
        </is>
      </c>
      <c r="G438" t="n">
        <v>1.4</v>
      </c>
      <c r="H438" t="n">
        <v>0</v>
      </c>
      <c r="I438" t="n">
        <v>0</v>
      </c>
      <c r="J438" t="n">
        <v>0</v>
      </c>
      <c r="K438" t="n">
        <v>0</v>
      </c>
      <c r="L438" t="n">
        <v>0</v>
      </c>
      <c r="M438" t="n">
        <v>0</v>
      </c>
      <c r="N438" t="n">
        <v>0</v>
      </c>
      <c r="O438" t="n">
        <v>0</v>
      </c>
      <c r="P438" t="n">
        <v>0</v>
      </c>
      <c r="Q438" t="n">
        <v>0</v>
      </c>
      <c r="R438" s="2" t="inlineStr"/>
    </row>
    <row r="439" ht="15" customHeight="1">
      <c r="A439" t="inlineStr">
        <is>
          <t>A 36130-2025</t>
        </is>
      </c>
      <c r="B439" s="1" t="n">
        <v>45866.62273148148</v>
      </c>
      <c r="C439" s="1" t="n">
        <v>46063</v>
      </c>
      <c r="D439" t="inlineStr">
        <is>
          <t>SKÅNE LÄN</t>
        </is>
      </c>
      <c r="E439" t="inlineStr">
        <is>
          <t>HÄSSLEHOLM</t>
        </is>
      </c>
      <c r="G439" t="n">
        <v>4.7</v>
      </c>
      <c r="H439" t="n">
        <v>0</v>
      </c>
      <c r="I439" t="n">
        <v>0</v>
      </c>
      <c r="J439" t="n">
        <v>0</v>
      </c>
      <c r="K439" t="n">
        <v>0</v>
      </c>
      <c r="L439" t="n">
        <v>0</v>
      </c>
      <c r="M439" t="n">
        <v>0</v>
      </c>
      <c r="N439" t="n">
        <v>0</v>
      </c>
      <c r="O439" t="n">
        <v>0</v>
      </c>
      <c r="P439" t="n">
        <v>0</v>
      </c>
      <c r="Q439" t="n">
        <v>0</v>
      </c>
      <c r="R439" s="2" t="inlineStr"/>
    </row>
    <row r="440" ht="15" customHeight="1">
      <c r="A440" t="inlineStr">
        <is>
          <t>A 32834-2024</t>
        </is>
      </c>
      <c r="B440" s="1" t="n">
        <v>45516.6025</v>
      </c>
      <c r="C440" s="1" t="n">
        <v>46063</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42520-2025</t>
        </is>
      </c>
      <c r="B441" s="1" t="n">
        <v>45905.54846064815</v>
      </c>
      <c r="C441" s="1" t="n">
        <v>46063</v>
      </c>
      <c r="D441" t="inlineStr">
        <is>
          <t>SKÅNE LÄN</t>
        </is>
      </c>
      <c r="E441" t="inlineStr">
        <is>
          <t>HÄSSLEHOLM</t>
        </is>
      </c>
      <c r="G441" t="n">
        <v>2.5</v>
      </c>
      <c r="H441" t="n">
        <v>0</v>
      </c>
      <c r="I441" t="n">
        <v>0</v>
      </c>
      <c r="J441" t="n">
        <v>0</v>
      </c>
      <c r="K441" t="n">
        <v>0</v>
      </c>
      <c r="L441" t="n">
        <v>0</v>
      </c>
      <c r="M441" t="n">
        <v>0</v>
      </c>
      <c r="N441" t="n">
        <v>0</v>
      </c>
      <c r="O441" t="n">
        <v>0</v>
      </c>
      <c r="P441" t="n">
        <v>0</v>
      </c>
      <c r="Q441" t="n">
        <v>0</v>
      </c>
      <c r="R441" s="2" t="inlineStr"/>
    </row>
    <row r="442" ht="15" customHeight="1">
      <c r="A442" t="inlineStr">
        <is>
          <t>A 19666-2025</t>
        </is>
      </c>
      <c r="B442" s="1" t="n">
        <v>45770.69326388889</v>
      </c>
      <c r="C442" s="1" t="n">
        <v>46063</v>
      </c>
      <c r="D442" t="inlineStr">
        <is>
          <t>SKÅNE LÄN</t>
        </is>
      </c>
      <c r="E442" t="inlineStr">
        <is>
          <t>HÄSSLEHOLM</t>
        </is>
      </c>
      <c r="G442" t="n">
        <v>2.4</v>
      </c>
      <c r="H442" t="n">
        <v>0</v>
      </c>
      <c r="I442" t="n">
        <v>0</v>
      </c>
      <c r="J442" t="n">
        <v>0</v>
      </c>
      <c r="K442" t="n">
        <v>0</v>
      </c>
      <c r="L442" t="n">
        <v>0</v>
      </c>
      <c r="M442" t="n">
        <v>0</v>
      </c>
      <c r="N442" t="n">
        <v>0</v>
      </c>
      <c r="O442" t="n">
        <v>0</v>
      </c>
      <c r="P442" t="n">
        <v>0</v>
      </c>
      <c r="Q442" t="n">
        <v>0</v>
      </c>
      <c r="R442" s="2" t="inlineStr"/>
    </row>
    <row r="443" ht="15" customHeight="1">
      <c r="A443" t="inlineStr">
        <is>
          <t>A 49199-2024</t>
        </is>
      </c>
      <c r="B443" s="1" t="n">
        <v>45595</v>
      </c>
      <c r="C443" s="1" t="n">
        <v>46063</v>
      </c>
      <c r="D443" t="inlineStr">
        <is>
          <t>SKÅNE LÄN</t>
        </is>
      </c>
      <c r="E443" t="inlineStr">
        <is>
          <t>HÄSSLEHOLM</t>
        </is>
      </c>
      <c r="G443" t="n">
        <v>5.2</v>
      </c>
      <c r="H443" t="n">
        <v>0</v>
      </c>
      <c r="I443" t="n">
        <v>0</v>
      </c>
      <c r="J443" t="n">
        <v>0</v>
      </c>
      <c r="K443" t="n">
        <v>0</v>
      </c>
      <c r="L443" t="n">
        <v>0</v>
      </c>
      <c r="M443" t="n">
        <v>0</v>
      </c>
      <c r="N443" t="n">
        <v>0</v>
      </c>
      <c r="O443" t="n">
        <v>0</v>
      </c>
      <c r="P443" t="n">
        <v>0</v>
      </c>
      <c r="Q443" t="n">
        <v>0</v>
      </c>
      <c r="R443" s="2" t="inlineStr"/>
    </row>
    <row r="444" ht="15" customHeight="1">
      <c r="A444" t="inlineStr">
        <is>
          <t>A 43333-2025</t>
        </is>
      </c>
      <c r="B444" s="1" t="n">
        <v>45910</v>
      </c>
      <c r="C444" s="1" t="n">
        <v>46063</v>
      </c>
      <c r="D444" t="inlineStr">
        <is>
          <t>SKÅNE LÄN</t>
        </is>
      </c>
      <c r="E444" t="inlineStr">
        <is>
          <t>HÄSSLEHOLM</t>
        </is>
      </c>
      <c r="G444" t="n">
        <v>10.1</v>
      </c>
      <c r="H444" t="n">
        <v>0</v>
      </c>
      <c r="I444" t="n">
        <v>0</v>
      </c>
      <c r="J444" t="n">
        <v>0</v>
      </c>
      <c r="K444" t="n">
        <v>0</v>
      </c>
      <c r="L444" t="n">
        <v>0</v>
      </c>
      <c r="M444" t="n">
        <v>0</v>
      </c>
      <c r="N444" t="n">
        <v>0</v>
      </c>
      <c r="O444" t="n">
        <v>0</v>
      </c>
      <c r="P444" t="n">
        <v>0</v>
      </c>
      <c r="Q444" t="n">
        <v>0</v>
      </c>
      <c r="R444" s="2" t="inlineStr"/>
    </row>
    <row r="445" ht="15" customHeight="1">
      <c r="A445" t="inlineStr">
        <is>
          <t>A 43332-2025</t>
        </is>
      </c>
      <c r="B445" s="1" t="n">
        <v>45910.70217592592</v>
      </c>
      <c r="C445" s="1" t="n">
        <v>46063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58886-2024</t>
        </is>
      </c>
      <c r="B446" s="1" t="n">
        <v>45636.45380787037</v>
      </c>
      <c r="C446" s="1" t="n">
        <v>46063</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36361-2025</t>
        </is>
      </c>
      <c r="B447" s="1" t="n">
        <v>45867</v>
      </c>
      <c r="C447" s="1" t="n">
        <v>46063</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13345-2025</t>
        </is>
      </c>
      <c r="B448" s="1" t="n">
        <v>45735.63017361111</v>
      </c>
      <c r="C448" s="1" t="n">
        <v>46063</v>
      </c>
      <c r="D448" t="inlineStr">
        <is>
          <t>SKÅNE LÄN</t>
        </is>
      </c>
      <c r="E448" t="inlineStr">
        <is>
          <t>HÄSSLEHOLM</t>
        </is>
      </c>
      <c r="G448" t="n">
        <v>1.3</v>
      </c>
      <c r="H448" t="n">
        <v>0</v>
      </c>
      <c r="I448" t="n">
        <v>0</v>
      </c>
      <c r="J448" t="n">
        <v>0</v>
      </c>
      <c r="K448" t="n">
        <v>0</v>
      </c>
      <c r="L448" t="n">
        <v>0</v>
      </c>
      <c r="M448" t="n">
        <v>0</v>
      </c>
      <c r="N448" t="n">
        <v>0</v>
      </c>
      <c r="O448" t="n">
        <v>0</v>
      </c>
      <c r="P448" t="n">
        <v>0</v>
      </c>
      <c r="Q448" t="n">
        <v>0</v>
      </c>
      <c r="R448" s="2" t="inlineStr"/>
    </row>
    <row r="449" ht="15" customHeight="1">
      <c r="A449" t="inlineStr">
        <is>
          <t>A 36358-2025</t>
        </is>
      </c>
      <c r="B449" s="1" t="n">
        <v>45867</v>
      </c>
      <c r="C449" s="1" t="n">
        <v>46063</v>
      </c>
      <c r="D449" t="inlineStr">
        <is>
          <t>SKÅNE LÄN</t>
        </is>
      </c>
      <c r="E449" t="inlineStr">
        <is>
          <t>HÄSSLEHOLM</t>
        </is>
      </c>
      <c r="G449" t="n">
        <v>2.8</v>
      </c>
      <c r="H449" t="n">
        <v>0</v>
      </c>
      <c r="I449" t="n">
        <v>0</v>
      </c>
      <c r="J449" t="n">
        <v>0</v>
      </c>
      <c r="K449" t="n">
        <v>0</v>
      </c>
      <c r="L449" t="n">
        <v>0</v>
      </c>
      <c r="M449" t="n">
        <v>0</v>
      </c>
      <c r="N449" t="n">
        <v>0</v>
      </c>
      <c r="O449" t="n">
        <v>0</v>
      </c>
      <c r="P449" t="n">
        <v>0</v>
      </c>
      <c r="Q449" t="n">
        <v>0</v>
      </c>
      <c r="R449" s="2" t="inlineStr"/>
    </row>
    <row r="450" ht="15" customHeight="1">
      <c r="A450" t="inlineStr">
        <is>
          <t>A 36359-2025</t>
        </is>
      </c>
      <c r="B450" s="1" t="n">
        <v>45867</v>
      </c>
      <c r="C450" s="1" t="n">
        <v>46063</v>
      </c>
      <c r="D450" t="inlineStr">
        <is>
          <t>SKÅNE LÄN</t>
        </is>
      </c>
      <c r="E450" t="inlineStr">
        <is>
          <t>HÄSSLEHOLM</t>
        </is>
      </c>
      <c r="G450" t="n">
        <v>2.2</v>
      </c>
      <c r="H450" t="n">
        <v>0</v>
      </c>
      <c r="I450" t="n">
        <v>0</v>
      </c>
      <c r="J450" t="n">
        <v>0</v>
      </c>
      <c r="K450" t="n">
        <v>0</v>
      </c>
      <c r="L450" t="n">
        <v>0</v>
      </c>
      <c r="M450" t="n">
        <v>0</v>
      </c>
      <c r="N450" t="n">
        <v>0</v>
      </c>
      <c r="O450" t="n">
        <v>0</v>
      </c>
      <c r="P450" t="n">
        <v>0</v>
      </c>
      <c r="Q450" t="n">
        <v>0</v>
      </c>
      <c r="R450" s="2" t="inlineStr"/>
    </row>
    <row r="451" ht="15" customHeight="1">
      <c r="A451" t="inlineStr">
        <is>
          <t>A 36259-2025</t>
        </is>
      </c>
      <c r="B451" s="1" t="n">
        <v>45867.59799768519</v>
      </c>
      <c r="C451" s="1" t="n">
        <v>46063</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12469-2023</t>
        </is>
      </c>
      <c r="B452" s="1" t="n">
        <v>44999.62109953703</v>
      </c>
      <c r="C452" s="1" t="n">
        <v>46063</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48663-2024</t>
        </is>
      </c>
      <c r="B453" s="1" t="n">
        <v>45593.48892361111</v>
      </c>
      <c r="C453" s="1" t="n">
        <v>46063</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43516-2025</t>
        </is>
      </c>
      <c r="B454" s="1" t="n">
        <v>45911</v>
      </c>
      <c r="C454" s="1" t="n">
        <v>46063</v>
      </c>
      <c r="D454" t="inlineStr">
        <is>
          <t>SKÅNE LÄN</t>
        </is>
      </c>
      <c r="E454" t="inlineStr">
        <is>
          <t>HÄSSLEHOLM</t>
        </is>
      </c>
      <c r="G454" t="n">
        <v>2.4</v>
      </c>
      <c r="H454" t="n">
        <v>0</v>
      </c>
      <c r="I454" t="n">
        <v>0</v>
      </c>
      <c r="J454" t="n">
        <v>0</v>
      </c>
      <c r="K454" t="n">
        <v>0</v>
      </c>
      <c r="L454" t="n">
        <v>0</v>
      </c>
      <c r="M454" t="n">
        <v>0</v>
      </c>
      <c r="N454" t="n">
        <v>0</v>
      </c>
      <c r="O454" t="n">
        <v>0</v>
      </c>
      <c r="P454" t="n">
        <v>0</v>
      </c>
      <c r="Q454" t="n">
        <v>0</v>
      </c>
      <c r="R454" s="2" t="inlineStr"/>
    </row>
    <row r="455" ht="15" customHeight="1">
      <c r="A455" t="inlineStr">
        <is>
          <t>A 43738-2025</t>
        </is>
      </c>
      <c r="B455" s="1" t="n">
        <v>45912.45037037037</v>
      </c>
      <c r="C455" s="1" t="n">
        <v>46063</v>
      </c>
      <c r="D455" t="inlineStr">
        <is>
          <t>SKÅNE LÄN</t>
        </is>
      </c>
      <c r="E455" t="inlineStr">
        <is>
          <t>HÄSSLEHOLM</t>
        </is>
      </c>
      <c r="G455" t="n">
        <v>1.3</v>
      </c>
      <c r="H455" t="n">
        <v>0</v>
      </c>
      <c r="I455" t="n">
        <v>0</v>
      </c>
      <c r="J455" t="n">
        <v>0</v>
      </c>
      <c r="K455" t="n">
        <v>0</v>
      </c>
      <c r="L455" t="n">
        <v>0</v>
      </c>
      <c r="M455" t="n">
        <v>0</v>
      </c>
      <c r="N455" t="n">
        <v>0</v>
      </c>
      <c r="O455" t="n">
        <v>0</v>
      </c>
      <c r="P455" t="n">
        <v>0</v>
      </c>
      <c r="Q455" t="n">
        <v>0</v>
      </c>
      <c r="R455" s="2" t="inlineStr"/>
    </row>
    <row r="456" ht="15" customHeight="1">
      <c r="A456" t="inlineStr">
        <is>
          <t>A 43741-2025</t>
        </is>
      </c>
      <c r="B456" s="1" t="n">
        <v>45912.45541666666</v>
      </c>
      <c r="C456" s="1" t="n">
        <v>46063</v>
      </c>
      <c r="D456" t="inlineStr">
        <is>
          <t>SKÅNE LÄN</t>
        </is>
      </c>
      <c r="E456" t="inlineStr">
        <is>
          <t>HÄSSLEHOLM</t>
        </is>
      </c>
      <c r="G456" t="n">
        <v>4.3</v>
      </c>
      <c r="H456" t="n">
        <v>0</v>
      </c>
      <c r="I456" t="n">
        <v>0</v>
      </c>
      <c r="J456" t="n">
        <v>0</v>
      </c>
      <c r="K456" t="n">
        <v>0</v>
      </c>
      <c r="L456" t="n">
        <v>0</v>
      </c>
      <c r="M456" t="n">
        <v>0</v>
      </c>
      <c r="N456" t="n">
        <v>0</v>
      </c>
      <c r="O456" t="n">
        <v>0</v>
      </c>
      <c r="P456" t="n">
        <v>0</v>
      </c>
      <c r="Q456" t="n">
        <v>0</v>
      </c>
      <c r="R456" s="2" t="inlineStr"/>
    </row>
    <row r="457" ht="15" customHeight="1">
      <c r="A457" t="inlineStr">
        <is>
          <t>A 50659-2023</t>
        </is>
      </c>
      <c r="B457" s="1" t="n">
        <v>45217</v>
      </c>
      <c r="C457" s="1" t="n">
        <v>46063</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27464-2022</t>
        </is>
      </c>
      <c r="B458" s="1" t="n">
        <v>44742.58704861111</v>
      </c>
      <c r="C458" s="1" t="n">
        <v>46063</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43869-2025</t>
        </is>
      </c>
      <c r="B459" s="1" t="n">
        <v>45912.66452546296</v>
      </c>
      <c r="C459" s="1" t="n">
        <v>46063</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8209-2025</t>
        </is>
      </c>
      <c r="B460" s="1" t="n">
        <v>45708.44244212963</v>
      </c>
      <c r="C460" s="1" t="n">
        <v>46063</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50525-2024</t>
        </is>
      </c>
      <c r="B461" s="1" t="n">
        <v>45601</v>
      </c>
      <c r="C461" s="1" t="n">
        <v>46063</v>
      </c>
      <c r="D461" t="inlineStr">
        <is>
          <t>SKÅNE LÄN</t>
        </is>
      </c>
      <c r="E461" t="inlineStr">
        <is>
          <t>HÄSSLEHOLM</t>
        </is>
      </c>
      <c r="G461" t="n">
        <v>2.6</v>
      </c>
      <c r="H461" t="n">
        <v>0</v>
      </c>
      <c r="I461" t="n">
        <v>0</v>
      </c>
      <c r="J461" t="n">
        <v>0</v>
      </c>
      <c r="K461" t="n">
        <v>0</v>
      </c>
      <c r="L461" t="n">
        <v>0</v>
      </c>
      <c r="M461" t="n">
        <v>0</v>
      </c>
      <c r="N461" t="n">
        <v>0</v>
      </c>
      <c r="O461" t="n">
        <v>0</v>
      </c>
      <c r="P461" t="n">
        <v>0</v>
      </c>
      <c r="Q461" t="n">
        <v>0</v>
      </c>
      <c r="R461" s="2" t="inlineStr"/>
    </row>
    <row r="462" ht="15" customHeight="1">
      <c r="A462" t="inlineStr">
        <is>
          <t>A 36938-2025</t>
        </is>
      </c>
      <c r="B462" s="1" t="n">
        <v>45874.58476851852</v>
      </c>
      <c r="C462" s="1" t="n">
        <v>46063</v>
      </c>
      <c r="D462" t="inlineStr">
        <is>
          <t>SKÅNE LÄN</t>
        </is>
      </c>
      <c r="E462" t="inlineStr">
        <is>
          <t>HÄSSLEHOLM</t>
        </is>
      </c>
      <c r="G462" t="n">
        <v>3.7</v>
      </c>
      <c r="H462" t="n">
        <v>0</v>
      </c>
      <c r="I462" t="n">
        <v>0</v>
      </c>
      <c r="J462" t="n">
        <v>0</v>
      </c>
      <c r="K462" t="n">
        <v>0</v>
      </c>
      <c r="L462" t="n">
        <v>0</v>
      </c>
      <c r="M462" t="n">
        <v>0</v>
      </c>
      <c r="N462" t="n">
        <v>0</v>
      </c>
      <c r="O462" t="n">
        <v>0</v>
      </c>
      <c r="P462" t="n">
        <v>0</v>
      </c>
      <c r="Q462" t="n">
        <v>0</v>
      </c>
      <c r="R462" s="2" t="inlineStr"/>
    </row>
    <row r="463" ht="15" customHeight="1">
      <c r="A463" t="inlineStr">
        <is>
          <t>A 27242-2022</t>
        </is>
      </c>
      <c r="B463" s="1" t="n">
        <v>44741</v>
      </c>
      <c r="C463" s="1" t="n">
        <v>46063</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27197-2021</t>
        </is>
      </c>
      <c r="B464" s="1" t="n">
        <v>44350</v>
      </c>
      <c r="C464" s="1" t="n">
        <v>46063</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44330-2025</t>
        </is>
      </c>
      <c r="B465" s="1" t="n">
        <v>45916.42120370371</v>
      </c>
      <c r="C465" s="1" t="n">
        <v>46063</v>
      </c>
      <c r="D465" t="inlineStr">
        <is>
          <t>SKÅNE LÄN</t>
        </is>
      </c>
      <c r="E465" t="inlineStr">
        <is>
          <t>HÄSSLEHOLM</t>
        </is>
      </c>
      <c r="G465" t="n">
        <v>2.7</v>
      </c>
      <c r="H465" t="n">
        <v>0</v>
      </c>
      <c r="I465" t="n">
        <v>0</v>
      </c>
      <c r="J465" t="n">
        <v>0</v>
      </c>
      <c r="K465" t="n">
        <v>0</v>
      </c>
      <c r="L465" t="n">
        <v>0</v>
      </c>
      <c r="M465" t="n">
        <v>0</v>
      </c>
      <c r="N465" t="n">
        <v>0</v>
      </c>
      <c r="O465" t="n">
        <v>0</v>
      </c>
      <c r="P465" t="n">
        <v>0</v>
      </c>
      <c r="Q465" t="n">
        <v>0</v>
      </c>
      <c r="R465" s="2" t="inlineStr"/>
    </row>
    <row r="466" ht="15" customHeight="1">
      <c r="A466" t="inlineStr">
        <is>
          <t>A 44523-2025</t>
        </is>
      </c>
      <c r="B466" s="1" t="n">
        <v>45916</v>
      </c>
      <c r="C466" s="1" t="n">
        <v>46063</v>
      </c>
      <c r="D466" t="inlineStr">
        <is>
          <t>SKÅNE LÄN</t>
        </is>
      </c>
      <c r="E466" t="inlineStr">
        <is>
          <t>HÄSSLEHOLM</t>
        </is>
      </c>
      <c r="G466" t="n">
        <v>1.6</v>
      </c>
      <c r="H466" t="n">
        <v>0</v>
      </c>
      <c r="I466" t="n">
        <v>0</v>
      </c>
      <c r="J466" t="n">
        <v>0</v>
      </c>
      <c r="K466" t="n">
        <v>0</v>
      </c>
      <c r="L466" t="n">
        <v>0</v>
      </c>
      <c r="M466" t="n">
        <v>0</v>
      </c>
      <c r="N466" t="n">
        <v>0</v>
      </c>
      <c r="O466" t="n">
        <v>0</v>
      </c>
      <c r="P466" t="n">
        <v>0</v>
      </c>
      <c r="Q466" t="n">
        <v>0</v>
      </c>
      <c r="R466" s="2" t="inlineStr"/>
    </row>
    <row r="467" ht="15" customHeight="1">
      <c r="A467" t="inlineStr">
        <is>
          <t>A 33465-2024</t>
        </is>
      </c>
      <c r="B467" s="1" t="n">
        <v>45519.59619212963</v>
      </c>
      <c r="C467" s="1" t="n">
        <v>46063</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44515-2025</t>
        </is>
      </c>
      <c r="B468" s="1" t="n">
        <v>45916.7062037037</v>
      </c>
      <c r="C468" s="1" t="n">
        <v>46063</v>
      </c>
      <c r="D468" t="inlineStr">
        <is>
          <t>SKÅNE LÄN</t>
        </is>
      </c>
      <c r="E468" t="inlineStr">
        <is>
          <t>HÄSSLEHOLM</t>
        </is>
      </c>
      <c r="G468" t="n">
        <v>1.5</v>
      </c>
      <c r="H468" t="n">
        <v>0</v>
      </c>
      <c r="I468" t="n">
        <v>0</v>
      </c>
      <c r="J468" t="n">
        <v>0</v>
      </c>
      <c r="K468" t="n">
        <v>0</v>
      </c>
      <c r="L468" t="n">
        <v>0</v>
      </c>
      <c r="M468" t="n">
        <v>0</v>
      </c>
      <c r="N468" t="n">
        <v>0</v>
      </c>
      <c r="O468" t="n">
        <v>0</v>
      </c>
      <c r="P468" t="n">
        <v>0</v>
      </c>
      <c r="Q468" t="n">
        <v>0</v>
      </c>
      <c r="R468" s="2" t="inlineStr"/>
    </row>
    <row r="469" ht="15" customHeight="1">
      <c r="A469" t="inlineStr">
        <is>
          <t>A 31986-2023</t>
        </is>
      </c>
      <c r="B469" s="1" t="n">
        <v>45119</v>
      </c>
      <c r="C469" s="1" t="n">
        <v>46063</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37286-2025</t>
        </is>
      </c>
      <c r="B470" s="1" t="n">
        <v>45876.50116898148</v>
      </c>
      <c r="C470" s="1" t="n">
        <v>46063</v>
      </c>
      <c r="D470" t="inlineStr">
        <is>
          <t>SKÅNE LÄN</t>
        </is>
      </c>
      <c r="E470" t="inlineStr">
        <is>
          <t>HÄSSLEHOLM</t>
        </is>
      </c>
      <c r="G470" t="n">
        <v>2.9</v>
      </c>
      <c r="H470" t="n">
        <v>0</v>
      </c>
      <c r="I470" t="n">
        <v>0</v>
      </c>
      <c r="J470" t="n">
        <v>0</v>
      </c>
      <c r="K470" t="n">
        <v>0</v>
      </c>
      <c r="L470" t="n">
        <v>0</v>
      </c>
      <c r="M470" t="n">
        <v>0</v>
      </c>
      <c r="N470" t="n">
        <v>0</v>
      </c>
      <c r="O470" t="n">
        <v>0</v>
      </c>
      <c r="P470" t="n">
        <v>0</v>
      </c>
      <c r="Q470" t="n">
        <v>0</v>
      </c>
      <c r="R470" s="2" t="inlineStr"/>
    </row>
    <row r="471" ht="15" customHeight="1">
      <c r="A471" t="inlineStr">
        <is>
          <t>A 37271-2025</t>
        </is>
      </c>
      <c r="B471" s="1" t="n">
        <v>45876.47828703704</v>
      </c>
      <c r="C471" s="1" t="n">
        <v>46063</v>
      </c>
      <c r="D471" t="inlineStr">
        <is>
          <t>SKÅNE LÄN</t>
        </is>
      </c>
      <c r="E471" t="inlineStr">
        <is>
          <t>HÄSSLEHOLM</t>
        </is>
      </c>
      <c r="G471" t="n">
        <v>4.1</v>
      </c>
      <c r="H471" t="n">
        <v>0</v>
      </c>
      <c r="I471" t="n">
        <v>0</v>
      </c>
      <c r="J471" t="n">
        <v>0</v>
      </c>
      <c r="K471" t="n">
        <v>0</v>
      </c>
      <c r="L471" t="n">
        <v>0</v>
      </c>
      <c r="M471" t="n">
        <v>0</v>
      </c>
      <c r="N471" t="n">
        <v>0</v>
      </c>
      <c r="O471" t="n">
        <v>0</v>
      </c>
      <c r="P471" t="n">
        <v>0</v>
      </c>
      <c r="Q471" t="n">
        <v>0</v>
      </c>
      <c r="R471" s="2" t="inlineStr"/>
    </row>
    <row r="472" ht="15" customHeight="1">
      <c r="A472" t="inlineStr">
        <is>
          <t>A 41209-2023</t>
        </is>
      </c>
      <c r="B472" s="1" t="n">
        <v>45174.43481481481</v>
      </c>
      <c r="C472" s="1" t="n">
        <v>46063</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44624-2025</t>
        </is>
      </c>
      <c r="B473" s="1" t="n">
        <v>45917.47152777778</v>
      </c>
      <c r="C473" s="1" t="n">
        <v>46063</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61197-2024</t>
        </is>
      </c>
      <c r="B474" s="1" t="n">
        <v>45645.63184027778</v>
      </c>
      <c r="C474" s="1" t="n">
        <v>46063</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13549-2025</t>
        </is>
      </c>
      <c r="B475" s="1" t="n">
        <v>45736</v>
      </c>
      <c r="C475" s="1" t="n">
        <v>46063</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44611-2025</t>
        </is>
      </c>
      <c r="B476" s="1" t="n">
        <v>45917.45109953704</v>
      </c>
      <c r="C476" s="1" t="n">
        <v>46063</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35833-2023</t>
        </is>
      </c>
      <c r="B477" s="1" t="n">
        <v>45148</v>
      </c>
      <c r="C477" s="1" t="n">
        <v>46063</v>
      </c>
      <c r="D477" t="inlineStr">
        <is>
          <t>SKÅNE LÄN</t>
        </is>
      </c>
      <c r="E477" t="inlineStr">
        <is>
          <t>HÄSSLEHOLM</t>
        </is>
      </c>
      <c r="F477" t="inlineStr">
        <is>
          <t>Kommuner</t>
        </is>
      </c>
      <c r="G477" t="n">
        <v>2</v>
      </c>
      <c r="H477" t="n">
        <v>0</v>
      </c>
      <c r="I477" t="n">
        <v>0</v>
      </c>
      <c r="J477" t="n">
        <v>0</v>
      </c>
      <c r="K477" t="n">
        <v>0</v>
      </c>
      <c r="L477" t="n">
        <v>0</v>
      </c>
      <c r="M477" t="n">
        <v>0</v>
      </c>
      <c r="N477" t="n">
        <v>0</v>
      </c>
      <c r="O477" t="n">
        <v>0</v>
      </c>
      <c r="P477" t="n">
        <v>0</v>
      </c>
      <c r="Q477" t="n">
        <v>0</v>
      </c>
      <c r="R477" s="2" t="inlineStr"/>
    </row>
    <row r="478" ht="15" customHeight="1">
      <c r="A478" t="inlineStr">
        <is>
          <t>A 45084-2025</t>
        </is>
      </c>
      <c r="B478" s="1" t="n">
        <v>45918</v>
      </c>
      <c r="C478" s="1" t="n">
        <v>46063</v>
      </c>
      <c r="D478" t="inlineStr">
        <is>
          <t>SKÅNE LÄN</t>
        </is>
      </c>
      <c r="E478" t="inlineStr">
        <is>
          <t>HÄSSLEHOLM</t>
        </is>
      </c>
      <c r="G478" t="n">
        <v>1.4</v>
      </c>
      <c r="H478" t="n">
        <v>0</v>
      </c>
      <c r="I478" t="n">
        <v>0</v>
      </c>
      <c r="J478" t="n">
        <v>0</v>
      </c>
      <c r="K478" t="n">
        <v>0</v>
      </c>
      <c r="L478" t="n">
        <v>0</v>
      </c>
      <c r="M478" t="n">
        <v>0</v>
      </c>
      <c r="N478" t="n">
        <v>0</v>
      </c>
      <c r="O478" t="n">
        <v>0</v>
      </c>
      <c r="P478" t="n">
        <v>0</v>
      </c>
      <c r="Q478" t="n">
        <v>0</v>
      </c>
      <c r="R478" s="2" t="inlineStr"/>
    </row>
    <row r="479" ht="15" customHeight="1">
      <c r="A479" t="inlineStr">
        <is>
          <t>A 44616-2025</t>
        </is>
      </c>
      <c r="B479" s="1" t="n">
        <v>45917.45572916666</v>
      </c>
      <c r="C479" s="1" t="n">
        <v>46063</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32981-2025</t>
        </is>
      </c>
      <c r="B480" s="1" t="n">
        <v>45839.86820601852</v>
      </c>
      <c r="C480" s="1" t="n">
        <v>46063</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44614-2025</t>
        </is>
      </c>
      <c r="B481" s="1" t="n">
        <v>45917.45422453704</v>
      </c>
      <c r="C481" s="1" t="n">
        <v>46063</v>
      </c>
      <c r="D481" t="inlineStr">
        <is>
          <t>SKÅNE LÄN</t>
        </is>
      </c>
      <c r="E481" t="inlineStr">
        <is>
          <t>HÄSSLEHOLM</t>
        </is>
      </c>
      <c r="G481" t="n">
        <v>5.4</v>
      </c>
      <c r="H481" t="n">
        <v>0</v>
      </c>
      <c r="I481" t="n">
        <v>0</v>
      </c>
      <c r="J481" t="n">
        <v>0</v>
      </c>
      <c r="K481" t="n">
        <v>0</v>
      </c>
      <c r="L481" t="n">
        <v>0</v>
      </c>
      <c r="M481" t="n">
        <v>0</v>
      </c>
      <c r="N481" t="n">
        <v>0</v>
      </c>
      <c r="O481" t="n">
        <v>0</v>
      </c>
      <c r="P481" t="n">
        <v>0</v>
      </c>
      <c r="Q481" t="n">
        <v>0</v>
      </c>
      <c r="R481" s="2" t="inlineStr"/>
    </row>
    <row r="482" ht="15" customHeight="1">
      <c r="A482" t="inlineStr">
        <is>
          <t>A 18109-2025</t>
        </is>
      </c>
      <c r="B482" s="1" t="n">
        <v>45761</v>
      </c>
      <c r="C482" s="1" t="n">
        <v>46063</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57491-2024</t>
        </is>
      </c>
      <c r="B483" s="1" t="n">
        <v>45629</v>
      </c>
      <c r="C483" s="1" t="n">
        <v>46063</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16862-2025</t>
        </is>
      </c>
      <c r="B484" s="1" t="n">
        <v>45751</v>
      </c>
      <c r="C484" s="1" t="n">
        <v>46063</v>
      </c>
      <c r="D484" t="inlineStr">
        <is>
          <t>SKÅNE LÄN</t>
        </is>
      </c>
      <c r="E484" t="inlineStr">
        <is>
          <t>HÄSSLEHOLM</t>
        </is>
      </c>
      <c r="G484" t="n">
        <v>2.3</v>
      </c>
      <c r="H484" t="n">
        <v>0</v>
      </c>
      <c r="I484" t="n">
        <v>0</v>
      </c>
      <c r="J484" t="n">
        <v>0</v>
      </c>
      <c r="K484" t="n">
        <v>0</v>
      </c>
      <c r="L484" t="n">
        <v>0</v>
      </c>
      <c r="M484" t="n">
        <v>0</v>
      </c>
      <c r="N484" t="n">
        <v>0</v>
      </c>
      <c r="O484" t="n">
        <v>0</v>
      </c>
      <c r="P484" t="n">
        <v>0</v>
      </c>
      <c r="Q484" t="n">
        <v>0</v>
      </c>
      <c r="R484" s="2" t="inlineStr"/>
    </row>
    <row r="485" ht="15" customHeight="1">
      <c r="A485" t="inlineStr">
        <is>
          <t>A 45495-2025</t>
        </is>
      </c>
      <c r="B485" s="1" t="n">
        <v>45922.56369212963</v>
      </c>
      <c r="C485" s="1" t="n">
        <v>46063</v>
      </c>
      <c r="D485" t="inlineStr">
        <is>
          <t>SKÅNE LÄN</t>
        </is>
      </c>
      <c r="E485" t="inlineStr">
        <is>
          <t>HÄSSLEHOLM</t>
        </is>
      </c>
      <c r="G485" t="n">
        <v>1.8</v>
      </c>
      <c r="H485" t="n">
        <v>0</v>
      </c>
      <c r="I485" t="n">
        <v>0</v>
      </c>
      <c r="J485" t="n">
        <v>0</v>
      </c>
      <c r="K485" t="n">
        <v>0</v>
      </c>
      <c r="L485" t="n">
        <v>0</v>
      </c>
      <c r="M485" t="n">
        <v>0</v>
      </c>
      <c r="N485" t="n">
        <v>0</v>
      </c>
      <c r="O485" t="n">
        <v>0</v>
      </c>
      <c r="P485" t="n">
        <v>0</v>
      </c>
      <c r="Q485" t="n">
        <v>0</v>
      </c>
      <c r="R485" s="2" t="inlineStr"/>
    </row>
    <row r="486" ht="15" customHeight="1">
      <c r="A486" t="inlineStr">
        <is>
          <t>A 58250-2024</t>
        </is>
      </c>
      <c r="B486" s="1" t="n">
        <v>45632.55643518519</v>
      </c>
      <c r="C486" s="1" t="n">
        <v>46063</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45176-2025</t>
        </is>
      </c>
      <c r="B487" s="1" t="n">
        <v>45919.52307870371</v>
      </c>
      <c r="C487" s="1" t="n">
        <v>46063</v>
      </c>
      <c r="D487" t="inlineStr">
        <is>
          <t>SKÅNE LÄN</t>
        </is>
      </c>
      <c r="E487" t="inlineStr">
        <is>
          <t>HÄSSLEHOLM</t>
        </is>
      </c>
      <c r="G487" t="n">
        <v>2.6</v>
      </c>
      <c r="H487" t="n">
        <v>0</v>
      </c>
      <c r="I487" t="n">
        <v>0</v>
      </c>
      <c r="J487" t="n">
        <v>0</v>
      </c>
      <c r="K487" t="n">
        <v>0</v>
      </c>
      <c r="L487" t="n">
        <v>0</v>
      </c>
      <c r="M487" t="n">
        <v>0</v>
      </c>
      <c r="N487" t="n">
        <v>0</v>
      </c>
      <c r="O487" t="n">
        <v>0</v>
      </c>
      <c r="P487" t="n">
        <v>0</v>
      </c>
      <c r="Q487" t="n">
        <v>0</v>
      </c>
      <c r="R487" s="2" t="inlineStr"/>
    </row>
    <row r="488" ht="15" customHeight="1">
      <c r="A488" t="inlineStr">
        <is>
          <t>A 26207-2021</t>
        </is>
      </c>
      <c r="B488" s="1" t="n">
        <v>44347</v>
      </c>
      <c r="C488" s="1" t="n">
        <v>46063</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45273-2025</t>
        </is>
      </c>
      <c r="B489" s="1" t="n">
        <v>45919.70486111111</v>
      </c>
      <c r="C489" s="1" t="n">
        <v>46063</v>
      </c>
      <c r="D489" t="inlineStr">
        <is>
          <t>SKÅNE LÄN</t>
        </is>
      </c>
      <c r="E489" t="inlineStr">
        <is>
          <t>HÄSSLEHOLM</t>
        </is>
      </c>
      <c r="G489" t="n">
        <v>4.4</v>
      </c>
      <c r="H489" t="n">
        <v>0</v>
      </c>
      <c r="I489" t="n">
        <v>0</v>
      </c>
      <c r="J489" t="n">
        <v>0</v>
      </c>
      <c r="K489" t="n">
        <v>0</v>
      </c>
      <c r="L489" t="n">
        <v>0</v>
      </c>
      <c r="M489" t="n">
        <v>0</v>
      </c>
      <c r="N489" t="n">
        <v>0</v>
      </c>
      <c r="O489" t="n">
        <v>0</v>
      </c>
      <c r="P489" t="n">
        <v>0</v>
      </c>
      <c r="Q489" t="n">
        <v>0</v>
      </c>
      <c r="R489" s="2" t="inlineStr"/>
    </row>
    <row r="490" ht="15" customHeight="1">
      <c r="A490" t="inlineStr">
        <is>
          <t>A 45314-2025</t>
        </is>
      </c>
      <c r="B490" s="1" t="n">
        <v>45921.81738425926</v>
      </c>
      <c r="C490" s="1" t="n">
        <v>46063</v>
      </c>
      <c r="D490" t="inlineStr">
        <is>
          <t>SKÅNE LÄN</t>
        </is>
      </c>
      <c r="E490" t="inlineStr">
        <is>
          <t>HÄSSLEHOLM</t>
        </is>
      </c>
      <c r="G490" t="n">
        <v>2.4</v>
      </c>
      <c r="H490" t="n">
        <v>0</v>
      </c>
      <c r="I490" t="n">
        <v>0</v>
      </c>
      <c r="J490" t="n">
        <v>0</v>
      </c>
      <c r="K490" t="n">
        <v>0</v>
      </c>
      <c r="L490" t="n">
        <v>0</v>
      </c>
      <c r="M490" t="n">
        <v>0</v>
      </c>
      <c r="N490" t="n">
        <v>0</v>
      </c>
      <c r="O490" t="n">
        <v>0</v>
      </c>
      <c r="P490" t="n">
        <v>0</v>
      </c>
      <c r="Q490" t="n">
        <v>0</v>
      </c>
      <c r="R490" s="2" t="inlineStr"/>
    </row>
    <row r="491" ht="15" customHeight="1">
      <c r="A491" t="inlineStr">
        <is>
          <t>A 45516-2025</t>
        </is>
      </c>
      <c r="B491" s="1" t="n">
        <v>45922</v>
      </c>
      <c r="C491" s="1" t="n">
        <v>46063</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45514-2025</t>
        </is>
      </c>
      <c r="B492" s="1" t="n">
        <v>45922</v>
      </c>
      <c r="C492" s="1" t="n">
        <v>46063</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6798-2025</t>
        </is>
      </c>
      <c r="B493" s="1" t="n">
        <v>45700.668125</v>
      </c>
      <c r="C493" s="1" t="n">
        <v>46063</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45221-2025</t>
        </is>
      </c>
      <c r="B494" s="1" t="n">
        <v>45919.57760416667</v>
      </c>
      <c r="C494" s="1" t="n">
        <v>46063</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45414-2025</t>
        </is>
      </c>
      <c r="B495" s="1" t="n">
        <v>45920</v>
      </c>
      <c r="C495" s="1" t="n">
        <v>46063</v>
      </c>
      <c r="D495" t="inlineStr">
        <is>
          <t>SKÅNE LÄN</t>
        </is>
      </c>
      <c r="E495" t="inlineStr">
        <is>
          <t>HÄSSLEHOLM</t>
        </is>
      </c>
      <c r="G495" t="n">
        <v>14.7</v>
      </c>
      <c r="H495" t="n">
        <v>0</v>
      </c>
      <c r="I495" t="n">
        <v>0</v>
      </c>
      <c r="J495" t="n">
        <v>0</v>
      </c>
      <c r="K495" t="n">
        <v>0</v>
      </c>
      <c r="L495" t="n">
        <v>0</v>
      </c>
      <c r="M495" t="n">
        <v>0</v>
      </c>
      <c r="N495" t="n">
        <v>0</v>
      </c>
      <c r="O495" t="n">
        <v>0</v>
      </c>
      <c r="P495" t="n">
        <v>0</v>
      </c>
      <c r="Q495" t="n">
        <v>0</v>
      </c>
      <c r="R495" s="2" t="inlineStr"/>
    </row>
    <row r="496" ht="15" customHeight="1">
      <c r="A496" t="inlineStr">
        <is>
          <t>A 69357-2021</t>
        </is>
      </c>
      <c r="B496" s="1" t="n">
        <v>44531</v>
      </c>
      <c r="C496" s="1" t="n">
        <v>46063</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45443-2025</t>
        </is>
      </c>
      <c r="B497" s="1" t="n">
        <v>45920</v>
      </c>
      <c r="C497" s="1" t="n">
        <v>46063</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45496-2025</t>
        </is>
      </c>
      <c r="B498" s="1" t="n">
        <v>45922</v>
      </c>
      <c r="C498" s="1" t="n">
        <v>46063</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45458-2025</t>
        </is>
      </c>
      <c r="B499" s="1" t="n">
        <v>45920</v>
      </c>
      <c r="C499" s="1" t="n">
        <v>46063</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45465-2025</t>
        </is>
      </c>
      <c r="B500" s="1" t="n">
        <v>45920</v>
      </c>
      <c r="C500" s="1" t="n">
        <v>46063</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9678-2025</t>
        </is>
      </c>
      <c r="B501" s="1" t="n">
        <v>45716</v>
      </c>
      <c r="C501" s="1" t="n">
        <v>46063</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45683-2025</t>
        </is>
      </c>
      <c r="B502" s="1" t="n">
        <v>45923.37590277778</v>
      </c>
      <c r="C502" s="1" t="n">
        <v>46063</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37898-2021</t>
        </is>
      </c>
      <c r="B503" s="1" t="n">
        <v>44403</v>
      </c>
      <c r="C503" s="1" t="n">
        <v>46063</v>
      </c>
      <c r="D503" t="inlineStr">
        <is>
          <t>SKÅNE LÄN</t>
        </is>
      </c>
      <c r="E503" t="inlineStr">
        <is>
          <t>HÄSSLEHOLM</t>
        </is>
      </c>
      <c r="F503" t="inlineStr">
        <is>
          <t>Kommuner</t>
        </is>
      </c>
      <c r="G503" t="n">
        <v>8.4</v>
      </c>
      <c r="H503" t="n">
        <v>0</v>
      </c>
      <c r="I503" t="n">
        <v>0</v>
      </c>
      <c r="J503" t="n">
        <v>0</v>
      </c>
      <c r="K503" t="n">
        <v>0</v>
      </c>
      <c r="L503" t="n">
        <v>0</v>
      </c>
      <c r="M503" t="n">
        <v>0</v>
      </c>
      <c r="N503" t="n">
        <v>0</v>
      </c>
      <c r="O503" t="n">
        <v>0</v>
      </c>
      <c r="P503" t="n">
        <v>0</v>
      </c>
      <c r="Q503" t="n">
        <v>0</v>
      </c>
      <c r="R503" s="2" t="inlineStr"/>
    </row>
    <row r="504" ht="15" customHeight="1">
      <c r="A504" t="inlineStr">
        <is>
          <t>A 35810-2023</t>
        </is>
      </c>
      <c r="B504" s="1" t="n">
        <v>45148.44046296296</v>
      </c>
      <c r="C504" s="1" t="n">
        <v>46063</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23172-2022</t>
        </is>
      </c>
      <c r="B505" s="1" t="n">
        <v>44719</v>
      </c>
      <c r="C505" s="1" t="n">
        <v>46063</v>
      </c>
      <c r="D505" t="inlineStr">
        <is>
          <t>SKÅNE LÄN</t>
        </is>
      </c>
      <c r="E505" t="inlineStr">
        <is>
          <t>HÄSSLEHOLM</t>
        </is>
      </c>
      <c r="F505" t="inlineStr">
        <is>
          <t>Övriga Aktiebolag</t>
        </is>
      </c>
      <c r="G505" t="n">
        <v>0.9</v>
      </c>
      <c r="H505" t="n">
        <v>0</v>
      </c>
      <c r="I505" t="n">
        <v>0</v>
      </c>
      <c r="J505" t="n">
        <v>0</v>
      </c>
      <c r="K505" t="n">
        <v>0</v>
      </c>
      <c r="L505" t="n">
        <v>0</v>
      </c>
      <c r="M505" t="n">
        <v>0</v>
      </c>
      <c r="N505" t="n">
        <v>0</v>
      </c>
      <c r="O505" t="n">
        <v>0</v>
      </c>
      <c r="P505" t="n">
        <v>0</v>
      </c>
      <c r="Q505" t="n">
        <v>0</v>
      </c>
      <c r="R505" s="2" t="inlineStr"/>
    </row>
    <row r="506" ht="15" customHeight="1">
      <c r="A506" t="inlineStr">
        <is>
          <t>A 23173-2022</t>
        </is>
      </c>
      <c r="B506" s="1" t="n">
        <v>44719.72155092593</v>
      </c>
      <c r="C506" s="1" t="n">
        <v>46063</v>
      </c>
      <c r="D506" t="inlineStr">
        <is>
          <t>SKÅNE LÄN</t>
        </is>
      </c>
      <c r="E506" t="inlineStr">
        <is>
          <t>HÄSSLEHOLM</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11121-2023</t>
        </is>
      </c>
      <c r="B507" s="1" t="n">
        <v>44986</v>
      </c>
      <c r="C507" s="1" t="n">
        <v>46063</v>
      </c>
      <c r="D507" t="inlineStr">
        <is>
          <t>SKÅNE LÄN</t>
        </is>
      </c>
      <c r="E507" t="inlineStr">
        <is>
          <t>HÄSSLEHOLM</t>
        </is>
      </c>
      <c r="F507" t="inlineStr">
        <is>
          <t>Kommuner</t>
        </is>
      </c>
      <c r="G507" t="n">
        <v>5.8</v>
      </c>
      <c r="H507" t="n">
        <v>0</v>
      </c>
      <c r="I507" t="n">
        <v>0</v>
      </c>
      <c r="J507" t="n">
        <v>0</v>
      </c>
      <c r="K507" t="n">
        <v>0</v>
      </c>
      <c r="L507" t="n">
        <v>0</v>
      </c>
      <c r="M507" t="n">
        <v>0</v>
      </c>
      <c r="N507" t="n">
        <v>0</v>
      </c>
      <c r="O507" t="n">
        <v>0</v>
      </c>
      <c r="P507" t="n">
        <v>0</v>
      </c>
      <c r="Q507" t="n">
        <v>0</v>
      </c>
      <c r="R507" s="2" t="inlineStr"/>
    </row>
    <row r="508" ht="15" customHeight="1">
      <c r="A508" t="inlineStr">
        <is>
          <t>A 52608-2023</t>
        </is>
      </c>
      <c r="B508" s="1" t="n">
        <v>45219</v>
      </c>
      <c r="C508" s="1" t="n">
        <v>46063</v>
      </c>
      <c r="D508" t="inlineStr">
        <is>
          <t>SKÅNE LÄN</t>
        </is>
      </c>
      <c r="E508" t="inlineStr">
        <is>
          <t>HÄSSLEHOLM</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45763-2025</t>
        </is>
      </c>
      <c r="B509" s="1" t="n">
        <v>45923.51778935185</v>
      </c>
      <c r="C509" s="1" t="n">
        <v>46063</v>
      </c>
      <c r="D509" t="inlineStr">
        <is>
          <t>SKÅNE LÄN</t>
        </is>
      </c>
      <c r="E509" t="inlineStr">
        <is>
          <t>HÄSSLEHOLM</t>
        </is>
      </c>
      <c r="G509" t="n">
        <v>4.8</v>
      </c>
      <c r="H509" t="n">
        <v>0</v>
      </c>
      <c r="I509" t="n">
        <v>0</v>
      </c>
      <c r="J509" t="n">
        <v>0</v>
      </c>
      <c r="K509" t="n">
        <v>0</v>
      </c>
      <c r="L509" t="n">
        <v>0</v>
      </c>
      <c r="M509" t="n">
        <v>0</v>
      </c>
      <c r="N509" t="n">
        <v>0</v>
      </c>
      <c r="O509" t="n">
        <v>0</v>
      </c>
      <c r="P509" t="n">
        <v>0</v>
      </c>
      <c r="Q509" t="n">
        <v>0</v>
      </c>
      <c r="R509" s="2" t="inlineStr"/>
    </row>
    <row r="510" ht="15" customHeight="1">
      <c r="A510" t="inlineStr">
        <is>
          <t>A 45764-2025</t>
        </is>
      </c>
      <c r="B510" s="1" t="n">
        <v>45923.52037037037</v>
      </c>
      <c r="C510" s="1" t="n">
        <v>46063</v>
      </c>
      <c r="D510" t="inlineStr">
        <is>
          <t>SKÅNE LÄN</t>
        </is>
      </c>
      <c r="E510" t="inlineStr">
        <is>
          <t>HÄSSLEHOLM</t>
        </is>
      </c>
      <c r="G510" t="n">
        <v>6.3</v>
      </c>
      <c r="H510" t="n">
        <v>0</v>
      </c>
      <c r="I510" t="n">
        <v>0</v>
      </c>
      <c r="J510" t="n">
        <v>0</v>
      </c>
      <c r="K510" t="n">
        <v>0</v>
      </c>
      <c r="L510" t="n">
        <v>0</v>
      </c>
      <c r="M510" t="n">
        <v>0</v>
      </c>
      <c r="N510" t="n">
        <v>0</v>
      </c>
      <c r="O510" t="n">
        <v>0</v>
      </c>
      <c r="P510" t="n">
        <v>0</v>
      </c>
      <c r="Q510" t="n">
        <v>0</v>
      </c>
      <c r="R510" s="2" t="inlineStr"/>
    </row>
    <row r="511" ht="15" customHeight="1">
      <c r="A511" t="inlineStr">
        <is>
          <t>A 8239-2025</t>
        </is>
      </c>
      <c r="B511" s="1" t="n">
        <v>45708.47984953703</v>
      </c>
      <c r="C511" s="1" t="n">
        <v>46063</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11116-2023</t>
        </is>
      </c>
      <c r="B512" s="1" t="n">
        <v>44986</v>
      </c>
      <c r="C512" s="1" t="n">
        <v>46063</v>
      </c>
      <c r="D512" t="inlineStr">
        <is>
          <t>SKÅNE LÄN</t>
        </is>
      </c>
      <c r="E512" t="inlineStr">
        <is>
          <t>HÄSSLEHOLM</t>
        </is>
      </c>
      <c r="F512" t="inlineStr">
        <is>
          <t>Kommuner</t>
        </is>
      </c>
      <c r="G512" t="n">
        <v>15.1</v>
      </c>
      <c r="H512" t="n">
        <v>0</v>
      </c>
      <c r="I512" t="n">
        <v>0</v>
      </c>
      <c r="J512" t="n">
        <v>0</v>
      </c>
      <c r="K512" t="n">
        <v>0</v>
      </c>
      <c r="L512" t="n">
        <v>0</v>
      </c>
      <c r="M512" t="n">
        <v>0</v>
      </c>
      <c r="N512" t="n">
        <v>0</v>
      </c>
      <c r="O512" t="n">
        <v>0</v>
      </c>
      <c r="P512" t="n">
        <v>0</v>
      </c>
      <c r="Q512" t="n">
        <v>0</v>
      </c>
      <c r="R512" s="2" t="inlineStr"/>
    </row>
    <row r="513" ht="15" customHeight="1">
      <c r="A513" t="inlineStr">
        <is>
          <t>A 56355-2023</t>
        </is>
      </c>
      <c r="B513" s="1" t="n">
        <v>45243.3702662037</v>
      </c>
      <c r="C513" s="1" t="n">
        <v>46063</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45762-2025</t>
        </is>
      </c>
      <c r="B514" s="1" t="n">
        <v>45923.51548611111</v>
      </c>
      <c r="C514" s="1" t="n">
        <v>46063</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9668-2025</t>
        </is>
      </c>
      <c r="B515" s="1" t="n">
        <v>45716</v>
      </c>
      <c r="C515" s="1" t="n">
        <v>46063</v>
      </c>
      <c r="D515" t="inlineStr">
        <is>
          <t>SKÅNE LÄN</t>
        </is>
      </c>
      <c r="E515" t="inlineStr">
        <is>
          <t>HÄSSLEHOLM</t>
        </is>
      </c>
      <c r="G515" t="n">
        <v>1.2</v>
      </c>
      <c r="H515" t="n">
        <v>0</v>
      </c>
      <c r="I515" t="n">
        <v>0</v>
      </c>
      <c r="J515" t="n">
        <v>0</v>
      </c>
      <c r="K515" t="n">
        <v>0</v>
      </c>
      <c r="L515" t="n">
        <v>0</v>
      </c>
      <c r="M515" t="n">
        <v>0</v>
      </c>
      <c r="N515" t="n">
        <v>0</v>
      </c>
      <c r="O515" t="n">
        <v>0</v>
      </c>
      <c r="P515" t="n">
        <v>0</v>
      </c>
      <c r="Q515" t="n">
        <v>0</v>
      </c>
      <c r="R515" s="2" t="inlineStr"/>
    </row>
    <row r="516" ht="15" customHeight="1">
      <c r="A516" t="inlineStr">
        <is>
          <t>A 9394-2025</t>
        </is>
      </c>
      <c r="B516" s="1" t="n">
        <v>45715.36387731481</v>
      </c>
      <c r="C516" s="1" t="n">
        <v>46063</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7305-2025</t>
        </is>
      </c>
      <c r="B517" s="1" t="n">
        <v>45702</v>
      </c>
      <c r="C517" s="1" t="n">
        <v>46063</v>
      </c>
      <c r="D517" t="inlineStr">
        <is>
          <t>SKÅNE LÄN</t>
        </is>
      </c>
      <c r="E517" t="inlineStr">
        <is>
          <t>HÄSSLEHOLM</t>
        </is>
      </c>
      <c r="F517" t="inlineStr">
        <is>
          <t>Övriga Aktiebolag</t>
        </is>
      </c>
      <c r="G517" t="n">
        <v>2.2</v>
      </c>
      <c r="H517" t="n">
        <v>0</v>
      </c>
      <c r="I517" t="n">
        <v>0</v>
      </c>
      <c r="J517" t="n">
        <v>0</v>
      </c>
      <c r="K517" t="n">
        <v>0</v>
      </c>
      <c r="L517" t="n">
        <v>0</v>
      </c>
      <c r="M517" t="n">
        <v>0</v>
      </c>
      <c r="N517" t="n">
        <v>0</v>
      </c>
      <c r="O517" t="n">
        <v>0</v>
      </c>
      <c r="P517" t="n">
        <v>0</v>
      </c>
      <c r="Q517" t="n">
        <v>0</v>
      </c>
      <c r="R517" s="2" t="inlineStr"/>
    </row>
    <row r="518" ht="15" customHeight="1">
      <c r="A518" t="inlineStr">
        <is>
          <t>A 1557-2023</t>
        </is>
      </c>
      <c r="B518" s="1" t="n">
        <v>44937</v>
      </c>
      <c r="C518" s="1" t="n">
        <v>46063</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52341-2023</t>
        </is>
      </c>
      <c r="B519" s="1" t="n">
        <v>45224.67006944444</v>
      </c>
      <c r="C519" s="1" t="n">
        <v>46063</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27173-2024</t>
        </is>
      </c>
      <c r="B520" s="1" t="n">
        <v>45471.57048611111</v>
      </c>
      <c r="C520" s="1" t="n">
        <v>46063</v>
      </c>
      <c r="D520" t="inlineStr">
        <is>
          <t>SKÅNE LÄN</t>
        </is>
      </c>
      <c r="E520" t="inlineStr">
        <is>
          <t>HÄSSLEHOLM</t>
        </is>
      </c>
      <c r="G520" t="n">
        <v>1.8</v>
      </c>
      <c r="H520" t="n">
        <v>0</v>
      </c>
      <c r="I520" t="n">
        <v>0</v>
      </c>
      <c r="J520" t="n">
        <v>0</v>
      </c>
      <c r="K520" t="n">
        <v>0</v>
      </c>
      <c r="L520" t="n">
        <v>0</v>
      </c>
      <c r="M520" t="n">
        <v>0</v>
      </c>
      <c r="N520" t="n">
        <v>0</v>
      </c>
      <c r="O520" t="n">
        <v>0</v>
      </c>
      <c r="P520" t="n">
        <v>0</v>
      </c>
      <c r="Q520" t="n">
        <v>0</v>
      </c>
      <c r="R520" s="2" t="inlineStr"/>
    </row>
    <row r="521" ht="15" customHeight="1">
      <c r="A521" t="inlineStr">
        <is>
          <t>A 15800-2025</t>
        </is>
      </c>
      <c r="B521" s="1" t="n">
        <v>45748.64831018518</v>
      </c>
      <c r="C521" s="1" t="n">
        <v>46063</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40780-2022</t>
        </is>
      </c>
      <c r="B522" s="1" t="n">
        <v>44820</v>
      </c>
      <c r="C522" s="1" t="n">
        <v>46063</v>
      </c>
      <c r="D522" t="inlineStr">
        <is>
          <t>SKÅNE LÄN</t>
        </is>
      </c>
      <c r="E522" t="inlineStr">
        <is>
          <t>HÄSSLEHOLM</t>
        </is>
      </c>
      <c r="G522" t="n">
        <v>7.4</v>
      </c>
      <c r="H522" t="n">
        <v>0</v>
      </c>
      <c r="I522" t="n">
        <v>0</v>
      </c>
      <c r="J522" t="n">
        <v>0</v>
      </c>
      <c r="K522" t="n">
        <v>0</v>
      </c>
      <c r="L522" t="n">
        <v>0</v>
      </c>
      <c r="M522" t="n">
        <v>0</v>
      </c>
      <c r="N522" t="n">
        <v>0</v>
      </c>
      <c r="O522" t="n">
        <v>0</v>
      </c>
      <c r="P522" t="n">
        <v>0</v>
      </c>
      <c r="Q522" t="n">
        <v>0</v>
      </c>
      <c r="R522" s="2" t="inlineStr"/>
    </row>
    <row r="523" ht="15" customHeight="1">
      <c r="A523" t="inlineStr">
        <is>
          <t>A 51245-2023</t>
        </is>
      </c>
      <c r="B523" s="1" t="n">
        <v>45212</v>
      </c>
      <c r="C523" s="1" t="n">
        <v>46063</v>
      </c>
      <c r="D523" t="inlineStr">
        <is>
          <t>SKÅNE LÄN</t>
        </is>
      </c>
      <c r="E523" t="inlineStr">
        <is>
          <t>HÄSSLEHOLM</t>
        </is>
      </c>
      <c r="G523" t="n">
        <v>2.1</v>
      </c>
      <c r="H523" t="n">
        <v>0</v>
      </c>
      <c r="I523" t="n">
        <v>0</v>
      </c>
      <c r="J523" t="n">
        <v>0</v>
      </c>
      <c r="K523" t="n">
        <v>0</v>
      </c>
      <c r="L523" t="n">
        <v>0</v>
      </c>
      <c r="M523" t="n">
        <v>0</v>
      </c>
      <c r="N523" t="n">
        <v>0</v>
      </c>
      <c r="O523" t="n">
        <v>0</v>
      </c>
      <c r="P523" t="n">
        <v>0</v>
      </c>
      <c r="Q523" t="n">
        <v>0</v>
      </c>
      <c r="R523" s="2" t="inlineStr"/>
    </row>
    <row r="524" ht="15" customHeight="1">
      <c r="A524" t="inlineStr">
        <is>
          <t>A 46605-2025</t>
        </is>
      </c>
      <c r="B524" s="1" t="n">
        <v>45926.41214120371</v>
      </c>
      <c r="C524" s="1" t="n">
        <v>46063</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46761-2025</t>
        </is>
      </c>
      <c r="B525" s="1" t="n">
        <v>45926.62289351852</v>
      </c>
      <c r="C525" s="1" t="n">
        <v>46063</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46786-2025</t>
        </is>
      </c>
      <c r="B526" s="1" t="n">
        <v>45926.64484953704</v>
      </c>
      <c r="C526" s="1" t="n">
        <v>46063</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47259-2025</t>
        </is>
      </c>
      <c r="B527" s="1" t="n">
        <v>45930</v>
      </c>
      <c r="C527" s="1" t="n">
        <v>46063</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48747-2022</t>
        </is>
      </c>
      <c r="B528" s="1" t="n">
        <v>44859</v>
      </c>
      <c r="C528" s="1" t="n">
        <v>46063</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7153-2025</t>
        </is>
      </c>
      <c r="B529" s="1" t="n">
        <v>45702.38512731482</v>
      </c>
      <c r="C529" s="1" t="n">
        <v>46063</v>
      </c>
      <c r="D529" t="inlineStr">
        <is>
          <t>SKÅNE LÄN</t>
        </is>
      </c>
      <c r="E529" t="inlineStr">
        <is>
          <t>HÄSSLEHOLM</t>
        </is>
      </c>
      <c r="G529" t="n">
        <v>2.7</v>
      </c>
      <c r="H529" t="n">
        <v>0</v>
      </c>
      <c r="I529" t="n">
        <v>0</v>
      </c>
      <c r="J529" t="n">
        <v>0</v>
      </c>
      <c r="K529" t="n">
        <v>0</v>
      </c>
      <c r="L529" t="n">
        <v>0</v>
      </c>
      <c r="M529" t="n">
        <v>0</v>
      </c>
      <c r="N529" t="n">
        <v>0</v>
      </c>
      <c r="O529" t="n">
        <v>0</v>
      </c>
      <c r="P529" t="n">
        <v>0</v>
      </c>
      <c r="Q529" t="n">
        <v>0</v>
      </c>
      <c r="R529" s="2" t="inlineStr"/>
    </row>
    <row r="530" ht="15" customHeight="1">
      <c r="A530" t="inlineStr">
        <is>
          <t>A 47473-2025</t>
        </is>
      </c>
      <c r="B530" s="1" t="n">
        <v>45930.67763888889</v>
      </c>
      <c r="C530" s="1" t="n">
        <v>46063</v>
      </c>
      <c r="D530" t="inlineStr">
        <is>
          <t>SKÅNE LÄN</t>
        </is>
      </c>
      <c r="E530" t="inlineStr">
        <is>
          <t>HÄSSLEHOLM</t>
        </is>
      </c>
      <c r="G530" t="n">
        <v>4.7</v>
      </c>
      <c r="H530" t="n">
        <v>0</v>
      </c>
      <c r="I530" t="n">
        <v>0</v>
      </c>
      <c r="J530" t="n">
        <v>0</v>
      </c>
      <c r="K530" t="n">
        <v>0</v>
      </c>
      <c r="L530" t="n">
        <v>0</v>
      </c>
      <c r="M530" t="n">
        <v>0</v>
      </c>
      <c r="N530" t="n">
        <v>0</v>
      </c>
      <c r="O530" t="n">
        <v>0</v>
      </c>
      <c r="P530" t="n">
        <v>0</v>
      </c>
      <c r="Q530" t="n">
        <v>0</v>
      </c>
      <c r="R530" s="2" t="inlineStr"/>
    </row>
    <row r="531" ht="15" customHeight="1">
      <c r="A531" t="inlineStr">
        <is>
          <t>A 46855-2025</t>
        </is>
      </c>
      <c r="B531" s="1" t="n">
        <v>45928.88497685185</v>
      </c>
      <c r="C531" s="1" t="n">
        <v>46063</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7581-2023</t>
        </is>
      </c>
      <c r="B532" s="1" t="n">
        <v>44972.39556712963</v>
      </c>
      <c r="C532" s="1" t="n">
        <v>46063</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47466-2025</t>
        </is>
      </c>
      <c r="B533" s="1" t="n">
        <v>45930.66677083333</v>
      </c>
      <c r="C533" s="1" t="n">
        <v>46063</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21141-2024</t>
        </is>
      </c>
      <c r="B534" s="1" t="n">
        <v>45440.39012731481</v>
      </c>
      <c r="C534" s="1" t="n">
        <v>46063</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11603-2025</t>
        </is>
      </c>
      <c r="B535" s="1" t="n">
        <v>45727</v>
      </c>
      <c r="C535" s="1" t="n">
        <v>46063</v>
      </c>
      <c r="D535" t="inlineStr">
        <is>
          <t>SKÅNE LÄN</t>
        </is>
      </c>
      <c r="E535" t="inlineStr">
        <is>
          <t>HÄSSLEHOLM</t>
        </is>
      </c>
      <c r="G535" t="n">
        <v>5.6</v>
      </c>
      <c r="H535" t="n">
        <v>0</v>
      </c>
      <c r="I535" t="n">
        <v>0</v>
      </c>
      <c r="J535" t="n">
        <v>0</v>
      </c>
      <c r="K535" t="n">
        <v>0</v>
      </c>
      <c r="L535" t="n">
        <v>0</v>
      </c>
      <c r="M535" t="n">
        <v>0</v>
      </c>
      <c r="N535" t="n">
        <v>0</v>
      </c>
      <c r="O535" t="n">
        <v>0</v>
      </c>
      <c r="P535" t="n">
        <v>0</v>
      </c>
      <c r="Q535" t="n">
        <v>0</v>
      </c>
      <c r="R535" s="2" t="inlineStr"/>
    </row>
    <row r="536" ht="15" customHeight="1">
      <c r="A536" t="inlineStr">
        <is>
          <t>A 47126-2025</t>
        </is>
      </c>
      <c r="B536" s="1" t="n">
        <v>45929.685625</v>
      </c>
      <c r="C536" s="1" t="n">
        <v>46063</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47127-2025</t>
        </is>
      </c>
      <c r="B537" s="1" t="n">
        <v>45929.6893287037</v>
      </c>
      <c r="C537" s="1" t="n">
        <v>46063</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13712-2025</t>
        </is>
      </c>
      <c r="B538" s="1" t="n">
        <v>45737</v>
      </c>
      <c r="C538" s="1" t="n">
        <v>46063</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46288-2023</t>
        </is>
      </c>
      <c r="B539" s="1" t="n">
        <v>45197.30221064815</v>
      </c>
      <c r="C539" s="1" t="n">
        <v>46063</v>
      </c>
      <c r="D539" t="inlineStr">
        <is>
          <t>SKÅNE LÄN</t>
        </is>
      </c>
      <c r="E539" t="inlineStr">
        <is>
          <t>HÄSSLEHOLM</t>
        </is>
      </c>
      <c r="G539" t="n">
        <v>3</v>
      </c>
      <c r="H539" t="n">
        <v>0</v>
      </c>
      <c r="I539" t="n">
        <v>0</v>
      </c>
      <c r="J539" t="n">
        <v>0</v>
      </c>
      <c r="K539" t="n">
        <v>0</v>
      </c>
      <c r="L539" t="n">
        <v>0</v>
      </c>
      <c r="M539" t="n">
        <v>0</v>
      </c>
      <c r="N539" t="n">
        <v>0</v>
      </c>
      <c r="O539" t="n">
        <v>0</v>
      </c>
      <c r="P539" t="n">
        <v>0</v>
      </c>
      <c r="Q539" t="n">
        <v>0</v>
      </c>
      <c r="R539" s="2" t="inlineStr"/>
    </row>
    <row r="540" ht="15" customHeight="1">
      <c r="A540" t="inlineStr">
        <is>
          <t>A 1560-2023</t>
        </is>
      </c>
      <c r="B540" s="1" t="n">
        <v>44937</v>
      </c>
      <c r="C540" s="1" t="n">
        <v>46063</v>
      </c>
      <c r="D540" t="inlineStr">
        <is>
          <t>SKÅNE LÄN</t>
        </is>
      </c>
      <c r="E540" t="inlineStr">
        <is>
          <t>HÄSSLEHOLM</t>
        </is>
      </c>
      <c r="G540" t="n">
        <v>6.8</v>
      </c>
      <c r="H540" t="n">
        <v>0</v>
      </c>
      <c r="I540" t="n">
        <v>0</v>
      </c>
      <c r="J540" t="n">
        <v>0</v>
      </c>
      <c r="K540" t="n">
        <v>0</v>
      </c>
      <c r="L540" t="n">
        <v>0</v>
      </c>
      <c r="M540" t="n">
        <v>0</v>
      </c>
      <c r="N540" t="n">
        <v>0</v>
      </c>
      <c r="O540" t="n">
        <v>0</v>
      </c>
      <c r="P540" t="n">
        <v>0</v>
      </c>
      <c r="Q540" t="n">
        <v>0</v>
      </c>
      <c r="R540" s="2" t="inlineStr"/>
    </row>
    <row r="541" ht="15" customHeight="1">
      <c r="A541" t="inlineStr">
        <is>
          <t>A 57967-2023</t>
        </is>
      </c>
      <c r="B541" s="1" t="n">
        <v>45247.57984953704</v>
      </c>
      <c r="C541" s="1" t="n">
        <v>46063</v>
      </c>
      <c r="D541" t="inlineStr">
        <is>
          <t>SKÅNE LÄN</t>
        </is>
      </c>
      <c r="E541" t="inlineStr">
        <is>
          <t>HÄSSLEHOLM</t>
        </is>
      </c>
      <c r="G541" t="n">
        <v>8.6</v>
      </c>
      <c r="H541" t="n">
        <v>0</v>
      </c>
      <c r="I541" t="n">
        <v>0</v>
      </c>
      <c r="J541" t="n">
        <v>0</v>
      </c>
      <c r="K541" t="n">
        <v>0</v>
      </c>
      <c r="L541" t="n">
        <v>0</v>
      </c>
      <c r="M541" t="n">
        <v>0</v>
      </c>
      <c r="N541" t="n">
        <v>0</v>
      </c>
      <c r="O541" t="n">
        <v>0</v>
      </c>
      <c r="P541" t="n">
        <v>0</v>
      </c>
      <c r="Q541" t="n">
        <v>0</v>
      </c>
      <c r="R541" s="2" t="inlineStr"/>
    </row>
    <row r="542" ht="15" customHeight="1">
      <c r="A542" t="inlineStr">
        <is>
          <t>A 19744-2023</t>
        </is>
      </c>
      <c r="B542" s="1" t="n">
        <v>45051</v>
      </c>
      <c r="C542" s="1" t="n">
        <v>46063</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25726-2025</t>
        </is>
      </c>
      <c r="B543" s="1" t="n">
        <v>45803</v>
      </c>
      <c r="C543" s="1" t="n">
        <v>46063</v>
      </c>
      <c r="D543" t="inlineStr">
        <is>
          <t>SKÅNE LÄN</t>
        </is>
      </c>
      <c r="E543" t="inlineStr">
        <is>
          <t>HÄSSLEHOLM</t>
        </is>
      </c>
      <c r="G543" t="n">
        <v>5.5</v>
      </c>
      <c r="H543" t="n">
        <v>0</v>
      </c>
      <c r="I543" t="n">
        <v>0</v>
      </c>
      <c r="J543" t="n">
        <v>0</v>
      </c>
      <c r="K543" t="n">
        <v>0</v>
      </c>
      <c r="L543" t="n">
        <v>0</v>
      </c>
      <c r="M543" t="n">
        <v>0</v>
      </c>
      <c r="N543" t="n">
        <v>0</v>
      </c>
      <c r="O543" t="n">
        <v>0</v>
      </c>
      <c r="P543" t="n">
        <v>0</v>
      </c>
      <c r="Q543" t="n">
        <v>0</v>
      </c>
      <c r="R543" s="2" t="inlineStr"/>
    </row>
    <row r="544" ht="15" customHeight="1">
      <c r="A544" t="inlineStr">
        <is>
          <t>A 15990-2023</t>
        </is>
      </c>
      <c r="B544" s="1" t="n">
        <v>45023.39584490741</v>
      </c>
      <c r="C544" s="1" t="n">
        <v>46063</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47907-2021</t>
        </is>
      </c>
      <c r="B545" s="1" t="n">
        <v>44448</v>
      </c>
      <c r="C545" s="1" t="n">
        <v>46063</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7513-2025</t>
        </is>
      </c>
      <c r="B546" s="1" t="n">
        <v>45702</v>
      </c>
      <c r="C546" s="1" t="n">
        <v>46063</v>
      </c>
      <c r="D546" t="inlineStr">
        <is>
          <t>SKÅNE LÄN</t>
        </is>
      </c>
      <c r="E546" t="inlineStr">
        <is>
          <t>HÄSSLEHOLM</t>
        </is>
      </c>
      <c r="F546" t="inlineStr">
        <is>
          <t>Övriga Aktiebolag</t>
        </is>
      </c>
      <c r="G546" t="n">
        <v>2.4</v>
      </c>
      <c r="H546" t="n">
        <v>0</v>
      </c>
      <c r="I546" t="n">
        <v>0</v>
      </c>
      <c r="J546" t="n">
        <v>0</v>
      </c>
      <c r="K546" t="n">
        <v>0</v>
      </c>
      <c r="L546" t="n">
        <v>0</v>
      </c>
      <c r="M546" t="n">
        <v>0</v>
      </c>
      <c r="N546" t="n">
        <v>0</v>
      </c>
      <c r="O546" t="n">
        <v>0</v>
      </c>
      <c r="P546" t="n">
        <v>0</v>
      </c>
      <c r="Q546" t="n">
        <v>0</v>
      </c>
      <c r="R546" s="2" t="inlineStr"/>
    </row>
    <row r="547" ht="15" customHeight="1">
      <c r="A547" t="inlineStr">
        <is>
          <t>A 45400-2022</t>
        </is>
      </c>
      <c r="B547" s="1" t="n">
        <v>44844.713125</v>
      </c>
      <c r="C547" s="1" t="n">
        <v>46063</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54874-2022</t>
        </is>
      </c>
      <c r="B548" s="1" t="n">
        <v>44881</v>
      </c>
      <c r="C548" s="1" t="n">
        <v>46063</v>
      </c>
      <c r="D548" t="inlineStr">
        <is>
          <t>SKÅNE LÄN</t>
        </is>
      </c>
      <c r="E548" t="inlineStr">
        <is>
          <t>HÄSSLEHOLM</t>
        </is>
      </c>
      <c r="G548" t="n">
        <v>8.1</v>
      </c>
      <c r="H548" t="n">
        <v>0</v>
      </c>
      <c r="I548" t="n">
        <v>0</v>
      </c>
      <c r="J548" t="n">
        <v>0</v>
      </c>
      <c r="K548" t="n">
        <v>0</v>
      </c>
      <c r="L548" t="n">
        <v>0</v>
      </c>
      <c r="M548" t="n">
        <v>0</v>
      </c>
      <c r="N548" t="n">
        <v>0</v>
      </c>
      <c r="O548" t="n">
        <v>0</v>
      </c>
      <c r="P548" t="n">
        <v>0</v>
      </c>
      <c r="Q548" t="n">
        <v>0</v>
      </c>
      <c r="R548" s="2" t="inlineStr"/>
    </row>
    <row r="549" ht="15" customHeight="1">
      <c r="A549" t="inlineStr">
        <is>
          <t>A 48184-2025</t>
        </is>
      </c>
      <c r="B549" s="1" t="n">
        <v>45933.46131944445</v>
      </c>
      <c r="C549" s="1" t="n">
        <v>46063</v>
      </c>
      <c r="D549" t="inlineStr">
        <is>
          <t>SKÅNE LÄN</t>
        </is>
      </c>
      <c r="E549" t="inlineStr">
        <is>
          <t>HÄSSLEHOLM</t>
        </is>
      </c>
      <c r="G549" t="n">
        <v>3</v>
      </c>
      <c r="H549" t="n">
        <v>0</v>
      </c>
      <c r="I549" t="n">
        <v>0</v>
      </c>
      <c r="J549" t="n">
        <v>0</v>
      </c>
      <c r="K549" t="n">
        <v>0</v>
      </c>
      <c r="L549" t="n">
        <v>0</v>
      </c>
      <c r="M549" t="n">
        <v>0</v>
      </c>
      <c r="N549" t="n">
        <v>0</v>
      </c>
      <c r="O549" t="n">
        <v>0</v>
      </c>
      <c r="P549" t="n">
        <v>0</v>
      </c>
      <c r="Q549" t="n">
        <v>0</v>
      </c>
      <c r="R549" s="2" t="inlineStr"/>
    </row>
    <row r="550" ht="15" customHeight="1">
      <c r="A550" t="inlineStr">
        <is>
          <t>A 48185-2025</t>
        </is>
      </c>
      <c r="B550" s="1" t="n">
        <v>45933.46434027778</v>
      </c>
      <c r="C550" s="1" t="n">
        <v>46063</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1706-2025</t>
        </is>
      </c>
      <c r="B551" s="1" t="n">
        <v>45670</v>
      </c>
      <c r="C551" s="1" t="n">
        <v>46063</v>
      </c>
      <c r="D551" t="inlineStr">
        <is>
          <t>SKÅNE LÄN</t>
        </is>
      </c>
      <c r="E551" t="inlineStr">
        <is>
          <t>HÄSSLEHOLM</t>
        </is>
      </c>
      <c r="G551" t="n">
        <v>5</v>
      </c>
      <c r="H551" t="n">
        <v>0</v>
      </c>
      <c r="I551" t="n">
        <v>0</v>
      </c>
      <c r="J551" t="n">
        <v>0</v>
      </c>
      <c r="K551" t="n">
        <v>0</v>
      </c>
      <c r="L551" t="n">
        <v>0</v>
      </c>
      <c r="M551" t="n">
        <v>0</v>
      </c>
      <c r="N551" t="n">
        <v>0</v>
      </c>
      <c r="O551" t="n">
        <v>0</v>
      </c>
      <c r="P551" t="n">
        <v>0</v>
      </c>
      <c r="Q551" t="n">
        <v>0</v>
      </c>
      <c r="R551" s="2" t="inlineStr"/>
    </row>
    <row r="552" ht="15" customHeight="1">
      <c r="A552" t="inlineStr">
        <is>
          <t>A 61625-2022</t>
        </is>
      </c>
      <c r="B552" s="1" t="n">
        <v>44916</v>
      </c>
      <c r="C552" s="1" t="n">
        <v>46063</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31268-2024</t>
        </is>
      </c>
      <c r="B553" s="1" t="n">
        <v>45504</v>
      </c>
      <c r="C553" s="1" t="n">
        <v>46063</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48722-2025</t>
        </is>
      </c>
      <c r="B554" s="1" t="n">
        <v>45935</v>
      </c>
      <c r="C554" s="1" t="n">
        <v>46063</v>
      </c>
      <c r="D554" t="inlineStr">
        <is>
          <t>SKÅNE LÄN</t>
        </is>
      </c>
      <c r="E554" t="inlineStr">
        <is>
          <t>HÄSSLEHOLM</t>
        </is>
      </c>
      <c r="G554" t="n">
        <v>4.3</v>
      </c>
      <c r="H554" t="n">
        <v>0</v>
      </c>
      <c r="I554" t="n">
        <v>0</v>
      </c>
      <c r="J554" t="n">
        <v>0</v>
      </c>
      <c r="K554" t="n">
        <v>0</v>
      </c>
      <c r="L554" t="n">
        <v>0</v>
      </c>
      <c r="M554" t="n">
        <v>0</v>
      </c>
      <c r="N554" t="n">
        <v>0</v>
      </c>
      <c r="O554" t="n">
        <v>0</v>
      </c>
      <c r="P554" t="n">
        <v>0</v>
      </c>
      <c r="Q554" t="n">
        <v>0</v>
      </c>
      <c r="R554" s="2" t="inlineStr"/>
    </row>
    <row r="555" ht="15" customHeight="1">
      <c r="A555" t="inlineStr">
        <is>
          <t>A 13856-2025</t>
        </is>
      </c>
      <c r="B555" s="1" t="n">
        <v>45737.57289351852</v>
      </c>
      <c r="C555" s="1" t="n">
        <v>46063</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36568-2024</t>
        </is>
      </c>
      <c r="B556" s="1" t="n">
        <v>45537</v>
      </c>
      <c r="C556" s="1" t="n">
        <v>46063</v>
      </c>
      <c r="D556" t="inlineStr">
        <is>
          <t>SKÅNE LÄN</t>
        </is>
      </c>
      <c r="E556" t="inlineStr">
        <is>
          <t>HÄSSLEHOLM</t>
        </is>
      </c>
      <c r="G556" t="n">
        <v>4.3</v>
      </c>
      <c r="H556" t="n">
        <v>0</v>
      </c>
      <c r="I556" t="n">
        <v>0</v>
      </c>
      <c r="J556" t="n">
        <v>0</v>
      </c>
      <c r="K556" t="n">
        <v>0</v>
      </c>
      <c r="L556" t="n">
        <v>0</v>
      </c>
      <c r="M556" t="n">
        <v>0</v>
      </c>
      <c r="N556" t="n">
        <v>0</v>
      </c>
      <c r="O556" t="n">
        <v>0</v>
      </c>
      <c r="P556" t="n">
        <v>0</v>
      </c>
      <c r="Q556" t="n">
        <v>0</v>
      </c>
      <c r="R556" s="2" t="inlineStr"/>
    </row>
    <row r="557" ht="15" customHeight="1">
      <c r="A557" t="inlineStr">
        <is>
          <t>A 32794-2021</t>
        </is>
      </c>
      <c r="B557" s="1" t="n">
        <v>44375</v>
      </c>
      <c r="C557" s="1" t="n">
        <v>46063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13961-2023</t>
        </is>
      </c>
      <c r="B558" s="1" t="n">
        <v>45008</v>
      </c>
      <c r="C558" s="1" t="n">
        <v>46063</v>
      </c>
      <c r="D558" t="inlineStr">
        <is>
          <t>SKÅNE LÄN</t>
        </is>
      </c>
      <c r="E558" t="inlineStr">
        <is>
          <t>HÄSSLEHOLM</t>
        </is>
      </c>
      <c r="G558" t="n">
        <v>3.8</v>
      </c>
      <c r="H558" t="n">
        <v>0</v>
      </c>
      <c r="I558" t="n">
        <v>0</v>
      </c>
      <c r="J558" t="n">
        <v>0</v>
      </c>
      <c r="K558" t="n">
        <v>0</v>
      </c>
      <c r="L558" t="n">
        <v>0</v>
      </c>
      <c r="M558" t="n">
        <v>0</v>
      </c>
      <c r="N558" t="n">
        <v>0</v>
      </c>
      <c r="O558" t="n">
        <v>0</v>
      </c>
      <c r="P558" t="n">
        <v>0</v>
      </c>
      <c r="Q558" t="n">
        <v>0</v>
      </c>
      <c r="R558" s="2" t="inlineStr"/>
    </row>
    <row r="559" ht="15" customHeight="1">
      <c r="A559" t="inlineStr">
        <is>
          <t>A 3855-2023</t>
        </is>
      </c>
      <c r="B559" s="1" t="n">
        <v>44951.69708333333</v>
      </c>
      <c r="C559" s="1" t="n">
        <v>46063</v>
      </c>
      <c r="D559" t="inlineStr">
        <is>
          <t>SKÅNE LÄN</t>
        </is>
      </c>
      <c r="E559" t="inlineStr">
        <is>
          <t>HÄSSLEHOLM</t>
        </is>
      </c>
      <c r="G559" t="n">
        <v>2.3</v>
      </c>
      <c r="H559" t="n">
        <v>0</v>
      </c>
      <c r="I559" t="n">
        <v>0</v>
      </c>
      <c r="J559" t="n">
        <v>0</v>
      </c>
      <c r="K559" t="n">
        <v>0</v>
      </c>
      <c r="L559" t="n">
        <v>0</v>
      </c>
      <c r="M559" t="n">
        <v>0</v>
      </c>
      <c r="N559" t="n">
        <v>0</v>
      </c>
      <c r="O559" t="n">
        <v>0</v>
      </c>
      <c r="P559" t="n">
        <v>0</v>
      </c>
      <c r="Q559" t="n">
        <v>0</v>
      </c>
      <c r="R559" s="2" t="inlineStr"/>
    </row>
    <row r="560" ht="15" customHeight="1">
      <c r="A560" t="inlineStr">
        <is>
          <t>A 34301-2024</t>
        </is>
      </c>
      <c r="B560" s="1" t="n">
        <v>45524</v>
      </c>
      <c r="C560" s="1" t="n">
        <v>46063</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15060-2023</t>
        </is>
      </c>
      <c r="B561" s="1" t="n">
        <v>45015.69832175926</v>
      </c>
      <c r="C561" s="1" t="n">
        <v>46063</v>
      </c>
      <c r="D561" t="inlineStr">
        <is>
          <t>SKÅNE LÄN</t>
        </is>
      </c>
      <c r="E561" t="inlineStr">
        <is>
          <t>HÄSSLEHOLM</t>
        </is>
      </c>
      <c r="G561" t="n">
        <v>1.7</v>
      </c>
      <c r="H561" t="n">
        <v>0</v>
      </c>
      <c r="I561" t="n">
        <v>0</v>
      </c>
      <c r="J561" t="n">
        <v>0</v>
      </c>
      <c r="K561" t="n">
        <v>0</v>
      </c>
      <c r="L561" t="n">
        <v>0</v>
      </c>
      <c r="M561" t="n">
        <v>0</v>
      </c>
      <c r="N561" t="n">
        <v>0</v>
      </c>
      <c r="O561" t="n">
        <v>0</v>
      </c>
      <c r="P561" t="n">
        <v>0</v>
      </c>
      <c r="Q561" t="n">
        <v>0</v>
      </c>
      <c r="R561" s="2" t="inlineStr"/>
    </row>
    <row r="562" ht="15" customHeight="1">
      <c r="A562" t="inlineStr">
        <is>
          <t>A 54171-2021</t>
        </is>
      </c>
      <c r="B562" s="1" t="n">
        <v>44470</v>
      </c>
      <c r="C562" s="1" t="n">
        <v>46063</v>
      </c>
      <c r="D562" t="inlineStr">
        <is>
          <t>SKÅNE LÄN</t>
        </is>
      </c>
      <c r="E562" t="inlineStr">
        <is>
          <t>HÄSSLEHOLM</t>
        </is>
      </c>
      <c r="G562" t="n">
        <v>1</v>
      </c>
      <c r="H562" t="n">
        <v>0</v>
      </c>
      <c r="I562" t="n">
        <v>0</v>
      </c>
      <c r="J562" t="n">
        <v>0</v>
      </c>
      <c r="K562" t="n">
        <v>0</v>
      </c>
      <c r="L562" t="n">
        <v>0</v>
      </c>
      <c r="M562" t="n">
        <v>0</v>
      </c>
      <c r="N562" t="n">
        <v>0</v>
      </c>
      <c r="O562" t="n">
        <v>0</v>
      </c>
      <c r="P562" t="n">
        <v>0</v>
      </c>
      <c r="Q562" t="n">
        <v>0</v>
      </c>
      <c r="R562" s="2" t="inlineStr"/>
    </row>
    <row r="563" ht="15" customHeight="1">
      <c r="A563" t="inlineStr">
        <is>
          <t>A 13347-2025</t>
        </is>
      </c>
      <c r="B563" s="1" t="n">
        <v>45735.63175925926</v>
      </c>
      <c r="C563" s="1" t="n">
        <v>46063</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49135-2025</t>
        </is>
      </c>
      <c r="B564" s="1" t="n">
        <v>45938.00990740741</v>
      </c>
      <c r="C564" s="1" t="n">
        <v>46063</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49136-2025</t>
        </is>
      </c>
      <c r="B565" s="1" t="n">
        <v>45938.01277777777</v>
      </c>
      <c r="C565" s="1" t="n">
        <v>46063</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49137-2025</t>
        </is>
      </c>
      <c r="B566" s="1" t="n">
        <v>45938.05672453704</v>
      </c>
      <c r="C566" s="1" t="n">
        <v>46063</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11260-2021</t>
        </is>
      </c>
      <c r="B567" s="1" t="n">
        <v>44263</v>
      </c>
      <c r="C567" s="1" t="n">
        <v>46063</v>
      </c>
      <c r="D567" t="inlineStr">
        <is>
          <t>SKÅNE LÄN</t>
        </is>
      </c>
      <c r="E567" t="inlineStr">
        <is>
          <t>HÄSSLEHOLM</t>
        </is>
      </c>
      <c r="G567" t="n">
        <v>5.4</v>
      </c>
      <c r="H567" t="n">
        <v>0</v>
      </c>
      <c r="I567" t="n">
        <v>0</v>
      </c>
      <c r="J567" t="n">
        <v>0</v>
      </c>
      <c r="K567" t="n">
        <v>0</v>
      </c>
      <c r="L567" t="n">
        <v>0</v>
      </c>
      <c r="M567" t="n">
        <v>0</v>
      </c>
      <c r="N567" t="n">
        <v>0</v>
      </c>
      <c r="O567" t="n">
        <v>0</v>
      </c>
      <c r="P567" t="n">
        <v>0</v>
      </c>
      <c r="Q567" t="n">
        <v>0</v>
      </c>
      <c r="R567" s="2" t="inlineStr"/>
    </row>
    <row r="568" ht="15" customHeight="1">
      <c r="A568" t="inlineStr">
        <is>
          <t>A 13198-2025</t>
        </is>
      </c>
      <c r="B568" s="1" t="n">
        <v>45735</v>
      </c>
      <c r="C568" s="1" t="n">
        <v>46063</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3135-2023</t>
        </is>
      </c>
      <c r="B569" s="1" t="n">
        <v>44946.51672453704</v>
      </c>
      <c r="C569" s="1" t="n">
        <v>46063</v>
      </c>
      <c r="D569" t="inlineStr">
        <is>
          <t>SKÅNE LÄN</t>
        </is>
      </c>
      <c r="E569" t="inlineStr">
        <is>
          <t>HÄSSLEHOLM</t>
        </is>
      </c>
      <c r="G569" t="n">
        <v>7.2</v>
      </c>
      <c r="H569" t="n">
        <v>0</v>
      </c>
      <c r="I569" t="n">
        <v>0</v>
      </c>
      <c r="J569" t="n">
        <v>0</v>
      </c>
      <c r="K569" t="n">
        <v>0</v>
      </c>
      <c r="L569" t="n">
        <v>0</v>
      </c>
      <c r="M569" t="n">
        <v>0</v>
      </c>
      <c r="N569" t="n">
        <v>0</v>
      </c>
      <c r="O569" t="n">
        <v>0</v>
      </c>
      <c r="P569" t="n">
        <v>0</v>
      </c>
      <c r="Q569" t="n">
        <v>0</v>
      </c>
      <c r="R569" s="2" t="inlineStr"/>
    </row>
    <row r="570" ht="15" customHeight="1">
      <c r="A570" t="inlineStr">
        <is>
          <t>A 59429-2023</t>
        </is>
      </c>
      <c r="B570" s="1" t="n">
        <v>45254.2875</v>
      </c>
      <c r="C570" s="1" t="n">
        <v>46063</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40202-2022</t>
        </is>
      </c>
      <c r="B571" s="1" t="n">
        <v>44820.60614583334</v>
      </c>
      <c r="C571" s="1" t="n">
        <v>46063</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49845-2025</t>
        </is>
      </c>
      <c r="B572" s="1" t="n">
        <v>45940.48015046296</v>
      </c>
      <c r="C572" s="1" t="n">
        <v>46063</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54326-2022</t>
        </is>
      </c>
      <c r="B573" s="1" t="n">
        <v>44882.42965277778</v>
      </c>
      <c r="C573" s="1" t="n">
        <v>46063</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41998-2021</t>
        </is>
      </c>
      <c r="B574" s="1" t="n">
        <v>44425</v>
      </c>
      <c r="C574" s="1" t="n">
        <v>46063</v>
      </c>
      <c r="D574" t="inlineStr">
        <is>
          <t>SKÅNE LÄN</t>
        </is>
      </c>
      <c r="E574" t="inlineStr">
        <is>
          <t>HÄSSLEHOLM</t>
        </is>
      </c>
      <c r="G574" t="n">
        <v>1.3</v>
      </c>
      <c r="H574" t="n">
        <v>0</v>
      </c>
      <c r="I574" t="n">
        <v>0</v>
      </c>
      <c r="J574" t="n">
        <v>0</v>
      </c>
      <c r="K574" t="n">
        <v>0</v>
      </c>
      <c r="L574" t="n">
        <v>0</v>
      </c>
      <c r="M574" t="n">
        <v>0</v>
      </c>
      <c r="N574" t="n">
        <v>0</v>
      </c>
      <c r="O574" t="n">
        <v>0</v>
      </c>
      <c r="P574" t="n">
        <v>0</v>
      </c>
      <c r="Q574" t="n">
        <v>0</v>
      </c>
      <c r="R574" s="2" t="inlineStr"/>
    </row>
    <row r="575" ht="15" customHeight="1">
      <c r="A575" t="inlineStr">
        <is>
          <t>A 61524-2022</t>
        </is>
      </c>
      <c r="B575" s="1" t="n">
        <v>44910</v>
      </c>
      <c r="C575" s="1" t="n">
        <v>46063</v>
      </c>
      <c r="D575" t="inlineStr">
        <is>
          <t>SKÅNE LÄN</t>
        </is>
      </c>
      <c r="E575" t="inlineStr">
        <is>
          <t>HÄSSLEHOLM</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61533-2022</t>
        </is>
      </c>
      <c r="B576" s="1" t="n">
        <v>44910</v>
      </c>
      <c r="C576" s="1" t="n">
        <v>46063</v>
      </c>
      <c r="D576" t="inlineStr">
        <is>
          <t>SKÅNE LÄN</t>
        </is>
      </c>
      <c r="E576" t="inlineStr">
        <is>
          <t>HÄSSLEHOLM</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8619-2023</t>
        </is>
      </c>
      <c r="B577" s="1" t="n">
        <v>44977.81979166667</v>
      </c>
      <c r="C577" s="1" t="n">
        <v>46063</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49219-2021</t>
        </is>
      </c>
      <c r="B578" s="1" t="n">
        <v>44454</v>
      </c>
      <c r="C578" s="1" t="n">
        <v>46063</v>
      </c>
      <c r="D578" t="inlineStr">
        <is>
          <t>SKÅNE LÄN</t>
        </is>
      </c>
      <c r="E578" t="inlineStr">
        <is>
          <t>HÄSSLEHOLM</t>
        </is>
      </c>
      <c r="G578" t="n">
        <v>7.8</v>
      </c>
      <c r="H578" t="n">
        <v>0</v>
      </c>
      <c r="I578" t="n">
        <v>0</v>
      </c>
      <c r="J578" t="n">
        <v>0</v>
      </c>
      <c r="K578" t="n">
        <v>0</v>
      </c>
      <c r="L578" t="n">
        <v>0</v>
      </c>
      <c r="M578" t="n">
        <v>0</v>
      </c>
      <c r="N578" t="n">
        <v>0</v>
      </c>
      <c r="O578" t="n">
        <v>0</v>
      </c>
      <c r="P578" t="n">
        <v>0</v>
      </c>
      <c r="Q578" t="n">
        <v>0</v>
      </c>
      <c r="R578" s="2" t="inlineStr"/>
    </row>
    <row r="579" ht="15" customHeight="1">
      <c r="A579" t="inlineStr">
        <is>
          <t>A 46000-2021</t>
        </is>
      </c>
      <c r="B579" s="1" t="n">
        <v>44441</v>
      </c>
      <c r="C579" s="1" t="n">
        <v>46063</v>
      </c>
      <c r="D579" t="inlineStr">
        <is>
          <t>SKÅNE LÄN</t>
        </is>
      </c>
      <c r="E579" t="inlineStr">
        <is>
          <t>HÄSSLEHOLM</t>
        </is>
      </c>
      <c r="G579" t="n">
        <v>1.6</v>
      </c>
      <c r="H579" t="n">
        <v>0</v>
      </c>
      <c r="I579" t="n">
        <v>0</v>
      </c>
      <c r="J579" t="n">
        <v>0</v>
      </c>
      <c r="K579" t="n">
        <v>0</v>
      </c>
      <c r="L579" t="n">
        <v>0</v>
      </c>
      <c r="M579" t="n">
        <v>0</v>
      </c>
      <c r="N579" t="n">
        <v>0</v>
      </c>
      <c r="O579" t="n">
        <v>0</v>
      </c>
      <c r="P579" t="n">
        <v>0</v>
      </c>
      <c r="Q579" t="n">
        <v>0</v>
      </c>
      <c r="R579" s="2" t="inlineStr"/>
    </row>
    <row r="580" ht="15" customHeight="1">
      <c r="A580" t="inlineStr">
        <is>
          <t>A 24904-2025</t>
        </is>
      </c>
      <c r="B580" s="1" t="n">
        <v>45799</v>
      </c>
      <c r="C580" s="1" t="n">
        <v>46063</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50676-2025</t>
        </is>
      </c>
      <c r="B581" s="1" t="n">
        <v>45945</v>
      </c>
      <c r="C581" s="1" t="n">
        <v>46063</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50677-2025</t>
        </is>
      </c>
      <c r="B582" s="1" t="n">
        <v>45945</v>
      </c>
      <c r="C582" s="1" t="n">
        <v>46063</v>
      </c>
      <c r="D582" t="inlineStr">
        <is>
          <t>SKÅNE LÄN</t>
        </is>
      </c>
      <c r="E582" t="inlineStr">
        <is>
          <t>HÄSSLEHOLM</t>
        </is>
      </c>
      <c r="G582" t="n">
        <v>2.3</v>
      </c>
      <c r="H582" t="n">
        <v>0</v>
      </c>
      <c r="I582" t="n">
        <v>0</v>
      </c>
      <c r="J582" t="n">
        <v>0</v>
      </c>
      <c r="K582" t="n">
        <v>0</v>
      </c>
      <c r="L582" t="n">
        <v>0</v>
      </c>
      <c r="M582" t="n">
        <v>0</v>
      </c>
      <c r="N582" t="n">
        <v>0</v>
      </c>
      <c r="O582" t="n">
        <v>0</v>
      </c>
      <c r="P582" t="n">
        <v>0</v>
      </c>
      <c r="Q582" t="n">
        <v>0</v>
      </c>
      <c r="R582" s="2" t="inlineStr"/>
    </row>
    <row r="583" ht="15" customHeight="1">
      <c r="A583" t="inlineStr">
        <is>
          <t>A 50834-2025</t>
        </is>
      </c>
      <c r="B583" s="1" t="n">
        <v>45946.55746527778</v>
      </c>
      <c r="C583" s="1" t="n">
        <v>46063</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62171-2022</t>
        </is>
      </c>
      <c r="B584" s="1" t="n">
        <v>44915</v>
      </c>
      <c r="C584" s="1" t="n">
        <v>46063</v>
      </c>
      <c r="D584" t="inlineStr">
        <is>
          <t>SKÅNE LÄN</t>
        </is>
      </c>
      <c r="E584" t="inlineStr">
        <is>
          <t>HÄSSLEHOLM</t>
        </is>
      </c>
      <c r="F584" t="inlineStr">
        <is>
          <t>Kyrkan</t>
        </is>
      </c>
      <c r="G584" t="n">
        <v>9</v>
      </c>
      <c r="H584" t="n">
        <v>0</v>
      </c>
      <c r="I584" t="n">
        <v>0</v>
      </c>
      <c r="J584" t="n">
        <v>0</v>
      </c>
      <c r="K584" t="n">
        <v>0</v>
      </c>
      <c r="L584" t="n">
        <v>0</v>
      </c>
      <c r="M584" t="n">
        <v>0</v>
      </c>
      <c r="N584" t="n">
        <v>0</v>
      </c>
      <c r="O584" t="n">
        <v>0</v>
      </c>
      <c r="P584" t="n">
        <v>0</v>
      </c>
      <c r="Q584" t="n">
        <v>0</v>
      </c>
      <c r="R584" s="2" t="inlineStr"/>
    </row>
    <row r="585" ht="15" customHeight="1">
      <c r="A585" t="inlineStr">
        <is>
          <t>A 32100-2024</t>
        </is>
      </c>
      <c r="B585" s="1" t="n">
        <v>45511.41451388889</v>
      </c>
      <c r="C585" s="1" t="n">
        <v>46063</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33481-2024</t>
        </is>
      </c>
      <c r="B586" s="1" t="n">
        <v>45519</v>
      </c>
      <c r="C586" s="1" t="n">
        <v>46063</v>
      </c>
      <c r="D586" t="inlineStr">
        <is>
          <t>SKÅNE LÄN</t>
        </is>
      </c>
      <c r="E586" t="inlineStr">
        <is>
          <t>HÄSSLEHOLM</t>
        </is>
      </c>
      <c r="G586" t="n">
        <v>3</v>
      </c>
      <c r="H586" t="n">
        <v>0</v>
      </c>
      <c r="I586" t="n">
        <v>0</v>
      </c>
      <c r="J586" t="n">
        <v>0</v>
      </c>
      <c r="K586" t="n">
        <v>0</v>
      </c>
      <c r="L586" t="n">
        <v>0</v>
      </c>
      <c r="M586" t="n">
        <v>0</v>
      </c>
      <c r="N586" t="n">
        <v>0</v>
      </c>
      <c r="O586" t="n">
        <v>0</v>
      </c>
      <c r="P586" t="n">
        <v>0</v>
      </c>
      <c r="Q586" t="n">
        <v>0</v>
      </c>
      <c r="R586" s="2" t="inlineStr"/>
    </row>
    <row r="587" ht="15" customHeight="1">
      <c r="A587" t="inlineStr">
        <is>
          <t>A 48807-2021</t>
        </is>
      </c>
      <c r="B587" s="1" t="n">
        <v>44452</v>
      </c>
      <c r="C587" s="1" t="n">
        <v>46063</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50839-2025</t>
        </is>
      </c>
      <c r="B588" s="1" t="n">
        <v>45946</v>
      </c>
      <c r="C588" s="1" t="n">
        <v>46063</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54176-2022</t>
        </is>
      </c>
      <c r="B589" s="1" t="n">
        <v>44881</v>
      </c>
      <c r="C589" s="1" t="n">
        <v>46063</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50678-2025</t>
        </is>
      </c>
      <c r="B590" s="1" t="n">
        <v>45945</v>
      </c>
      <c r="C590" s="1" t="n">
        <v>46063</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16614-2025</t>
        </is>
      </c>
      <c r="B591" s="1" t="n">
        <v>45754.283125</v>
      </c>
      <c r="C591" s="1" t="n">
        <v>46063</v>
      </c>
      <c r="D591" t="inlineStr">
        <is>
          <t>SKÅNE LÄN</t>
        </is>
      </c>
      <c r="E591" t="inlineStr">
        <is>
          <t>HÄSSLEHOLM</t>
        </is>
      </c>
      <c r="G591" t="n">
        <v>1</v>
      </c>
      <c r="H591" t="n">
        <v>0</v>
      </c>
      <c r="I591" t="n">
        <v>0</v>
      </c>
      <c r="J591" t="n">
        <v>0</v>
      </c>
      <c r="K591" t="n">
        <v>0</v>
      </c>
      <c r="L591" t="n">
        <v>0</v>
      </c>
      <c r="M591" t="n">
        <v>0</v>
      </c>
      <c r="N591" t="n">
        <v>0</v>
      </c>
      <c r="O591" t="n">
        <v>0</v>
      </c>
      <c r="P591" t="n">
        <v>0</v>
      </c>
      <c r="Q591" t="n">
        <v>0</v>
      </c>
      <c r="R591" s="2" t="inlineStr"/>
    </row>
    <row r="592" ht="15" customHeight="1">
      <c r="A592" t="inlineStr">
        <is>
          <t>A 1886-2025</t>
        </is>
      </c>
      <c r="B592" s="1" t="n">
        <v>45671</v>
      </c>
      <c r="C592" s="1" t="n">
        <v>46063</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15536-2025</t>
        </is>
      </c>
      <c r="B593" s="1" t="n">
        <v>45747</v>
      </c>
      <c r="C593" s="1" t="n">
        <v>46063</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50829-2025</t>
        </is>
      </c>
      <c r="B594" s="1" t="n">
        <v>45946.55309027778</v>
      </c>
      <c r="C594" s="1" t="n">
        <v>46063</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23723-2023</t>
        </is>
      </c>
      <c r="B595" s="1" t="n">
        <v>45077</v>
      </c>
      <c r="C595" s="1" t="n">
        <v>46063</v>
      </c>
      <c r="D595" t="inlineStr">
        <is>
          <t>SKÅNE LÄN</t>
        </is>
      </c>
      <c r="E595" t="inlineStr">
        <is>
          <t>HÄSSLEHOLM</t>
        </is>
      </c>
      <c r="G595" t="n">
        <v>3.9</v>
      </c>
      <c r="H595" t="n">
        <v>0</v>
      </c>
      <c r="I595" t="n">
        <v>0</v>
      </c>
      <c r="J595" t="n">
        <v>0</v>
      </c>
      <c r="K595" t="n">
        <v>0</v>
      </c>
      <c r="L595" t="n">
        <v>0</v>
      </c>
      <c r="M595" t="n">
        <v>0</v>
      </c>
      <c r="N595" t="n">
        <v>0</v>
      </c>
      <c r="O595" t="n">
        <v>0</v>
      </c>
      <c r="P595" t="n">
        <v>0</v>
      </c>
      <c r="Q595" t="n">
        <v>0</v>
      </c>
      <c r="R595" s="2" t="inlineStr"/>
    </row>
    <row r="596" ht="15" customHeight="1">
      <c r="A596" t="inlineStr">
        <is>
          <t>A 49824-2024</t>
        </is>
      </c>
      <c r="B596" s="1" t="n">
        <v>45597</v>
      </c>
      <c r="C596" s="1" t="n">
        <v>46063</v>
      </c>
      <c r="D596" t="inlineStr">
        <is>
          <t>SKÅNE LÄN</t>
        </is>
      </c>
      <c r="E596" t="inlineStr">
        <is>
          <t>HÄSSLEHOLM</t>
        </is>
      </c>
      <c r="G596" t="n">
        <v>1.3</v>
      </c>
      <c r="H596" t="n">
        <v>0</v>
      </c>
      <c r="I596" t="n">
        <v>0</v>
      </c>
      <c r="J596" t="n">
        <v>0</v>
      </c>
      <c r="K596" t="n">
        <v>0</v>
      </c>
      <c r="L596" t="n">
        <v>0</v>
      </c>
      <c r="M596" t="n">
        <v>0</v>
      </c>
      <c r="N596" t="n">
        <v>0</v>
      </c>
      <c r="O596" t="n">
        <v>0</v>
      </c>
      <c r="P596" t="n">
        <v>0</v>
      </c>
      <c r="Q596" t="n">
        <v>0</v>
      </c>
      <c r="R596" s="2" t="inlineStr"/>
    </row>
    <row r="597" ht="15" customHeight="1">
      <c r="A597" t="inlineStr">
        <is>
          <t>A 4945-2022</t>
        </is>
      </c>
      <c r="B597" s="1" t="n">
        <v>44593</v>
      </c>
      <c r="C597" s="1" t="n">
        <v>46063</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47248-2023</t>
        </is>
      </c>
      <c r="B598" s="1" t="n">
        <v>45202</v>
      </c>
      <c r="C598" s="1" t="n">
        <v>46063</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51024-2025</t>
        </is>
      </c>
      <c r="B599" s="1" t="n">
        <v>45947.395</v>
      </c>
      <c r="C599" s="1" t="n">
        <v>46063</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38306-2022</t>
        </is>
      </c>
      <c r="B600" s="1" t="n">
        <v>44812.57515046297</v>
      </c>
      <c r="C600" s="1" t="n">
        <v>46063</v>
      </c>
      <c r="D600" t="inlineStr">
        <is>
          <t>SKÅNE LÄN</t>
        </is>
      </c>
      <c r="E600" t="inlineStr">
        <is>
          <t>HÄSSLEHOLM</t>
        </is>
      </c>
      <c r="G600" t="n">
        <v>2.2</v>
      </c>
      <c r="H600" t="n">
        <v>0</v>
      </c>
      <c r="I600" t="n">
        <v>0</v>
      </c>
      <c r="J600" t="n">
        <v>0</v>
      </c>
      <c r="K600" t="n">
        <v>0</v>
      </c>
      <c r="L600" t="n">
        <v>0</v>
      </c>
      <c r="M600" t="n">
        <v>0</v>
      </c>
      <c r="N600" t="n">
        <v>0</v>
      </c>
      <c r="O600" t="n">
        <v>0</v>
      </c>
      <c r="P600" t="n">
        <v>0</v>
      </c>
      <c r="Q600" t="n">
        <v>0</v>
      </c>
      <c r="R600" s="2" t="inlineStr"/>
    </row>
    <row r="601" ht="15" customHeight="1">
      <c r="A601" t="inlineStr">
        <is>
          <t>A 35845-2022</t>
        </is>
      </c>
      <c r="B601" s="1" t="n">
        <v>44802</v>
      </c>
      <c r="C601" s="1" t="n">
        <v>46063</v>
      </c>
      <c r="D601" t="inlineStr">
        <is>
          <t>SKÅNE LÄN</t>
        </is>
      </c>
      <c r="E601" t="inlineStr">
        <is>
          <t>HÄSSLEHOLM</t>
        </is>
      </c>
      <c r="G601" t="n">
        <v>0.9</v>
      </c>
      <c r="H601" t="n">
        <v>0</v>
      </c>
      <c r="I601" t="n">
        <v>0</v>
      </c>
      <c r="J601" t="n">
        <v>0</v>
      </c>
      <c r="K601" t="n">
        <v>0</v>
      </c>
      <c r="L601" t="n">
        <v>0</v>
      </c>
      <c r="M601" t="n">
        <v>0</v>
      </c>
      <c r="N601" t="n">
        <v>0</v>
      </c>
      <c r="O601" t="n">
        <v>0</v>
      </c>
      <c r="P601" t="n">
        <v>0</v>
      </c>
      <c r="Q601" t="n">
        <v>0</v>
      </c>
      <c r="R601" s="2" t="inlineStr"/>
    </row>
    <row r="602" ht="15" customHeight="1">
      <c r="A602" t="inlineStr">
        <is>
          <t>A 12503-2022</t>
        </is>
      </c>
      <c r="B602" s="1" t="n">
        <v>44638</v>
      </c>
      <c r="C602" s="1" t="n">
        <v>46063</v>
      </c>
      <c r="D602" t="inlineStr">
        <is>
          <t>SKÅNE LÄN</t>
        </is>
      </c>
      <c r="E602" t="inlineStr">
        <is>
          <t>HÄSSLEHOLM</t>
        </is>
      </c>
      <c r="G602" t="n">
        <v>1.3</v>
      </c>
      <c r="H602" t="n">
        <v>0</v>
      </c>
      <c r="I602" t="n">
        <v>0</v>
      </c>
      <c r="J602" t="n">
        <v>0</v>
      </c>
      <c r="K602" t="n">
        <v>0</v>
      </c>
      <c r="L602" t="n">
        <v>0</v>
      </c>
      <c r="M602" t="n">
        <v>0</v>
      </c>
      <c r="N602" t="n">
        <v>0</v>
      </c>
      <c r="O602" t="n">
        <v>0</v>
      </c>
      <c r="P602" t="n">
        <v>0</v>
      </c>
      <c r="Q602" t="n">
        <v>0</v>
      </c>
      <c r="R602" s="2" t="inlineStr"/>
    </row>
    <row r="603" ht="15" customHeight="1">
      <c r="A603" t="inlineStr">
        <is>
          <t>A 51097-2025</t>
        </is>
      </c>
      <c r="B603" s="1" t="n">
        <v>45947.48018518519</v>
      </c>
      <c r="C603" s="1" t="n">
        <v>46063</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23950-2023</t>
        </is>
      </c>
      <c r="B604" s="1" t="n">
        <v>45078.61771990741</v>
      </c>
      <c r="C604" s="1" t="n">
        <v>46063</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23952-2023</t>
        </is>
      </c>
      <c r="B605" s="1" t="n">
        <v>45078.62064814815</v>
      </c>
      <c r="C605" s="1" t="n">
        <v>46063</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51795-2025</t>
        </is>
      </c>
      <c r="B606" s="1" t="n">
        <v>45951</v>
      </c>
      <c r="C606" s="1" t="n">
        <v>46063</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51796-2025</t>
        </is>
      </c>
      <c r="B607" s="1" t="n">
        <v>45951.74546296296</v>
      </c>
      <c r="C607" s="1" t="n">
        <v>46063</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2144-2023</t>
        </is>
      </c>
      <c r="B608" s="1" t="n">
        <v>44940.79054398148</v>
      </c>
      <c r="C608" s="1" t="n">
        <v>46063</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61680-2022</t>
        </is>
      </c>
      <c r="B609" s="1" t="n">
        <v>44917.36372685185</v>
      </c>
      <c r="C609" s="1" t="n">
        <v>46063</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16550-2025</t>
        </is>
      </c>
      <c r="B610" s="1" t="n">
        <v>45751.69412037037</v>
      </c>
      <c r="C610" s="1" t="n">
        <v>46063</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16285-2025</t>
        </is>
      </c>
      <c r="B611" s="1" t="n">
        <v>45751.30045138889</v>
      </c>
      <c r="C611" s="1" t="n">
        <v>46063</v>
      </c>
      <c r="D611" t="inlineStr">
        <is>
          <t>SKÅNE LÄN</t>
        </is>
      </c>
      <c r="E611" t="inlineStr">
        <is>
          <t>HÄSSLEHOLM</t>
        </is>
      </c>
      <c r="G611" t="n">
        <v>2</v>
      </c>
      <c r="H611" t="n">
        <v>0</v>
      </c>
      <c r="I611" t="n">
        <v>0</v>
      </c>
      <c r="J611" t="n">
        <v>0</v>
      </c>
      <c r="K611" t="n">
        <v>0</v>
      </c>
      <c r="L611" t="n">
        <v>0</v>
      </c>
      <c r="M611" t="n">
        <v>0</v>
      </c>
      <c r="N611" t="n">
        <v>0</v>
      </c>
      <c r="O611" t="n">
        <v>0</v>
      </c>
      <c r="P611" t="n">
        <v>0</v>
      </c>
      <c r="Q611" t="n">
        <v>0</v>
      </c>
      <c r="R611" s="2" t="inlineStr"/>
    </row>
    <row r="612" ht="15" customHeight="1">
      <c r="A612" t="inlineStr">
        <is>
          <t>A 5780-2024</t>
        </is>
      </c>
      <c r="B612" s="1" t="n">
        <v>45335.41983796296</v>
      </c>
      <c r="C612" s="1" t="n">
        <v>46063</v>
      </c>
      <c r="D612" t="inlineStr">
        <is>
          <t>SKÅNE LÄN</t>
        </is>
      </c>
      <c r="E612" t="inlineStr">
        <is>
          <t>HÄSSLEHOLM</t>
        </is>
      </c>
      <c r="G612" t="n">
        <v>2.5</v>
      </c>
      <c r="H612" t="n">
        <v>0</v>
      </c>
      <c r="I612" t="n">
        <v>0</v>
      </c>
      <c r="J612" t="n">
        <v>0</v>
      </c>
      <c r="K612" t="n">
        <v>0</v>
      </c>
      <c r="L612" t="n">
        <v>0</v>
      </c>
      <c r="M612" t="n">
        <v>0</v>
      </c>
      <c r="N612" t="n">
        <v>0</v>
      </c>
      <c r="O612" t="n">
        <v>0</v>
      </c>
      <c r="P612" t="n">
        <v>0</v>
      </c>
      <c r="Q612" t="n">
        <v>0</v>
      </c>
      <c r="R612" s="2" t="inlineStr"/>
    </row>
    <row r="613" ht="15" customHeight="1">
      <c r="A613" t="inlineStr">
        <is>
          <t>A 51640-2025</t>
        </is>
      </c>
      <c r="B613" s="1" t="n">
        <v>45951.44361111111</v>
      </c>
      <c r="C613" s="1" t="n">
        <v>46063</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51597-2025</t>
        </is>
      </c>
      <c r="B614" s="1" t="n">
        <v>45951.37163194444</v>
      </c>
      <c r="C614" s="1" t="n">
        <v>46063</v>
      </c>
      <c r="D614" t="inlineStr">
        <is>
          <t>SKÅNE LÄN</t>
        </is>
      </c>
      <c r="E614" t="inlineStr">
        <is>
          <t>HÄSSLEHOLM</t>
        </is>
      </c>
      <c r="G614" t="n">
        <v>3.5</v>
      </c>
      <c r="H614" t="n">
        <v>0</v>
      </c>
      <c r="I614" t="n">
        <v>0</v>
      </c>
      <c r="J614" t="n">
        <v>0</v>
      </c>
      <c r="K614" t="n">
        <v>0</v>
      </c>
      <c r="L614" t="n">
        <v>0</v>
      </c>
      <c r="M614" t="n">
        <v>0</v>
      </c>
      <c r="N614" t="n">
        <v>0</v>
      </c>
      <c r="O614" t="n">
        <v>0</v>
      </c>
      <c r="P614" t="n">
        <v>0</v>
      </c>
      <c r="Q614" t="n">
        <v>0</v>
      </c>
      <c r="R614" s="2" t="inlineStr"/>
    </row>
    <row r="615" ht="15" customHeight="1">
      <c r="A615" t="inlineStr">
        <is>
          <t>A 52126-2025</t>
        </is>
      </c>
      <c r="B615" s="1" t="n">
        <v>45952.72109953704</v>
      </c>
      <c r="C615" s="1" t="n">
        <v>46063</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15897-2025</t>
        </is>
      </c>
      <c r="B616" s="1" t="n">
        <v>45749.41598379629</v>
      </c>
      <c r="C616" s="1" t="n">
        <v>46063</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61504-2022</t>
        </is>
      </c>
      <c r="B617" s="1" t="n">
        <v>44910</v>
      </c>
      <c r="C617" s="1" t="n">
        <v>46063</v>
      </c>
      <c r="D617" t="inlineStr">
        <is>
          <t>SKÅNE LÄN</t>
        </is>
      </c>
      <c r="E617" t="inlineStr">
        <is>
          <t>HÄSSLEHOLM</t>
        </is>
      </c>
      <c r="F617" t="inlineStr">
        <is>
          <t>Kyrkan</t>
        </is>
      </c>
      <c r="G617" t="n">
        <v>2.9</v>
      </c>
      <c r="H617" t="n">
        <v>0</v>
      </c>
      <c r="I617" t="n">
        <v>0</v>
      </c>
      <c r="J617" t="n">
        <v>0</v>
      </c>
      <c r="K617" t="n">
        <v>0</v>
      </c>
      <c r="L617" t="n">
        <v>0</v>
      </c>
      <c r="M617" t="n">
        <v>0</v>
      </c>
      <c r="N617" t="n">
        <v>0</v>
      </c>
      <c r="O617" t="n">
        <v>0</v>
      </c>
      <c r="P617" t="n">
        <v>0</v>
      </c>
      <c r="Q617" t="n">
        <v>0</v>
      </c>
      <c r="R617" s="2" t="inlineStr"/>
    </row>
    <row r="618" ht="15" customHeight="1">
      <c r="A618" t="inlineStr">
        <is>
          <t>A 29275-2023</t>
        </is>
      </c>
      <c r="B618" s="1" t="n">
        <v>45105</v>
      </c>
      <c r="C618" s="1" t="n">
        <v>46063</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27502-2023</t>
        </is>
      </c>
      <c r="B619" s="1" t="n">
        <v>45092</v>
      </c>
      <c r="C619" s="1" t="n">
        <v>46063</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54473-2023</t>
        </is>
      </c>
      <c r="B620" s="1" t="n">
        <v>45233</v>
      </c>
      <c r="C620" s="1" t="n">
        <v>46063</v>
      </c>
      <c r="D620" t="inlineStr">
        <is>
          <t>SKÅNE LÄN</t>
        </is>
      </c>
      <c r="E620" t="inlineStr">
        <is>
          <t>HÄSSLEHOLM</t>
        </is>
      </c>
      <c r="G620" t="n">
        <v>24.5</v>
      </c>
      <c r="H620" t="n">
        <v>0</v>
      </c>
      <c r="I620" t="n">
        <v>0</v>
      </c>
      <c r="J620" t="n">
        <v>0</v>
      </c>
      <c r="K620" t="n">
        <v>0</v>
      </c>
      <c r="L620" t="n">
        <v>0</v>
      </c>
      <c r="M620" t="n">
        <v>0</v>
      </c>
      <c r="N620" t="n">
        <v>0</v>
      </c>
      <c r="O620" t="n">
        <v>0</v>
      </c>
      <c r="P620" t="n">
        <v>0</v>
      </c>
      <c r="Q620" t="n">
        <v>0</v>
      </c>
      <c r="R620" s="2" t="inlineStr"/>
    </row>
    <row r="621" ht="15" customHeight="1">
      <c r="A621" t="inlineStr">
        <is>
          <t>A 26641-2023</t>
        </is>
      </c>
      <c r="B621" s="1" t="n">
        <v>45092.89619212963</v>
      </c>
      <c r="C621" s="1" t="n">
        <v>46063</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51752-2023</t>
        </is>
      </c>
      <c r="B622" s="1" t="n">
        <v>45222</v>
      </c>
      <c r="C622" s="1" t="n">
        <v>46063</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20800-2023</t>
        </is>
      </c>
      <c r="B623" s="1" t="n">
        <v>45058.61640046296</v>
      </c>
      <c r="C623" s="1" t="n">
        <v>46063</v>
      </c>
      <c r="D623" t="inlineStr">
        <is>
          <t>SKÅNE LÄN</t>
        </is>
      </c>
      <c r="E623" t="inlineStr">
        <is>
          <t>HÄSSLEHOLM</t>
        </is>
      </c>
      <c r="G623" t="n">
        <v>0.4</v>
      </c>
      <c r="H623" t="n">
        <v>0</v>
      </c>
      <c r="I623" t="n">
        <v>0</v>
      </c>
      <c r="J623" t="n">
        <v>0</v>
      </c>
      <c r="K623" t="n">
        <v>0</v>
      </c>
      <c r="L623" t="n">
        <v>0</v>
      </c>
      <c r="M623" t="n">
        <v>0</v>
      </c>
      <c r="N623" t="n">
        <v>0</v>
      </c>
      <c r="O623" t="n">
        <v>0</v>
      </c>
      <c r="P623" t="n">
        <v>0</v>
      </c>
      <c r="Q623" t="n">
        <v>0</v>
      </c>
      <c r="R623" s="2" t="inlineStr"/>
    </row>
    <row r="624" ht="15" customHeight="1">
      <c r="A624" t="inlineStr">
        <is>
          <t>A 49219-2024</t>
        </is>
      </c>
      <c r="B624" s="1" t="n">
        <v>45595.40923611111</v>
      </c>
      <c r="C624" s="1" t="n">
        <v>46063</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53018-2025</t>
        </is>
      </c>
      <c r="B625" s="1" t="n">
        <v>45957.90064814815</v>
      </c>
      <c r="C625" s="1" t="n">
        <v>46063</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7152-2025</t>
        </is>
      </c>
      <c r="B626" s="1" t="n">
        <v>45702.3837037037</v>
      </c>
      <c r="C626" s="1" t="n">
        <v>46063</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7160-2025</t>
        </is>
      </c>
      <c r="B627" s="1" t="n">
        <v>45702.3875462963</v>
      </c>
      <c r="C627" s="1" t="n">
        <v>46063</v>
      </c>
      <c r="D627" t="inlineStr">
        <is>
          <t>SKÅNE LÄN</t>
        </is>
      </c>
      <c r="E627" t="inlineStr">
        <is>
          <t>HÄSSLEHOLM</t>
        </is>
      </c>
      <c r="G627" t="n">
        <v>2.5</v>
      </c>
      <c r="H627" t="n">
        <v>0</v>
      </c>
      <c r="I627" t="n">
        <v>0</v>
      </c>
      <c r="J627" t="n">
        <v>0</v>
      </c>
      <c r="K627" t="n">
        <v>0</v>
      </c>
      <c r="L627" t="n">
        <v>0</v>
      </c>
      <c r="M627" t="n">
        <v>0</v>
      </c>
      <c r="N627" t="n">
        <v>0</v>
      </c>
      <c r="O627" t="n">
        <v>0</v>
      </c>
      <c r="P627" t="n">
        <v>0</v>
      </c>
      <c r="Q627" t="n">
        <v>0</v>
      </c>
      <c r="R627" s="2" t="inlineStr"/>
    </row>
    <row r="628" ht="15" customHeight="1">
      <c r="A628" t="inlineStr">
        <is>
          <t>A 14939-2023</t>
        </is>
      </c>
      <c r="B628" s="1" t="n">
        <v>45014</v>
      </c>
      <c r="C628" s="1" t="n">
        <v>46063</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53056-2025</t>
        </is>
      </c>
      <c r="B629" s="1" t="n">
        <v>45958.36518518518</v>
      </c>
      <c r="C629" s="1" t="n">
        <v>46063</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15104-2023</t>
        </is>
      </c>
      <c r="B630" s="1" t="n">
        <v>45016.40576388889</v>
      </c>
      <c r="C630" s="1" t="n">
        <v>46063</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66321-2021</t>
        </is>
      </c>
      <c r="B631" s="1" t="n">
        <v>44518</v>
      </c>
      <c r="C631" s="1" t="n">
        <v>46063</v>
      </c>
      <c r="D631" t="inlineStr">
        <is>
          <t>SKÅNE LÄN</t>
        </is>
      </c>
      <c r="E631" t="inlineStr">
        <is>
          <t>HÄSSLEHOLM</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21494-2023</t>
        </is>
      </c>
      <c r="B632" s="1" t="n">
        <v>45063</v>
      </c>
      <c r="C632" s="1" t="n">
        <v>46063</v>
      </c>
      <c r="D632" t="inlineStr">
        <is>
          <t>SKÅNE LÄN</t>
        </is>
      </c>
      <c r="E632" t="inlineStr">
        <is>
          <t>HÄSSLEHOLM</t>
        </is>
      </c>
      <c r="G632" t="n">
        <v>3.7</v>
      </c>
      <c r="H632" t="n">
        <v>0</v>
      </c>
      <c r="I632" t="n">
        <v>0</v>
      </c>
      <c r="J632" t="n">
        <v>0</v>
      </c>
      <c r="K632" t="n">
        <v>0</v>
      </c>
      <c r="L632" t="n">
        <v>0</v>
      </c>
      <c r="M632" t="n">
        <v>0</v>
      </c>
      <c r="N632" t="n">
        <v>0</v>
      </c>
      <c r="O632" t="n">
        <v>0</v>
      </c>
      <c r="P632" t="n">
        <v>0</v>
      </c>
      <c r="Q632" t="n">
        <v>0</v>
      </c>
      <c r="R632" s="2" t="inlineStr"/>
    </row>
    <row r="633" ht="15" customHeight="1">
      <c r="A633" t="inlineStr">
        <is>
          <t>A 21495-2023</t>
        </is>
      </c>
      <c r="B633" s="1" t="n">
        <v>45063</v>
      </c>
      <c r="C633" s="1" t="n">
        <v>46063</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53020-2025</t>
        </is>
      </c>
      <c r="B634" s="1" t="n">
        <v>45957.90707175926</v>
      </c>
      <c r="C634" s="1" t="n">
        <v>46063</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40739-2024</t>
        </is>
      </c>
      <c r="B635" s="1" t="n">
        <v>45558</v>
      </c>
      <c r="C635" s="1" t="n">
        <v>46063</v>
      </c>
      <c r="D635" t="inlineStr">
        <is>
          <t>SKÅNE LÄN</t>
        </is>
      </c>
      <c r="E635" t="inlineStr">
        <is>
          <t>HÄSSLEHOLM</t>
        </is>
      </c>
      <c r="G635" t="n">
        <v>1.6</v>
      </c>
      <c r="H635" t="n">
        <v>0</v>
      </c>
      <c r="I635" t="n">
        <v>0</v>
      </c>
      <c r="J635" t="n">
        <v>0</v>
      </c>
      <c r="K635" t="n">
        <v>0</v>
      </c>
      <c r="L635" t="n">
        <v>0</v>
      </c>
      <c r="M635" t="n">
        <v>0</v>
      </c>
      <c r="N635" t="n">
        <v>0</v>
      </c>
      <c r="O635" t="n">
        <v>0</v>
      </c>
      <c r="P635" t="n">
        <v>0</v>
      </c>
      <c r="Q635" t="n">
        <v>0</v>
      </c>
      <c r="R635" s="2" t="inlineStr"/>
    </row>
    <row r="636" ht="15" customHeight="1">
      <c r="A636" t="inlineStr">
        <is>
          <t>A 64884-2023</t>
        </is>
      </c>
      <c r="B636" s="1" t="n">
        <v>45282.57809027778</v>
      </c>
      <c r="C636" s="1" t="n">
        <v>46063</v>
      </c>
      <c r="D636" t="inlineStr">
        <is>
          <t>SKÅNE LÄN</t>
        </is>
      </c>
      <c r="E636" t="inlineStr">
        <is>
          <t>HÄSSLEHOLM</t>
        </is>
      </c>
      <c r="G636" t="n">
        <v>4.6</v>
      </c>
      <c r="H636" t="n">
        <v>0</v>
      </c>
      <c r="I636" t="n">
        <v>0</v>
      </c>
      <c r="J636" t="n">
        <v>0</v>
      </c>
      <c r="K636" t="n">
        <v>0</v>
      </c>
      <c r="L636" t="n">
        <v>0</v>
      </c>
      <c r="M636" t="n">
        <v>0</v>
      </c>
      <c r="N636" t="n">
        <v>0</v>
      </c>
      <c r="O636" t="n">
        <v>0</v>
      </c>
      <c r="P636" t="n">
        <v>0</v>
      </c>
      <c r="Q636" t="n">
        <v>0</v>
      </c>
      <c r="R636" s="2" t="inlineStr"/>
    </row>
    <row r="637" ht="15" customHeight="1">
      <c r="A637" t="inlineStr">
        <is>
          <t>A 22140-2023</t>
        </is>
      </c>
      <c r="B637" s="1" t="n">
        <v>45065</v>
      </c>
      <c r="C637" s="1" t="n">
        <v>46063</v>
      </c>
      <c r="D637" t="inlineStr">
        <is>
          <t>SKÅNE LÄN</t>
        </is>
      </c>
      <c r="E637" t="inlineStr">
        <is>
          <t>HÄSSLEHOLM</t>
        </is>
      </c>
      <c r="G637" t="n">
        <v>6.7</v>
      </c>
      <c r="H637" t="n">
        <v>0</v>
      </c>
      <c r="I637" t="n">
        <v>0</v>
      </c>
      <c r="J637" t="n">
        <v>0</v>
      </c>
      <c r="K637" t="n">
        <v>0</v>
      </c>
      <c r="L637" t="n">
        <v>0</v>
      </c>
      <c r="M637" t="n">
        <v>0</v>
      </c>
      <c r="N637" t="n">
        <v>0</v>
      </c>
      <c r="O637" t="n">
        <v>0</v>
      </c>
      <c r="P637" t="n">
        <v>0</v>
      </c>
      <c r="Q637" t="n">
        <v>0</v>
      </c>
      <c r="R637" s="2" t="inlineStr"/>
    </row>
    <row r="638" ht="15" customHeight="1">
      <c r="A638" t="inlineStr">
        <is>
          <t>A 31944-2023</t>
        </is>
      </c>
      <c r="B638" s="1" t="n">
        <v>45119.34895833334</v>
      </c>
      <c r="C638" s="1" t="n">
        <v>46063</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7890-2024</t>
        </is>
      </c>
      <c r="B639" s="1" t="n">
        <v>45350.40780092592</v>
      </c>
      <c r="C639" s="1" t="n">
        <v>46063</v>
      </c>
      <c r="D639" t="inlineStr">
        <is>
          <t>SKÅNE LÄN</t>
        </is>
      </c>
      <c r="E639" t="inlineStr">
        <is>
          <t>HÄSSLEHOLM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31946-2023</t>
        </is>
      </c>
      <c r="B640" s="1" t="n">
        <v>45119.35158564815</v>
      </c>
      <c r="C640" s="1" t="n">
        <v>46063</v>
      </c>
      <c r="D640" t="inlineStr">
        <is>
          <t>SKÅNE LÄN</t>
        </is>
      </c>
      <c r="E640" t="inlineStr">
        <is>
          <t>HÄSSLEHOLM</t>
        </is>
      </c>
      <c r="G640" t="n">
        <v>0.3</v>
      </c>
      <c r="H640" t="n">
        <v>0</v>
      </c>
      <c r="I640" t="n">
        <v>0</v>
      </c>
      <c r="J640" t="n">
        <v>0</v>
      </c>
      <c r="K640" t="n">
        <v>0</v>
      </c>
      <c r="L640" t="n">
        <v>0</v>
      </c>
      <c r="M640" t="n">
        <v>0</v>
      </c>
      <c r="N640" t="n">
        <v>0</v>
      </c>
      <c r="O640" t="n">
        <v>0</v>
      </c>
      <c r="P640" t="n">
        <v>0</v>
      </c>
      <c r="Q640" t="n">
        <v>0</v>
      </c>
      <c r="R640" s="2" t="inlineStr"/>
    </row>
    <row r="641" ht="15" customHeight="1">
      <c r="A641" t="inlineStr">
        <is>
          <t>A 8755-2024</t>
        </is>
      </c>
      <c r="B641" s="1" t="n">
        <v>45356</v>
      </c>
      <c r="C641" s="1" t="n">
        <v>46063</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53424-2025</t>
        </is>
      </c>
      <c r="B642" s="1" t="n">
        <v>45959</v>
      </c>
      <c r="C642" s="1" t="n">
        <v>46063</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61178-2022</t>
        </is>
      </c>
      <c r="B643" s="1" t="n">
        <v>44915</v>
      </c>
      <c r="C643" s="1" t="n">
        <v>46063</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61185-2022</t>
        </is>
      </c>
      <c r="B644" s="1" t="n">
        <v>44915</v>
      </c>
      <c r="C644" s="1" t="n">
        <v>46063</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61691-2021</t>
        </is>
      </c>
      <c r="B645" s="1" t="n">
        <v>44501</v>
      </c>
      <c r="C645" s="1" t="n">
        <v>46063</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25221-2023</t>
        </is>
      </c>
      <c r="B646" s="1" t="n">
        <v>45086.60842592592</v>
      </c>
      <c r="C646" s="1" t="n">
        <v>46063</v>
      </c>
      <c r="D646" t="inlineStr">
        <is>
          <t>SKÅNE LÄN</t>
        </is>
      </c>
      <c r="E646" t="inlineStr">
        <is>
          <t>HÄSSLEHOLM</t>
        </is>
      </c>
      <c r="G646" t="n">
        <v>2.5</v>
      </c>
      <c r="H646" t="n">
        <v>0</v>
      </c>
      <c r="I646" t="n">
        <v>0</v>
      </c>
      <c r="J646" t="n">
        <v>0</v>
      </c>
      <c r="K646" t="n">
        <v>0</v>
      </c>
      <c r="L646" t="n">
        <v>0</v>
      </c>
      <c r="M646" t="n">
        <v>0</v>
      </c>
      <c r="N646" t="n">
        <v>0</v>
      </c>
      <c r="O646" t="n">
        <v>0</v>
      </c>
      <c r="P646" t="n">
        <v>0</v>
      </c>
      <c r="Q646" t="n">
        <v>0</v>
      </c>
      <c r="R646" s="2" t="inlineStr"/>
    </row>
    <row r="647" ht="15" customHeight="1">
      <c r="A647" t="inlineStr">
        <is>
          <t>A 59390-2021</t>
        </is>
      </c>
      <c r="B647" s="1" t="n">
        <v>44490</v>
      </c>
      <c r="C647" s="1" t="n">
        <v>46063</v>
      </c>
      <c r="D647" t="inlineStr">
        <is>
          <t>SKÅNE LÄN</t>
        </is>
      </c>
      <c r="E647" t="inlineStr">
        <is>
          <t>HÄSSLEHOLM</t>
        </is>
      </c>
      <c r="G647" t="n">
        <v>7.1</v>
      </c>
      <c r="H647" t="n">
        <v>0</v>
      </c>
      <c r="I647" t="n">
        <v>0</v>
      </c>
      <c r="J647" t="n">
        <v>0</v>
      </c>
      <c r="K647" t="n">
        <v>0</v>
      </c>
      <c r="L647" t="n">
        <v>0</v>
      </c>
      <c r="M647" t="n">
        <v>0</v>
      </c>
      <c r="N647" t="n">
        <v>0</v>
      </c>
      <c r="O647" t="n">
        <v>0</v>
      </c>
      <c r="P647" t="n">
        <v>0</v>
      </c>
      <c r="Q647" t="n">
        <v>0</v>
      </c>
      <c r="R647" s="2" t="inlineStr"/>
    </row>
    <row r="648" ht="15" customHeight="1">
      <c r="A648" t="inlineStr">
        <is>
          <t>A 50564-2023</t>
        </is>
      </c>
      <c r="B648" s="1" t="n">
        <v>45217.37957175926</v>
      </c>
      <c r="C648" s="1" t="n">
        <v>46063</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15133-2023</t>
        </is>
      </c>
      <c r="B649" s="1" t="n">
        <v>45016</v>
      </c>
      <c r="C649" s="1" t="n">
        <v>46063</v>
      </c>
      <c r="D649" t="inlineStr">
        <is>
          <t>SKÅNE LÄN</t>
        </is>
      </c>
      <c r="E649" t="inlineStr">
        <is>
          <t>HÄSSLEHOLM</t>
        </is>
      </c>
      <c r="G649" t="n">
        <v>7.8</v>
      </c>
      <c r="H649" t="n">
        <v>0</v>
      </c>
      <c r="I649" t="n">
        <v>0</v>
      </c>
      <c r="J649" t="n">
        <v>0</v>
      </c>
      <c r="K649" t="n">
        <v>0</v>
      </c>
      <c r="L649" t="n">
        <v>0</v>
      </c>
      <c r="M649" t="n">
        <v>0</v>
      </c>
      <c r="N649" t="n">
        <v>0</v>
      </c>
      <c r="O649" t="n">
        <v>0</v>
      </c>
      <c r="P649" t="n">
        <v>0</v>
      </c>
      <c r="Q649" t="n">
        <v>0</v>
      </c>
      <c r="R649" s="2" t="inlineStr"/>
    </row>
    <row r="650" ht="15" customHeight="1">
      <c r="A650" t="inlineStr">
        <is>
          <t>A 15053-2023</t>
        </is>
      </c>
      <c r="B650" s="1" t="n">
        <v>45015</v>
      </c>
      <c r="C650" s="1" t="n">
        <v>46063</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23857-2024</t>
        </is>
      </c>
      <c r="B651" s="1" t="n">
        <v>45455</v>
      </c>
      <c r="C651" s="1" t="n">
        <v>46063</v>
      </c>
      <c r="D651" t="inlineStr">
        <is>
          <t>SKÅNE LÄN</t>
        </is>
      </c>
      <c r="E651" t="inlineStr">
        <is>
          <t>HÄSSLEHOLM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35644-2023</t>
        </is>
      </c>
      <c r="B652" s="1" t="n">
        <v>45147</v>
      </c>
      <c r="C652" s="1" t="n">
        <v>46063</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46185-2022</t>
        </is>
      </c>
      <c r="B653" s="1" t="n">
        <v>44847</v>
      </c>
      <c r="C653" s="1" t="n">
        <v>46063</v>
      </c>
      <c r="D653" t="inlineStr">
        <is>
          <t>SKÅNE LÄN</t>
        </is>
      </c>
      <c r="E653" t="inlineStr">
        <is>
          <t>HÄSSLEHOLM</t>
        </is>
      </c>
      <c r="G653" t="n">
        <v>16.8</v>
      </c>
      <c r="H653" t="n">
        <v>0</v>
      </c>
      <c r="I653" t="n">
        <v>0</v>
      </c>
      <c r="J653" t="n">
        <v>0</v>
      </c>
      <c r="K653" t="n">
        <v>0</v>
      </c>
      <c r="L653" t="n">
        <v>0</v>
      </c>
      <c r="M653" t="n">
        <v>0</v>
      </c>
      <c r="N653" t="n">
        <v>0</v>
      </c>
      <c r="O653" t="n">
        <v>0</v>
      </c>
      <c r="P653" t="n">
        <v>0</v>
      </c>
      <c r="Q653" t="n">
        <v>0</v>
      </c>
      <c r="R653" s="2" t="inlineStr"/>
    </row>
    <row r="654" ht="15" customHeight="1">
      <c r="A654" t="inlineStr">
        <is>
          <t>A 8433-2024</t>
        </is>
      </c>
      <c r="B654" s="1" t="n">
        <v>45353.48434027778</v>
      </c>
      <c r="C654" s="1" t="n">
        <v>46063</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62055-2023</t>
        </is>
      </c>
      <c r="B655" s="1" t="n">
        <v>45266.70287037037</v>
      </c>
      <c r="C655" s="1" t="n">
        <v>46063</v>
      </c>
      <c r="D655" t="inlineStr">
        <is>
          <t>SKÅNE LÄN</t>
        </is>
      </c>
      <c r="E655" t="inlineStr">
        <is>
          <t>HÄSSLEHOLM</t>
        </is>
      </c>
      <c r="G655" t="n">
        <v>5.2</v>
      </c>
      <c r="H655" t="n">
        <v>0</v>
      </c>
      <c r="I655" t="n">
        <v>0</v>
      </c>
      <c r="J655" t="n">
        <v>0</v>
      </c>
      <c r="K655" t="n">
        <v>0</v>
      </c>
      <c r="L655" t="n">
        <v>0</v>
      </c>
      <c r="M655" t="n">
        <v>0</v>
      </c>
      <c r="N655" t="n">
        <v>0</v>
      </c>
      <c r="O655" t="n">
        <v>0</v>
      </c>
      <c r="P655" t="n">
        <v>0</v>
      </c>
      <c r="Q655" t="n">
        <v>0</v>
      </c>
      <c r="R655" s="2" t="inlineStr"/>
    </row>
    <row r="656" ht="15" customHeight="1">
      <c r="A656" t="inlineStr">
        <is>
          <t>A 47161-2025</t>
        </is>
      </c>
      <c r="B656" s="1" t="n">
        <v>45929</v>
      </c>
      <c r="C656" s="1" t="n">
        <v>46063</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54668-2025</t>
        </is>
      </c>
      <c r="B657" s="1" t="n">
        <v>45966.40803240741</v>
      </c>
      <c r="C657" s="1" t="n">
        <v>46063</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54763-2025</t>
        </is>
      </c>
      <c r="B658" s="1" t="n">
        <v>45966.60167824074</v>
      </c>
      <c r="C658" s="1" t="n">
        <v>46063</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54664-2025</t>
        </is>
      </c>
      <c r="B659" s="1" t="n">
        <v>45966.40738425926</v>
      </c>
      <c r="C659" s="1" t="n">
        <v>46063</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54771-2025</t>
        </is>
      </c>
      <c r="B660" s="1" t="n">
        <v>45966.60829861111</v>
      </c>
      <c r="C660" s="1" t="n">
        <v>46063</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13555-2025</t>
        </is>
      </c>
      <c r="B661" s="1" t="n">
        <v>45736</v>
      </c>
      <c r="C661" s="1" t="n">
        <v>46063</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28632-2024</t>
        </is>
      </c>
      <c r="B662" s="1" t="n">
        <v>45478</v>
      </c>
      <c r="C662" s="1" t="n">
        <v>46063</v>
      </c>
      <c r="D662" t="inlineStr">
        <is>
          <t>SKÅNE LÄN</t>
        </is>
      </c>
      <c r="E662" t="inlineStr">
        <is>
          <t>HÄSSLEHOLM</t>
        </is>
      </c>
      <c r="G662" t="n">
        <v>4</v>
      </c>
      <c r="H662" t="n">
        <v>0</v>
      </c>
      <c r="I662" t="n">
        <v>0</v>
      </c>
      <c r="J662" t="n">
        <v>0</v>
      </c>
      <c r="K662" t="n">
        <v>0</v>
      </c>
      <c r="L662" t="n">
        <v>0</v>
      </c>
      <c r="M662" t="n">
        <v>0</v>
      </c>
      <c r="N662" t="n">
        <v>0</v>
      </c>
      <c r="O662" t="n">
        <v>0</v>
      </c>
      <c r="P662" t="n">
        <v>0</v>
      </c>
      <c r="Q662" t="n">
        <v>0</v>
      </c>
      <c r="R662" s="2" t="inlineStr"/>
    </row>
    <row r="663" ht="15" customHeight="1">
      <c r="A663" t="inlineStr">
        <is>
          <t>A 35712-2024</t>
        </is>
      </c>
      <c r="B663" s="1" t="n">
        <v>45532</v>
      </c>
      <c r="C663" s="1" t="n">
        <v>46063</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55268-2025</t>
        </is>
      </c>
      <c r="B664" s="1" t="n">
        <v>45968.6715625</v>
      </c>
      <c r="C664" s="1" t="n">
        <v>46063</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33466-2024</t>
        </is>
      </c>
      <c r="B665" s="1" t="n">
        <v>45519</v>
      </c>
      <c r="C665" s="1" t="n">
        <v>46063</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26397-2023</t>
        </is>
      </c>
      <c r="B666" s="1" t="n">
        <v>45087</v>
      </c>
      <c r="C666" s="1" t="n">
        <v>46063</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27175-2024</t>
        </is>
      </c>
      <c r="B667" s="1" t="n">
        <v>45471.57111111111</v>
      </c>
      <c r="C667" s="1" t="n">
        <v>46063</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27297-2023</t>
        </is>
      </c>
      <c r="B668" s="1" t="n">
        <v>45096</v>
      </c>
      <c r="C668" s="1" t="n">
        <v>46063</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1197-2024</t>
        </is>
      </c>
      <c r="B669" s="1" t="n">
        <v>45302</v>
      </c>
      <c r="C669" s="1" t="n">
        <v>46063</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48097-2024</t>
        </is>
      </c>
      <c r="B670" s="1" t="n">
        <v>45589.61413194444</v>
      </c>
      <c r="C670" s="1" t="n">
        <v>46063</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53077-2022</t>
        </is>
      </c>
      <c r="B671" s="1" t="n">
        <v>44873</v>
      </c>
      <c r="C671" s="1" t="n">
        <v>46063</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55549-2025</t>
        </is>
      </c>
      <c r="B672" s="1" t="n">
        <v>45971.63805555556</v>
      </c>
      <c r="C672" s="1" t="n">
        <v>46063</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55455-2025</t>
        </is>
      </c>
      <c r="B673" s="1" t="n">
        <v>45971</v>
      </c>
      <c r="C673" s="1" t="n">
        <v>46063</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9747-2024</t>
        </is>
      </c>
      <c r="B674" s="1" t="n">
        <v>45362</v>
      </c>
      <c r="C674" s="1" t="n">
        <v>46063</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55458-2025</t>
        </is>
      </c>
      <c r="B675" s="1" t="n">
        <v>45971</v>
      </c>
      <c r="C675" s="1" t="n">
        <v>46063</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19020-2024</t>
        </is>
      </c>
      <c r="B676" s="1" t="n">
        <v>45427.66167824074</v>
      </c>
      <c r="C676" s="1" t="n">
        <v>46063</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52912-2022</t>
        </is>
      </c>
      <c r="B677" s="1" t="n">
        <v>44872</v>
      </c>
      <c r="C677" s="1" t="n">
        <v>46063</v>
      </c>
      <c r="D677" t="inlineStr">
        <is>
          <t>SKÅNE LÄN</t>
        </is>
      </c>
      <c r="E677" t="inlineStr">
        <is>
          <t>HÄSSLEHOLM</t>
        </is>
      </c>
      <c r="G677" t="n">
        <v>4.7</v>
      </c>
      <c r="H677" t="n">
        <v>0</v>
      </c>
      <c r="I677" t="n">
        <v>0</v>
      </c>
      <c r="J677" t="n">
        <v>0</v>
      </c>
      <c r="K677" t="n">
        <v>0</v>
      </c>
      <c r="L677" t="n">
        <v>0</v>
      </c>
      <c r="M677" t="n">
        <v>0</v>
      </c>
      <c r="N677" t="n">
        <v>0</v>
      </c>
      <c r="O677" t="n">
        <v>0</v>
      </c>
      <c r="P677" t="n">
        <v>0</v>
      </c>
      <c r="Q677" t="n">
        <v>0</v>
      </c>
      <c r="R677" s="2" t="inlineStr"/>
    </row>
    <row r="678" ht="15" customHeight="1">
      <c r="A678" t="inlineStr">
        <is>
          <t>A 24640-2023</t>
        </is>
      </c>
      <c r="B678" s="1" t="n">
        <v>45084.43181712963</v>
      </c>
      <c r="C678" s="1" t="n">
        <v>46063</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22535-2024</t>
        </is>
      </c>
      <c r="B679" s="1" t="n">
        <v>45447</v>
      </c>
      <c r="C679" s="1" t="n">
        <v>46063</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30007-2023</t>
        </is>
      </c>
      <c r="B680" s="1" t="n">
        <v>45109.80349537037</v>
      </c>
      <c r="C680" s="1" t="n">
        <v>46063</v>
      </c>
      <c r="D680" t="inlineStr">
        <is>
          <t>SKÅNE LÄN</t>
        </is>
      </c>
      <c r="E680" t="inlineStr">
        <is>
          <t>HÄSSLEHOLM</t>
        </is>
      </c>
      <c r="G680" t="n">
        <v>2.2</v>
      </c>
      <c r="H680" t="n">
        <v>0</v>
      </c>
      <c r="I680" t="n">
        <v>0</v>
      </c>
      <c r="J680" t="n">
        <v>0</v>
      </c>
      <c r="K680" t="n">
        <v>0</v>
      </c>
      <c r="L680" t="n">
        <v>0</v>
      </c>
      <c r="M680" t="n">
        <v>0</v>
      </c>
      <c r="N680" t="n">
        <v>0</v>
      </c>
      <c r="O680" t="n">
        <v>0</v>
      </c>
      <c r="P680" t="n">
        <v>0</v>
      </c>
      <c r="Q680" t="n">
        <v>0</v>
      </c>
      <c r="R680" s="2" t="inlineStr"/>
    </row>
    <row r="681" ht="15" customHeight="1">
      <c r="A681" t="inlineStr">
        <is>
          <t>A 1289-2024</t>
        </is>
      </c>
      <c r="B681" s="1" t="n">
        <v>45303.32234953704</v>
      </c>
      <c r="C681" s="1" t="n">
        <v>46063</v>
      </c>
      <c r="D681" t="inlineStr">
        <is>
          <t>SKÅNE LÄN</t>
        </is>
      </c>
      <c r="E681" t="inlineStr">
        <is>
          <t>HÄSSLEHOLM</t>
        </is>
      </c>
      <c r="G681" t="n">
        <v>4.6</v>
      </c>
      <c r="H681" t="n">
        <v>0</v>
      </c>
      <c r="I681" t="n">
        <v>0</v>
      </c>
      <c r="J681" t="n">
        <v>0</v>
      </c>
      <c r="K681" t="n">
        <v>0</v>
      </c>
      <c r="L681" t="n">
        <v>0</v>
      </c>
      <c r="M681" t="n">
        <v>0</v>
      </c>
      <c r="N681" t="n">
        <v>0</v>
      </c>
      <c r="O681" t="n">
        <v>0</v>
      </c>
      <c r="P681" t="n">
        <v>0</v>
      </c>
      <c r="Q681" t="n">
        <v>0</v>
      </c>
      <c r="R681" s="2" t="inlineStr"/>
    </row>
    <row r="682" ht="15" customHeight="1">
      <c r="A682" t="inlineStr">
        <is>
          <t>A 11715-2023</t>
        </is>
      </c>
      <c r="B682" s="1" t="n">
        <v>44992</v>
      </c>
      <c r="C682" s="1" t="n">
        <v>46063</v>
      </c>
      <c r="D682" t="inlineStr">
        <is>
          <t>SKÅNE LÄN</t>
        </is>
      </c>
      <c r="E682" t="inlineStr">
        <is>
          <t>HÄSSLEHOLM</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25606-2024</t>
        </is>
      </c>
      <c r="B683" s="1" t="n">
        <v>45463.63179398148</v>
      </c>
      <c r="C683" s="1" t="n">
        <v>46063</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1538-2024</t>
        </is>
      </c>
      <c r="B684" s="1" t="n">
        <v>45306</v>
      </c>
      <c r="C684" s="1" t="n">
        <v>46063</v>
      </c>
      <c r="D684" t="inlineStr">
        <is>
          <t>SKÅNE LÄN</t>
        </is>
      </c>
      <c r="E684" t="inlineStr">
        <is>
          <t>HÄSSLEHOLM</t>
        </is>
      </c>
      <c r="G684" t="n">
        <v>4.8</v>
      </c>
      <c r="H684" t="n">
        <v>0</v>
      </c>
      <c r="I684" t="n">
        <v>0</v>
      </c>
      <c r="J684" t="n">
        <v>0</v>
      </c>
      <c r="K684" t="n">
        <v>0</v>
      </c>
      <c r="L684" t="n">
        <v>0</v>
      </c>
      <c r="M684" t="n">
        <v>0</v>
      </c>
      <c r="N684" t="n">
        <v>0</v>
      </c>
      <c r="O684" t="n">
        <v>0</v>
      </c>
      <c r="P684" t="n">
        <v>0</v>
      </c>
      <c r="Q684" t="n">
        <v>0</v>
      </c>
      <c r="R684" s="2" t="inlineStr"/>
    </row>
    <row r="685" ht="15" customHeight="1">
      <c r="A685" t="inlineStr">
        <is>
          <t>A 25533-2024</t>
        </is>
      </c>
      <c r="B685" s="1" t="n">
        <v>45463</v>
      </c>
      <c r="C685" s="1" t="n">
        <v>46063</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31934-2024</t>
        </is>
      </c>
      <c r="B686" s="1" t="n">
        <v>45510.41177083334</v>
      </c>
      <c r="C686" s="1" t="n">
        <v>46063</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29847-2024</t>
        </is>
      </c>
      <c r="B687" s="1" t="n">
        <v>45485.6278587963</v>
      </c>
      <c r="C687" s="1" t="n">
        <v>46063</v>
      </c>
      <c r="D687" t="inlineStr">
        <is>
          <t>SKÅNE LÄN</t>
        </is>
      </c>
      <c r="E687" t="inlineStr">
        <is>
          <t>HÄSSLEHOLM</t>
        </is>
      </c>
      <c r="G687" t="n">
        <v>1.2</v>
      </c>
      <c r="H687" t="n">
        <v>0</v>
      </c>
      <c r="I687" t="n">
        <v>0</v>
      </c>
      <c r="J687" t="n">
        <v>0</v>
      </c>
      <c r="K687" t="n">
        <v>0</v>
      </c>
      <c r="L687" t="n">
        <v>0</v>
      </c>
      <c r="M687" t="n">
        <v>0</v>
      </c>
      <c r="N687" t="n">
        <v>0</v>
      </c>
      <c r="O687" t="n">
        <v>0</v>
      </c>
      <c r="P687" t="n">
        <v>0</v>
      </c>
      <c r="Q687" t="n">
        <v>0</v>
      </c>
      <c r="R687" s="2" t="inlineStr"/>
    </row>
    <row r="688" ht="15" customHeight="1">
      <c r="A688" t="inlineStr">
        <is>
          <t>A 7653-2024</t>
        </is>
      </c>
      <c r="B688" s="1" t="n">
        <v>45348.69043981482</v>
      </c>
      <c r="C688" s="1" t="n">
        <v>46063</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12570-2023</t>
        </is>
      </c>
      <c r="B689" s="1" t="n">
        <v>44999</v>
      </c>
      <c r="C689" s="1" t="n">
        <v>46063</v>
      </c>
      <c r="D689" t="inlineStr">
        <is>
          <t>SKÅNE LÄN</t>
        </is>
      </c>
      <c r="E689" t="inlineStr">
        <is>
          <t>HÄSSLEHOLM</t>
        </is>
      </c>
      <c r="G689" t="n">
        <v>3.4</v>
      </c>
      <c r="H689" t="n">
        <v>0</v>
      </c>
      <c r="I689" t="n">
        <v>0</v>
      </c>
      <c r="J689" t="n">
        <v>0</v>
      </c>
      <c r="K689" t="n">
        <v>0</v>
      </c>
      <c r="L689" t="n">
        <v>0</v>
      </c>
      <c r="M689" t="n">
        <v>0</v>
      </c>
      <c r="N689" t="n">
        <v>0</v>
      </c>
      <c r="O689" t="n">
        <v>0</v>
      </c>
      <c r="P689" t="n">
        <v>0</v>
      </c>
      <c r="Q689" t="n">
        <v>0</v>
      </c>
      <c r="R689" s="2" t="inlineStr"/>
    </row>
    <row r="690" ht="15" customHeight="1">
      <c r="A690" t="inlineStr">
        <is>
          <t>A 14926-2024</t>
        </is>
      </c>
      <c r="B690" s="1" t="n">
        <v>45398</v>
      </c>
      <c r="C690" s="1" t="n">
        <v>46063</v>
      </c>
      <c r="D690" t="inlineStr">
        <is>
          <t>SKÅNE LÄN</t>
        </is>
      </c>
      <c r="E690" t="inlineStr">
        <is>
          <t>HÄSSLEHOLM</t>
        </is>
      </c>
      <c r="G690" t="n">
        <v>3.4</v>
      </c>
      <c r="H690" t="n">
        <v>0</v>
      </c>
      <c r="I690" t="n">
        <v>0</v>
      </c>
      <c r="J690" t="n">
        <v>0</v>
      </c>
      <c r="K690" t="n">
        <v>0</v>
      </c>
      <c r="L690" t="n">
        <v>0</v>
      </c>
      <c r="M690" t="n">
        <v>0</v>
      </c>
      <c r="N690" t="n">
        <v>0</v>
      </c>
      <c r="O690" t="n">
        <v>0</v>
      </c>
      <c r="P690" t="n">
        <v>0</v>
      </c>
      <c r="Q690" t="n">
        <v>0</v>
      </c>
      <c r="R690" s="2" t="inlineStr"/>
    </row>
    <row r="691" ht="15" customHeight="1">
      <c r="A691" t="inlineStr">
        <is>
          <t>A 2688-2024</t>
        </is>
      </c>
      <c r="B691" s="1" t="n">
        <v>45314</v>
      </c>
      <c r="C691" s="1" t="n">
        <v>46063</v>
      </c>
      <c r="D691" t="inlineStr">
        <is>
          <t>SKÅNE LÄN</t>
        </is>
      </c>
      <c r="E691" t="inlineStr">
        <is>
          <t>HÄSSLEHOLM</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36733-2023</t>
        </is>
      </c>
      <c r="B692" s="1" t="n">
        <v>45153.69989583334</v>
      </c>
      <c r="C692" s="1" t="n">
        <v>46063</v>
      </c>
      <c r="D692" t="inlineStr">
        <is>
          <t>SKÅNE LÄN</t>
        </is>
      </c>
      <c r="E692" t="inlineStr">
        <is>
          <t>HÄSSLEHOLM</t>
        </is>
      </c>
      <c r="G692" t="n">
        <v>4.8</v>
      </c>
      <c r="H692" t="n">
        <v>0</v>
      </c>
      <c r="I692" t="n">
        <v>0</v>
      </c>
      <c r="J692" t="n">
        <v>0</v>
      </c>
      <c r="K692" t="n">
        <v>0</v>
      </c>
      <c r="L692" t="n">
        <v>0</v>
      </c>
      <c r="M692" t="n">
        <v>0</v>
      </c>
      <c r="N692" t="n">
        <v>0</v>
      </c>
      <c r="O692" t="n">
        <v>0</v>
      </c>
      <c r="P692" t="n">
        <v>0</v>
      </c>
      <c r="Q692" t="n">
        <v>0</v>
      </c>
      <c r="R692" s="2" t="inlineStr"/>
    </row>
    <row r="693" ht="15" customHeight="1">
      <c r="A693" t="inlineStr">
        <is>
          <t>A 8244-2023</t>
        </is>
      </c>
      <c r="B693" s="1" t="n">
        <v>44974</v>
      </c>
      <c r="C693" s="1" t="n">
        <v>46063</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8246-2023</t>
        </is>
      </c>
      <c r="B694" s="1" t="n">
        <v>44974</v>
      </c>
      <c r="C694" s="1" t="n">
        <v>46063</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34834-2023</t>
        </is>
      </c>
      <c r="B695" s="1" t="n">
        <v>45141.7199537037</v>
      </c>
      <c r="C695" s="1" t="n">
        <v>46063</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24679-2023</t>
        </is>
      </c>
      <c r="B696" s="1" t="n">
        <v>45084</v>
      </c>
      <c r="C696" s="1" t="n">
        <v>46063</v>
      </c>
      <c r="D696" t="inlineStr">
        <is>
          <t>SKÅNE LÄN</t>
        </is>
      </c>
      <c r="E696" t="inlineStr">
        <is>
          <t>HÄSSLEHOLM</t>
        </is>
      </c>
      <c r="G696" t="n">
        <v>7.1</v>
      </c>
      <c r="H696" t="n">
        <v>0</v>
      </c>
      <c r="I696" t="n">
        <v>0</v>
      </c>
      <c r="J696" t="n">
        <v>0</v>
      </c>
      <c r="K696" t="n">
        <v>0</v>
      </c>
      <c r="L696" t="n">
        <v>0</v>
      </c>
      <c r="M696" t="n">
        <v>0</v>
      </c>
      <c r="N696" t="n">
        <v>0</v>
      </c>
      <c r="O696" t="n">
        <v>0</v>
      </c>
      <c r="P696" t="n">
        <v>0</v>
      </c>
      <c r="Q696" t="n">
        <v>0</v>
      </c>
      <c r="R696" s="2" t="inlineStr"/>
    </row>
    <row r="697" ht="15" customHeight="1">
      <c r="A697" t="inlineStr">
        <is>
          <t>A 15508-2023</t>
        </is>
      </c>
      <c r="B697" s="1" t="n">
        <v>45020.50045138889</v>
      </c>
      <c r="C697" s="1" t="n">
        <v>46063</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34187-2023</t>
        </is>
      </c>
      <c r="B698" s="1" t="n">
        <v>45138</v>
      </c>
      <c r="C698" s="1" t="n">
        <v>46063</v>
      </c>
      <c r="D698" t="inlineStr">
        <is>
          <t>SKÅNE LÄN</t>
        </is>
      </c>
      <c r="E698" t="inlineStr">
        <is>
          <t>HÄSSLEHOLM</t>
        </is>
      </c>
      <c r="G698" t="n">
        <v>0.4</v>
      </c>
      <c r="H698" t="n">
        <v>0</v>
      </c>
      <c r="I698" t="n">
        <v>0</v>
      </c>
      <c r="J698" t="n">
        <v>0</v>
      </c>
      <c r="K698" t="n">
        <v>0</v>
      </c>
      <c r="L698" t="n">
        <v>0</v>
      </c>
      <c r="M698" t="n">
        <v>0</v>
      </c>
      <c r="N698" t="n">
        <v>0</v>
      </c>
      <c r="O698" t="n">
        <v>0</v>
      </c>
      <c r="P698" t="n">
        <v>0</v>
      </c>
      <c r="Q698" t="n">
        <v>0</v>
      </c>
      <c r="R698" s="2" t="inlineStr"/>
    </row>
    <row r="699" ht="15" customHeight="1">
      <c r="A699" t="inlineStr">
        <is>
          <t>A 11019-2025</t>
        </is>
      </c>
      <c r="B699" s="1" t="n">
        <v>45723</v>
      </c>
      <c r="C699" s="1" t="n">
        <v>46063</v>
      </c>
      <c r="D699" t="inlineStr">
        <is>
          <t>SKÅNE LÄN</t>
        </is>
      </c>
      <c r="E699" t="inlineStr">
        <is>
          <t>HÄSSLEHOLM</t>
        </is>
      </c>
      <c r="G699" t="n">
        <v>3.2</v>
      </c>
      <c r="H699" t="n">
        <v>0</v>
      </c>
      <c r="I699" t="n">
        <v>0</v>
      </c>
      <c r="J699" t="n">
        <v>0</v>
      </c>
      <c r="K699" t="n">
        <v>0</v>
      </c>
      <c r="L699" t="n">
        <v>0</v>
      </c>
      <c r="M699" t="n">
        <v>0</v>
      </c>
      <c r="N699" t="n">
        <v>0</v>
      </c>
      <c r="O699" t="n">
        <v>0</v>
      </c>
      <c r="P699" t="n">
        <v>0</v>
      </c>
      <c r="Q699" t="n">
        <v>0</v>
      </c>
      <c r="R699" s="2" t="inlineStr"/>
    </row>
    <row r="700" ht="15" customHeight="1">
      <c r="A700" t="inlineStr">
        <is>
          <t>A 56062-2024</t>
        </is>
      </c>
      <c r="B700" s="1" t="n">
        <v>45624.37105324074</v>
      </c>
      <c r="C700" s="1" t="n">
        <v>46063</v>
      </c>
      <c r="D700" t="inlineStr">
        <is>
          <t>SKÅNE LÄN</t>
        </is>
      </c>
      <c r="E700" t="inlineStr">
        <is>
          <t>HÄSSLEHOLM</t>
        </is>
      </c>
      <c r="F700" t="inlineStr">
        <is>
          <t>Övriga Aktiebolag</t>
        </is>
      </c>
      <c r="G700" t="n">
        <v>0.6</v>
      </c>
      <c r="H700" t="n">
        <v>0</v>
      </c>
      <c r="I700" t="n">
        <v>0</v>
      </c>
      <c r="J700" t="n">
        <v>0</v>
      </c>
      <c r="K700" t="n">
        <v>0</v>
      </c>
      <c r="L700" t="n">
        <v>0</v>
      </c>
      <c r="M700" t="n">
        <v>0</v>
      </c>
      <c r="N700" t="n">
        <v>0</v>
      </c>
      <c r="O700" t="n">
        <v>0</v>
      </c>
      <c r="P700" t="n">
        <v>0</v>
      </c>
      <c r="Q700" t="n">
        <v>0</v>
      </c>
      <c r="R700" s="2" t="inlineStr"/>
    </row>
    <row r="701" ht="15" customHeight="1">
      <c r="A701" t="inlineStr">
        <is>
          <t>A 45299-2024</t>
        </is>
      </c>
      <c r="B701" s="1" t="n">
        <v>45576.40599537037</v>
      </c>
      <c r="C701" s="1" t="n">
        <v>46063</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34369-2023</t>
        </is>
      </c>
      <c r="B702" s="1" t="n">
        <v>45139.47817129629</v>
      </c>
      <c r="C702" s="1" t="n">
        <v>46063</v>
      </c>
      <c r="D702" t="inlineStr">
        <is>
          <t>SKÅNE LÄN</t>
        </is>
      </c>
      <c r="E702" t="inlineStr">
        <is>
          <t>HÄSSLEHOLM</t>
        </is>
      </c>
      <c r="G702" t="n">
        <v>2</v>
      </c>
      <c r="H702" t="n">
        <v>0</v>
      </c>
      <c r="I702" t="n">
        <v>0</v>
      </c>
      <c r="J702" t="n">
        <v>0</v>
      </c>
      <c r="K702" t="n">
        <v>0</v>
      </c>
      <c r="L702" t="n">
        <v>0</v>
      </c>
      <c r="M702" t="n">
        <v>0</v>
      </c>
      <c r="N702" t="n">
        <v>0</v>
      </c>
      <c r="O702" t="n">
        <v>0</v>
      </c>
      <c r="P702" t="n">
        <v>0</v>
      </c>
      <c r="Q702" t="n">
        <v>0</v>
      </c>
      <c r="R702" s="2" t="inlineStr"/>
    </row>
    <row r="703" ht="15" customHeight="1">
      <c r="A703" t="inlineStr">
        <is>
          <t>A 56794-2025</t>
        </is>
      </c>
      <c r="B703" s="1" t="n">
        <v>45978.43039351852</v>
      </c>
      <c r="C703" s="1" t="n">
        <v>46063</v>
      </c>
      <c r="D703" t="inlineStr">
        <is>
          <t>SKÅNE LÄN</t>
        </is>
      </c>
      <c r="E703" t="inlineStr">
        <is>
          <t>HÄSSLEHOLM</t>
        </is>
      </c>
      <c r="G703" t="n">
        <v>2.3</v>
      </c>
      <c r="H703" t="n">
        <v>0</v>
      </c>
      <c r="I703" t="n">
        <v>0</v>
      </c>
      <c r="J703" t="n">
        <v>0</v>
      </c>
      <c r="K703" t="n">
        <v>0</v>
      </c>
      <c r="L703" t="n">
        <v>0</v>
      </c>
      <c r="M703" t="n">
        <v>0</v>
      </c>
      <c r="N703" t="n">
        <v>0</v>
      </c>
      <c r="O703" t="n">
        <v>0</v>
      </c>
      <c r="P703" t="n">
        <v>0</v>
      </c>
      <c r="Q703" t="n">
        <v>0</v>
      </c>
      <c r="R703" s="2" t="inlineStr"/>
    </row>
    <row r="704" ht="15" customHeight="1">
      <c r="A704" t="inlineStr">
        <is>
          <t>A 8378-2023</t>
        </is>
      </c>
      <c r="B704" s="1" t="n">
        <v>44971</v>
      </c>
      <c r="C704" s="1" t="n">
        <v>46063</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56667-2025</t>
        </is>
      </c>
      <c r="B705" s="1" t="n">
        <v>45975.68508101852</v>
      </c>
      <c r="C705" s="1" t="n">
        <v>46063</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56767-2025</t>
        </is>
      </c>
      <c r="B706" s="1" t="n">
        <v>45978.38178240741</v>
      </c>
      <c r="C706" s="1" t="n">
        <v>46063</v>
      </c>
      <c r="D706" t="inlineStr">
        <is>
          <t>SKÅNE LÄN</t>
        </is>
      </c>
      <c r="E706" t="inlineStr">
        <is>
          <t>HÄSSLEHOLM</t>
        </is>
      </c>
      <c r="G706" t="n">
        <v>1.7</v>
      </c>
      <c r="H706" t="n">
        <v>0</v>
      </c>
      <c r="I706" t="n">
        <v>0</v>
      </c>
      <c r="J706" t="n">
        <v>0</v>
      </c>
      <c r="K706" t="n">
        <v>0</v>
      </c>
      <c r="L706" t="n">
        <v>0</v>
      </c>
      <c r="M706" t="n">
        <v>0</v>
      </c>
      <c r="N706" t="n">
        <v>0</v>
      </c>
      <c r="O706" t="n">
        <v>0</v>
      </c>
      <c r="P706" t="n">
        <v>0</v>
      </c>
      <c r="Q706" t="n">
        <v>0</v>
      </c>
      <c r="R706" s="2" t="inlineStr"/>
    </row>
    <row r="707" ht="15" customHeight="1">
      <c r="A707" t="inlineStr">
        <is>
          <t>A 56769-2025</t>
        </is>
      </c>
      <c r="B707" s="1" t="n">
        <v>45978.38429398148</v>
      </c>
      <c r="C707" s="1" t="n">
        <v>46063</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56798-2025</t>
        </is>
      </c>
      <c r="B708" s="1" t="n">
        <v>45978.43378472222</v>
      </c>
      <c r="C708" s="1" t="n">
        <v>46063</v>
      </c>
      <c r="D708" t="inlineStr">
        <is>
          <t>SKÅNE LÄN</t>
        </is>
      </c>
      <c r="E708" t="inlineStr">
        <is>
          <t>HÄSSLEHOLM</t>
        </is>
      </c>
      <c r="G708" t="n">
        <v>1.2</v>
      </c>
      <c r="H708" t="n">
        <v>0</v>
      </c>
      <c r="I708" t="n">
        <v>0</v>
      </c>
      <c r="J708" t="n">
        <v>0</v>
      </c>
      <c r="K708" t="n">
        <v>0</v>
      </c>
      <c r="L708" t="n">
        <v>0</v>
      </c>
      <c r="M708" t="n">
        <v>0</v>
      </c>
      <c r="N708" t="n">
        <v>0</v>
      </c>
      <c r="O708" t="n">
        <v>0</v>
      </c>
      <c r="P708" t="n">
        <v>0</v>
      </c>
      <c r="Q708" t="n">
        <v>0</v>
      </c>
      <c r="R708" s="2" t="inlineStr"/>
    </row>
    <row r="709" ht="15" customHeight="1">
      <c r="A709" t="inlineStr">
        <is>
          <t>A 60704-2023</t>
        </is>
      </c>
      <c r="B709" s="1" t="n">
        <v>45260.51340277777</v>
      </c>
      <c r="C709" s="1" t="n">
        <v>46063</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61569-2023</t>
        </is>
      </c>
      <c r="B710" s="1" t="n">
        <v>45265</v>
      </c>
      <c r="C710" s="1" t="n">
        <v>46063</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56797-2025</t>
        </is>
      </c>
      <c r="B711" s="1" t="n">
        <v>45978.43273148148</v>
      </c>
      <c r="C711" s="1" t="n">
        <v>46063</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315-2022</t>
        </is>
      </c>
      <c r="B712" s="1" t="n">
        <v>44565.55630787037</v>
      </c>
      <c r="C712" s="1" t="n">
        <v>46063</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31161-2024</t>
        </is>
      </c>
      <c r="B713" s="1" t="n">
        <v>45503</v>
      </c>
      <c r="C713" s="1" t="n">
        <v>46063</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33067-2024</t>
        </is>
      </c>
      <c r="B714" s="1" t="n">
        <v>45517.6520949074</v>
      </c>
      <c r="C714" s="1" t="n">
        <v>46063</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30092-2025</t>
        </is>
      </c>
      <c r="B715" s="1" t="n">
        <v>45826</v>
      </c>
      <c r="C715" s="1" t="n">
        <v>46063</v>
      </c>
      <c r="D715" t="inlineStr">
        <is>
          <t>SKÅNE LÄN</t>
        </is>
      </c>
      <c r="E715" t="inlineStr">
        <is>
          <t>HÄSSLEHOLM</t>
        </is>
      </c>
      <c r="G715" t="n">
        <v>1.4</v>
      </c>
      <c r="H715" t="n">
        <v>0</v>
      </c>
      <c r="I715" t="n">
        <v>0</v>
      </c>
      <c r="J715" t="n">
        <v>0</v>
      </c>
      <c r="K715" t="n">
        <v>0</v>
      </c>
      <c r="L715" t="n">
        <v>0</v>
      </c>
      <c r="M715" t="n">
        <v>0</v>
      </c>
      <c r="N715" t="n">
        <v>0</v>
      </c>
      <c r="O715" t="n">
        <v>0</v>
      </c>
      <c r="P715" t="n">
        <v>0</v>
      </c>
      <c r="Q715" t="n">
        <v>0</v>
      </c>
      <c r="R715" s="2" t="inlineStr"/>
    </row>
    <row r="716" ht="15" customHeight="1">
      <c r="A716" t="inlineStr">
        <is>
          <t>A 30109-2025</t>
        </is>
      </c>
      <c r="B716" s="1" t="n">
        <v>45826</v>
      </c>
      <c r="C716" s="1" t="n">
        <v>46063</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55569-2025</t>
        </is>
      </c>
      <c r="B717" s="1" t="n">
        <v>45971</v>
      </c>
      <c r="C717" s="1" t="n">
        <v>46063</v>
      </c>
      <c r="D717" t="inlineStr">
        <is>
          <t>SKÅNE LÄN</t>
        </is>
      </c>
      <c r="E717" t="inlineStr">
        <is>
          <t>HÄSSLEHOLM</t>
        </is>
      </c>
      <c r="G717" t="n">
        <v>4.2</v>
      </c>
      <c r="H717" t="n">
        <v>0</v>
      </c>
      <c r="I717" t="n">
        <v>0</v>
      </c>
      <c r="J717" t="n">
        <v>0</v>
      </c>
      <c r="K717" t="n">
        <v>0</v>
      </c>
      <c r="L717" t="n">
        <v>0</v>
      </c>
      <c r="M717" t="n">
        <v>0</v>
      </c>
      <c r="N717" t="n">
        <v>0</v>
      </c>
      <c r="O717" t="n">
        <v>0</v>
      </c>
      <c r="P717" t="n">
        <v>0</v>
      </c>
      <c r="Q717" t="n">
        <v>0</v>
      </c>
      <c r="R717" s="2" t="inlineStr"/>
    </row>
    <row r="718" ht="15" customHeight="1">
      <c r="A718" t="inlineStr">
        <is>
          <t>A 38888-2023</t>
        </is>
      </c>
      <c r="B718" s="1" t="n">
        <v>45161</v>
      </c>
      <c r="C718" s="1" t="n">
        <v>46063</v>
      </c>
      <c r="D718" t="inlineStr">
        <is>
          <t>SKÅNE LÄN</t>
        </is>
      </c>
      <c r="E718" t="inlineStr">
        <is>
          <t>HÄSSLEHOLM</t>
        </is>
      </c>
      <c r="G718" t="n">
        <v>1.6</v>
      </c>
      <c r="H718" t="n">
        <v>0</v>
      </c>
      <c r="I718" t="n">
        <v>0</v>
      </c>
      <c r="J718" t="n">
        <v>0</v>
      </c>
      <c r="K718" t="n">
        <v>0</v>
      </c>
      <c r="L718" t="n">
        <v>0</v>
      </c>
      <c r="M718" t="n">
        <v>0</v>
      </c>
      <c r="N718" t="n">
        <v>0</v>
      </c>
      <c r="O718" t="n">
        <v>0</v>
      </c>
      <c r="P718" t="n">
        <v>0</v>
      </c>
      <c r="Q718" t="n">
        <v>0</v>
      </c>
      <c r="R718" s="2" t="inlineStr"/>
    </row>
    <row r="719" ht="15" customHeight="1">
      <c r="A719" t="inlineStr">
        <is>
          <t>A 5992-2022</t>
        </is>
      </c>
      <c r="B719" s="1" t="n">
        <v>44599</v>
      </c>
      <c r="C719" s="1" t="n">
        <v>46063</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11240-2023</t>
        </is>
      </c>
      <c r="B720" s="1" t="n">
        <v>44992</v>
      </c>
      <c r="C720" s="1" t="n">
        <v>46063</v>
      </c>
      <c r="D720" t="inlineStr">
        <is>
          <t>SKÅNE LÄN</t>
        </is>
      </c>
      <c r="E720" t="inlineStr">
        <is>
          <t>HÄSSLEHOLM</t>
        </is>
      </c>
      <c r="G720" t="n">
        <v>2.1</v>
      </c>
      <c r="H720" t="n">
        <v>0</v>
      </c>
      <c r="I720" t="n">
        <v>0</v>
      </c>
      <c r="J720" t="n">
        <v>0</v>
      </c>
      <c r="K720" t="n">
        <v>0</v>
      </c>
      <c r="L720" t="n">
        <v>0</v>
      </c>
      <c r="M720" t="n">
        <v>0</v>
      </c>
      <c r="N720" t="n">
        <v>0</v>
      </c>
      <c r="O720" t="n">
        <v>0</v>
      </c>
      <c r="P720" t="n">
        <v>0</v>
      </c>
      <c r="Q720" t="n">
        <v>0</v>
      </c>
      <c r="R720" s="2" t="inlineStr"/>
    </row>
    <row r="721" ht="15" customHeight="1">
      <c r="A721" t="inlineStr">
        <is>
          <t>A 3248-2022</t>
        </is>
      </c>
      <c r="B721" s="1" t="n">
        <v>44583</v>
      </c>
      <c r="C721" s="1" t="n">
        <v>46063</v>
      </c>
      <c r="D721" t="inlineStr">
        <is>
          <t>SKÅNE LÄN</t>
        </is>
      </c>
      <c r="E721" t="inlineStr">
        <is>
          <t>HÄSSLEHOLM</t>
        </is>
      </c>
      <c r="G721" t="n">
        <v>3</v>
      </c>
      <c r="H721" t="n">
        <v>0</v>
      </c>
      <c r="I721" t="n">
        <v>0</v>
      </c>
      <c r="J721" t="n">
        <v>0</v>
      </c>
      <c r="K721" t="n">
        <v>0</v>
      </c>
      <c r="L721" t="n">
        <v>0</v>
      </c>
      <c r="M721" t="n">
        <v>0</v>
      </c>
      <c r="N721" t="n">
        <v>0</v>
      </c>
      <c r="O721" t="n">
        <v>0</v>
      </c>
      <c r="P721" t="n">
        <v>0</v>
      </c>
      <c r="Q721" t="n">
        <v>0</v>
      </c>
      <c r="R721" s="2" t="inlineStr"/>
    </row>
    <row r="722" ht="15" customHeight="1">
      <c r="A722" t="inlineStr">
        <is>
          <t>A 6310-2025</t>
        </is>
      </c>
      <c r="B722" s="1" t="n">
        <v>45698</v>
      </c>
      <c r="C722" s="1" t="n">
        <v>46063</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57817-2025</t>
        </is>
      </c>
      <c r="B723" s="1" t="n">
        <v>45981.59475694445</v>
      </c>
      <c r="C723" s="1" t="n">
        <v>46063</v>
      </c>
      <c r="D723" t="inlineStr">
        <is>
          <t>SKÅNE LÄN</t>
        </is>
      </c>
      <c r="E723" t="inlineStr">
        <is>
          <t>HÄSSLEHOLM</t>
        </is>
      </c>
      <c r="G723" t="n">
        <v>3.8</v>
      </c>
      <c r="H723" t="n">
        <v>0</v>
      </c>
      <c r="I723" t="n">
        <v>0</v>
      </c>
      <c r="J723" t="n">
        <v>0</v>
      </c>
      <c r="K723" t="n">
        <v>0</v>
      </c>
      <c r="L723" t="n">
        <v>0</v>
      </c>
      <c r="M723" t="n">
        <v>0</v>
      </c>
      <c r="N723" t="n">
        <v>0</v>
      </c>
      <c r="O723" t="n">
        <v>0</v>
      </c>
      <c r="P723" t="n">
        <v>0</v>
      </c>
      <c r="Q723" t="n">
        <v>0</v>
      </c>
      <c r="R723" s="2" t="inlineStr"/>
    </row>
    <row r="724" ht="15" customHeight="1">
      <c r="A724" t="inlineStr">
        <is>
          <t>A 16474-2025</t>
        </is>
      </c>
      <c r="B724" s="1" t="n">
        <v>45751.56834490741</v>
      </c>
      <c r="C724" s="1" t="n">
        <v>46063</v>
      </c>
      <c r="D724" t="inlineStr">
        <is>
          <t>SKÅNE LÄN</t>
        </is>
      </c>
      <c r="E724" t="inlineStr">
        <is>
          <t>HÄSSLEHOLM</t>
        </is>
      </c>
      <c r="G724" t="n">
        <v>5.9</v>
      </c>
      <c r="H724" t="n">
        <v>0</v>
      </c>
      <c r="I724" t="n">
        <v>0</v>
      </c>
      <c r="J724" t="n">
        <v>0</v>
      </c>
      <c r="K724" t="n">
        <v>0</v>
      </c>
      <c r="L724" t="n">
        <v>0</v>
      </c>
      <c r="M724" t="n">
        <v>0</v>
      </c>
      <c r="N724" t="n">
        <v>0</v>
      </c>
      <c r="O724" t="n">
        <v>0</v>
      </c>
      <c r="P724" t="n">
        <v>0</v>
      </c>
      <c r="Q724" t="n">
        <v>0</v>
      </c>
      <c r="R724" s="2" t="inlineStr"/>
    </row>
    <row r="725" ht="15" customHeight="1">
      <c r="A725" t="inlineStr">
        <is>
          <t>A 8524-2024</t>
        </is>
      </c>
      <c r="B725" s="1" t="n">
        <v>45355.48570601852</v>
      </c>
      <c r="C725" s="1" t="n">
        <v>46063</v>
      </c>
      <c r="D725" t="inlineStr">
        <is>
          <t>SKÅNE LÄN</t>
        </is>
      </c>
      <c r="E725" t="inlineStr">
        <is>
          <t>HÄSSLEHOLM</t>
        </is>
      </c>
      <c r="G725" t="n">
        <v>4</v>
      </c>
      <c r="H725" t="n">
        <v>0</v>
      </c>
      <c r="I725" t="n">
        <v>0</v>
      </c>
      <c r="J725" t="n">
        <v>0</v>
      </c>
      <c r="K725" t="n">
        <v>0</v>
      </c>
      <c r="L725" t="n">
        <v>0</v>
      </c>
      <c r="M725" t="n">
        <v>0</v>
      </c>
      <c r="N725" t="n">
        <v>0</v>
      </c>
      <c r="O725" t="n">
        <v>0</v>
      </c>
      <c r="P725" t="n">
        <v>0</v>
      </c>
      <c r="Q725" t="n">
        <v>0</v>
      </c>
      <c r="R725" s="2" t="inlineStr"/>
    </row>
    <row r="726" ht="15" customHeight="1">
      <c r="A726" t="inlineStr">
        <is>
          <t>A 22157-2024</t>
        </is>
      </c>
      <c r="B726" s="1" t="n">
        <v>45445.85290509259</v>
      </c>
      <c r="C726" s="1" t="n">
        <v>46063</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14145-2023</t>
        </is>
      </c>
      <c r="B727" s="1" t="n">
        <v>45009</v>
      </c>
      <c r="C727" s="1" t="n">
        <v>46063</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12344-2023</t>
        </is>
      </c>
      <c r="B728" s="1" t="n">
        <v>44999</v>
      </c>
      <c r="C728" s="1" t="n">
        <v>46063</v>
      </c>
      <c r="D728" t="inlineStr">
        <is>
          <t>SKÅNE LÄN</t>
        </is>
      </c>
      <c r="E728" t="inlineStr">
        <is>
          <t>HÄSSLEHOLM</t>
        </is>
      </c>
      <c r="G728" t="n">
        <v>2.4</v>
      </c>
      <c r="H728" t="n">
        <v>0</v>
      </c>
      <c r="I728" t="n">
        <v>0</v>
      </c>
      <c r="J728" t="n">
        <v>0</v>
      </c>
      <c r="K728" t="n">
        <v>0</v>
      </c>
      <c r="L728" t="n">
        <v>0</v>
      </c>
      <c r="M728" t="n">
        <v>0</v>
      </c>
      <c r="N728" t="n">
        <v>0</v>
      </c>
      <c r="O728" t="n">
        <v>0</v>
      </c>
      <c r="P728" t="n">
        <v>0</v>
      </c>
      <c r="Q728" t="n">
        <v>0</v>
      </c>
      <c r="R728" s="2" t="inlineStr"/>
    </row>
    <row r="729" ht="15" customHeight="1">
      <c r="A729" t="inlineStr">
        <is>
          <t>A 58272-2024</t>
        </is>
      </c>
      <c r="B729" s="1" t="n">
        <v>45632.57025462963</v>
      </c>
      <c r="C729" s="1" t="n">
        <v>46063</v>
      </c>
      <c r="D729" t="inlineStr">
        <is>
          <t>SKÅNE LÄN</t>
        </is>
      </c>
      <c r="E729" t="inlineStr">
        <is>
          <t>HÄSSLEHOLM</t>
        </is>
      </c>
      <c r="G729" t="n">
        <v>2.3</v>
      </c>
      <c r="H729" t="n">
        <v>0</v>
      </c>
      <c r="I729" t="n">
        <v>0</v>
      </c>
      <c r="J729" t="n">
        <v>0</v>
      </c>
      <c r="K729" t="n">
        <v>0</v>
      </c>
      <c r="L729" t="n">
        <v>0</v>
      </c>
      <c r="M729" t="n">
        <v>0</v>
      </c>
      <c r="N729" t="n">
        <v>0</v>
      </c>
      <c r="O729" t="n">
        <v>0</v>
      </c>
      <c r="P729" t="n">
        <v>0</v>
      </c>
      <c r="Q729" t="n">
        <v>0</v>
      </c>
      <c r="R729" s="2" t="inlineStr"/>
    </row>
    <row r="730" ht="15" customHeight="1">
      <c r="A730" t="inlineStr">
        <is>
          <t>A 58241-2025</t>
        </is>
      </c>
      <c r="B730" s="1" t="n">
        <v>45985.38797453704</v>
      </c>
      <c r="C730" s="1" t="n">
        <v>46063</v>
      </c>
      <c r="D730" t="inlineStr">
        <is>
          <t>SKÅNE LÄN</t>
        </is>
      </c>
      <c r="E730" t="inlineStr">
        <is>
          <t>HÄSSLEHOLM</t>
        </is>
      </c>
      <c r="G730" t="n">
        <v>3.6</v>
      </c>
      <c r="H730" t="n">
        <v>0</v>
      </c>
      <c r="I730" t="n">
        <v>0</v>
      </c>
      <c r="J730" t="n">
        <v>0</v>
      </c>
      <c r="K730" t="n">
        <v>0</v>
      </c>
      <c r="L730" t="n">
        <v>0</v>
      </c>
      <c r="M730" t="n">
        <v>0</v>
      </c>
      <c r="N730" t="n">
        <v>0</v>
      </c>
      <c r="O730" t="n">
        <v>0</v>
      </c>
      <c r="P730" t="n">
        <v>0</v>
      </c>
      <c r="Q730" t="n">
        <v>0</v>
      </c>
      <c r="R730" s="2" t="inlineStr"/>
    </row>
    <row r="731" ht="15" customHeight="1">
      <c r="A731" t="inlineStr">
        <is>
          <t>A 31391-2023</t>
        </is>
      </c>
      <c r="B731" s="1" t="n">
        <v>45114.56143518518</v>
      </c>
      <c r="C731" s="1" t="n">
        <v>46063</v>
      </c>
      <c r="D731" t="inlineStr">
        <is>
          <t>SKÅNE LÄN</t>
        </is>
      </c>
      <c r="E731" t="inlineStr">
        <is>
          <t>HÄSSLEHOLM</t>
        </is>
      </c>
      <c r="G731" t="n">
        <v>3.1</v>
      </c>
      <c r="H731" t="n">
        <v>0</v>
      </c>
      <c r="I731" t="n">
        <v>0</v>
      </c>
      <c r="J731" t="n">
        <v>0</v>
      </c>
      <c r="K731" t="n">
        <v>0</v>
      </c>
      <c r="L731" t="n">
        <v>0</v>
      </c>
      <c r="M731" t="n">
        <v>0</v>
      </c>
      <c r="N731" t="n">
        <v>0</v>
      </c>
      <c r="O731" t="n">
        <v>0</v>
      </c>
      <c r="P731" t="n">
        <v>0</v>
      </c>
      <c r="Q731" t="n">
        <v>0</v>
      </c>
      <c r="R731" s="2" t="inlineStr"/>
    </row>
    <row r="732" ht="15" customHeight="1">
      <c r="A732" t="inlineStr">
        <is>
          <t>A 11753-2025</t>
        </is>
      </c>
      <c r="B732" s="1" t="n">
        <v>45727</v>
      </c>
      <c r="C732" s="1" t="n">
        <v>46063</v>
      </c>
      <c r="D732" t="inlineStr">
        <is>
          <t>SKÅNE LÄN</t>
        </is>
      </c>
      <c r="E732" t="inlineStr">
        <is>
          <t>HÄSSLEHOLM</t>
        </is>
      </c>
      <c r="G732" t="n">
        <v>2.7</v>
      </c>
      <c r="H732" t="n">
        <v>0</v>
      </c>
      <c r="I732" t="n">
        <v>0</v>
      </c>
      <c r="J732" t="n">
        <v>0</v>
      </c>
      <c r="K732" t="n">
        <v>0</v>
      </c>
      <c r="L732" t="n">
        <v>0</v>
      </c>
      <c r="M732" t="n">
        <v>0</v>
      </c>
      <c r="N732" t="n">
        <v>0</v>
      </c>
      <c r="O732" t="n">
        <v>0</v>
      </c>
      <c r="P732" t="n">
        <v>0</v>
      </c>
      <c r="Q732" t="n">
        <v>0</v>
      </c>
      <c r="R732" s="2" t="inlineStr"/>
    </row>
    <row r="733" ht="15" customHeight="1">
      <c r="A733" t="inlineStr">
        <is>
          <t>A 45361-2023</t>
        </is>
      </c>
      <c r="B733" s="1" t="n">
        <v>45192.49068287037</v>
      </c>
      <c r="C733" s="1" t="n">
        <v>46063</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45220-2023</t>
        </is>
      </c>
      <c r="B734" s="1" t="n">
        <v>45191</v>
      </c>
      <c r="C734" s="1" t="n">
        <v>46063</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931-2026</t>
        </is>
      </c>
      <c r="B735" s="1" t="n">
        <v>46030.51495370371</v>
      </c>
      <c r="C735" s="1" t="n">
        <v>46063</v>
      </c>
      <c r="D735" t="inlineStr">
        <is>
          <t>SKÅNE LÄN</t>
        </is>
      </c>
      <c r="E735" t="inlineStr">
        <is>
          <t>HÄSSLEHOLM</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38712-2024</t>
        </is>
      </c>
      <c r="B736" s="1" t="n">
        <v>45547</v>
      </c>
      <c r="C736" s="1" t="n">
        <v>46063</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57647-2024</t>
        </is>
      </c>
      <c r="B737" s="1" t="n">
        <v>45630</v>
      </c>
      <c r="C737" s="1" t="n">
        <v>46063</v>
      </c>
      <c r="D737" t="inlineStr">
        <is>
          <t>SKÅNE LÄN</t>
        </is>
      </c>
      <c r="E737" t="inlineStr">
        <is>
          <t>HÄSSLEHOLM</t>
        </is>
      </c>
      <c r="G737" t="n">
        <v>2.9</v>
      </c>
      <c r="H737" t="n">
        <v>0</v>
      </c>
      <c r="I737" t="n">
        <v>0</v>
      </c>
      <c r="J737" t="n">
        <v>0</v>
      </c>
      <c r="K737" t="n">
        <v>0</v>
      </c>
      <c r="L737" t="n">
        <v>0</v>
      </c>
      <c r="M737" t="n">
        <v>0</v>
      </c>
      <c r="N737" t="n">
        <v>0</v>
      </c>
      <c r="O737" t="n">
        <v>0</v>
      </c>
      <c r="P737" t="n">
        <v>0</v>
      </c>
      <c r="Q737" t="n">
        <v>0</v>
      </c>
      <c r="R737" s="2" t="inlineStr"/>
    </row>
    <row r="738" ht="15" customHeight="1">
      <c r="A738" t="inlineStr">
        <is>
          <t>A 61182-2024</t>
        </is>
      </c>
      <c r="B738" s="1" t="n">
        <v>45645</v>
      </c>
      <c r="C738" s="1" t="n">
        <v>46063</v>
      </c>
      <c r="D738" t="inlineStr">
        <is>
          <t>SKÅNE LÄN</t>
        </is>
      </c>
      <c r="E738" t="inlineStr">
        <is>
          <t>HÄSSLEHOLM</t>
        </is>
      </c>
      <c r="G738" t="n">
        <v>3.2</v>
      </c>
      <c r="H738" t="n">
        <v>0</v>
      </c>
      <c r="I738" t="n">
        <v>0</v>
      </c>
      <c r="J738" t="n">
        <v>0</v>
      </c>
      <c r="K738" t="n">
        <v>0</v>
      </c>
      <c r="L738" t="n">
        <v>0</v>
      </c>
      <c r="M738" t="n">
        <v>0</v>
      </c>
      <c r="N738" t="n">
        <v>0</v>
      </c>
      <c r="O738" t="n">
        <v>0</v>
      </c>
      <c r="P738" t="n">
        <v>0</v>
      </c>
      <c r="Q738" t="n">
        <v>0</v>
      </c>
      <c r="R738" s="2" t="inlineStr"/>
    </row>
    <row r="739" ht="15" customHeight="1">
      <c r="A739" t="inlineStr">
        <is>
          <t>A 13990-2022</t>
        </is>
      </c>
      <c r="B739" s="1" t="n">
        <v>44650</v>
      </c>
      <c r="C739" s="1" t="n">
        <v>46063</v>
      </c>
      <c r="D739" t="inlineStr">
        <is>
          <t>SKÅNE LÄN</t>
        </is>
      </c>
      <c r="E739" t="inlineStr">
        <is>
          <t>HÄSSLEHOLM</t>
        </is>
      </c>
      <c r="G739" t="n">
        <v>3.6</v>
      </c>
      <c r="H739" t="n">
        <v>0</v>
      </c>
      <c r="I739" t="n">
        <v>0</v>
      </c>
      <c r="J739" t="n">
        <v>0</v>
      </c>
      <c r="K739" t="n">
        <v>0</v>
      </c>
      <c r="L739" t="n">
        <v>0</v>
      </c>
      <c r="M739" t="n">
        <v>0</v>
      </c>
      <c r="N739" t="n">
        <v>0</v>
      </c>
      <c r="O739" t="n">
        <v>0</v>
      </c>
      <c r="P739" t="n">
        <v>0</v>
      </c>
      <c r="Q739" t="n">
        <v>0</v>
      </c>
      <c r="R739" s="2" t="inlineStr"/>
    </row>
    <row r="740" ht="15" customHeight="1">
      <c r="A740" t="inlineStr">
        <is>
          <t>A 25219-2023</t>
        </is>
      </c>
      <c r="B740" s="1" t="n">
        <v>45086.60541666667</v>
      </c>
      <c r="C740" s="1" t="n">
        <v>46063</v>
      </c>
      <c r="D740" t="inlineStr">
        <is>
          <t>SKÅNE LÄN</t>
        </is>
      </c>
      <c r="E740" t="inlineStr">
        <is>
          <t>HÄSSLEHOLM</t>
        </is>
      </c>
      <c r="G740" t="n">
        <v>6.9</v>
      </c>
      <c r="H740" t="n">
        <v>0</v>
      </c>
      <c r="I740" t="n">
        <v>0</v>
      </c>
      <c r="J740" t="n">
        <v>0</v>
      </c>
      <c r="K740" t="n">
        <v>0</v>
      </c>
      <c r="L740" t="n">
        <v>0</v>
      </c>
      <c r="M740" t="n">
        <v>0</v>
      </c>
      <c r="N740" t="n">
        <v>0</v>
      </c>
      <c r="O740" t="n">
        <v>0</v>
      </c>
      <c r="P740" t="n">
        <v>0</v>
      </c>
      <c r="Q740" t="n">
        <v>0</v>
      </c>
      <c r="R740" s="2" t="inlineStr"/>
    </row>
    <row r="741" ht="15" customHeight="1">
      <c r="A741" t="inlineStr">
        <is>
          <t>A 9302-2025</t>
        </is>
      </c>
      <c r="B741" s="1" t="n">
        <v>45714.67233796296</v>
      </c>
      <c r="C741" s="1" t="n">
        <v>46063</v>
      </c>
      <c r="D741" t="inlineStr">
        <is>
          <t>SKÅNE LÄN</t>
        </is>
      </c>
      <c r="E741" t="inlineStr">
        <is>
          <t>HÄSSLEHOLM</t>
        </is>
      </c>
      <c r="G741" t="n">
        <v>2.6</v>
      </c>
      <c r="H741" t="n">
        <v>0</v>
      </c>
      <c r="I741" t="n">
        <v>0</v>
      </c>
      <c r="J741" t="n">
        <v>0</v>
      </c>
      <c r="K741" t="n">
        <v>0</v>
      </c>
      <c r="L741" t="n">
        <v>0</v>
      </c>
      <c r="M741" t="n">
        <v>0</v>
      </c>
      <c r="N741" t="n">
        <v>0</v>
      </c>
      <c r="O741" t="n">
        <v>0</v>
      </c>
      <c r="P741" t="n">
        <v>0</v>
      </c>
      <c r="Q741" t="n">
        <v>0</v>
      </c>
      <c r="R741" s="2" t="inlineStr"/>
    </row>
    <row r="742" ht="15" customHeight="1">
      <c r="A742" t="inlineStr">
        <is>
          <t>A 9322-2025</t>
        </is>
      </c>
      <c r="B742" s="1" t="n">
        <v>45714.72241898148</v>
      </c>
      <c r="C742" s="1" t="n">
        <v>46063</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37300-2023</t>
        </is>
      </c>
      <c r="B743" s="1" t="n">
        <v>45156</v>
      </c>
      <c r="C743" s="1" t="n">
        <v>46063</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58933-2025</t>
        </is>
      </c>
      <c r="B744" s="1" t="n">
        <v>45987.56107638889</v>
      </c>
      <c r="C744" s="1" t="n">
        <v>46063</v>
      </c>
      <c r="D744" t="inlineStr">
        <is>
          <t>SKÅNE LÄN</t>
        </is>
      </c>
      <c r="E744" t="inlineStr">
        <is>
          <t>HÄSSLEHOLM</t>
        </is>
      </c>
      <c r="G744" t="n">
        <v>2.3</v>
      </c>
      <c r="H744" t="n">
        <v>0</v>
      </c>
      <c r="I744" t="n">
        <v>0</v>
      </c>
      <c r="J744" t="n">
        <v>0</v>
      </c>
      <c r="K744" t="n">
        <v>0</v>
      </c>
      <c r="L744" t="n">
        <v>0</v>
      </c>
      <c r="M744" t="n">
        <v>0</v>
      </c>
      <c r="N744" t="n">
        <v>0</v>
      </c>
      <c r="O744" t="n">
        <v>0</v>
      </c>
      <c r="P744" t="n">
        <v>0</v>
      </c>
      <c r="Q744" t="n">
        <v>0</v>
      </c>
      <c r="R744" s="2" t="inlineStr"/>
    </row>
    <row r="745" ht="15" customHeight="1">
      <c r="A745" t="inlineStr">
        <is>
          <t>A 706-2026</t>
        </is>
      </c>
      <c r="B745" s="1" t="n">
        <v>46029.61739583333</v>
      </c>
      <c r="C745" s="1" t="n">
        <v>46063</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39915-2023</t>
        </is>
      </c>
      <c r="B746" s="1" t="n">
        <v>45168.4684375</v>
      </c>
      <c r="C746" s="1" t="n">
        <v>46063</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1645-2026</t>
        </is>
      </c>
      <c r="B747" s="1" t="n">
        <v>46034.5069212963</v>
      </c>
      <c r="C747" s="1" t="n">
        <v>46063</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53055-2021</t>
        </is>
      </c>
      <c r="B748" s="1" t="n">
        <v>44467</v>
      </c>
      <c r="C748" s="1" t="n">
        <v>46063</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35890-2023</t>
        </is>
      </c>
      <c r="B749" s="1" t="n">
        <v>45148</v>
      </c>
      <c r="C749" s="1" t="n">
        <v>46063</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35895-2023</t>
        </is>
      </c>
      <c r="B750" s="1" t="n">
        <v>45148</v>
      </c>
      <c r="C750" s="1" t="n">
        <v>46063</v>
      </c>
      <c r="D750" t="inlineStr">
        <is>
          <t>SKÅNE LÄN</t>
        </is>
      </c>
      <c r="E750" t="inlineStr">
        <is>
          <t>HÄSSLEHOLM</t>
        </is>
      </c>
      <c r="G750" t="n">
        <v>0.4</v>
      </c>
      <c r="H750" t="n">
        <v>0</v>
      </c>
      <c r="I750" t="n">
        <v>0</v>
      </c>
      <c r="J750" t="n">
        <v>0</v>
      </c>
      <c r="K750" t="n">
        <v>0</v>
      </c>
      <c r="L750" t="n">
        <v>0</v>
      </c>
      <c r="M750" t="n">
        <v>0</v>
      </c>
      <c r="N750" t="n">
        <v>0</v>
      </c>
      <c r="O750" t="n">
        <v>0</v>
      </c>
      <c r="P750" t="n">
        <v>0</v>
      </c>
      <c r="Q750" t="n">
        <v>0</v>
      </c>
      <c r="R750" s="2" t="inlineStr"/>
    </row>
    <row r="751" ht="15" customHeight="1">
      <c r="A751" t="inlineStr">
        <is>
          <t>A 1659-2026</t>
        </is>
      </c>
      <c r="B751" s="1" t="n">
        <v>46034.55335648148</v>
      </c>
      <c r="C751" s="1" t="n">
        <v>46063</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4750-2024</t>
        </is>
      </c>
      <c r="B752" s="1" t="n">
        <v>45328</v>
      </c>
      <c r="C752" s="1" t="n">
        <v>46063</v>
      </c>
      <c r="D752" t="inlineStr">
        <is>
          <t>SKÅNE LÄN</t>
        </is>
      </c>
      <c r="E752" t="inlineStr">
        <is>
          <t>HÄSSLEHOLM</t>
        </is>
      </c>
      <c r="G752" t="n">
        <v>0.3</v>
      </c>
      <c r="H752" t="n">
        <v>0</v>
      </c>
      <c r="I752" t="n">
        <v>0</v>
      </c>
      <c r="J752" t="n">
        <v>0</v>
      </c>
      <c r="K752" t="n">
        <v>0</v>
      </c>
      <c r="L752" t="n">
        <v>0</v>
      </c>
      <c r="M752" t="n">
        <v>0</v>
      </c>
      <c r="N752" t="n">
        <v>0</v>
      </c>
      <c r="O752" t="n">
        <v>0</v>
      </c>
      <c r="P752" t="n">
        <v>0</v>
      </c>
      <c r="Q752" t="n">
        <v>0</v>
      </c>
      <c r="R752" s="2" t="inlineStr"/>
    </row>
    <row r="753" ht="15" customHeight="1">
      <c r="A753" t="inlineStr">
        <is>
          <t>A 23956-2023</t>
        </is>
      </c>
      <c r="B753" s="1" t="n">
        <v>45078.62302083334</v>
      </c>
      <c r="C753" s="1" t="n">
        <v>46063</v>
      </c>
      <c r="D753" t="inlineStr">
        <is>
          <t>SKÅNE LÄN</t>
        </is>
      </c>
      <c r="E753" t="inlineStr">
        <is>
          <t>HÄSSLEHOLM</t>
        </is>
      </c>
      <c r="G753" t="n">
        <v>0.1</v>
      </c>
      <c r="H753" t="n">
        <v>0</v>
      </c>
      <c r="I753" t="n">
        <v>0</v>
      </c>
      <c r="J753" t="n">
        <v>0</v>
      </c>
      <c r="K753" t="n">
        <v>0</v>
      </c>
      <c r="L753" t="n">
        <v>0</v>
      </c>
      <c r="M753" t="n">
        <v>0</v>
      </c>
      <c r="N753" t="n">
        <v>0</v>
      </c>
      <c r="O753" t="n">
        <v>0</v>
      </c>
      <c r="P753" t="n">
        <v>0</v>
      </c>
      <c r="Q753" t="n">
        <v>0</v>
      </c>
      <c r="R753" s="2" t="inlineStr"/>
    </row>
    <row r="754" ht="15" customHeight="1">
      <c r="A754" t="inlineStr">
        <is>
          <t>A 11708-2025</t>
        </is>
      </c>
      <c r="B754" s="1" t="n">
        <v>45727.58626157408</v>
      </c>
      <c r="C754" s="1" t="n">
        <v>46063</v>
      </c>
      <c r="D754" t="inlineStr">
        <is>
          <t>SKÅNE LÄN</t>
        </is>
      </c>
      <c r="E754" t="inlineStr">
        <is>
          <t>HÄSSLEHOLM</t>
        </is>
      </c>
      <c r="G754" t="n">
        <v>1.3</v>
      </c>
      <c r="H754" t="n">
        <v>0</v>
      </c>
      <c r="I754" t="n">
        <v>0</v>
      </c>
      <c r="J754" t="n">
        <v>0</v>
      </c>
      <c r="K754" t="n">
        <v>0</v>
      </c>
      <c r="L754" t="n">
        <v>0</v>
      </c>
      <c r="M754" t="n">
        <v>0</v>
      </c>
      <c r="N754" t="n">
        <v>0</v>
      </c>
      <c r="O754" t="n">
        <v>0</v>
      </c>
      <c r="P754" t="n">
        <v>0</v>
      </c>
      <c r="Q754" t="n">
        <v>0</v>
      </c>
      <c r="R754" s="2" t="inlineStr"/>
    </row>
    <row r="755" ht="15" customHeight="1">
      <c r="A755" t="inlineStr">
        <is>
          <t>A 1640-2026</t>
        </is>
      </c>
      <c r="B755" s="1" t="n">
        <v>46034.4961574074</v>
      </c>
      <c r="C755" s="1" t="n">
        <v>46063</v>
      </c>
      <c r="D755" t="inlineStr">
        <is>
          <t>SKÅNE LÄN</t>
        </is>
      </c>
      <c r="E755" t="inlineStr">
        <is>
          <t>HÄSSLEHOLM</t>
        </is>
      </c>
      <c r="G755" t="n">
        <v>1.7</v>
      </c>
      <c r="H755" t="n">
        <v>0</v>
      </c>
      <c r="I755" t="n">
        <v>0</v>
      </c>
      <c r="J755" t="n">
        <v>0</v>
      </c>
      <c r="K755" t="n">
        <v>0</v>
      </c>
      <c r="L755" t="n">
        <v>0</v>
      </c>
      <c r="M755" t="n">
        <v>0</v>
      </c>
      <c r="N755" t="n">
        <v>0</v>
      </c>
      <c r="O755" t="n">
        <v>0</v>
      </c>
      <c r="P755" t="n">
        <v>0</v>
      </c>
      <c r="Q755" t="n">
        <v>0</v>
      </c>
      <c r="R755" s="2" t="inlineStr"/>
    </row>
    <row r="756" ht="15" customHeight="1">
      <c r="A756" t="inlineStr">
        <is>
          <t>A 1616-2025</t>
        </is>
      </c>
      <c r="B756" s="1" t="n">
        <v>45670</v>
      </c>
      <c r="C756" s="1" t="n">
        <v>46063</v>
      </c>
      <c r="D756" t="inlineStr">
        <is>
          <t>SKÅNE LÄN</t>
        </is>
      </c>
      <c r="E756" t="inlineStr">
        <is>
          <t>HÄSSLEHOLM</t>
        </is>
      </c>
      <c r="G756" t="n">
        <v>3.6</v>
      </c>
      <c r="H756" t="n">
        <v>0</v>
      </c>
      <c r="I756" t="n">
        <v>0</v>
      </c>
      <c r="J756" t="n">
        <v>0</v>
      </c>
      <c r="K756" t="n">
        <v>0</v>
      </c>
      <c r="L756" t="n">
        <v>0</v>
      </c>
      <c r="M756" t="n">
        <v>0</v>
      </c>
      <c r="N756" t="n">
        <v>0</v>
      </c>
      <c r="O756" t="n">
        <v>0</v>
      </c>
      <c r="P756" t="n">
        <v>0</v>
      </c>
      <c r="Q756" t="n">
        <v>0</v>
      </c>
      <c r="R756" s="2" t="inlineStr"/>
    </row>
    <row r="757" ht="15" customHeight="1">
      <c r="A757" t="inlineStr">
        <is>
          <t>A 32154-2024</t>
        </is>
      </c>
      <c r="B757" s="1" t="n">
        <v>45511</v>
      </c>
      <c r="C757" s="1" t="n">
        <v>46063</v>
      </c>
      <c r="D757" t="inlineStr">
        <is>
          <t>SKÅNE LÄN</t>
        </is>
      </c>
      <c r="E757" t="inlineStr">
        <is>
          <t>HÄSSLEHOLM</t>
        </is>
      </c>
      <c r="G757" t="n">
        <v>6.4</v>
      </c>
      <c r="H757" t="n">
        <v>0</v>
      </c>
      <c r="I757" t="n">
        <v>0</v>
      </c>
      <c r="J757" t="n">
        <v>0</v>
      </c>
      <c r="K757" t="n">
        <v>0</v>
      </c>
      <c r="L757" t="n">
        <v>0</v>
      </c>
      <c r="M757" t="n">
        <v>0</v>
      </c>
      <c r="N757" t="n">
        <v>0</v>
      </c>
      <c r="O757" t="n">
        <v>0</v>
      </c>
      <c r="P757" t="n">
        <v>0</v>
      </c>
      <c r="Q757" t="n">
        <v>0</v>
      </c>
      <c r="R757" s="2" t="inlineStr"/>
    </row>
    <row r="758" ht="15" customHeight="1">
      <c r="A758" t="inlineStr">
        <is>
          <t>A 59722-2025</t>
        </is>
      </c>
      <c r="B758" s="1" t="n">
        <v>45992.5474537037</v>
      </c>
      <c r="C758" s="1" t="n">
        <v>46063</v>
      </c>
      <c r="D758" t="inlineStr">
        <is>
          <t>SKÅNE LÄN</t>
        </is>
      </c>
      <c r="E758" t="inlineStr">
        <is>
          <t>HÄSSLEHOLM</t>
        </is>
      </c>
      <c r="G758" t="n">
        <v>1.6</v>
      </c>
      <c r="H758" t="n">
        <v>0</v>
      </c>
      <c r="I758" t="n">
        <v>0</v>
      </c>
      <c r="J758" t="n">
        <v>0</v>
      </c>
      <c r="K758" t="n">
        <v>0</v>
      </c>
      <c r="L758" t="n">
        <v>0</v>
      </c>
      <c r="M758" t="n">
        <v>0</v>
      </c>
      <c r="N758" t="n">
        <v>0</v>
      </c>
      <c r="O758" t="n">
        <v>0</v>
      </c>
      <c r="P758" t="n">
        <v>0</v>
      </c>
      <c r="Q758" t="n">
        <v>0</v>
      </c>
      <c r="R758" s="2" t="inlineStr"/>
    </row>
    <row r="759" ht="15" customHeight="1">
      <c r="A759" t="inlineStr">
        <is>
          <t>A 48112-2024</t>
        </is>
      </c>
      <c r="B759" s="1" t="n">
        <v>45589.6295949074</v>
      </c>
      <c r="C759" s="1" t="n">
        <v>46063</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1658-2026</t>
        </is>
      </c>
      <c r="B760" s="1" t="n">
        <v>46034.55091435185</v>
      </c>
      <c r="C760" s="1" t="n">
        <v>46063</v>
      </c>
      <c r="D760" t="inlineStr">
        <is>
          <t>SKÅNE LÄN</t>
        </is>
      </c>
      <c r="E760" t="inlineStr">
        <is>
          <t>HÄSSLEHOLM</t>
        </is>
      </c>
      <c r="G760" t="n">
        <v>2</v>
      </c>
      <c r="H760" t="n">
        <v>0</v>
      </c>
      <c r="I760" t="n">
        <v>0</v>
      </c>
      <c r="J760" t="n">
        <v>0</v>
      </c>
      <c r="K760" t="n">
        <v>0</v>
      </c>
      <c r="L760" t="n">
        <v>0</v>
      </c>
      <c r="M760" t="n">
        <v>0</v>
      </c>
      <c r="N760" t="n">
        <v>0</v>
      </c>
      <c r="O760" t="n">
        <v>0</v>
      </c>
      <c r="P760" t="n">
        <v>0</v>
      </c>
      <c r="Q760" t="n">
        <v>0</v>
      </c>
      <c r="R760" s="2" t="inlineStr"/>
    </row>
    <row r="761" ht="15" customHeight="1">
      <c r="A761" t="inlineStr">
        <is>
          <t>A 1656-2026</t>
        </is>
      </c>
      <c r="B761" s="1" t="n">
        <v>46034.54035879629</v>
      </c>
      <c r="C761" s="1" t="n">
        <v>46063</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24246-2023</t>
        </is>
      </c>
      <c r="B762" s="1" t="n">
        <v>45079</v>
      </c>
      <c r="C762" s="1" t="n">
        <v>46063</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24249-2023</t>
        </is>
      </c>
      <c r="B763" s="1" t="n">
        <v>45079.62466435185</v>
      </c>
      <c r="C763" s="1" t="n">
        <v>46063</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52548-2023</t>
        </is>
      </c>
      <c r="B764" s="1" t="n">
        <v>45218</v>
      </c>
      <c r="C764" s="1" t="n">
        <v>46063</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43696-2024</t>
        </is>
      </c>
      <c r="B765" s="1" t="n">
        <v>45569.58855324074</v>
      </c>
      <c r="C765" s="1" t="n">
        <v>46063</v>
      </c>
      <c r="D765" t="inlineStr">
        <is>
          <t>SKÅNE LÄN</t>
        </is>
      </c>
      <c r="E765" t="inlineStr">
        <is>
          <t>HÄSSLEHOLM</t>
        </is>
      </c>
      <c r="G765" t="n">
        <v>2.9</v>
      </c>
      <c r="H765" t="n">
        <v>0</v>
      </c>
      <c r="I765" t="n">
        <v>0</v>
      </c>
      <c r="J765" t="n">
        <v>0</v>
      </c>
      <c r="K765" t="n">
        <v>0</v>
      </c>
      <c r="L765" t="n">
        <v>0</v>
      </c>
      <c r="M765" t="n">
        <v>0</v>
      </c>
      <c r="N765" t="n">
        <v>0</v>
      </c>
      <c r="O765" t="n">
        <v>0</v>
      </c>
      <c r="P765" t="n">
        <v>0</v>
      </c>
      <c r="Q765" t="n">
        <v>0</v>
      </c>
      <c r="R765" s="2" t="inlineStr"/>
    </row>
    <row r="766" ht="15" customHeight="1">
      <c r="A766" t="inlineStr">
        <is>
          <t>A 12182-2025</t>
        </is>
      </c>
      <c r="B766" s="1" t="n">
        <v>45729</v>
      </c>
      <c r="C766" s="1" t="n">
        <v>46063</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20185-2023</t>
        </is>
      </c>
      <c r="B767" s="1" t="n">
        <v>45055.56795138889</v>
      </c>
      <c r="C767" s="1" t="n">
        <v>46063</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38376-2022</t>
        </is>
      </c>
      <c r="B768" s="1" t="n">
        <v>44812</v>
      </c>
      <c r="C768" s="1" t="n">
        <v>46063</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2617-2026</t>
        </is>
      </c>
      <c r="B769" s="1" t="n">
        <v>46035</v>
      </c>
      <c r="C769" s="1" t="n">
        <v>46063</v>
      </c>
      <c r="D769" t="inlineStr">
        <is>
          <t>SKÅNE LÄN</t>
        </is>
      </c>
      <c r="E769" t="inlineStr">
        <is>
          <t>HÄSSLEHOLM</t>
        </is>
      </c>
      <c r="F769" t="inlineStr">
        <is>
          <t>Kyrkan</t>
        </is>
      </c>
      <c r="G769" t="n">
        <v>5.5</v>
      </c>
      <c r="H769" t="n">
        <v>0</v>
      </c>
      <c r="I769" t="n">
        <v>0</v>
      </c>
      <c r="J769" t="n">
        <v>0</v>
      </c>
      <c r="K769" t="n">
        <v>0</v>
      </c>
      <c r="L769" t="n">
        <v>0</v>
      </c>
      <c r="M769" t="n">
        <v>0</v>
      </c>
      <c r="N769" t="n">
        <v>0</v>
      </c>
      <c r="O769" t="n">
        <v>0</v>
      </c>
      <c r="P769" t="n">
        <v>0</v>
      </c>
      <c r="Q769" t="n">
        <v>0</v>
      </c>
      <c r="R769" s="2" t="inlineStr"/>
    </row>
    <row r="770" ht="15" customHeight="1">
      <c r="A770" t="inlineStr">
        <is>
          <t>A 2618-2026</t>
        </is>
      </c>
      <c r="B770" s="1" t="n">
        <v>46035</v>
      </c>
      <c r="C770" s="1" t="n">
        <v>46063</v>
      </c>
      <c r="D770" t="inlineStr">
        <is>
          <t>SKÅNE LÄN</t>
        </is>
      </c>
      <c r="E770" t="inlineStr">
        <is>
          <t>HÄSSLEHOLM</t>
        </is>
      </c>
      <c r="F770" t="inlineStr">
        <is>
          <t>Kyrkan</t>
        </is>
      </c>
      <c r="G770" t="n">
        <v>4.8</v>
      </c>
      <c r="H770" t="n">
        <v>0</v>
      </c>
      <c r="I770" t="n">
        <v>0</v>
      </c>
      <c r="J770" t="n">
        <v>0</v>
      </c>
      <c r="K770" t="n">
        <v>0</v>
      </c>
      <c r="L770" t="n">
        <v>0</v>
      </c>
      <c r="M770" t="n">
        <v>0</v>
      </c>
      <c r="N770" t="n">
        <v>0</v>
      </c>
      <c r="O770" t="n">
        <v>0</v>
      </c>
      <c r="P770" t="n">
        <v>0</v>
      </c>
      <c r="Q770" t="n">
        <v>0</v>
      </c>
      <c r="R770" s="2" t="inlineStr"/>
    </row>
    <row r="771" ht="15" customHeight="1">
      <c r="A771" t="inlineStr">
        <is>
          <t>A 18908-2023</t>
        </is>
      </c>
      <c r="B771" s="1" t="n">
        <v>45044</v>
      </c>
      <c r="C771" s="1" t="n">
        <v>46063</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61436-2024</t>
        </is>
      </c>
      <c r="B772" s="1" t="n">
        <v>45646.46329861111</v>
      </c>
      <c r="C772" s="1" t="n">
        <v>46063</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2306-2026</t>
        </is>
      </c>
      <c r="B773" s="1" t="n">
        <v>46034</v>
      </c>
      <c r="C773" s="1" t="n">
        <v>46063</v>
      </c>
      <c r="D773" t="inlineStr">
        <is>
          <t>SKÅNE LÄN</t>
        </is>
      </c>
      <c r="E773" t="inlineStr">
        <is>
          <t>HÄSSLEHOLM</t>
        </is>
      </c>
      <c r="G773" t="n">
        <v>3.4</v>
      </c>
      <c r="H773" t="n">
        <v>0</v>
      </c>
      <c r="I773" t="n">
        <v>0</v>
      </c>
      <c r="J773" t="n">
        <v>0</v>
      </c>
      <c r="K773" t="n">
        <v>0</v>
      </c>
      <c r="L773" t="n">
        <v>0</v>
      </c>
      <c r="M773" t="n">
        <v>0</v>
      </c>
      <c r="N773" t="n">
        <v>0</v>
      </c>
      <c r="O773" t="n">
        <v>0</v>
      </c>
      <c r="P773" t="n">
        <v>0</v>
      </c>
      <c r="Q773" t="n">
        <v>0</v>
      </c>
      <c r="R773" s="2" t="inlineStr"/>
    </row>
    <row r="774" ht="15" customHeight="1">
      <c r="A774" t="inlineStr">
        <is>
          <t>A 58632-2025</t>
        </is>
      </c>
      <c r="B774" s="1" t="n">
        <v>45986</v>
      </c>
      <c r="C774" s="1" t="n">
        <v>46063</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54435-2024</t>
        </is>
      </c>
      <c r="B775" s="1" t="n">
        <v>45617.49494212963</v>
      </c>
      <c r="C775" s="1" t="n">
        <v>46063</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720-2025</t>
        </is>
      </c>
      <c r="B776" s="1" t="n">
        <v>45665.3744212963</v>
      </c>
      <c r="C776" s="1" t="n">
        <v>46063</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31581-2023</t>
        </is>
      </c>
      <c r="B777" s="1" t="n">
        <v>45117.45165509259</v>
      </c>
      <c r="C777" s="1" t="n">
        <v>46063</v>
      </c>
      <c r="D777" t="inlineStr">
        <is>
          <t>SKÅNE LÄN</t>
        </is>
      </c>
      <c r="E777" t="inlineStr">
        <is>
          <t>HÄSSLEHOLM</t>
        </is>
      </c>
      <c r="G777" t="n">
        <v>1.7</v>
      </c>
      <c r="H777" t="n">
        <v>0</v>
      </c>
      <c r="I777" t="n">
        <v>0</v>
      </c>
      <c r="J777" t="n">
        <v>0</v>
      </c>
      <c r="K777" t="n">
        <v>0</v>
      </c>
      <c r="L777" t="n">
        <v>0</v>
      </c>
      <c r="M777" t="n">
        <v>0</v>
      </c>
      <c r="N777" t="n">
        <v>0</v>
      </c>
      <c r="O777" t="n">
        <v>0</v>
      </c>
      <c r="P777" t="n">
        <v>0</v>
      </c>
      <c r="Q777" t="n">
        <v>0</v>
      </c>
      <c r="R777" s="2" t="inlineStr"/>
    </row>
    <row r="778" ht="15" customHeight="1">
      <c r="A778" t="inlineStr">
        <is>
          <t>A 33597-2023</t>
        </is>
      </c>
      <c r="B778" s="1" t="n">
        <v>45132</v>
      </c>
      <c r="C778" s="1" t="n">
        <v>46063</v>
      </c>
      <c r="D778" t="inlineStr">
        <is>
          <t>SKÅNE LÄN</t>
        </is>
      </c>
      <c r="E778" t="inlineStr">
        <is>
          <t>HÄSSLEHOLM</t>
        </is>
      </c>
      <c r="G778" t="n">
        <v>3.9</v>
      </c>
      <c r="H778" t="n">
        <v>0</v>
      </c>
      <c r="I778" t="n">
        <v>0</v>
      </c>
      <c r="J778" t="n">
        <v>0</v>
      </c>
      <c r="K778" t="n">
        <v>0</v>
      </c>
      <c r="L778" t="n">
        <v>0</v>
      </c>
      <c r="M778" t="n">
        <v>0</v>
      </c>
      <c r="N778" t="n">
        <v>0</v>
      </c>
      <c r="O778" t="n">
        <v>0</v>
      </c>
      <c r="P778" t="n">
        <v>0</v>
      </c>
      <c r="Q778" t="n">
        <v>0</v>
      </c>
      <c r="R778" s="2" t="inlineStr"/>
    </row>
    <row r="779" ht="15" customHeight="1">
      <c r="A779" t="inlineStr">
        <is>
          <t>A 33599-2023</t>
        </is>
      </c>
      <c r="B779" s="1" t="n">
        <v>45132</v>
      </c>
      <c r="C779" s="1" t="n">
        <v>46063</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3298-2026</t>
        </is>
      </c>
      <c r="B780" s="1" t="n">
        <v>46041</v>
      </c>
      <c r="C780" s="1" t="n">
        <v>46063</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33938-2023</t>
        </is>
      </c>
      <c r="B781" s="1" t="n">
        <v>45124</v>
      </c>
      <c r="C781" s="1" t="n">
        <v>46063</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22693-2022</t>
        </is>
      </c>
      <c r="B782" s="1" t="n">
        <v>44714.54729166667</v>
      </c>
      <c r="C782" s="1" t="n">
        <v>46063</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35889-2023</t>
        </is>
      </c>
      <c r="B783" s="1" t="n">
        <v>45148</v>
      </c>
      <c r="C783" s="1" t="n">
        <v>46063</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35894-2023</t>
        </is>
      </c>
      <c r="B784" s="1" t="n">
        <v>45148</v>
      </c>
      <c r="C784" s="1" t="n">
        <v>46063</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35974-2022</t>
        </is>
      </c>
      <c r="B785" s="1" t="n">
        <v>44802</v>
      </c>
      <c r="C785" s="1" t="n">
        <v>46063</v>
      </c>
      <c r="D785" t="inlineStr">
        <is>
          <t>SKÅNE LÄN</t>
        </is>
      </c>
      <c r="E785" t="inlineStr">
        <is>
          <t>HÄSSLEHOLM</t>
        </is>
      </c>
      <c r="G785" t="n">
        <v>3.8</v>
      </c>
      <c r="H785" t="n">
        <v>0</v>
      </c>
      <c r="I785" t="n">
        <v>0</v>
      </c>
      <c r="J785" t="n">
        <v>0</v>
      </c>
      <c r="K785" t="n">
        <v>0</v>
      </c>
      <c r="L785" t="n">
        <v>0</v>
      </c>
      <c r="M785" t="n">
        <v>0</v>
      </c>
      <c r="N785" t="n">
        <v>0</v>
      </c>
      <c r="O785" t="n">
        <v>0</v>
      </c>
      <c r="P785" t="n">
        <v>0</v>
      </c>
      <c r="Q785" t="n">
        <v>0</v>
      </c>
      <c r="R785" s="2" t="inlineStr"/>
    </row>
    <row r="786" ht="15" customHeight="1">
      <c r="A786" t="inlineStr">
        <is>
          <t>A 24906-2022</t>
        </is>
      </c>
      <c r="B786" s="1" t="n">
        <v>44728</v>
      </c>
      <c r="C786" s="1" t="n">
        <v>46063</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7150-2025</t>
        </is>
      </c>
      <c r="B787" s="1" t="n">
        <v>45702.38239583333</v>
      </c>
      <c r="C787" s="1" t="n">
        <v>46063</v>
      </c>
      <c r="D787" t="inlineStr">
        <is>
          <t>SKÅNE LÄN</t>
        </is>
      </c>
      <c r="E787" t="inlineStr">
        <is>
          <t>HÄSSLEHOLM</t>
        </is>
      </c>
      <c r="G787" t="n">
        <v>2.3</v>
      </c>
      <c r="H787" t="n">
        <v>0</v>
      </c>
      <c r="I787" t="n">
        <v>0</v>
      </c>
      <c r="J787" t="n">
        <v>0</v>
      </c>
      <c r="K787" t="n">
        <v>0</v>
      </c>
      <c r="L787" t="n">
        <v>0</v>
      </c>
      <c r="M787" t="n">
        <v>0</v>
      </c>
      <c r="N787" t="n">
        <v>0</v>
      </c>
      <c r="O787" t="n">
        <v>0</v>
      </c>
      <c r="P787" t="n">
        <v>0</v>
      </c>
      <c r="Q787" t="n">
        <v>0</v>
      </c>
      <c r="R787" s="2" t="inlineStr"/>
    </row>
    <row r="788" ht="15" customHeight="1">
      <c r="A788" t="inlineStr">
        <is>
          <t>A 55303-2024</t>
        </is>
      </c>
      <c r="B788" s="1" t="n">
        <v>45621.6434837963</v>
      </c>
      <c r="C788" s="1" t="n">
        <v>46063</v>
      </c>
      <c r="D788" t="inlineStr">
        <is>
          <t>SKÅNE LÄN</t>
        </is>
      </c>
      <c r="E788" t="inlineStr">
        <is>
          <t>HÄSSLEHOLM</t>
        </is>
      </c>
      <c r="G788" t="n">
        <v>3.3</v>
      </c>
      <c r="H788" t="n">
        <v>0</v>
      </c>
      <c r="I788" t="n">
        <v>0</v>
      </c>
      <c r="J788" t="n">
        <v>0</v>
      </c>
      <c r="K788" t="n">
        <v>0</v>
      </c>
      <c r="L788" t="n">
        <v>0</v>
      </c>
      <c r="M788" t="n">
        <v>0</v>
      </c>
      <c r="N788" t="n">
        <v>0</v>
      </c>
      <c r="O788" t="n">
        <v>0</v>
      </c>
      <c r="P788" t="n">
        <v>0</v>
      </c>
      <c r="Q788" t="n">
        <v>0</v>
      </c>
      <c r="R788" s="2" t="inlineStr"/>
    </row>
    <row r="789" ht="15" customHeight="1">
      <c r="A789" t="inlineStr">
        <is>
          <t>A 16397-2022</t>
        </is>
      </c>
      <c r="B789" s="1" t="n">
        <v>44671</v>
      </c>
      <c r="C789" s="1" t="n">
        <v>46063</v>
      </c>
      <c r="D789" t="inlineStr">
        <is>
          <t>SKÅNE LÄN</t>
        </is>
      </c>
      <c r="E789" t="inlineStr">
        <is>
          <t>HÄSSLEHOLM</t>
        </is>
      </c>
      <c r="G789" t="n">
        <v>2.7</v>
      </c>
      <c r="H789" t="n">
        <v>0</v>
      </c>
      <c r="I789" t="n">
        <v>0</v>
      </c>
      <c r="J789" t="n">
        <v>0</v>
      </c>
      <c r="K789" t="n">
        <v>0</v>
      </c>
      <c r="L789" t="n">
        <v>0</v>
      </c>
      <c r="M789" t="n">
        <v>0</v>
      </c>
      <c r="N789" t="n">
        <v>0</v>
      </c>
      <c r="O789" t="n">
        <v>0</v>
      </c>
      <c r="P789" t="n">
        <v>0</v>
      </c>
      <c r="Q789" t="n">
        <v>0</v>
      </c>
      <c r="R789" s="2" t="inlineStr"/>
    </row>
    <row r="790" ht="15" customHeight="1">
      <c r="A790" t="inlineStr">
        <is>
          <t>A 16398-2022</t>
        </is>
      </c>
      <c r="B790" s="1" t="n">
        <v>44671</v>
      </c>
      <c r="C790" s="1" t="n">
        <v>46063</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61322-2025</t>
        </is>
      </c>
      <c r="B791" s="1" t="n">
        <v>46000</v>
      </c>
      <c r="C791" s="1" t="n">
        <v>46063</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59434-2023</t>
        </is>
      </c>
      <c r="B792" s="1" t="n">
        <v>45254.30440972222</v>
      </c>
      <c r="C792" s="1" t="n">
        <v>46063</v>
      </c>
      <c r="D792" t="inlineStr">
        <is>
          <t>SKÅNE LÄN</t>
        </is>
      </c>
      <c r="E792" t="inlineStr">
        <is>
          <t>HÄSSLEHOLM</t>
        </is>
      </c>
      <c r="G792" t="n">
        <v>3.6</v>
      </c>
      <c r="H792" t="n">
        <v>0</v>
      </c>
      <c r="I792" t="n">
        <v>0</v>
      </c>
      <c r="J792" t="n">
        <v>0</v>
      </c>
      <c r="K792" t="n">
        <v>0</v>
      </c>
      <c r="L792" t="n">
        <v>0</v>
      </c>
      <c r="M792" t="n">
        <v>0</v>
      </c>
      <c r="N792" t="n">
        <v>0</v>
      </c>
      <c r="O792" t="n">
        <v>0</v>
      </c>
      <c r="P792" t="n">
        <v>0</v>
      </c>
      <c r="Q792" t="n">
        <v>0</v>
      </c>
      <c r="R792" s="2" t="inlineStr"/>
    </row>
    <row r="793" ht="15" customHeight="1">
      <c r="A793" t="inlineStr">
        <is>
          <t>A 3715-2026</t>
        </is>
      </c>
      <c r="B793" s="1" t="n">
        <v>46043.48746527778</v>
      </c>
      <c r="C793" s="1" t="n">
        <v>46063</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61474-2025</t>
        </is>
      </c>
      <c r="B794" s="1" t="n">
        <v>46001.61886574074</v>
      </c>
      <c r="C794" s="1" t="n">
        <v>46063</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55284-2023</t>
        </is>
      </c>
      <c r="B795" s="1" t="n">
        <v>45237.74259259259</v>
      </c>
      <c r="C795" s="1" t="n">
        <v>46063</v>
      </c>
      <c r="D795" t="inlineStr">
        <is>
          <t>SKÅNE LÄN</t>
        </is>
      </c>
      <c r="E795" t="inlineStr">
        <is>
          <t>HÄSSLEHOLM</t>
        </is>
      </c>
      <c r="G795" t="n">
        <v>1.4</v>
      </c>
      <c r="H795" t="n">
        <v>0</v>
      </c>
      <c r="I795" t="n">
        <v>0</v>
      </c>
      <c r="J795" t="n">
        <v>0</v>
      </c>
      <c r="K795" t="n">
        <v>0</v>
      </c>
      <c r="L795" t="n">
        <v>0</v>
      </c>
      <c r="M795" t="n">
        <v>0</v>
      </c>
      <c r="N795" t="n">
        <v>0</v>
      </c>
      <c r="O795" t="n">
        <v>0</v>
      </c>
      <c r="P795" t="n">
        <v>0</v>
      </c>
      <c r="Q795" t="n">
        <v>0</v>
      </c>
      <c r="R795" s="2" t="inlineStr"/>
    </row>
    <row r="796" ht="15" customHeight="1">
      <c r="A796" t="inlineStr">
        <is>
          <t>A 22384-2024</t>
        </is>
      </c>
      <c r="B796" s="1" t="n">
        <v>45446.65592592592</v>
      </c>
      <c r="C796" s="1" t="n">
        <v>46063</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3862-2026</t>
        </is>
      </c>
      <c r="B797" s="1" t="n">
        <v>46043.62646990741</v>
      </c>
      <c r="C797" s="1" t="n">
        <v>46063</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32008-2024</t>
        </is>
      </c>
      <c r="B798" s="1" t="n">
        <v>45510</v>
      </c>
      <c r="C798" s="1" t="n">
        <v>46063</v>
      </c>
      <c r="D798" t="inlineStr">
        <is>
          <t>SKÅNE LÄN</t>
        </is>
      </c>
      <c r="E798" t="inlineStr">
        <is>
          <t>HÄSSLEHOLM</t>
        </is>
      </c>
      <c r="G798" t="n">
        <v>5.1</v>
      </c>
      <c r="H798" t="n">
        <v>0</v>
      </c>
      <c r="I798" t="n">
        <v>0</v>
      </c>
      <c r="J798" t="n">
        <v>0</v>
      </c>
      <c r="K798" t="n">
        <v>0</v>
      </c>
      <c r="L798" t="n">
        <v>0</v>
      </c>
      <c r="M798" t="n">
        <v>0</v>
      </c>
      <c r="N798" t="n">
        <v>0</v>
      </c>
      <c r="O798" t="n">
        <v>0</v>
      </c>
      <c r="P798" t="n">
        <v>0</v>
      </c>
      <c r="Q798" t="n">
        <v>0</v>
      </c>
      <c r="R798" s="2" t="inlineStr"/>
    </row>
    <row r="799" ht="15" customHeight="1">
      <c r="A799" t="inlineStr">
        <is>
          <t>A 3904-2026</t>
        </is>
      </c>
      <c r="B799" s="1" t="n">
        <v>46043.69711805556</v>
      </c>
      <c r="C799" s="1" t="n">
        <v>46063</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46641-2023</t>
        </is>
      </c>
      <c r="B800" s="1" t="n">
        <v>45198.44523148148</v>
      </c>
      <c r="C800" s="1" t="n">
        <v>46063</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46645-2023</t>
        </is>
      </c>
      <c r="B801" s="1" t="n">
        <v>45198.44686342592</v>
      </c>
      <c r="C801" s="1" t="n">
        <v>46063</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62376-2025</t>
        </is>
      </c>
      <c r="B802" s="1" t="n">
        <v>46006</v>
      </c>
      <c r="C802" s="1" t="n">
        <v>46063</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59556-2023</t>
        </is>
      </c>
      <c r="B803" s="1" t="n">
        <v>45254.56313657408</v>
      </c>
      <c r="C803" s="1" t="n">
        <v>46063</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9543-2025</t>
        </is>
      </c>
      <c r="B804" s="1" t="n">
        <v>45715</v>
      </c>
      <c r="C804" s="1" t="n">
        <v>46063</v>
      </c>
      <c r="D804" t="inlineStr">
        <is>
          <t>SKÅNE LÄN</t>
        </is>
      </c>
      <c r="E804" t="inlineStr">
        <is>
          <t>HÄSSLEHOLM</t>
        </is>
      </c>
      <c r="G804" t="n">
        <v>2.6</v>
      </c>
      <c r="H804" t="n">
        <v>0</v>
      </c>
      <c r="I804" t="n">
        <v>0</v>
      </c>
      <c r="J804" t="n">
        <v>0</v>
      </c>
      <c r="K804" t="n">
        <v>0</v>
      </c>
      <c r="L804" t="n">
        <v>0</v>
      </c>
      <c r="M804" t="n">
        <v>0</v>
      </c>
      <c r="N804" t="n">
        <v>0</v>
      </c>
      <c r="O804" t="n">
        <v>0</v>
      </c>
      <c r="P804" t="n">
        <v>0</v>
      </c>
      <c r="Q804" t="n">
        <v>0</v>
      </c>
      <c r="R804" s="2" t="inlineStr"/>
    </row>
    <row r="805" ht="15" customHeight="1">
      <c r="A805" t="inlineStr">
        <is>
          <t>A 51571-2023</t>
        </is>
      </c>
      <c r="B805" s="1" t="n">
        <v>45222</v>
      </c>
      <c r="C805" s="1" t="n">
        <v>46063</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27291-2023</t>
        </is>
      </c>
      <c r="B806" s="1" t="n">
        <v>45096</v>
      </c>
      <c r="C806" s="1" t="n">
        <v>46063</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46813-2024</t>
        </is>
      </c>
      <c r="B807" s="1" t="n">
        <v>45583</v>
      </c>
      <c r="C807" s="1" t="n">
        <v>46063</v>
      </c>
      <c r="D807" t="inlineStr">
        <is>
          <t>SKÅNE LÄN</t>
        </is>
      </c>
      <c r="E807" t="inlineStr">
        <is>
          <t>HÄSSLEHOLM</t>
        </is>
      </c>
      <c r="G807" t="n">
        <v>14.9</v>
      </c>
      <c r="H807" t="n">
        <v>0</v>
      </c>
      <c r="I807" t="n">
        <v>0</v>
      </c>
      <c r="J807" t="n">
        <v>0</v>
      </c>
      <c r="K807" t="n">
        <v>0</v>
      </c>
      <c r="L807" t="n">
        <v>0</v>
      </c>
      <c r="M807" t="n">
        <v>0</v>
      </c>
      <c r="N807" t="n">
        <v>0</v>
      </c>
      <c r="O807" t="n">
        <v>0</v>
      </c>
      <c r="P807" t="n">
        <v>0</v>
      </c>
      <c r="Q807" t="n">
        <v>0</v>
      </c>
      <c r="R807" s="2" t="inlineStr"/>
    </row>
    <row r="808" ht="15" customHeight="1">
      <c r="A808" t="inlineStr">
        <is>
          <t>A 62271-2025</t>
        </is>
      </c>
      <c r="B808" s="1" t="n">
        <v>46006.62256944444</v>
      </c>
      <c r="C808" s="1" t="n">
        <v>46063</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62264-2025</t>
        </is>
      </c>
      <c r="B809" s="1" t="n">
        <v>46006.61644675926</v>
      </c>
      <c r="C809" s="1" t="n">
        <v>46063</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48798-2023</t>
        </is>
      </c>
      <c r="B810" s="1" t="n">
        <v>45209.25318287037</v>
      </c>
      <c r="C810" s="1" t="n">
        <v>46063</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5103-2026</t>
        </is>
      </c>
      <c r="B811" s="1" t="n">
        <v>46049.56725694444</v>
      </c>
      <c r="C811" s="1" t="n">
        <v>46063</v>
      </c>
      <c r="D811" t="inlineStr">
        <is>
          <t>SKÅNE LÄN</t>
        </is>
      </c>
      <c r="E811" t="inlineStr">
        <is>
          <t>HÄSSLEHOLM</t>
        </is>
      </c>
      <c r="G811" t="n">
        <v>5.4</v>
      </c>
      <c r="H811" t="n">
        <v>0</v>
      </c>
      <c r="I811" t="n">
        <v>0</v>
      </c>
      <c r="J811" t="n">
        <v>0</v>
      </c>
      <c r="K811" t="n">
        <v>0</v>
      </c>
      <c r="L811" t="n">
        <v>0</v>
      </c>
      <c r="M811" t="n">
        <v>0</v>
      </c>
      <c r="N811" t="n">
        <v>0</v>
      </c>
      <c r="O811" t="n">
        <v>0</v>
      </c>
      <c r="P811" t="n">
        <v>0</v>
      </c>
      <c r="Q811" t="n">
        <v>0</v>
      </c>
      <c r="R811" s="2" t="inlineStr"/>
    </row>
    <row r="812" ht="15" customHeight="1">
      <c r="A812" t="inlineStr">
        <is>
          <t>A 48627-2023</t>
        </is>
      </c>
      <c r="B812" s="1" t="n">
        <v>45208.57371527778</v>
      </c>
      <c r="C812" s="1" t="n">
        <v>46063</v>
      </c>
      <c r="D812" t="inlineStr">
        <is>
          <t>SKÅNE LÄN</t>
        </is>
      </c>
      <c r="E812" t="inlineStr">
        <is>
          <t>HÄSSLEHOLM</t>
        </is>
      </c>
      <c r="G812" t="n">
        <v>1.9</v>
      </c>
      <c r="H812" t="n">
        <v>0</v>
      </c>
      <c r="I812" t="n">
        <v>0</v>
      </c>
      <c r="J812" t="n">
        <v>0</v>
      </c>
      <c r="K812" t="n">
        <v>0</v>
      </c>
      <c r="L812" t="n">
        <v>0</v>
      </c>
      <c r="M812" t="n">
        <v>0</v>
      </c>
      <c r="N812" t="n">
        <v>0</v>
      </c>
      <c r="O812" t="n">
        <v>0</v>
      </c>
      <c r="P812" t="n">
        <v>0</v>
      </c>
      <c r="Q812" t="n">
        <v>0</v>
      </c>
      <c r="R812" s="2" t="inlineStr"/>
    </row>
    <row r="813" ht="15" customHeight="1">
      <c r="A813" t="inlineStr">
        <is>
          <t>A 17152-2025</t>
        </is>
      </c>
      <c r="B813" s="1" t="n">
        <v>45756.33318287037</v>
      </c>
      <c r="C813" s="1" t="n">
        <v>46063</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48326-2023</t>
        </is>
      </c>
      <c r="B814" s="1" t="n">
        <v>45205</v>
      </c>
      <c r="C814" s="1" t="n">
        <v>46063</v>
      </c>
      <c r="D814" t="inlineStr">
        <is>
          <t>SKÅNE LÄN</t>
        </is>
      </c>
      <c r="E814" t="inlineStr">
        <is>
          <t>HÄSSLEHOLM</t>
        </is>
      </c>
      <c r="G814" t="n">
        <v>12.7</v>
      </c>
      <c r="H814" t="n">
        <v>0</v>
      </c>
      <c r="I814" t="n">
        <v>0</v>
      </c>
      <c r="J814" t="n">
        <v>0</v>
      </c>
      <c r="K814" t="n">
        <v>0</v>
      </c>
      <c r="L814" t="n">
        <v>0</v>
      </c>
      <c r="M814" t="n">
        <v>0</v>
      </c>
      <c r="N814" t="n">
        <v>0</v>
      </c>
      <c r="O814" t="n">
        <v>0</v>
      </c>
      <c r="P814" t="n">
        <v>0</v>
      </c>
      <c r="Q814" t="n">
        <v>0</v>
      </c>
      <c r="R814" s="2" t="inlineStr"/>
    </row>
    <row r="815" ht="15" customHeight="1">
      <c r="A815" t="inlineStr">
        <is>
          <t>A 10752-2025</t>
        </is>
      </c>
      <c r="B815" s="1" t="n">
        <v>45722</v>
      </c>
      <c r="C815" s="1" t="n">
        <v>46063</v>
      </c>
      <c r="D815" t="inlineStr">
        <is>
          <t>SKÅNE LÄN</t>
        </is>
      </c>
      <c r="E815" t="inlineStr">
        <is>
          <t>HÄSSLEHOLM</t>
        </is>
      </c>
      <c r="G815" t="n">
        <v>1.2</v>
      </c>
      <c r="H815" t="n">
        <v>0</v>
      </c>
      <c r="I815" t="n">
        <v>0</v>
      </c>
      <c r="J815" t="n">
        <v>0</v>
      </c>
      <c r="K815" t="n">
        <v>0</v>
      </c>
      <c r="L815" t="n">
        <v>0</v>
      </c>
      <c r="M815" t="n">
        <v>0</v>
      </c>
      <c r="N815" t="n">
        <v>0</v>
      </c>
      <c r="O815" t="n">
        <v>0</v>
      </c>
      <c r="P815" t="n">
        <v>0</v>
      </c>
      <c r="Q815" t="n">
        <v>0</v>
      </c>
      <c r="R815" s="2" t="inlineStr"/>
    </row>
    <row r="816" ht="15" customHeight="1">
      <c r="A816" t="inlineStr">
        <is>
          <t>A 4981-2026</t>
        </is>
      </c>
      <c r="B816" s="1" t="n">
        <v>46049.37100694444</v>
      </c>
      <c r="C816" s="1" t="n">
        <v>46063</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54462-2022</t>
        </is>
      </c>
      <c r="B817" s="1" t="n">
        <v>44882</v>
      </c>
      <c r="C817" s="1" t="n">
        <v>46063</v>
      </c>
      <c r="D817" t="inlineStr">
        <is>
          <t>SKÅNE LÄN</t>
        </is>
      </c>
      <c r="E817" t="inlineStr">
        <is>
          <t>HÄSSLEHOLM</t>
        </is>
      </c>
      <c r="G817" t="n">
        <v>0.8</v>
      </c>
      <c r="H817" t="n">
        <v>0</v>
      </c>
      <c r="I817" t="n">
        <v>0</v>
      </c>
      <c r="J817" t="n">
        <v>0</v>
      </c>
      <c r="K817" t="n">
        <v>0</v>
      </c>
      <c r="L817" t="n">
        <v>0</v>
      </c>
      <c r="M817" t="n">
        <v>0</v>
      </c>
      <c r="N817" t="n">
        <v>0</v>
      </c>
      <c r="O817" t="n">
        <v>0</v>
      </c>
      <c r="P817" t="n">
        <v>0</v>
      </c>
      <c r="Q817" t="n">
        <v>0</v>
      </c>
      <c r="R817" s="2" t="inlineStr"/>
    </row>
    <row r="818" ht="15" customHeight="1">
      <c r="A818" t="inlineStr">
        <is>
          <t>A 3890-2024</t>
        </is>
      </c>
      <c r="B818" s="1" t="n">
        <v>45322.45366898148</v>
      </c>
      <c r="C818" s="1" t="n">
        <v>46063</v>
      </c>
      <c r="D818" t="inlineStr">
        <is>
          <t>SKÅNE LÄN</t>
        </is>
      </c>
      <c r="E818" t="inlineStr">
        <is>
          <t>HÄSSLEHOLM</t>
        </is>
      </c>
      <c r="G818" t="n">
        <v>3</v>
      </c>
      <c r="H818" t="n">
        <v>0</v>
      </c>
      <c r="I818" t="n">
        <v>0</v>
      </c>
      <c r="J818" t="n">
        <v>0</v>
      </c>
      <c r="K818" t="n">
        <v>0</v>
      </c>
      <c r="L818" t="n">
        <v>0</v>
      </c>
      <c r="M818" t="n">
        <v>0</v>
      </c>
      <c r="N818" t="n">
        <v>0</v>
      </c>
      <c r="O818" t="n">
        <v>0</v>
      </c>
      <c r="P818" t="n">
        <v>0</v>
      </c>
      <c r="Q818" t="n">
        <v>0</v>
      </c>
      <c r="R818" s="2" t="inlineStr"/>
    </row>
    <row r="819" ht="15" customHeight="1">
      <c r="A819" t="inlineStr">
        <is>
          <t>A 54471-2023</t>
        </is>
      </c>
      <c r="B819" s="1" t="n">
        <v>45233.4640162037</v>
      </c>
      <c r="C819" s="1" t="n">
        <v>46063</v>
      </c>
      <c r="D819" t="inlineStr">
        <is>
          <t>SKÅNE LÄN</t>
        </is>
      </c>
      <c r="E819" t="inlineStr">
        <is>
          <t>HÄSSLEHOLM</t>
        </is>
      </c>
      <c r="G819" t="n">
        <v>1.4</v>
      </c>
      <c r="H819" t="n">
        <v>0</v>
      </c>
      <c r="I819" t="n">
        <v>0</v>
      </c>
      <c r="J819" t="n">
        <v>0</v>
      </c>
      <c r="K819" t="n">
        <v>0</v>
      </c>
      <c r="L819" t="n">
        <v>0</v>
      </c>
      <c r="M819" t="n">
        <v>0</v>
      </c>
      <c r="N819" t="n">
        <v>0</v>
      </c>
      <c r="O819" t="n">
        <v>0</v>
      </c>
      <c r="P819" t="n">
        <v>0</v>
      </c>
      <c r="Q819" t="n">
        <v>0</v>
      </c>
      <c r="R819" s="2" t="inlineStr"/>
    </row>
    <row r="820" ht="15" customHeight="1">
      <c r="A820" t="inlineStr">
        <is>
          <t>A 57963-2023</t>
        </is>
      </c>
      <c r="B820" s="1" t="n">
        <v>45247.57732638889</v>
      </c>
      <c r="C820" s="1" t="n">
        <v>46063</v>
      </c>
      <c r="D820" t="inlineStr">
        <is>
          <t>SKÅNE LÄN</t>
        </is>
      </c>
      <c r="E820" t="inlineStr">
        <is>
          <t>HÄSSLEHOLM</t>
        </is>
      </c>
      <c r="G820" t="n">
        <v>4.6</v>
      </c>
      <c r="H820" t="n">
        <v>0</v>
      </c>
      <c r="I820" t="n">
        <v>0</v>
      </c>
      <c r="J820" t="n">
        <v>0</v>
      </c>
      <c r="K820" t="n">
        <v>0</v>
      </c>
      <c r="L820" t="n">
        <v>0</v>
      </c>
      <c r="M820" t="n">
        <v>0</v>
      </c>
      <c r="N820" t="n">
        <v>0</v>
      </c>
      <c r="O820" t="n">
        <v>0</v>
      </c>
      <c r="P820" t="n">
        <v>0</v>
      </c>
      <c r="Q820" t="n">
        <v>0</v>
      </c>
      <c r="R820" s="2" t="inlineStr"/>
    </row>
    <row r="821" ht="15" customHeight="1">
      <c r="A821" t="inlineStr">
        <is>
          <t>A 59028-2023</t>
        </is>
      </c>
      <c r="B821" s="1" t="n">
        <v>45252.67900462963</v>
      </c>
      <c r="C821" s="1" t="n">
        <v>46063</v>
      </c>
      <c r="D821" t="inlineStr">
        <is>
          <t>SKÅNE LÄN</t>
        </is>
      </c>
      <c r="E821" t="inlineStr">
        <is>
          <t>HÄSSLEHOLM</t>
        </is>
      </c>
      <c r="G821" t="n">
        <v>2.5</v>
      </c>
      <c r="H821" t="n">
        <v>0</v>
      </c>
      <c r="I821" t="n">
        <v>0</v>
      </c>
      <c r="J821" t="n">
        <v>0</v>
      </c>
      <c r="K821" t="n">
        <v>0</v>
      </c>
      <c r="L821" t="n">
        <v>0</v>
      </c>
      <c r="M821" t="n">
        <v>0</v>
      </c>
      <c r="N821" t="n">
        <v>0</v>
      </c>
      <c r="O821" t="n">
        <v>0</v>
      </c>
      <c r="P821" t="n">
        <v>0</v>
      </c>
      <c r="Q821" t="n">
        <v>0</v>
      </c>
      <c r="R821" s="2" t="inlineStr"/>
    </row>
    <row r="822" ht="15" customHeight="1">
      <c r="A822" t="inlineStr">
        <is>
          <t>A 13544-2025</t>
        </is>
      </c>
      <c r="B822" s="1" t="n">
        <v>45736</v>
      </c>
      <c r="C822" s="1" t="n">
        <v>46063</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5503-2026</t>
        </is>
      </c>
      <c r="B823" s="1" t="n">
        <v>46050.62509259259</v>
      </c>
      <c r="C823" s="1" t="n">
        <v>46063</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2712-2024</t>
        </is>
      </c>
      <c r="B824" s="1" t="n">
        <v>45314</v>
      </c>
      <c r="C824" s="1" t="n">
        <v>46063</v>
      </c>
      <c r="D824" t="inlineStr">
        <is>
          <t>SKÅNE LÄN</t>
        </is>
      </c>
      <c r="E824" t="inlineStr">
        <is>
          <t>HÄSSLEHOLM</t>
        </is>
      </c>
      <c r="G824" t="n">
        <v>11.3</v>
      </c>
      <c r="H824" t="n">
        <v>0</v>
      </c>
      <c r="I824" t="n">
        <v>0</v>
      </c>
      <c r="J824" t="n">
        <v>0</v>
      </c>
      <c r="K824" t="n">
        <v>0</v>
      </c>
      <c r="L824" t="n">
        <v>0</v>
      </c>
      <c r="M824" t="n">
        <v>0</v>
      </c>
      <c r="N824" t="n">
        <v>0</v>
      </c>
      <c r="O824" t="n">
        <v>0</v>
      </c>
      <c r="P824" t="n">
        <v>0</v>
      </c>
      <c r="Q824" t="n">
        <v>0</v>
      </c>
      <c r="R824" s="2" t="inlineStr"/>
    </row>
    <row r="825" ht="15" customHeight="1">
      <c r="A825" t="inlineStr">
        <is>
          <t>A 260-2024</t>
        </is>
      </c>
      <c r="B825" s="1" t="n">
        <v>45294</v>
      </c>
      <c r="C825" s="1" t="n">
        <v>46063</v>
      </c>
      <c r="D825" t="inlineStr">
        <is>
          <t>SKÅNE LÄN</t>
        </is>
      </c>
      <c r="E825" t="inlineStr">
        <is>
          <t>HÄSSLEHOLM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8263-2025</t>
        </is>
      </c>
      <c r="B826" s="1" t="n">
        <v>45708.50398148148</v>
      </c>
      <c r="C826" s="1" t="n">
        <v>46063</v>
      </c>
      <c r="D826" t="inlineStr">
        <is>
          <t>SKÅNE LÄN</t>
        </is>
      </c>
      <c r="E826" t="inlineStr">
        <is>
          <t>HÄSSLEHOLM</t>
        </is>
      </c>
      <c r="G826" t="n">
        <v>2.9</v>
      </c>
      <c r="H826" t="n">
        <v>0</v>
      </c>
      <c r="I826" t="n">
        <v>0</v>
      </c>
      <c r="J826" t="n">
        <v>0</v>
      </c>
      <c r="K826" t="n">
        <v>0</v>
      </c>
      <c r="L826" t="n">
        <v>0</v>
      </c>
      <c r="M826" t="n">
        <v>0</v>
      </c>
      <c r="N826" t="n">
        <v>0</v>
      </c>
      <c r="O826" t="n">
        <v>0</v>
      </c>
      <c r="P826" t="n">
        <v>0</v>
      </c>
      <c r="Q826" t="n">
        <v>0</v>
      </c>
      <c r="R826" s="2" t="inlineStr"/>
    </row>
    <row r="827" ht="15" customHeight="1">
      <c r="A827" t="inlineStr">
        <is>
          <t>A 5497-2026</t>
        </is>
      </c>
      <c r="B827" s="1" t="n">
        <v>46050.61875</v>
      </c>
      <c r="C827" s="1" t="n">
        <v>46063</v>
      </c>
      <c r="D827" t="inlineStr">
        <is>
          <t>SKÅNE LÄN</t>
        </is>
      </c>
      <c r="E827" t="inlineStr">
        <is>
          <t>HÄSSLEHOLM</t>
        </is>
      </c>
      <c r="G827" t="n">
        <v>1</v>
      </c>
      <c r="H827" t="n">
        <v>0</v>
      </c>
      <c r="I827" t="n">
        <v>0</v>
      </c>
      <c r="J827" t="n">
        <v>0</v>
      </c>
      <c r="K827" t="n">
        <v>0</v>
      </c>
      <c r="L827" t="n">
        <v>0</v>
      </c>
      <c r="M827" t="n">
        <v>0</v>
      </c>
      <c r="N827" t="n">
        <v>0</v>
      </c>
      <c r="O827" t="n">
        <v>0</v>
      </c>
      <c r="P827" t="n">
        <v>0</v>
      </c>
      <c r="Q827" t="n">
        <v>0</v>
      </c>
      <c r="R827" s="2" t="inlineStr"/>
    </row>
    <row r="828" ht="15" customHeight="1">
      <c r="A828" t="inlineStr">
        <is>
          <t>A 5516-2026</t>
        </is>
      </c>
      <c r="B828" s="1" t="n">
        <v>46050.64197916666</v>
      </c>
      <c r="C828" s="1" t="n">
        <v>46063</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30006-2023</t>
        </is>
      </c>
      <c r="B829" s="1" t="n">
        <v>45109.79962962963</v>
      </c>
      <c r="C829" s="1" t="n">
        <v>46063</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63284-2025</t>
        </is>
      </c>
      <c r="B830" s="1" t="n">
        <v>46010</v>
      </c>
      <c r="C830" s="1" t="n">
        <v>46063</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54798-2025</t>
        </is>
      </c>
      <c r="B831" s="1" t="n">
        <v>45966</v>
      </c>
      <c r="C831" s="1" t="n">
        <v>46063</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4994-2026</t>
        </is>
      </c>
      <c r="B832" s="1" t="n">
        <v>46049</v>
      </c>
      <c r="C832" s="1" t="n">
        <v>46063</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42364-2023</t>
        </is>
      </c>
      <c r="B833" s="1" t="n">
        <v>45180.54754629629</v>
      </c>
      <c r="C833" s="1" t="n">
        <v>46063</v>
      </c>
      <c r="D833" t="inlineStr">
        <is>
          <t>SKÅNE LÄN</t>
        </is>
      </c>
      <c r="E833" t="inlineStr">
        <is>
          <t>HÄSSLEHOLM</t>
        </is>
      </c>
      <c r="G833" t="n">
        <v>1.1</v>
      </c>
      <c r="H833" t="n">
        <v>0</v>
      </c>
      <c r="I833" t="n">
        <v>0</v>
      </c>
      <c r="J833" t="n">
        <v>0</v>
      </c>
      <c r="K833" t="n">
        <v>0</v>
      </c>
      <c r="L833" t="n">
        <v>0</v>
      </c>
      <c r="M833" t="n">
        <v>0</v>
      </c>
      <c r="N833" t="n">
        <v>0</v>
      </c>
      <c r="O833" t="n">
        <v>0</v>
      </c>
      <c r="P833" t="n">
        <v>0</v>
      </c>
      <c r="Q833" t="n">
        <v>0</v>
      </c>
      <c r="R833" s="2" t="inlineStr"/>
    </row>
    <row r="834" ht="15" customHeight="1">
      <c r="A834" t="inlineStr">
        <is>
          <t>A 63354-2025</t>
        </is>
      </c>
      <c r="B834" s="1" t="n">
        <v>46010.66957175926</v>
      </c>
      <c r="C834" s="1" t="n">
        <v>46063</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61578-2023</t>
        </is>
      </c>
      <c r="B835" s="1" t="n">
        <v>45265.47399305556</v>
      </c>
      <c r="C835" s="1" t="n">
        <v>46063</v>
      </c>
      <c r="D835" t="inlineStr">
        <is>
          <t>SKÅNE LÄN</t>
        </is>
      </c>
      <c r="E835" t="inlineStr">
        <is>
          <t>HÄSSLEHOLM</t>
        </is>
      </c>
      <c r="G835" t="n">
        <v>1.2</v>
      </c>
      <c r="H835" t="n">
        <v>0</v>
      </c>
      <c r="I835" t="n">
        <v>0</v>
      </c>
      <c r="J835" t="n">
        <v>0</v>
      </c>
      <c r="K835" t="n">
        <v>0</v>
      </c>
      <c r="L835" t="n">
        <v>0</v>
      </c>
      <c r="M835" t="n">
        <v>0</v>
      </c>
      <c r="N835" t="n">
        <v>0</v>
      </c>
      <c r="O835" t="n">
        <v>0</v>
      </c>
      <c r="P835" t="n">
        <v>0</v>
      </c>
      <c r="Q835" t="n">
        <v>0</v>
      </c>
      <c r="R835" s="2" t="inlineStr"/>
    </row>
    <row r="836" ht="15" customHeight="1">
      <c r="A836" t="inlineStr">
        <is>
          <t>A 54807-2025</t>
        </is>
      </c>
      <c r="B836" s="1" t="n">
        <v>45966</v>
      </c>
      <c r="C836" s="1" t="n">
        <v>46063</v>
      </c>
      <c r="D836" t="inlineStr">
        <is>
          <t>SKÅNE LÄN</t>
        </is>
      </c>
      <c r="E836" t="inlineStr">
        <is>
          <t>HÄSSLEHOLM</t>
        </is>
      </c>
      <c r="G836" t="n">
        <v>1.3</v>
      </c>
      <c r="H836" t="n">
        <v>0</v>
      </c>
      <c r="I836" t="n">
        <v>0</v>
      </c>
      <c r="J836" t="n">
        <v>0</v>
      </c>
      <c r="K836" t="n">
        <v>0</v>
      </c>
      <c r="L836" t="n">
        <v>0</v>
      </c>
      <c r="M836" t="n">
        <v>0</v>
      </c>
      <c r="N836" t="n">
        <v>0</v>
      </c>
      <c r="O836" t="n">
        <v>0</v>
      </c>
      <c r="P836" t="n">
        <v>0</v>
      </c>
      <c r="Q836" t="n">
        <v>0</v>
      </c>
      <c r="R836" s="2" t="inlineStr"/>
    </row>
    <row r="837" ht="15" customHeight="1">
      <c r="A837" t="inlineStr">
        <is>
          <t>A 2597-2024</t>
        </is>
      </c>
      <c r="B837" s="1" t="n">
        <v>45313</v>
      </c>
      <c r="C837" s="1" t="n">
        <v>46063</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27349-2025</t>
        </is>
      </c>
      <c r="B838" s="1" t="n">
        <v>45812</v>
      </c>
      <c r="C838" s="1" t="n">
        <v>46063</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5757-2026</t>
        </is>
      </c>
      <c r="B839" s="1" t="n">
        <v>46051.61309027778</v>
      </c>
      <c r="C839" s="1" t="n">
        <v>46063</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62277-2023</t>
        </is>
      </c>
      <c r="B840" s="1" t="n">
        <v>45266</v>
      </c>
      <c r="C840" s="1" t="n">
        <v>46063</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3888-2024</t>
        </is>
      </c>
      <c r="B841" s="1" t="n">
        <v>45322.45089120371</v>
      </c>
      <c r="C841" s="1" t="n">
        <v>46063</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3889-2024</t>
        </is>
      </c>
      <c r="B842" s="1" t="n">
        <v>45322.45234953704</v>
      </c>
      <c r="C842" s="1" t="n">
        <v>46063</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5759-2026</t>
        </is>
      </c>
      <c r="B843" s="1" t="n">
        <v>46051.61814814815</v>
      </c>
      <c r="C843" s="1" t="n">
        <v>46063</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8249-2023</t>
        </is>
      </c>
      <c r="B844" s="1" t="n">
        <v>44974</v>
      </c>
      <c r="C844" s="1" t="n">
        <v>46063</v>
      </c>
      <c r="D844" t="inlineStr">
        <is>
          <t>SKÅNE LÄN</t>
        </is>
      </c>
      <c r="E844" t="inlineStr">
        <is>
          <t>HÄSSLEHOLM</t>
        </is>
      </c>
      <c r="G844" t="n">
        <v>5.8</v>
      </c>
      <c r="H844" t="n">
        <v>0</v>
      </c>
      <c r="I844" t="n">
        <v>0</v>
      </c>
      <c r="J844" t="n">
        <v>0</v>
      </c>
      <c r="K844" t="n">
        <v>0</v>
      </c>
      <c r="L844" t="n">
        <v>0</v>
      </c>
      <c r="M844" t="n">
        <v>0</v>
      </c>
      <c r="N844" t="n">
        <v>0</v>
      </c>
      <c r="O844" t="n">
        <v>0</v>
      </c>
      <c r="P844" t="n">
        <v>0</v>
      </c>
      <c r="Q844" t="n">
        <v>0</v>
      </c>
      <c r="R844" s="2" t="inlineStr"/>
    </row>
    <row r="845" ht="15" customHeight="1">
      <c r="A845" t="inlineStr">
        <is>
          <t>A 3480-2024</t>
        </is>
      </c>
      <c r="B845" s="1" t="n">
        <v>45320.43998842593</v>
      </c>
      <c r="C845" s="1" t="n">
        <v>46063</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62417-2025</t>
        </is>
      </c>
      <c r="B846" s="1" t="n">
        <v>46007</v>
      </c>
      <c r="C846" s="1" t="n">
        <v>46063</v>
      </c>
      <c r="D846" t="inlineStr">
        <is>
          <t>SKÅNE LÄN</t>
        </is>
      </c>
      <c r="E846" t="inlineStr">
        <is>
          <t>HÄSSLEHOLM</t>
        </is>
      </c>
      <c r="G846" t="n">
        <v>2</v>
      </c>
      <c r="H846" t="n">
        <v>0</v>
      </c>
      <c r="I846" t="n">
        <v>0</v>
      </c>
      <c r="J846" t="n">
        <v>0</v>
      </c>
      <c r="K846" t="n">
        <v>0</v>
      </c>
      <c r="L846" t="n">
        <v>0</v>
      </c>
      <c r="M846" t="n">
        <v>0</v>
      </c>
      <c r="N846" t="n">
        <v>0</v>
      </c>
      <c r="O846" t="n">
        <v>0</v>
      </c>
      <c r="P846" t="n">
        <v>0</v>
      </c>
      <c r="Q846" t="n">
        <v>0</v>
      </c>
      <c r="R846" s="2" t="inlineStr"/>
    </row>
    <row r="847" ht="15" customHeight="1">
      <c r="A847" t="inlineStr">
        <is>
          <t>A 55218-2023</t>
        </is>
      </c>
      <c r="B847" s="1" t="n">
        <v>45237</v>
      </c>
      <c r="C847" s="1" t="n">
        <v>46063</v>
      </c>
      <c r="D847" t="inlineStr">
        <is>
          <t>SKÅNE LÄN</t>
        </is>
      </c>
      <c r="E847" t="inlineStr">
        <is>
          <t>HÄSSLEHOLM</t>
        </is>
      </c>
      <c r="G847" t="n">
        <v>2</v>
      </c>
      <c r="H847" t="n">
        <v>0</v>
      </c>
      <c r="I847" t="n">
        <v>0</v>
      </c>
      <c r="J847" t="n">
        <v>0</v>
      </c>
      <c r="K847" t="n">
        <v>0</v>
      </c>
      <c r="L847" t="n">
        <v>0</v>
      </c>
      <c r="M847" t="n">
        <v>0</v>
      </c>
      <c r="N847" t="n">
        <v>0</v>
      </c>
      <c r="O847" t="n">
        <v>0</v>
      </c>
      <c r="P847" t="n">
        <v>0</v>
      </c>
      <c r="Q847" t="n">
        <v>0</v>
      </c>
      <c r="R847" s="2" t="inlineStr"/>
    </row>
    <row r="848" ht="15" customHeight="1">
      <c r="A848" t="inlineStr">
        <is>
          <t>A 6449-2026</t>
        </is>
      </c>
      <c r="B848" s="1" t="n">
        <v>46055.87239583334</v>
      </c>
      <c r="C848" s="1" t="n">
        <v>46063</v>
      </c>
      <c r="D848" t="inlineStr">
        <is>
          <t>SKÅNE LÄN</t>
        </is>
      </c>
      <c r="E848" t="inlineStr">
        <is>
          <t>HÄSSLEHOLM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1119-2024</t>
        </is>
      </c>
      <c r="B849" s="1" t="n">
        <v>45302</v>
      </c>
      <c r="C849" s="1" t="n">
        <v>46063</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54426-2025</t>
        </is>
      </c>
      <c r="B850" s="1" t="n">
        <v>45965</v>
      </c>
      <c r="C850" s="1" t="n">
        <v>46063</v>
      </c>
      <c r="D850" t="inlineStr">
        <is>
          <t>SKÅNE LÄN</t>
        </is>
      </c>
      <c r="E850" t="inlineStr">
        <is>
          <t>HÄSSLEHOLM</t>
        </is>
      </c>
      <c r="G850" t="n">
        <v>3.7</v>
      </c>
      <c r="H850" t="n">
        <v>0</v>
      </c>
      <c r="I850" t="n">
        <v>0</v>
      </c>
      <c r="J850" t="n">
        <v>0</v>
      </c>
      <c r="K850" t="n">
        <v>0</v>
      </c>
      <c r="L850" t="n">
        <v>0</v>
      </c>
      <c r="M850" t="n">
        <v>0</v>
      </c>
      <c r="N850" t="n">
        <v>0</v>
      </c>
      <c r="O850" t="n">
        <v>0</v>
      </c>
      <c r="P850" t="n">
        <v>0</v>
      </c>
      <c r="Q850" t="n">
        <v>0</v>
      </c>
      <c r="R850" s="2" t="inlineStr"/>
    </row>
    <row r="851" ht="15" customHeight="1">
      <c r="A851" t="inlineStr">
        <is>
          <t>A 9393-2025</t>
        </is>
      </c>
      <c r="B851" s="1" t="n">
        <v>45715.36230324074</v>
      </c>
      <c r="C851" s="1" t="n">
        <v>46063</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11422-2025</t>
        </is>
      </c>
      <c r="B852" s="1" t="n">
        <v>45726</v>
      </c>
      <c r="C852" s="1" t="n">
        <v>46063</v>
      </c>
      <c r="D852" t="inlineStr">
        <is>
          <t>SKÅNE LÄN</t>
        </is>
      </c>
      <c r="E852" t="inlineStr">
        <is>
          <t>HÄSSLEHOLM</t>
        </is>
      </c>
      <c r="G852" t="n">
        <v>14.9</v>
      </c>
      <c r="H852" t="n">
        <v>0</v>
      </c>
      <c r="I852" t="n">
        <v>0</v>
      </c>
      <c r="J852" t="n">
        <v>0</v>
      </c>
      <c r="K852" t="n">
        <v>0</v>
      </c>
      <c r="L852" t="n">
        <v>0</v>
      </c>
      <c r="M852" t="n">
        <v>0</v>
      </c>
      <c r="N852" t="n">
        <v>0</v>
      </c>
      <c r="O852" t="n">
        <v>0</v>
      </c>
      <c r="P852" t="n">
        <v>0</v>
      </c>
      <c r="Q852" t="n">
        <v>0</v>
      </c>
      <c r="R852" s="2" t="inlineStr"/>
    </row>
    <row r="853" ht="15" customHeight="1">
      <c r="A853" t="inlineStr">
        <is>
          <t>A 57277-2023</t>
        </is>
      </c>
      <c r="B853" s="1" t="n">
        <v>45245.59104166667</v>
      </c>
      <c r="C853" s="1" t="n">
        <v>46063</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63710-2025</t>
        </is>
      </c>
      <c r="B854" s="1" t="n">
        <v>46014.62143518519</v>
      </c>
      <c r="C854" s="1" t="n">
        <v>46063</v>
      </c>
      <c r="D854" t="inlineStr">
        <is>
          <t>SKÅNE LÄN</t>
        </is>
      </c>
      <c r="E854" t="inlineStr">
        <is>
          <t>HÄSSLEHOLM</t>
        </is>
      </c>
      <c r="G854" t="n">
        <v>1.3</v>
      </c>
      <c r="H854" t="n">
        <v>0</v>
      </c>
      <c r="I854" t="n">
        <v>0</v>
      </c>
      <c r="J854" t="n">
        <v>0</v>
      </c>
      <c r="K854" t="n">
        <v>0</v>
      </c>
      <c r="L854" t="n">
        <v>0</v>
      </c>
      <c r="M854" t="n">
        <v>0</v>
      </c>
      <c r="N854" t="n">
        <v>0</v>
      </c>
      <c r="O854" t="n">
        <v>0</v>
      </c>
      <c r="P854" t="n">
        <v>0</v>
      </c>
      <c r="Q854" t="n">
        <v>0</v>
      </c>
      <c r="R854" s="2" t="inlineStr"/>
    </row>
    <row r="855" ht="15" customHeight="1">
      <c r="A855" t="inlineStr">
        <is>
          <t>A 6309-2026</t>
        </is>
      </c>
      <c r="B855" s="1" t="n">
        <v>46055.57369212963</v>
      </c>
      <c r="C855" s="1" t="n">
        <v>46063</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9611-2025</t>
        </is>
      </c>
      <c r="B856" s="1" t="n">
        <v>45715</v>
      </c>
      <c r="C856" s="1" t="n">
        <v>46063</v>
      </c>
      <c r="D856" t="inlineStr">
        <is>
          <t>SKÅNE LÄN</t>
        </is>
      </c>
      <c r="E856" t="inlineStr">
        <is>
          <t>HÄSSLEHOLM</t>
        </is>
      </c>
      <c r="G856" t="n">
        <v>2.1</v>
      </c>
      <c r="H856" t="n">
        <v>0</v>
      </c>
      <c r="I856" t="n">
        <v>0</v>
      </c>
      <c r="J856" t="n">
        <v>0</v>
      </c>
      <c r="K856" t="n">
        <v>0</v>
      </c>
      <c r="L856" t="n">
        <v>0</v>
      </c>
      <c r="M856" t="n">
        <v>0</v>
      </c>
      <c r="N856" t="n">
        <v>0</v>
      </c>
      <c r="O856" t="n">
        <v>0</v>
      </c>
      <c r="P856" t="n">
        <v>0</v>
      </c>
      <c r="Q856" t="n">
        <v>0</v>
      </c>
      <c r="R856" s="2" t="inlineStr"/>
    </row>
    <row r="857" ht="15" customHeight="1">
      <c r="A857" t="inlineStr">
        <is>
          <t>A 5284-2023</t>
        </is>
      </c>
      <c r="B857" s="1" t="n">
        <v>44959.50608796296</v>
      </c>
      <c r="C857" s="1" t="n">
        <v>46063</v>
      </c>
      <c r="D857" t="inlineStr">
        <is>
          <t>SKÅNE LÄN</t>
        </is>
      </c>
      <c r="E857" t="inlineStr">
        <is>
          <t>HÄSSLEHOLM</t>
        </is>
      </c>
      <c r="G857" t="n">
        <v>0.4</v>
      </c>
      <c r="H857" t="n">
        <v>0</v>
      </c>
      <c r="I857" t="n">
        <v>0</v>
      </c>
      <c r="J857" t="n">
        <v>0</v>
      </c>
      <c r="K857" t="n">
        <v>0</v>
      </c>
      <c r="L857" t="n">
        <v>0</v>
      </c>
      <c r="M857" t="n">
        <v>0</v>
      </c>
      <c r="N857" t="n">
        <v>0</v>
      </c>
      <c r="O857" t="n">
        <v>0</v>
      </c>
      <c r="P857" t="n">
        <v>0</v>
      </c>
      <c r="Q857" t="n">
        <v>0</v>
      </c>
      <c r="R857" s="2" t="inlineStr"/>
    </row>
    <row r="858" ht="15" customHeight="1">
      <c r="A858" t="inlineStr">
        <is>
          <t>A 5285-2023</t>
        </is>
      </c>
      <c r="B858" s="1" t="n">
        <v>44959.50783564815</v>
      </c>
      <c r="C858" s="1" t="n">
        <v>46063</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6295-2026</t>
        </is>
      </c>
      <c r="B859" s="1" t="n">
        <v>46055.56115740741</v>
      </c>
      <c r="C859" s="1" t="n">
        <v>46063</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63510-2025</t>
        </is>
      </c>
      <c r="B860" s="1" t="n">
        <v>46013.49172453704</v>
      </c>
      <c r="C860" s="1" t="n">
        <v>46063</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57272-2023</t>
        </is>
      </c>
      <c r="B861" s="1" t="n">
        <v>45245</v>
      </c>
      <c r="C861" s="1" t="n">
        <v>46063</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2479-2024</t>
        </is>
      </c>
      <c r="B862" s="1" t="n">
        <v>45313.40148148148</v>
      </c>
      <c r="C862" s="1" t="n">
        <v>46063</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6299-2026</t>
        </is>
      </c>
      <c r="B863" s="1" t="n">
        <v>46055.56623842593</v>
      </c>
      <c r="C863" s="1" t="n">
        <v>46063</v>
      </c>
      <c r="D863" t="inlineStr">
        <is>
          <t>SKÅNE LÄN</t>
        </is>
      </c>
      <c r="E863" t="inlineStr">
        <is>
          <t>HÄSSLEHOLM</t>
        </is>
      </c>
      <c r="G863" t="n">
        <v>5.2</v>
      </c>
      <c r="H863" t="n">
        <v>0</v>
      </c>
      <c r="I863" t="n">
        <v>0</v>
      </c>
      <c r="J863" t="n">
        <v>0</v>
      </c>
      <c r="K863" t="n">
        <v>0</v>
      </c>
      <c r="L863" t="n">
        <v>0</v>
      </c>
      <c r="M863" t="n">
        <v>0</v>
      </c>
      <c r="N863" t="n">
        <v>0</v>
      </c>
      <c r="O863" t="n">
        <v>0</v>
      </c>
      <c r="P863" t="n">
        <v>0</v>
      </c>
      <c r="Q863" t="n">
        <v>0</v>
      </c>
      <c r="R863" s="2" t="inlineStr"/>
    </row>
    <row r="864" ht="15" customHeight="1">
      <c r="A864" t="inlineStr">
        <is>
          <t>A 63473-2025</t>
        </is>
      </c>
      <c r="B864" s="1" t="n">
        <v>46013.44364583334</v>
      </c>
      <c r="C864" s="1" t="n">
        <v>46063</v>
      </c>
      <c r="D864" t="inlineStr">
        <is>
          <t>SKÅNE LÄN</t>
        </is>
      </c>
      <c r="E864" t="inlineStr">
        <is>
          <t>HÄSSLEHOLM</t>
        </is>
      </c>
      <c r="F864" t="inlineStr">
        <is>
          <t>Kommuner</t>
        </is>
      </c>
      <c r="G864" t="n">
        <v>5.9</v>
      </c>
      <c r="H864" t="n">
        <v>0</v>
      </c>
      <c r="I864" t="n">
        <v>0</v>
      </c>
      <c r="J864" t="n">
        <v>0</v>
      </c>
      <c r="K864" t="n">
        <v>0</v>
      </c>
      <c r="L864" t="n">
        <v>0</v>
      </c>
      <c r="M864" t="n">
        <v>0</v>
      </c>
      <c r="N864" t="n">
        <v>0</v>
      </c>
      <c r="O864" t="n">
        <v>0</v>
      </c>
      <c r="P864" t="n">
        <v>0</v>
      </c>
      <c r="Q864" t="n">
        <v>0</v>
      </c>
      <c r="R864" s="2" t="inlineStr"/>
    </row>
    <row r="865" ht="15" customHeight="1">
      <c r="A865" t="inlineStr">
        <is>
          <t>A 63487-2025</t>
        </is>
      </c>
      <c r="B865" s="1" t="n">
        <v>46013.46878472222</v>
      </c>
      <c r="C865" s="1" t="n">
        <v>46063</v>
      </c>
      <c r="D865" t="inlineStr">
        <is>
          <t>SKÅNE LÄN</t>
        </is>
      </c>
      <c r="E865" t="inlineStr">
        <is>
          <t>HÄSSLEHOLM</t>
        </is>
      </c>
      <c r="F865" t="inlineStr">
        <is>
          <t>Kommuner</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31160-2024</t>
        </is>
      </c>
      <c r="B866" s="1" t="n">
        <v>45503</v>
      </c>
      <c r="C866" s="1" t="n">
        <v>46063</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63414-2025</t>
        </is>
      </c>
      <c r="B867" s="1" t="n">
        <v>46013.32008101852</v>
      </c>
      <c r="C867" s="1" t="n">
        <v>46063</v>
      </c>
      <c r="D867" t="inlineStr">
        <is>
          <t>SKÅNE LÄN</t>
        </is>
      </c>
      <c r="E867" t="inlineStr">
        <is>
          <t>HÄSSLEHOLM</t>
        </is>
      </c>
      <c r="G867" t="n">
        <v>1.3</v>
      </c>
      <c r="H867" t="n">
        <v>0</v>
      </c>
      <c r="I867" t="n">
        <v>0</v>
      </c>
      <c r="J867" t="n">
        <v>0</v>
      </c>
      <c r="K867" t="n">
        <v>0</v>
      </c>
      <c r="L867" t="n">
        <v>0</v>
      </c>
      <c r="M867" t="n">
        <v>0</v>
      </c>
      <c r="N867" t="n">
        <v>0</v>
      </c>
      <c r="O867" t="n">
        <v>0</v>
      </c>
      <c r="P867" t="n">
        <v>0</v>
      </c>
      <c r="Q867" t="n">
        <v>0</v>
      </c>
      <c r="R867" s="2" t="inlineStr"/>
    </row>
    <row r="868" ht="15" customHeight="1">
      <c r="A868" t="inlineStr">
        <is>
          <t>A 50664-2023</t>
        </is>
      </c>
      <c r="B868" s="1" t="n">
        <v>45217</v>
      </c>
      <c r="C868" s="1" t="n">
        <v>46063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6363-2026</t>
        </is>
      </c>
      <c r="B869" s="1" t="n">
        <v>46055.62319444444</v>
      </c>
      <c r="C869" s="1" t="n">
        <v>46063</v>
      </c>
      <c r="D869" t="inlineStr">
        <is>
          <t>SKÅNE LÄN</t>
        </is>
      </c>
      <c r="E869" t="inlineStr">
        <is>
          <t>HÄSSLEHOLM</t>
        </is>
      </c>
      <c r="G869" t="n">
        <v>4.4</v>
      </c>
      <c r="H869" t="n">
        <v>0</v>
      </c>
      <c r="I869" t="n">
        <v>0</v>
      </c>
      <c r="J869" t="n">
        <v>0</v>
      </c>
      <c r="K869" t="n">
        <v>0</v>
      </c>
      <c r="L869" t="n">
        <v>0</v>
      </c>
      <c r="M869" t="n">
        <v>0</v>
      </c>
      <c r="N869" t="n">
        <v>0</v>
      </c>
      <c r="O869" t="n">
        <v>0</v>
      </c>
      <c r="P869" t="n">
        <v>0</v>
      </c>
      <c r="Q869" t="n">
        <v>0</v>
      </c>
      <c r="R869" s="2" t="inlineStr"/>
    </row>
    <row r="870" ht="15" customHeight="1">
      <c r="A870" t="inlineStr">
        <is>
          <t>A 56490-2021</t>
        </is>
      </c>
      <c r="B870" s="1" t="n">
        <v>44480</v>
      </c>
      <c r="C870" s="1" t="n">
        <v>46063</v>
      </c>
      <c r="D870" t="inlineStr">
        <is>
          <t>SKÅNE LÄN</t>
        </is>
      </c>
      <c r="E870" t="inlineStr">
        <is>
          <t>HÄSSLEHOLM</t>
        </is>
      </c>
      <c r="F870" t="inlineStr">
        <is>
          <t>Kyrkan</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8160-2024</t>
        </is>
      </c>
      <c r="B871" s="1" t="n">
        <v>45351</v>
      </c>
      <c r="C871" s="1" t="n">
        <v>46063</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63415-2025</t>
        </is>
      </c>
      <c r="B872" s="1" t="n">
        <v>46013.32163194445</v>
      </c>
      <c r="C872" s="1" t="n">
        <v>46063</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63416-2025</t>
        </is>
      </c>
      <c r="B873" s="1" t="n">
        <v>46013.3232175926</v>
      </c>
      <c r="C873" s="1" t="n">
        <v>46063</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417-2022</t>
        </is>
      </c>
      <c r="B874" s="1" t="n">
        <v>44565.84615740741</v>
      </c>
      <c r="C874" s="1" t="n">
        <v>46063</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61934-2023</t>
        </is>
      </c>
      <c r="B875" s="1" t="n">
        <v>45266.54125</v>
      </c>
      <c r="C875" s="1" t="n">
        <v>46063</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41459-2022</t>
        </is>
      </c>
      <c r="B876" s="1" t="n">
        <v>44826.93372685185</v>
      </c>
      <c r="C876" s="1" t="n">
        <v>46063</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63476-2025</t>
        </is>
      </c>
      <c r="B877" s="1" t="n">
        <v>46013.44621527778</v>
      </c>
      <c r="C877" s="1" t="n">
        <v>46063</v>
      </c>
      <c r="D877" t="inlineStr">
        <is>
          <t>SKÅNE LÄN</t>
        </is>
      </c>
      <c r="E877" t="inlineStr">
        <is>
          <t>HÄSSLEHOLM</t>
        </is>
      </c>
      <c r="F877" t="inlineStr">
        <is>
          <t>Kommuner</t>
        </is>
      </c>
      <c r="G877" t="n">
        <v>0.6</v>
      </c>
      <c r="H877" t="n">
        <v>0</v>
      </c>
      <c r="I877" t="n">
        <v>0</v>
      </c>
      <c r="J877" t="n">
        <v>0</v>
      </c>
      <c r="K877" t="n">
        <v>0</v>
      </c>
      <c r="L877" t="n">
        <v>0</v>
      </c>
      <c r="M877" t="n">
        <v>0</v>
      </c>
      <c r="N877" t="n">
        <v>0</v>
      </c>
      <c r="O877" t="n">
        <v>0</v>
      </c>
      <c r="P877" t="n">
        <v>0</v>
      </c>
      <c r="Q877" t="n">
        <v>0</v>
      </c>
      <c r="R877" s="2" t="inlineStr"/>
    </row>
    <row r="878" ht="15" customHeight="1">
      <c r="A878" t="inlineStr">
        <is>
          <t>A 19151-2023</t>
        </is>
      </c>
      <c r="B878" s="1" t="n">
        <v>45044</v>
      </c>
      <c r="C878" s="1" t="n">
        <v>46063</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54658-2023</t>
        </is>
      </c>
      <c r="B879" s="1" t="n">
        <v>45235</v>
      </c>
      <c r="C879" s="1" t="n">
        <v>46063</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42370-2023</t>
        </is>
      </c>
      <c r="B880" s="1" t="n">
        <v>45180</v>
      </c>
      <c r="C880" s="1" t="n">
        <v>46063</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47450-2025</t>
        </is>
      </c>
      <c r="B881" s="1" t="n">
        <v>45930</v>
      </c>
      <c r="C881" s="1" t="n">
        <v>46063</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47352-2025</t>
        </is>
      </c>
      <c r="B882" s="1" t="n">
        <v>45930</v>
      </c>
      <c r="C882" s="1" t="n">
        <v>46063</v>
      </c>
      <c r="D882" t="inlineStr">
        <is>
          <t>SKÅNE LÄN</t>
        </is>
      </c>
      <c r="E882" t="inlineStr">
        <is>
          <t>HÄSSLEHOLM</t>
        </is>
      </c>
      <c r="G882" t="n">
        <v>16.6</v>
      </c>
      <c r="H882" t="n">
        <v>0</v>
      </c>
      <c r="I882" t="n">
        <v>0</v>
      </c>
      <c r="J882" t="n">
        <v>0</v>
      </c>
      <c r="K882" t="n">
        <v>0</v>
      </c>
      <c r="L882" t="n">
        <v>0</v>
      </c>
      <c r="M882" t="n">
        <v>0</v>
      </c>
      <c r="N882" t="n">
        <v>0</v>
      </c>
      <c r="O882" t="n">
        <v>0</v>
      </c>
      <c r="P882" t="n">
        <v>0</v>
      </c>
      <c r="Q882" t="n">
        <v>0</v>
      </c>
      <c r="R882" s="2" t="inlineStr"/>
    </row>
    <row r="883" ht="15" customHeight="1">
      <c r="A883" t="inlineStr">
        <is>
          <t>A 16951-2025</t>
        </is>
      </c>
      <c r="B883" s="1" t="n">
        <v>45755</v>
      </c>
      <c r="C883" s="1" t="n">
        <v>46063</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6316-2026</t>
        </is>
      </c>
      <c r="B884" s="1" t="n">
        <v>46055</v>
      </c>
      <c r="C884" s="1" t="n">
        <v>46063</v>
      </c>
      <c r="D884" t="inlineStr">
        <is>
          <t>SKÅNE LÄN</t>
        </is>
      </c>
      <c r="E884" t="inlineStr">
        <is>
          <t>HÄSSLEHOLM</t>
        </is>
      </c>
      <c r="G884" t="n">
        <v>2.3</v>
      </c>
      <c r="H884" t="n">
        <v>0</v>
      </c>
      <c r="I884" t="n">
        <v>0</v>
      </c>
      <c r="J884" t="n">
        <v>0</v>
      </c>
      <c r="K884" t="n">
        <v>0</v>
      </c>
      <c r="L884" t="n">
        <v>0</v>
      </c>
      <c r="M884" t="n">
        <v>0</v>
      </c>
      <c r="N884" t="n">
        <v>0</v>
      </c>
      <c r="O884" t="n">
        <v>0</v>
      </c>
      <c r="P884" t="n">
        <v>0</v>
      </c>
      <c r="Q884" t="n">
        <v>0</v>
      </c>
      <c r="R884" s="2" t="inlineStr"/>
    </row>
    <row r="885" ht="15" customHeight="1">
      <c r="A885" t="inlineStr">
        <is>
          <t>A 18063-2023</t>
        </is>
      </c>
      <c r="B885" s="1" t="n">
        <v>45040.62850694444</v>
      </c>
      <c r="C885" s="1" t="n">
        <v>46063</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63709-2025</t>
        </is>
      </c>
      <c r="B886" s="1" t="n">
        <v>46014.61700231482</v>
      </c>
      <c r="C886" s="1" t="n">
        <v>46063</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14674-2025</t>
        </is>
      </c>
      <c r="B887" s="1" t="n">
        <v>45742.55548611111</v>
      </c>
      <c r="C887" s="1" t="n">
        <v>46063</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41680-2024</t>
        </is>
      </c>
      <c r="B888" s="1" t="n">
        <v>45560</v>
      </c>
      <c r="C888" s="1" t="n">
        <v>46063</v>
      </c>
      <c r="D888" t="inlineStr">
        <is>
          <t>SKÅNE LÄN</t>
        </is>
      </c>
      <c r="E888" t="inlineStr">
        <is>
          <t>HÄSSLEHOLM</t>
        </is>
      </c>
      <c r="G888" t="n">
        <v>0.2</v>
      </c>
      <c r="H888" t="n">
        <v>0</v>
      </c>
      <c r="I888" t="n">
        <v>0</v>
      </c>
      <c r="J888" t="n">
        <v>0</v>
      </c>
      <c r="K888" t="n">
        <v>0</v>
      </c>
      <c r="L888" t="n">
        <v>0</v>
      </c>
      <c r="M888" t="n">
        <v>0</v>
      </c>
      <c r="N888" t="n">
        <v>0</v>
      </c>
      <c r="O888" t="n">
        <v>0</v>
      </c>
      <c r="P888" t="n">
        <v>0</v>
      </c>
      <c r="Q888" t="n">
        <v>0</v>
      </c>
      <c r="R888" s="2" t="inlineStr"/>
    </row>
    <row r="889" ht="15" customHeight="1">
      <c r="A889" t="inlineStr">
        <is>
          <t>A 54777-2022</t>
        </is>
      </c>
      <c r="B889" s="1" t="n">
        <v>44883</v>
      </c>
      <c r="C889" s="1" t="n">
        <v>46063</v>
      </c>
      <c r="D889" t="inlineStr">
        <is>
          <t>SKÅNE LÄN</t>
        </is>
      </c>
      <c r="E889" t="inlineStr">
        <is>
          <t>HÄSSLEHOLM</t>
        </is>
      </c>
      <c r="G889" t="n">
        <v>1.7</v>
      </c>
      <c r="H889" t="n">
        <v>0</v>
      </c>
      <c r="I889" t="n">
        <v>0</v>
      </c>
      <c r="J889" t="n">
        <v>0</v>
      </c>
      <c r="K889" t="n">
        <v>0</v>
      </c>
      <c r="L889" t="n">
        <v>0</v>
      </c>
      <c r="M889" t="n">
        <v>0</v>
      </c>
      <c r="N889" t="n">
        <v>0</v>
      </c>
      <c r="O889" t="n">
        <v>0</v>
      </c>
      <c r="P889" t="n">
        <v>0</v>
      </c>
      <c r="Q889" t="n">
        <v>0</v>
      </c>
      <c r="R889" s="2" t="inlineStr"/>
    </row>
    <row r="890" ht="15" customHeight="1">
      <c r="A890" t="inlineStr">
        <is>
          <t>A 6328-2026</t>
        </is>
      </c>
      <c r="B890" s="1" t="n">
        <v>46055</v>
      </c>
      <c r="C890" s="1" t="n">
        <v>46063</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7244-2026</t>
        </is>
      </c>
      <c r="B891" s="1" t="n">
        <v>46058.58646990741</v>
      </c>
      <c r="C891" s="1" t="n">
        <v>46063</v>
      </c>
      <c r="D891" t="inlineStr">
        <is>
          <t>SKÅNE LÄN</t>
        </is>
      </c>
      <c r="E891" t="inlineStr">
        <is>
          <t>HÄSSLEHOLM</t>
        </is>
      </c>
      <c r="G891" t="n">
        <v>7</v>
      </c>
      <c r="H891" t="n">
        <v>0</v>
      </c>
      <c r="I891" t="n">
        <v>0</v>
      </c>
      <c r="J891" t="n">
        <v>0</v>
      </c>
      <c r="K891" t="n">
        <v>0</v>
      </c>
      <c r="L891" t="n">
        <v>0</v>
      </c>
      <c r="M891" t="n">
        <v>0</v>
      </c>
      <c r="N891" t="n">
        <v>0</v>
      </c>
      <c r="O891" t="n">
        <v>0</v>
      </c>
      <c r="P891" t="n">
        <v>0</v>
      </c>
      <c r="Q891" t="n">
        <v>0</v>
      </c>
      <c r="R891" s="2" t="inlineStr"/>
    </row>
    <row r="892" ht="15" customHeight="1">
      <c r="A892" t="inlineStr">
        <is>
          <t>A 47432-2025</t>
        </is>
      </c>
      <c r="B892" s="1" t="n">
        <v>45930</v>
      </c>
      <c r="C892" s="1" t="n">
        <v>46063</v>
      </c>
      <c r="D892" t="inlineStr">
        <is>
          <t>SKÅNE LÄN</t>
        </is>
      </c>
      <c r="E892" t="inlineStr">
        <is>
          <t>HÄSSLEHOLM</t>
        </is>
      </c>
      <c r="G892" t="n">
        <v>3.1</v>
      </c>
      <c r="H892" t="n">
        <v>0</v>
      </c>
      <c r="I892" t="n">
        <v>0</v>
      </c>
      <c r="J892" t="n">
        <v>0</v>
      </c>
      <c r="K892" t="n">
        <v>0</v>
      </c>
      <c r="L892" t="n">
        <v>0</v>
      </c>
      <c r="M892" t="n">
        <v>0</v>
      </c>
      <c r="N892" t="n">
        <v>0</v>
      </c>
      <c r="O892" t="n">
        <v>0</v>
      </c>
      <c r="P892" t="n">
        <v>0</v>
      </c>
      <c r="Q892" t="n">
        <v>0</v>
      </c>
      <c r="R892" s="2" t="inlineStr"/>
    </row>
    <row r="893" ht="15" customHeight="1">
      <c r="A893" t="inlineStr">
        <is>
          <t>A 47394-2025</t>
        </is>
      </c>
      <c r="B893" s="1" t="n">
        <v>45930</v>
      </c>
      <c r="C893" s="1" t="n">
        <v>46063</v>
      </c>
      <c r="D893" t="inlineStr">
        <is>
          <t>SKÅNE LÄN</t>
        </is>
      </c>
      <c r="E893" t="inlineStr">
        <is>
          <t>HÄSSLEHOLM</t>
        </is>
      </c>
      <c r="G893" t="n">
        <v>2.4</v>
      </c>
      <c r="H893" t="n">
        <v>0</v>
      </c>
      <c r="I893" t="n">
        <v>0</v>
      </c>
      <c r="J893" t="n">
        <v>0</v>
      </c>
      <c r="K893" t="n">
        <v>0</v>
      </c>
      <c r="L893" t="n">
        <v>0</v>
      </c>
      <c r="M893" t="n">
        <v>0</v>
      </c>
      <c r="N893" t="n">
        <v>0</v>
      </c>
      <c r="O893" t="n">
        <v>0</v>
      </c>
      <c r="P893" t="n">
        <v>0</v>
      </c>
      <c r="Q893" t="n">
        <v>0</v>
      </c>
      <c r="R893" s="2" t="inlineStr"/>
    </row>
    <row r="894" ht="15" customHeight="1">
      <c r="A894" t="inlineStr">
        <is>
          <t>A 23683-2023</t>
        </is>
      </c>
      <c r="B894" s="1" t="n">
        <v>45077</v>
      </c>
      <c r="C894" s="1" t="n">
        <v>46063</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63712-2025</t>
        </is>
      </c>
      <c r="B895" s="1" t="n">
        <v>46014.63092592593</v>
      </c>
      <c r="C895" s="1" t="n">
        <v>46063</v>
      </c>
      <c r="D895" t="inlineStr">
        <is>
          <t>SKÅNE LÄN</t>
        </is>
      </c>
      <c r="E895" t="inlineStr">
        <is>
          <t>HÄSSLEHOLM</t>
        </is>
      </c>
      <c r="G895" t="n">
        <v>3.9</v>
      </c>
      <c r="H895" t="n">
        <v>0</v>
      </c>
      <c r="I895" t="n">
        <v>0</v>
      </c>
      <c r="J895" t="n">
        <v>0</v>
      </c>
      <c r="K895" t="n">
        <v>0</v>
      </c>
      <c r="L895" t="n">
        <v>0</v>
      </c>
      <c r="M895" t="n">
        <v>0</v>
      </c>
      <c r="N895" t="n">
        <v>0</v>
      </c>
      <c r="O895" t="n">
        <v>0</v>
      </c>
      <c r="P895" t="n">
        <v>0</v>
      </c>
      <c r="Q895" t="n">
        <v>0</v>
      </c>
      <c r="R895" s="2" t="inlineStr"/>
    </row>
    <row r="896" ht="15" customHeight="1">
      <c r="A896" t="inlineStr">
        <is>
          <t>A 20510-2021</t>
        </is>
      </c>
      <c r="B896" s="1" t="n">
        <v>44315</v>
      </c>
      <c r="C896" s="1" t="n">
        <v>46063</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47422-2025</t>
        </is>
      </c>
      <c r="B897" s="1" t="n">
        <v>45930</v>
      </c>
      <c r="C897" s="1" t="n">
        <v>46063</v>
      </c>
      <c r="D897" t="inlineStr">
        <is>
          <t>SKÅNE LÄN</t>
        </is>
      </c>
      <c r="E897" t="inlineStr">
        <is>
          <t>HÄSSLEHOLM</t>
        </is>
      </c>
      <c r="G897" t="n">
        <v>3.5</v>
      </c>
      <c r="H897" t="n">
        <v>0</v>
      </c>
      <c r="I897" t="n">
        <v>0</v>
      </c>
      <c r="J897" t="n">
        <v>0</v>
      </c>
      <c r="K897" t="n">
        <v>0</v>
      </c>
      <c r="L897" t="n">
        <v>0</v>
      </c>
      <c r="M897" t="n">
        <v>0</v>
      </c>
      <c r="N897" t="n">
        <v>0</v>
      </c>
      <c r="O897" t="n">
        <v>0</v>
      </c>
      <c r="P897" t="n">
        <v>0</v>
      </c>
      <c r="Q897" t="n">
        <v>0</v>
      </c>
      <c r="R897" s="2" t="inlineStr"/>
    </row>
    <row r="898" ht="15" customHeight="1">
      <c r="A898" t="inlineStr">
        <is>
          <t>A 6877-2026</t>
        </is>
      </c>
      <c r="B898" s="1" t="n">
        <v>46057.45768518518</v>
      </c>
      <c r="C898" s="1" t="n">
        <v>46063</v>
      </c>
      <c r="D898" t="inlineStr">
        <is>
          <t>SKÅNE LÄN</t>
        </is>
      </c>
      <c r="E898" t="inlineStr">
        <is>
          <t>HÄSSLEHOLM</t>
        </is>
      </c>
      <c r="G898" t="n">
        <v>1.3</v>
      </c>
      <c r="H898" t="n">
        <v>0</v>
      </c>
      <c r="I898" t="n">
        <v>0</v>
      </c>
      <c r="J898" t="n">
        <v>0</v>
      </c>
      <c r="K898" t="n">
        <v>0</v>
      </c>
      <c r="L898" t="n">
        <v>0</v>
      </c>
      <c r="M898" t="n">
        <v>0</v>
      </c>
      <c r="N898" t="n">
        <v>0</v>
      </c>
      <c r="O898" t="n">
        <v>0</v>
      </c>
      <c r="P898" t="n">
        <v>0</v>
      </c>
      <c r="Q898" t="n">
        <v>0</v>
      </c>
      <c r="R898" s="2" t="inlineStr"/>
    </row>
    <row r="899" ht="15" customHeight="1">
      <c r="A899" t="inlineStr">
        <is>
          <t>A 23955-2023</t>
        </is>
      </c>
      <c r="B899" s="1" t="n">
        <v>45078.62217592593</v>
      </c>
      <c r="C899" s="1" t="n">
        <v>46063</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23860-2024</t>
        </is>
      </c>
      <c r="B900" s="1" t="n">
        <v>45455</v>
      </c>
      <c r="C900" s="1" t="n">
        <v>46063</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524-2024</t>
        </is>
      </c>
      <c r="B901" s="1" t="n">
        <v>45299</v>
      </c>
      <c r="C901" s="1" t="n">
        <v>46063</v>
      </c>
      <c r="D901" t="inlineStr">
        <is>
          <t>SKÅNE LÄN</t>
        </is>
      </c>
      <c r="E901" t="inlineStr">
        <is>
          <t>HÄSSLEHOLM</t>
        </is>
      </c>
      <c r="G901" t="n">
        <v>29.4</v>
      </c>
      <c r="H901" t="n">
        <v>0</v>
      </c>
      <c r="I901" t="n">
        <v>0</v>
      </c>
      <c r="J901" t="n">
        <v>0</v>
      </c>
      <c r="K901" t="n">
        <v>0</v>
      </c>
      <c r="L901" t="n">
        <v>0</v>
      </c>
      <c r="M901" t="n">
        <v>0</v>
      </c>
      <c r="N901" t="n">
        <v>0</v>
      </c>
      <c r="O901" t="n">
        <v>0</v>
      </c>
      <c r="P901" t="n">
        <v>0</v>
      </c>
      <c r="Q901" t="n">
        <v>0</v>
      </c>
      <c r="R901" s="2" t="inlineStr"/>
    </row>
    <row r="902" ht="15" customHeight="1">
      <c r="A902" t="inlineStr">
        <is>
          <t>A 7785-2026</t>
        </is>
      </c>
      <c r="B902" s="1" t="n">
        <v>46062.58422453704</v>
      </c>
      <c r="C902" s="1" t="n">
        <v>46063</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54518-2022</t>
        </is>
      </c>
      <c r="B903" s="1" t="n">
        <v>44882</v>
      </c>
      <c r="C903" s="1" t="n">
        <v>46063</v>
      </c>
      <c r="D903" t="inlineStr">
        <is>
          <t>SKÅNE LÄN</t>
        </is>
      </c>
      <c r="E903" t="inlineStr">
        <is>
          <t>HÄSSLEHOLM</t>
        </is>
      </c>
      <c r="F903" t="inlineStr">
        <is>
          <t>Övriga Aktiebolag</t>
        </is>
      </c>
      <c r="G903" t="n">
        <v>6.8</v>
      </c>
      <c r="H903" t="n">
        <v>0</v>
      </c>
      <c r="I903" t="n">
        <v>0</v>
      </c>
      <c r="J903" t="n">
        <v>0</v>
      </c>
      <c r="K903" t="n">
        <v>0</v>
      </c>
      <c r="L903" t="n">
        <v>0</v>
      </c>
      <c r="M903" t="n">
        <v>0</v>
      </c>
      <c r="N903" t="n">
        <v>0</v>
      </c>
      <c r="O903" t="n">
        <v>0</v>
      </c>
      <c r="P903" t="n">
        <v>0</v>
      </c>
      <c r="Q903" t="n">
        <v>0</v>
      </c>
      <c r="R903" s="2" t="inlineStr"/>
    </row>
    <row r="904" ht="15" customHeight="1">
      <c r="A904" t="inlineStr">
        <is>
          <t>A 56065-2025</t>
        </is>
      </c>
      <c r="B904" s="1" t="n">
        <v>45973</v>
      </c>
      <c r="C904" s="1" t="n">
        <v>46063</v>
      </c>
      <c r="D904" t="inlineStr">
        <is>
          <t>SKÅNE LÄN</t>
        </is>
      </c>
      <c r="E904" t="inlineStr">
        <is>
          <t>HÄSSLEHOLM</t>
        </is>
      </c>
      <c r="G904" t="n">
        <v>2</v>
      </c>
      <c r="H904" t="n">
        <v>0</v>
      </c>
      <c r="I904" t="n">
        <v>0</v>
      </c>
      <c r="J904" t="n">
        <v>0</v>
      </c>
      <c r="K904" t="n">
        <v>0</v>
      </c>
      <c r="L904" t="n">
        <v>0</v>
      </c>
      <c r="M904" t="n">
        <v>0</v>
      </c>
      <c r="N904" t="n">
        <v>0</v>
      </c>
      <c r="O904" t="n">
        <v>0</v>
      </c>
      <c r="P904" t="n">
        <v>0</v>
      </c>
      <c r="Q904" t="n">
        <v>0</v>
      </c>
      <c r="R904" s="2" t="inlineStr"/>
    </row>
    <row r="905" ht="15" customHeight="1">
      <c r="A905" t="inlineStr">
        <is>
          <t>A 7094-2023</t>
        </is>
      </c>
      <c r="B905" s="1" t="n">
        <v>44970.36958333333</v>
      </c>
      <c r="C905" s="1" t="n">
        <v>46063</v>
      </c>
      <c r="D905" t="inlineStr">
        <is>
          <t>SKÅNE LÄN</t>
        </is>
      </c>
      <c r="E905" t="inlineStr">
        <is>
          <t>HÄSSLEHOLM</t>
        </is>
      </c>
      <c r="G905" t="n">
        <v>3.6</v>
      </c>
      <c r="H905" t="n">
        <v>0</v>
      </c>
      <c r="I905" t="n">
        <v>0</v>
      </c>
      <c r="J905" t="n">
        <v>0</v>
      </c>
      <c r="K905" t="n">
        <v>0</v>
      </c>
      <c r="L905" t="n">
        <v>0</v>
      </c>
      <c r="M905" t="n">
        <v>0</v>
      </c>
      <c r="N905" t="n">
        <v>0</v>
      </c>
      <c r="O905" t="n">
        <v>0</v>
      </c>
      <c r="P905" t="n">
        <v>0</v>
      </c>
      <c r="Q905" t="n">
        <v>0</v>
      </c>
      <c r="R905" s="2" t="inlineStr"/>
    </row>
    <row r="906" ht="15" customHeight="1">
      <c r="A906" t="inlineStr">
        <is>
          <t>A 3500-2024</t>
        </is>
      </c>
      <c r="B906" s="1" t="n">
        <v>45320</v>
      </c>
      <c r="C906" s="1" t="n">
        <v>46063</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11266-2025</t>
        </is>
      </c>
      <c r="B907" s="1" t="n">
        <v>45726</v>
      </c>
      <c r="C907" s="1" t="n">
        <v>46063</v>
      </c>
      <c r="D907" t="inlineStr">
        <is>
          <t>SKÅNE LÄN</t>
        </is>
      </c>
      <c r="E907" t="inlineStr">
        <is>
          <t>HÄSSLEHOLM</t>
        </is>
      </c>
      <c r="G907" t="n">
        <v>0.3</v>
      </c>
      <c r="H907" t="n">
        <v>0</v>
      </c>
      <c r="I907" t="n">
        <v>0</v>
      </c>
      <c r="J907" t="n">
        <v>0</v>
      </c>
      <c r="K907" t="n">
        <v>0</v>
      </c>
      <c r="L907" t="n">
        <v>0</v>
      </c>
      <c r="M907" t="n">
        <v>0</v>
      </c>
      <c r="N907" t="n">
        <v>0</v>
      </c>
      <c r="O907" t="n">
        <v>0</v>
      </c>
      <c r="P907" t="n">
        <v>0</v>
      </c>
      <c r="Q907" t="n">
        <v>0</v>
      </c>
      <c r="R907" s="2" t="inlineStr"/>
    </row>
    <row r="908" ht="15" customHeight="1">
      <c r="A908" t="inlineStr">
        <is>
          <t>A 49950-2023</t>
        </is>
      </c>
      <c r="B908" s="1" t="n">
        <v>45215</v>
      </c>
      <c r="C908" s="1" t="n">
        <v>46063</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29853-2024</t>
        </is>
      </c>
      <c r="B909" s="1" t="n">
        <v>45485.65844907407</v>
      </c>
      <c r="C909" s="1" t="n">
        <v>46063</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57695-2023</t>
        </is>
      </c>
      <c r="B910" s="1" t="n">
        <v>45246</v>
      </c>
      <c r="C910" s="1" t="n">
        <v>46063</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9615-2025</t>
        </is>
      </c>
      <c r="B911" s="1" t="n">
        <v>45715</v>
      </c>
      <c r="C911" s="1" t="n">
        <v>46063</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42232-2022</t>
        </is>
      </c>
      <c r="B912" s="1" t="n">
        <v>44830.77591435185</v>
      </c>
      <c r="C912" s="1" t="n">
        <v>46063</v>
      </c>
      <c r="D912" t="inlineStr">
        <is>
          <t>SKÅNE LÄN</t>
        </is>
      </c>
      <c r="E912" t="inlineStr">
        <is>
          <t>HÄSSLEHOLM</t>
        </is>
      </c>
      <c r="G912" t="n">
        <v>1.3</v>
      </c>
      <c r="H912" t="n">
        <v>0</v>
      </c>
      <c r="I912" t="n">
        <v>0</v>
      </c>
      <c r="J912" t="n">
        <v>0</v>
      </c>
      <c r="K912" t="n">
        <v>0</v>
      </c>
      <c r="L912" t="n">
        <v>0</v>
      </c>
      <c r="M912" t="n">
        <v>0</v>
      </c>
      <c r="N912" t="n">
        <v>0</v>
      </c>
      <c r="O912" t="n">
        <v>0</v>
      </c>
      <c r="P912" t="n">
        <v>0</v>
      </c>
      <c r="Q912" t="n">
        <v>0</v>
      </c>
      <c r="R912" s="2" t="inlineStr"/>
    </row>
    <row r="913" ht="15" customHeight="1">
      <c r="A913" t="inlineStr">
        <is>
          <t>A 7721-2026</t>
        </is>
      </c>
      <c r="B913" s="1" t="n">
        <v>46059</v>
      </c>
      <c r="C913" s="1" t="n">
        <v>46063</v>
      </c>
      <c r="D913" t="inlineStr">
        <is>
          <t>SKÅNE LÄN</t>
        </is>
      </c>
      <c r="E913" t="inlineStr">
        <is>
          <t>HÄSSLEHOLM</t>
        </is>
      </c>
      <c r="G913" t="n">
        <v>3.3</v>
      </c>
      <c r="H913" t="n">
        <v>0</v>
      </c>
      <c r="I913" t="n">
        <v>0</v>
      </c>
      <c r="J913" t="n">
        <v>0</v>
      </c>
      <c r="K913" t="n">
        <v>0</v>
      </c>
      <c r="L913" t="n">
        <v>0</v>
      </c>
      <c r="M913" t="n">
        <v>0</v>
      </c>
      <c r="N913" t="n">
        <v>0</v>
      </c>
      <c r="O913" t="n">
        <v>0</v>
      </c>
      <c r="P913" t="n">
        <v>0</v>
      </c>
      <c r="Q913" t="n">
        <v>0</v>
      </c>
      <c r="R913" s="2" t="inlineStr"/>
    </row>
    <row r="914" ht="15" customHeight="1">
      <c r="A914" t="inlineStr">
        <is>
          <t>A 38829-2024</t>
        </is>
      </c>
      <c r="B914" s="1" t="n">
        <v>45547.57247685185</v>
      </c>
      <c r="C914" s="1" t="n">
        <v>46063</v>
      </c>
      <c r="D914" t="inlineStr">
        <is>
          <t>SKÅNE LÄN</t>
        </is>
      </c>
      <c r="E914" t="inlineStr">
        <is>
          <t>HÄSSLEHOLM</t>
        </is>
      </c>
      <c r="G914" t="n">
        <v>1.8</v>
      </c>
      <c r="H914" t="n">
        <v>0</v>
      </c>
      <c r="I914" t="n">
        <v>0</v>
      </c>
      <c r="J914" t="n">
        <v>0</v>
      </c>
      <c r="K914" t="n">
        <v>0</v>
      </c>
      <c r="L914" t="n">
        <v>0</v>
      </c>
      <c r="M914" t="n">
        <v>0</v>
      </c>
      <c r="N914" t="n">
        <v>0</v>
      </c>
      <c r="O914" t="n">
        <v>0</v>
      </c>
      <c r="P914" t="n">
        <v>0</v>
      </c>
      <c r="Q914" t="n">
        <v>0</v>
      </c>
      <c r="R914" s="2" t="inlineStr"/>
    </row>
    <row r="915" ht="15" customHeight="1">
      <c r="A915" t="inlineStr">
        <is>
          <t>A 58689-2025</t>
        </is>
      </c>
      <c r="B915" s="1" t="n">
        <v>45986</v>
      </c>
      <c r="C915" s="1" t="n">
        <v>46063</v>
      </c>
      <c r="D915" t="inlineStr">
        <is>
          <t>SKÅNE LÄN</t>
        </is>
      </c>
      <c r="E915" t="inlineStr">
        <is>
          <t>HÄSSLEHOLM</t>
        </is>
      </c>
      <c r="G915" t="n">
        <v>3.9</v>
      </c>
      <c r="H915" t="n">
        <v>0</v>
      </c>
      <c r="I915" t="n">
        <v>0</v>
      </c>
      <c r="J915" t="n">
        <v>0</v>
      </c>
      <c r="K915" t="n">
        <v>0</v>
      </c>
      <c r="L915" t="n">
        <v>0</v>
      </c>
      <c r="M915" t="n">
        <v>0</v>
      </c>
      <c r="N915" t="n">
        <v>0</v>
      </c>
      <c r="O915" t="n">
        <v>0</v>
      </c>
      <c r="P915" t="n">
        <v>0</v>
      </c>
      <c r="Q915" t="n">
        <v>0</v>
      </c>
      <c r="R915" s="2" t="inlineStr"/>
    </row>
    <row r="916" ht="15" customHeight="1">
      <c r="A916" t="inlineStr">
        <is>
          <t>A 25542-2024</t>
        </is>
      </c>
      <c r="B916" s="1" t="n">
        <v>45463</v>
      </c>
      <c r="C916" s="1" t="n">
        <v>46063</v>
      </c>
      <c r="D916" t="inlineStr">
        <is>
          <t>SKÅNE LÄN</t>
        </is>
      </c>
      <c r="E916" t="inlineStr">
        <is>
          <t>HÄSSLEHOLM</t>
        </is>
      </c>
      <c r="G916" t="n">
        <v>6.9</v>
      </c>
      <c r="H916" t="n">
        <v>0</v>
      </c>
      <c r="I916" t="n">
        <v>0</v>
      </c>
      <c r="J916" t="n">
        <v>0</v>
      </c>
      <c r="K916" t="n">
        <v>0</v>
      </c>
      <c r="L916" t="n">
        <v>0</v>
      </c>
      <c r="M916" t="n">
        <v>0</v>
      </c>
      <c r="N916" t="n">
        <v>0</v>
      </c>
      <c r="O916" t="n">
        <v>0</v>
      </c>
      <c r="P916" t="n">
        <v>0</v>
      </c>
      <c r="Q916" t="n">
        <v>0</v>
      </c>
      <c r="R916" s="2" t="inlineStr"/>
    </row>
    <row r="917" ht="15" customHeight="1">
      <c r="A917" t="inlineStr">
        <is>
          <t>A 55454-2021</t>
        </is>
      </c>
      <c r="B917" s="1" t="n">
        <v>44475</v>
      </c>
      <c r="C917" s="1" t="n">
        <v>46063</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61489-2024</t>
        </is>
      </c>
      <c r="B918" s="1" t="n">
        <v>45646.54875</v>
      </c>
      <c r="C918" s="1" t="n">
        <v>46063</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26879-2024</t>
        </is>
      </c>
      <c r="B919" s="1" t="n">
        <v>45470</v>
      </c>
      <c r="C919" s="1" t="n">
        <v>46063</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59728-2022</t>
        </is>
      </c>
      <c r="B920" s="1" t="n">
        <v>44900</v>
      </c>
      <c r="C920" s="1" t="n">
        <v>46063</v>
      </c>
      <c r="D920" t="inlineStr">
        <is>
          <t>SKÅNE LÄN</t>
        </is>
      </c>
      <c r="E920" t="inlineStr">
        <is>
          <t>HÄSSLEHOLM</t>
        </is>
      </c>
      <c r="G920" t="n">
        <v>0.3</v>
      </c>
      <c r="H920" t="n">
        <v>0</v>
      </c>
      <c r="I920" t="n">
        <v>0</v>
      </c>
      <c r="J920" t="n">
        <v>0</v>
      </c>
      <c r="K920" t="n">
        <v>0</v>
      </c>
      <c r="L920" t="n">
        <v>0</v>
      </c>
      <c r="M920" t="n">
        <v>0</v>
      </c>
      <c r="N920" t="n">
        <v>0</v>
      </c>
      <c r="O920" t="n">
        <v>0</v>
      </c>
      <c r="P920" t="n">
        <v>0</v>
      </c>
      <c r="Q920" t="n">
        <v>0</v>
      </c>
      <c r="R920" s="2" t="inlineStr"/>
    </row>
    <row r="921" ht="15" customHeight="1">
      <c r="A921" t="inlineStr">
        <is>
          <t>A 3294-2025</t>
        </is>
      </c>
      <c r="B921" s="1" t="n">
        <v>45679.64125</v>
      </c>
      <c r="C921" s="1" t="n">
        <v>46063</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13897-2024</t>
        </is>
      </c>
      <c r="B922" s="1" t="n">
        <v>45391</v>
      </c>
      <c r="C922" s="1" t="n">
        <v>46063</v>
      </c>
      <c r="D922" t="inlineStr">
        <is>
          <t>SKÅNE LÄN</t>
        </is>
      </c>
      <c r="E922" t="inlineStr">
        <is>
          <t>HÄSSLEHOLM</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7604-2024</t>
        </is>
      </c>
      <c r="B923" s="1" t="n">
        <v>45348</v>
      </c>
      <c r="C923" s="1" t="n">
        <v>46063</v>
      </c>
      <c r="D923" t="inlineStr">
        <is>
          <t>SKÅNE LÄN</t>
        </is>
      </c>
      <c r="E923" t="inlineStr">
        <is>
          <t>HÄSSLEHOLM</t>
        </is>
      </c>
      <c r="G923" t="n">
        <v>11.1</v>
      </c>
      <c r="H923" t="n">
        <v>0</v>
      </c>
      <c r="I923" t="n">
        <v>0</v>
      </c>
      <c r="J923" t="n">
        <v>0</v>
      </c>
      <c r="K923" t="n">
        <v>0</v>
      </c>
      <c r="L923" t="n">
        <v>0</v>
      </c>
      <c r="M923" t="n">
        <v>0</v>
      </c>
      <c r="N923" t="n">
        <v>0</v>
      </c>
      <c r="O923" t="n">
        <v>0</v>
      </c>
      <c r="P923" t="n">
        <v>0</v>
      </c>
      <c r="Q923" t="n">
        <v>0</v>
      </c>
      <c r="R923" s="2" t="inlineStr"/>
    </row>
    <row r="924" ht="15" customHeight="1">
      <c r="A924" t="inlineStr">
        <is>
          <t>A 36706-2022</t>
        </is>
      </c>
      <c r="B924" s="1" t="n">
        <v>44805.32891203704</v>
      </c>
      <c r="C924" s="1" t="n">
        <v>46063</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441-2022</t>
        </is>
      </c>
      <c r="B925" s="1" t="n">
        <v>44565.97125</v>
      </c>
      <c r="C925" s="1" t="n">
        <v>46063</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3364-2023</t>
        </is>
      </c>
      <c r="B926" s="1" t="n">
        <v>44949</v>
      </c>
      <c r="C926" s="1" t="n">
        <v>46063</v>
      </c>
      <c r="D926" t="inlineStr">
        <is>
          <t>SKÅNE LÄN</t>
        </is>
      </c>
      <c r="E926" t="inlineStr">
        <is>
          <t>HÄSSLEHOLM</t>
        </is>
      </c>
      <c r="G926" t="n">
        <v>5.1</v>
      </c>
      <c r="H926" t="n">
        <v>0</v>
      </c>
      <c r="I926" t="n">
        <v>0</v>
      </c>
      <c r="J926" t="n">
        <v>0</v>
      </c>
      <c r="K926" t="n">
        <v>0</v>
      </c>
      <c r="L926" t="n">
        <v>0</v>
      </c>
      <c r="M926" t="n">
        <v>0</v>
      </c>
      <c r="N926" t="n">
        <v>0</v>
      </c>
      <c r="O926" t="n">
        <v>0</v>
      </c>
      <c r="P926" t="n">
        <v>0</v>
      </c>
      <c r="Q926" t="n">
        <v>0</v>
      </c>
      <c r="R926" s="2" t="inlineStr"/>
    </row>
    <row r="927" ht="15" customHeight="1">
      <c r="A927" t="inlineStr">
        <is>
          <t>A 43629-2023</t>
        </is>
      </c>
      <c r="B927" s="1" t="n">
        <v>45184</v>
      </c>
      <c r="C927" s="1" t="n">
        <v>46063</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57656-2022</t>
        </is>
      </c>
      <c r="B928" s="1" t="n">
        <v>44897.4325925926</v>
      </c>
      <c r="C928" s="1" t="n">
        <v>46063</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8250-2023</t>
        </is>
      </c>
      <c r="B929" s="1" t="n">
        <v>44974</v>
      </c>
      <c r="C929" s="1" t="n">
        <v>46063</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6101-2022</t>
        </is>
      </c>
      <c r="B930" s="1" t="n">
        <v>44599.63016203704</v>
      </c>
      <c r="C930" s="1" t="n">
        <v>46063</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6842-2023</t>
        </is>
      </c>
      <c r="B931" s="1" t="n">
        <v>44967</v>
      </c>
      <c r="C931" s="1" t="n">
        <v>46063</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7202-2022</t>
        </is>
      </c>
      <c r="B932" s="1" t="n">
        <v>44606</v>
      </c>
      <c r="C932" s="1" t="n">
        <v>46063</v>
      </c>
      <c r="D932" t="inlineStr">
        <is>
          <t>SKÅNE LÄN</t>
        </is>
      </c>
      <c r="E932" t="inlineStr">
        <is>
          <t>HÄSSLEHOLM</t>
        </is>
      </c>
      <c r="G932" t="n">
        <v>4.7</v>
      </c>
      <c r="H932" t="n">
        <v>0</v>
      </c>
      <c r="I932" t="n">
        <v>0</v>
      </c>
      <c r="J932" t="n">
        <v>0</v>
      </c>
      <c r="K932" t="n">
        <v>0</v>
      </c>
      <c r="L932" t="n">
        <v>0</v>
      </c>
      <c r="M932" t="n">
        <v>0</v>
      </c>
      <c r="N932" t="n">
        <v>0</v>
      </c>
      <c r="O932" t="n">
        <v>0</v>
      </c>
      <c r="P932" t="n">
        <v>0</v>
      </c>
      <c r="Q932" t="n">
        <v>0</v>
      </c>
      <c r="R932" s="2" t="inlineStr"/>
    </row>
    <row r="933" ht="15" customHeight="1">
      <c r="A933" t="inlineStr">
        <is>
          <t>A 5054-2022</t>
        </is>
      </c>
      <c r="B933" s="1" t="n">
        <v>44593.69065972222</v>
      </c>
      <c r="C933" s="1" t="n">
        <v>46063</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49181-2024</t>
        </is>
      </c>
      <c r="B934" s="1" t="n">
        <v>45595</v>
      </c>
      <c r="C934" s="1" t="n">
        <v>46063</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3349-2023</t>
        </is>
      </c>
      <c r="B935" s="1" t="n">
        <v>44949</v>
      </c>
      <c r="C935" s="1" t="n">
        <v>46063</v>
      </c>
      <c r="D935" t="inlineStr">
        <is>
          <t>SKÅNE LÄN</t>
        </is>
      </c>
      <c r="E935" t="inlineStr">
        <is>
          <t>HÄSSLEHOLM</t>
        </is>
      </c>
      <c r="G935" t="n">
        <v>2.3</v>
      </c>
      <c r="H935" t="n">
        <v>0</v>
      </c>
      <c r="I935" t="n">
        <v>0</v>
      </c>
      <c r="J935" t="n">
        <v>0</v>
      </c>
      <c r="K935" t="n">
        <v>0</v>
      </c>
      <c r="L935" t="n">
        <v>0</v>
      </c>
      <c r="M935" t="n">
        <v>0</v>
      </c>
      <c r="N935" t="n">
        <v>0</v>
      </c>
      <c r="O935" t="n">
        <v>0</v>
      </c>
      <c r="P935" t="n">
        <v>0</v>
      </c>
      <c r="Q935" t="n">
        <v>0</v>
      </c>
      <c r="R935" s="2" t="inlineStr"/>
    </row>
    <row r="936" ht="15" customHeight="1">
      <c r="A936" t="inlineStr">
        <is>
          <t>A 49384-2021</t>
        </is>
      </c>
      <c r="B936" s="1" t="n">
        <v>44454</v>
      </c>
      <c r="C936" s="1" t="n">
        <v>46063</v>
      </c>
      <c r="D936" t="inlineStr">
        <is>
          <t>SKÅNE LÄN</t>
        </is>
      </c>
      <c r="E936" t="inlineStr">
        <is>
          <t>HÄSSLEHOLM</t>
        </is>
      </c>
      <c r="G936" t="n">
        <v>2.6</v>
      </c>
      <c r="H936" t="n">
        <v>0</v>
      </c>
      <c r="I936" t="n">
        <v>0</v>
      </c>
      <c r="J936" t="n">
        <v>0</v>
      </c>
      <c r="K936" t="n">
        <v>0</v>
      </c>
      <c r="L936" t="n">
        <v>0</v>
      </c>
      <c r="M936" t="n">
        <v>0</v>
      </c>
      <c r="N936" t="n">
        <v>0</v>
      </c>
      <c r="O936" t="n">
        <v>0</v>
      </c>
      <c r="P936" t="n">
        <v>0</v>
      </c>
      <c r="Q936" t="n">
        <v>0</v>
      </c>
      <c r="R936" s="2" t="inlineStr"/>
    </row>
    <row r="937" ht="15" customHeight="1">
      <c r="A937" t="inlineStr">
        <is>
          <t>A 60959-2022</t>
        </is>
      </c>
      <c r="B937" s="1" t="n">
        <v>44914.64777777778</v>
      </c>
      <c r="C937" s="1" t="n">
        <v>46063</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3746-2024</t>
        </is>
      </c>
      <c r="B938" s="1" t="n">
        <v>45321.50745370371</v>
      </c>
      <c r="C938" s="1" t="n">
        <v>46063</v>
      </c>
      <c r="D938" t="inlineStr">
        <is>
          <t>SKÅNE LÄN</t>
        </is>
      </c>
      <c r="E938" t="inlineStr">
        <is>
          <t>HÄSSLEHOLM</t>
        </is>
      </c>
      <c r="G938" t="n">
        <v>3.4</v>
      </c>
      <c r="H938" t="n">
        <v>0</v>
      </c>
      <c r="I938" t="n">
        <v>0</v>
      </c>
      <c r="J938" t="n">
        <v>0</v>
      </c>
      <c r="K938" t="n">
        <v>0</v>
      </c>
      <c r="L938" t="n">
        <v>0</v>
      </c>
      <c r="M938" t="n">
        <v>0</v>
      </c>
      <c r="N938" t="n">
        <v>0</v>
      </c>
      <c r="O938" t="n">
        <v>0</v>
      </c>
      <c r="P938" t="n">
        <v>0</v>
      </c>
      <c r="Q938" t="n">
        <v>0</v>
      </c>
      <c r="R938" s="2" t="inlineStr"/>
    </row>
    <row r="939" ht="15" customHeight="1">
      <c r="A939" t="inlineStr">
        <is>
          <t>A 44262-2021</t>
        </is>
      </c>
      <c r="B939" s="1" t="n">
        <v>44434</v>
      </c>
      <c r="C939" s="1" t="n">
        <v>46063</v>
      </c>
      <c r="D939" t="inlineStr">
        <is>
          <t>SKÅNE LÄN</t>
        </is>
      </c>
      <c r="E939" t="inlineStr">
        <is>
          <t>HÄSSLEHOLM</t>
        </is>
      </c>
      <c r="G939" t="n">
        <v>4.7</v>
      </c>
      <c r="H939" t="n">
        <v>0</v>
      </c>
      <c r="I939" t="n">
        <v>0</v>
      </c>
      <c r="J939" t="n">
        <v>0</v>
      </c>
      <c r="K939" t="n">
        <v>0</v>
      </c>
      <c r="L939" t="n">
        <v>0</v>
      </c>
      <c r="M939" t="n">
        <v>0</v>
      </c>
      <c r="N939" t="n">
        <v>0</v>
      </c>
      <c r="O939" t="n">
        <v>0</v>
      </c>
      <c r="P939" t="n">
        <v>0</v>
      </c>
      <c r="Q939" t="n">
        <v>0</v>
      </c>
      <c r="R939" s="2" t="inlineStr"/>
    </row>
    <row r="940" ht="15" customHeight="1">
      <c r="A940" t="inlineStr">
        <is>
          <t>A 1553-2023</t>
        </is>
      </c>
      <c r="B940" s="1" t="n">
        <v>44937</v>
      </c>
      <c r="C940" s="1" t="n">
        <v>46063</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1562-2023</t>
        </is>
      </c>
      <c r="B941" s="1" t="n">
        <v>44937.60450231482</v>
      </c>
      <c r="C941" s="1" t="n">
        <v>46063</v>
      </c>
      <c r="D941" t="inlineStr">
        <is>
          <t>SKÅNE LÄN</t>
        </is>
      </c>
      <c r="E941" t="inlineStr">
        <is>
          <t>HÄSSLEHOLM</t>
        </is>
      </c>
      <c r="G941" t="n">
        <v>2.7</v>
      </c>
      <c r="H941" t="n">
        <v>0</v>
      </c>
      <c r="I941" t="n">
        <v>0</v>
      </c>
      <c r="J941" t="n">
        <v>0</v>
      </c>
      <c r="K941" t="n">
        <v>0</v>
      </c>
      <c r="L941" t="n">
        <v>0</v>
      </c>
      <c r="M941" t="n">
        <v>0</v>
      </c>
      <c r="N941" t="n">
        <v>0</v>
      </c>
      <c r="O941" t="n">
        <v>0</v>
      </c>
      <c r="P941" t="n">
        <v>0</v>
      </c>
      <c r="Q941" t="n">
        <v>0</v>
      </c>
      <c r="R941" s="2" t="inlineStr"/>
    </row>
    <row r="942" ht="15" customHeight="1">
      <c r="A942" t="inlineStr">
        <is>
          <t>A 3452-2023</t>
        </is>
      </c>
      <c r="B942" s="1" t="n">
        <v>44949</v>
      </c>
      <c r="C942" s="1" t="n">
        <v>46063</v>
      </c>
      <c r="D942" t="inlineStr">
        <is>
          <t>SKÅNE LÄN</t>
        </is>
      </c>
      <c r="E942" t="inlineStr">
        <is>
          <t>HÄSSLEHOLM</t>
        </is>
      </c>
      <c r="G942" t="n">
        <v>1.3</v>
      </c>
      <c r="H942" t="n">
        <v>0</v>
      </c>
      <c r="I942" t="n">
        <v>0</v>
      </c>
      <c r="J942" t="n">
        <v>0</v>
      </c>
      <c r="K942" t="n">
        <v>0</v>
      </c>
      <c r="L942" t="n">
        <v>0</v>
      </c>
      <c r="M942" t="n">
        <v>0</v>
      </c>
      <c r="N942" t="n">
        <v>0</v>
      </c>
      <c r="O942" t="n">
        <v>0</v>
      </c>
      <c r="P942" t="n">
        <v>0</v>
      </c>
      <c r="Q942" t="n">
        <v>0</v>
      </c>
      <c r="R942" s="2" t="inlineStr"/>
    </row>
    <row r="943" ht="15" customHeight="1">
      <c r="A943" t="inlineStr">
        <is>
          <t>A 2596-2024</t>
        </is>
      </c>
      <c r="B943" s="1" t="n">
        <v>45313.69969907407</v>
      </c>
      <c r="C943" s="1" t="n">
        <v>46063</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2681-2024</t>
        </is>
      </c>
      <c r="B944" s="1" t="n">
        <v>45314</v>
      </c>
      <c r="C944" s="1" t="n">
        <v>46063</v>
      </c>
      <c r="D944" t="inlineStr">
        <is>
          <t>SKÅNE LÄN</t>
        </is>
      </c>
      <c r="E944" t="inlineStr">
        <is>
          <t>HÄSSLEHOLM</t>
        </is>
      </c>
      <c r="F944" t="inlineStr">
        <is>
          <t>Övriga Aktiebolag</t>
        </is>
      </c>
      <c r="G944" t="n">
        <v>1.4</v>
      </c>
      <c r="H944" t="n">
        <v>0</v>
      </c>
      <c r="I944" t="n">
        <v>0</v>
      </c>
      <c r="J944" t="n">
        <v>0</v>
      </c>
      <c r="K944" t="n">
        <v>0</v>
      </c>
      <c r="L944" t="n">
        <v>0</v>
      </c>
      <c r="M944" t="n">
        <v>0</v>
      </c>
      <c r="N944" t="n">
        <v>0</v>
      </c>
      <c r="O944" t="n">
        <v>0</v>
      </c>
      <c r="P944" t="n">
        <v>0</v>
      </c>
      <c r="Q944" t="n">
        <v>0</v>
      </c>
      <c r="R944" s="2" t="inlineStr"/>
    </row>
    <row r="945" ht="15" customHeight="1">
      <c r="A945" t="inlineStr">
        <is>
          <t>A 4187-2023</t>
        </is>
      </c>
      <c r="B945" s="1" t="n">
        <v>44953</v>
      </c>
      <c r="C945" s="1" t="n">
        <v>46063</v>
      </c>
      <c r="D945" t="inlineStr">
        <is>
          <t>SKÅNE LÄN</t>
        </is>
      </c>
      <c r="E945" t="inlineStr">
        <is>
          <t>HÄSSLEHOLM</t>
        </is>
      </c>
      <c r="G945" t="n">
        <v>3.2</v>
      </c>
      <c r="H945" t="n">
        <v>0</v>
      </c>
      <c r="I945" t="n">
        <v>0</v>
      </c>
      <c r="J945" t="n">
        <v>0</v>
      </c>
      <c r="K945" t="n">
        <v>0</v>
      </c>
      <c r="L945" t="n">
        <v>0</v>
      </c>
      <c r="M945" t="n">
        <v>0</v>
      </c>
      <c r="N945" t="n">
        <v>0</v>
      </c>
      <c r="O945" t="n">
        <v>0</v>
      </c>
      <c r="P945" t="n">
        <v>0</v>
      </c>
      <c r="Q945" t="n">
        <v>0</v>
      </c>
      <c r="R945" s="2" t="inlineStr"/>
    </row>
    <row r="946" ht="15" customHeight="1">
      <c r="A946" t="inlineStr">
        <is>
          <t>A 4382-2023</t>
        </is>
      </c>
      <c r="B946" s="1" t="n">
        <v>44955.61152777778</v>
      </c>
      <c r="C946" s="1" t="n">
        <v>46063</v>
      </c>
      <c r="D946" t="inlineStr">
        <is>
          <t>SKÅNE LÄN</t>
        </is>
      </c>
      <c r="E946" t="inlineStr">
        <is>
          <t>HÄSSLEHOLM</t>
        </is>
      </c>
      <c r="G946" t="n">
        <v>0.3</v>
      </c>
      <c r="H946" t="n">
        <v>0</v>
      </c>
      <c r="I946" t="n">
        <v>0</v>
      </c>
      <c r="J946" t="n">
        <v>0</v>
      </c>
      <c r="K946" t="n">
        <v>0</v>
      </c>
      <c r="L946" t="n">
        <v>0</v>
      </c>
      <c r="M946" t="n">
        <v>0</v>
      </c>
      <c r="N946" t="n">
        <v>0</v>
      </c>
      <c r="O946" t="n">
        <v>0</v>
      </c>
      <c r="P946" t="n">
        <v>0</v>
      </c>
      <c r="Q946" t="n">
        <v>0</v>
      </c>
      <c r="R946" s="2" t="inlineStr"/>
    </row>
    <row r="947" ht="15" customHeight="1">
      <c r="A947" t="inlineStr">
        <is>
          <t>A 49107-2023</t>
        </is>
      </c>
      <c r="B947" s="1" t="n">
        <v>45210.44337962963</v>
      </c>
      <c r="C947" s="1" t="n">
        <v>46063</v>
      </c>
      <c r="D947" t="inlineStr">
        <is>
          <t>SKÅNE LÄN</t>
        </is>
      </c>
      <c r="E947" t="inlineStr">
        <is>
          <t>HÄSSLEHOLM</t>
        </is>
      </c>
      <c r="G947" t="n">
        <v>0.3</v>
      </c>
      <c r="H947" t="n">
        <v>0</v>
      </c>
      <c r="I947" t="n">
        <v>0</v>
      </c>
      <c r="J947" t="n">
        <v>0</v>
      </c>
      <c r="K947" t="n">
        <v>0</v>
      </c>
      <c r="L947" t="n">
        <v>0</v>
      </c>
      <c r="M947" t="n">
        <v>0</v>
      </c>
      <c r="N947" t="n">
        <v>0</v>
      </c>
      <c r="O947" t="n">
        <v>0</v>
      </c>
      <c r="P947" t="n">
        <v>0</v>
      </c>
      <c r="Q947" t="n">
        <v>0</v>
      </c>
      <c r="R947" s="2" t="inlineStr"/>
    </row>
    <row r="948" ht="15" customHeight="1">
      <c r="A948" t="inlineStr">
        <is>
          <t>A 5282-2023</t>
        </is>
      </c>
      <c r="B948" s="1" t="n">
        <v>44959.50471064815</v>
      </c>
      <c r="C948" s="1" t="n">
        <v>46063</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53897-2023</t>
        </is>
      </c>
      <c r="B949" s="1" t="n">
        <v>45231.53934027778</v>
      </c>
      <c r="C949" s="1" t="n">
        <v>46063</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20990-2023</t>
        </is>
      </c>
      <c r="B950" s="1" t="n">
        <v>45061.46186342592</v>
      </c>
      <c r="C950" s="1" t="n">
        <v>46063</v>
      </c>
      <c r="D950" t="inlineStr">
        <is>
          <t>SKÅNE LÄN</t>
        </is>
      </c>
      <c r="E950" t="inlineStr">
        <is>
          <t>HÄSSLEHOLM</t>
        </is>
      </c>
      <c r="G950" t="n">
        <v>2.8</v>
      </c>
      <c r="H950" t="n">
        <v>0</v>
      </c>
      <c r="I950" t="n">
        <v>0</v>
      </c>
      <c r="J950" t="n">
        <v>0</v>
      </c>
      <c r="K950" t="n">
        <v>0</v>
      </c>
      <c r="L950" t="n">
        <v>0</v>
      </c>
      <c r="M950" t="n">
        <v>0</v>
      </c>
      <c r="N950" t="n">
        <v>0</v>
      </c>
      <c r="O950" t="n">
        <v>0</v>
      </c>
      <c r="P950" t="n">
        <v>0</v>
      </c>
      <c r="Q950" t="n">
        <v>0</v>
      </c>
      <c r="R950" s="2" t="inlineStr"/>
    </row>
    <row r="951" ht="15" customHeight="1">
      <c r="A951" t="inlineStr">
        <is>
          <t>A 22696-2023</t>
        </is>
      </c>
      <c r="B951" s="1" t="n">
        <v>45071.69464120371</v>
      </c>
      <c r="C951" s="1" t="n">
        <v>46063</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33873-2021</t>
        </is>
      </c>
      <c r="B952" s="1" t="n">
        <v>44378</v>
      </c>
      <c r="C952" s="1" t="n">
        <v>46063</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34348-2022</t>
        </is>
      </c>
      <c r="B953" s="1" t="n">
        <v>44792</v>
      </c>
      <c r="C953" s="1" t="n">
        <v>46063</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6836-2023</t>
        </is>
      </c>
      <c r="B954" s="1" t="n">
        <v>44967</v>
      </c>
      <c r="C954" s="1" t="n">
        <v>46063</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31931-2024</t>
        </is>
      </c>
      <c r="B955" s="1" t="n">
        <v>45510.40878472223</v>
      </c>
      <c r="C955" s="1" t="n">
        <v>46063</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8803-2023</t>
        </is>
      </c>
      <c r="B956" s="1" t="n">
        <v>44978.61712962963</v>
      </c>
      <c r="C956" s="1" t="n">
        <v>46063</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11681-2023</t>
        </is>
      </c>
      <c r="B957" s="1" t="n">
        <v>44992</v>
      </c>
      <c r="C957" s="1" t="n">
        <v>46063</v>
      </c>
      <c r="D957" t="inlineStr">
        <is>
          <t>SKÅNE LÄN</t>
        </is>
      </c>
      <c r="E957" t="inlineStr">
        <is>
          <t>HÄSSLEHOLM</t>
        </is>
      </c>
      <c r="F957" t="inlineStr">
        <is>
          <t>Övriga Aktiebolag</t>
        </is>
      </c>
      <c r="G957" t="n">
        <v>1.6</v>
      </c>
      <c r="H957" t="n">
        <v>0</v>
      </c>
      <c r="I957" t="n">
        <v>0</v>
      </c>
      <c r="J957" t="n">
        <v>0</v>
      </c>
      <c r="K957" t="n">
        <v>0</v>
      </c>
      <c r="L957" t="n">
        <v>0</v>
      </c>
      <c r="M957" t="n">
        <v>0</v>
      </c>
      <c r="N957" t="n">
        <v>0</v>
      </c>
      <c r="O957" t="n">
        <v>0</v>
      </c>
      <c r="P957" t="n">
        <v>0</v>
      </c>
      <c r="Q957" t="n">
        <v>0</v>
      </c>
      <c r="R957" s="2" t="inlineStr"/>
    </row>
    <row r="958" ht="15" customHeight="1">
      <c r="A958" t="inlineStr">
        <is>
          <t>A 46222-2022</t>
        </is>
      </c>
      <c r="B958" s="1" t="n">
        <v>44847.58725694445</v>
      </c>
      <c r="C958" s="1" t="n">
        <v>46063</v>
      </c>
      <c r="D958" t="inlineStr">
        <is>
          <t>SKÅNE LÄN</t>
        </is>
      </c>
      <c r="E958" t="inlineStr">
        <is>
          <t>HÄSSLEHOLM</t>
        </is>
      </c>
      <c r="G958" t="n">
        <v>6.3</v>
      </c>
      <c r="H958" t="n">
        <v>0</v>
      </c>
      <c r="I958" t="n">
        <v>0</v>
      </c>
      <c r="J958" t="n">
        <v>0</v>
      </c>
      <c r="K958" t="n">
        <v>0</v>
      </c>
      <c r="L958" t="n">
        <v>0</v>
      </c>
      <c r="M958" t="n">
        <v>0</v>
      </c>
      <c r="N958" t="n">
        <v>0</v>
      </c>
      <c r="O958" t="n">
        <v>0</v>
      </c>
      <c r="P958" t="n">
        <v>0</v>
      </c>
      <c r="Q958" t="n">
        <v>0</v>
      </c>
      <c r="R958" s="2" t="inlineStr"/>
    </row>
    <row r="959" ht="15" customHeight="1">
      <c r="A959" t="inlineStr">
        <is>
          <t>A 50249-2024</t>
        </is>
      </c>
      <c r="B959" s="1" t="n">
        <v>45600.56866898148</v>
      </c>
      <c r="C959" s="1" t="n">
        <v>46063</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60843-2022</t>
        </is>
      </c>
      <c r="B960" s="1" t="n">
        <v>44914</v>
      </c>
      <c r="C960" s="1" t="n">
        <v>46063</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51040-2024</t>
        </is>
      </c>
      <c r="B961" s="1" t="n">
        <v>45603.43222222223</v>
      </c>
      <c r="C961" s="1" t="n">
        <v>46063</v>
      </c>
      <c r="D961" t="inlineStr">
        <is>
          <t>SKÅNE LÄN</t>
        </is>
      </c>
      <c r="E961" t="inlineStr">
        <is>
          <t>HÄSSLEHOLM</t>
        </is>
      </c>
      <c r="G961" t="n">
        <v>2.7</v>
      </c>
      <c r="H961" t="n">
        <v>0</v>
      </c>
      <c r="I961" t="n">
        <v>0</v>
      </c>
      <c r="J961" t="n">
        <v>0</v>
      </c>
      <c r="K961" t="n">
        <v>0</v>
      </c>
      <c r="L961" t="n">
        <v>0</v>
      </c>
      <c r="M961" t="n">
        <v>0</v>
      </c>
      <c r="N961" t="n">
        <v>0</v>
      </c>
      <c r="O961" t="n">
        <v>0</v>
      </c>
      <c r="P961" t="n">
        <v>0</v>
      </c>
      <c r="Q961" t="n">
        <v>0</v>
      </c>
      <c r="R961" s="2" t="inlineStr"/>
    </row>
    <row r="962" ht="15" customHeight="1">
      <c r="A962" t="inlineStr">
        <is>
          <t>A 56881-2021</t>
        </is>
      </c>
      <c r="B962" s="1" t="n">
        <v>44481</v>
      </c>
      <c r="C962" s="1" t="n">
        <v>46063</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45653-2024</t>
        </is>
      </c>
      <c r="B963" s="1" t="n">
        <v>45579.48872685185</v>
      </c>
      <c r="C963" s="1" t="n">
        <v>46063</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56956-2024</t>
        </is>
      </c>
      <c r="B964" s="1" t="n">
        <v>45626</v>
      </c>
      <c r="C964" s="1" t="n">
        <v>46063</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45392-2024</t>
        </is>
      </c>
      <c r="B965" s="1" t="n">
        <v>45576.55008101852</v>
      </c>
      <c r="C965" s="1" t="n">
        <v>46063</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20187-2023</t>
        </is>
      </c>
      <c r="B966" s="1" t="n">
        <v>45055.57027777778</v>
      </c>
      <c r="C966" s="1" t="n">
        <v>46063</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1543-2024</t>
        </is>
      </c>
      <c r="B967" s="1" t="n">
        <v>45306</v>
      </c>
      <c r="C967" s="1" t="n">
        <v>46063</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37038-2022</t>
        </is>
      </c>
      <c r="B968" s="1" t="n">
        <v>44806.44232638889</v>
      </c>
      <c r="C968" s="1" t="n">
        <v>46063</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16454-2023</t>
        </is>
      </c>
      <c r="B969" s="1" t="n">
        <v>45029.48425925926</v>
      </c>
      <c r="C969" s="1" t="n">
        <v>46063</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31572-2022</t>
        </is>
      </c>
      <c r="B970" s="1" t="n">
        <v>44775</v>
      </c>
      <c r="C970" s="1" t="n">
        <v>46063</v>
      </c>
      <c r="D970" t="inlineStr">
        <is>
          <t>SKÅNE LÄN</t>
        </is>
      </c>
      <c r="E970" t="inlineStr">
        <is>
          <t>HÄSSLEHOLM</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70087-2021</t>
        </is>
      </c>
      <c r="B971" s="1" t="n">
        <v>44533</v>
      </c>
      <c r="C971" s="1" t="n">
        <v>46063</v>
      </c>
      <c r="D971" t="inlineStr">
        <is>
          <t>SKÅNE LÄN</t>
        </is>
      </c>
      <c r="E971" t="inlineStr">
        <is>
          <t>HÄSSLEHOLM</t>
        </is>
      </c>
      <c r="G971" t="n">
        <v>5</v>
      </c>
      <c r="H971" t="n">
        <v>0</v>
      </c>
      <c r="I971" t="n">
        <v>0</v>
      </c>
      <c r="J971" t="n">
        <v>0</v>
      </c>
      <c r="K971" t="n">
        <v>0</v>
      </c>
      <c r="L971" t="n">
        <v>0</v>
      </c>
      <c r="M971" t="n">
        <v>0</v>
      </c>
      <c r="N971" t="n">
        <v>0</v>
      </c>
      <c r="O971" t="n">
        <v>0</v>
      </c>
      <c r="P971" t="n">
        <v>0</v>
      </c>
      <c r="Q971" t="n">
        <v>0</v>
      </c>
      <c r="R971" s="2" t="inlineStr"/>
    </row>
    <row r="972" ht="15" customHeight="1">
      <c r="A972" t="inlineStr">
        <is>
          <t>A 9375-2023</t>
        </is>
      </c>
      <c r="B972" s="1" t="n">
        <v>44981</v>
      </c>
      <c r="C972" s="1" t="n">
        <v>46063</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29287-2023</t>
        </is>
      </c>
      <c r="B973" s="1" t="n">
        <v>45098</v>
      </c>
      <c r="C973" s="1" t="n">
        <v>46063</v>
      </c>
      <c r="D973" t="inlineStr">
        <is>
          <t>SKÅNE LÄN</t>
        </is>
      </c>
      <c r="E973" t="inlineStr">
        <is>
          <t>HÄSSLEHOLM</t>
        </is>
      </c>
      <c r="G973" t="n">
        <v>5.7</v>
      </c>
      <c r="H973" t="n">
        <v>0</v>
      </c>
      <c r="I973" t="n">
        <v>0</v>
      </c>
      <c r="J973" t="n">
        <v>0</v>
      </c>
      <c r="K973" t="n">
        <v>0</v>
      </c>
      <c r="L973" t="n">
        <v>0</v>
      </c>
      <c r="M973" t="n">
        <v>0</v>
      </c>
      <c r="N973" t="n">
        <v>0</v>
      </c>
      <c r="O973" t="n">
        <v>0</v>
      </c>
      <c r="P973" t="n">
        <v>0</v>
      </c>
      <c r="Q973" t="n">
        <v>0</v>
      </c>
      <c r="R973" s="2" t="inlineStr"/>
    </row>
    <row r="974" ht="15" customHeight="1">
      <c r="A974" t="inlineStr">
        <is>
          <t>A 55416-2021</t>
        </is>
      </c>
      <c r="B974" s="1" t="n">
        <v>44475</v>
      </c>
      <c r="C974" s="1" t="n">
        <v>46063</v>
      </c>
      <c r="D974" t="inlineStr">
        <is>
          <t>SKÅNE LÄN</t>
        </is>
      </c>
      <c r="E974" t="inlineStr">
        <is>
          <t>HÄSSLEHOLM</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60509-2023</t>
        </is>
      </c>
      <c r="B975" s="1" t="n">
        <v>45259</v>
      </c>
      <c r="C975" s="1" t="n">
        <v>46063</v>
      </c>
      <c r="D975" t="inlineStr">
        <is>
          <t>SKÅNE LÄN</t>
        </is>
      </c>
      <c r="E975" t="inlineStr">
        <is>
          <t>HÄSSLEHOLM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21310-2022</t>
        </is>
      </c>
      <c r="B976" s="1" t="n">
        <v>44705</v>
      </c>
      <c r="C976" s="1" t="n">
        <v>46063</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9485-2023</t>
        </is>
      </c>
      <c r="B977" s="1" t="n">
        <v>44981.60901620371</v>
      </c>
      <c r="C977" s="1" t="n">
        <v>46063</v>
      </c>
      <c r="D977" t="inlineStr">
        <is>
          <t>SKÅNE LÄN</t>
        </is>
      </c>
      <c r="E977" t="inlineStr">
        <is>
          <t>HÄSSLEHOLM</t>
        </is>
      </c>
      <c r="G977" t="n">
        <v>0.7</v>
      </c>
      <c r="H977" t="n">
        <v>0</v>
      </c>
      <c r="I977" t="n">
        <v>0</v>
      </c>
      <c r="J977" t="n">
        <v>0</v>
      </c>
      <c r="K977" t="n">
        <v>0</v>
      </c>
      <c r="L977" t="n">
        <v>0</v>
      </c>
      <c r="M977" t="n">
        <v>0</v>
      </c>
      <c r="N977" t="n">
        <v>0</v>
      </c>
      <c r="O977" t="n">
        <v>0</v>
      </c>
      <c r="P977" t="n">
        <v>0</v>
      </c>
      <c r="Q977" t="n">
        <v>0</v>
      </c>
      <c r="R977" s="2" t="inlineStr"/>
    </row>
    <row r="978" ht="15" customHeight="1">
      <c r="A978" t="inlineStr">
        <is>
          <t>A 9502-2023</t>
        </is>
      </c>
      <c r="B978" s="1" t="n">
        <v>44981.63278935185</v>
      </c>
      <c r="C978" s="1" t="n">
        <v>46063</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10928-2024</t>
        </is>
      </c>
      <c r="B979" s="1" t="n">
        <v>45370</v>
      </c>
      <c r="C979" s="1" t="n">
        <v>46063</v>
      </c>
      <c r="D979" t="inlineStr">
        <is>
          <t>SKÅNE LÄN</t>
        </is>
      </c>
      <c r="E979" t="inlineStr">
        <is>
          <t>HÄSSLEHOLM</t>
        </is>
      </c>
      <c r="F979" t="inlineStr">
        <is>
          <t>Övriga Aktiebolag</t>
        </is>
      </c>
      <c r="G979" t="n">
        <v>0.5</v>
      </c>
      <c r="H979" t="n">
        <v>0</v>
      </c>
      <c r="I979" t="n">
        <v>0</v>
      </c>
      <c r="J979" t="n">
        <v>0</v>
      </c>
      <c r="K979" t="n">
        <v>0</v>
      </c>
      <c r="L979" t="n">
        <v>0</v>
      </c>
      <c r="M979" t="n">
        <v>0</v>
      </c>
      <c r="N979" t="n">
        <v>0</v>
      </c>
      <c r="O979" t="n">
        <v>0</v>
      </c>
      <c r="P979" t="n">
        <v>0</v>
      </c>
      <c r="Q979" t="n">
        <v>0</v>
      </c>
      <c r="R979" s="2" t="inlineStr"/>
    </row>
    <row r="980" ht="15" customHeight="1">
      <c r="A980" t="inlineStr">
        <is>
          <t>A 5890-2023</t>
        </is>
      </c>
      <c r="B980" s="1" t="n">
        <v>44963.64527777778</v>
      </c>
      <c r="C980" s="1" t="n">
        <v>46063</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5894-2023</t>
        </is>
      </c>
      <c r="B981" s="1" t="n">
        <v>44963.65148148148</v>
      </c>
      <c r="C981" s="1" t="n">
        <v>46063</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12843-2023</t>
        </is>
      </c>
      <c r="B982" s="1" t="n">
        <v>45001.48423611111</v>
      </c>
      <c r="C982" s="1" t="n">
        <v>46063</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10944-2024</t>
        </is>
      </c>
      <c r="B983" s="1" t="n">
        <v>45370</v>
      </c>
      <c r="C983" s="1" t="n">
        <v>46063</v>
      </c>
      <c r="D983" t="inlineStr">
        <is>
          <t>SKÅNE LÄN</t>
        </is>
      </c>
      <c r="E983" t="inlineStr">
        <is>
          <t>HÄSSLEHOLM</t>
        </is>
      </c>
      <c r="F983" t="inlineStr">
        <is>
          <t>Övriga Aktiebolag</t>
        </is>
      </c>
      <c r="G983" t="n">
        <v>2.6</v>
      </c>
      <c r="H983" t="n">
        <v>0</v>
      </c>
      <c r="I983" t="n">
        <v>0</v>
      </c>
      <c r="J983" t="n">
        <v>0</v>
      </c>
      <c r="K983" t="n">
        <v>0</v>
      </c>
      <c r="L983" t="n">
        <v>0</v>
      </c>
      <c r="M983" t="n">
        <v>0</v>
      </c>
      <c r="N983" t="n">
        <v>0</v>
      </c>
      <c r="O983" t="n">
        <v>0</v>
      </c>
      <c r="P983" t="n">
        <v>0</v>
      </c>
      <c r="Q983" t="n">
        <v>0</v>
      </c>
      <c r="R983" s="2" t="inlineStr"/>
    </row>
    <row r="984" ht="15" customHeight="1">
      <c r="A984" t="inlineStr">
        <is>
          <t>A 13309-2025</t>
        </is>
      </c>
      <c r="B984" s="1" t="n">
        <v>45735.58512731481</v>
      </c>
      <c r="C984" s="1" t="n">
        <v>46063</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5980-2024</t>
        </is>
      </c>
      <c r="B985" s="1" t="n">
        <v>45335</v>
      </c>
      <c r="C985" s="1" t="n">
        <v>46063</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42372-2024</t>
        </is>
      </c>
      <c r="B986" s="1" t="n">
        <v>45564.5127199074</v>
      </c>
      <c r="C986" s="1" t="n">
        <v>46063</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17699-2024</t>
        </is>
      </c>
      <c r="B987" s="1" t="n">
        <v>45418.46094907408</v>
      </c>
      <c r="C987" s="1" t="n">
        <v>46063</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17702-2024</t>
        </is>
      </c>
      <c r="B988" s="1" t="n">
        <v>45418.46534722222</v>
      </c>
      <c r="C988" s="1" t="n">
        <v>46063</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20566-2023</t>
        </is>
      </c>
      <c r="B989" s="1" t="n">
        <v>45057</v>
      </c>
      <c r="C989" s="1" t="n">
        <v>46063</v>
      </c>
      <c r="D989" t="inlineStr">
        <is>
          <t>SKÅNE LÄN</t>
        </is>
      </c>
      <c r="E989" t="inlineStr">
        <is>
          <t>HÄSSLEHOLM</t>
        </is>
      </c>
      <c r="G989" t="n">
        <v>5.2</v>
      </c>
      <c r="H989" t="n">
        <v>0</v>
      </c>
      <c r="I989" t="n">
        <v>0</v>
      </c>
      <c r="J989" t="n">
        <v>0</v>
      </c>
      <c r="K989" t="n">
        <v>0</v>
      </c>
      <c r="L989" t="n">
        <v>0</v>
      </c>
      <c r="M989" t="n">
        <v>0</v>
      </c>
      <c r="N989" t="n">
        <v>0</v>
      </c>
      <c r="O989" t="n">
        <v>0</v>
      </c>
      <c r="P989" t="n">
        <v>0</v>
      </c>
      <c r="Q989" t="n">
        <v>0</v>
      </c>
      <c r="R989" s="2" t="inlineStr"/>
    </row>
    <row r="990" ht="15" customHeight="1">
      <c r="A990" t="inlineStr">
        <is>
          <t>A 32967-2023</t>
        </is>
      </c>
      <c r="B990" s="1" t="n">
        <v>45125</v>
      </c>
      <c r="C990" s="1" t="n">
        <v>46063</v>
      </c>
      <c r="D990" t="inlineStr">
        <is>
          <t>SKÅNE LÄN</t>
        </is>
      </c>
      <c r="E990" t="inlineStr">
        <is>
          <t>HÄSSLEHOLM</t>
        </is>
      </c>
      <c r="G990" t="n">
        <v>1.4</v>
      </c>
      <c r="H990" t="n">
        <v>0</v>
      </c>
      <c r="I990" t="n">
        <v>0</v>
      </c>
      <c r="J990" t="n">
        <v>0</v>
      </c>
      <c r="K990" t="n">
        <v>0</v>
      </c>
      <c r="L990" t="n">
        <v>0</v>
      </c>
      <c r="M990" t="n">
        <v>0</v>
      </c>
      <c r="N990" t="n">
        <v>0</v>
      </c>
      <c r="O990" t="n">
        <v>0</v>
      </c>
      <c r="P990" t="n">
        <v>0</v>
      </c>
      <c r="Q990" t="n">
        <v>0</v>
      </c>
      <c r="R990" s="2" t="inlineStr"/>
    </row>
    <row r="991" ht="15" customHeight="1">
      <c r="A991" t="inlineStr">
        <is>
          <t>A 32968-2023</t>
        </is>
      </c>
      <c r="B991" s="1" t="n">
        <v>45125</v>
      </c>
      <c r="C991" s="1" t="n">
        <v>46063</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42231-2022</t>
        </is>
      </c>
      <c r="B992" s="1" t="n">
        <v>44830.77003472222</v>
      </c>
      <c r="C992" s="1" t="n">
        <v>46063</v>
      </c>
      <c r="D992" t="inlineStr">
        <is>
          <t>SKÅNE LÄN</t>
        </is>
      </c>
      <c r="E992" t="inlineStr">
        <is>
          <t>HÄSSLEHOLM</t>
        </is>
      </c>
      <c r="G992" t="n">
        <v>2.7</v>
      </c>
      <c r="H992" t="n">
        <v>0</v>
      </c>
      <c r="I992" t="n">
        <v>0</v>
      </c>
      <c r="J992" t="n">
        <v>0</v>
      </c>
      <c r="K992" t="n">
        <v>0</v>
      </c>
      <c r="L992" t="n">
        <v>0</v>
      </c>
      <c r="M992" t="n">
        <v>0</v>
      </c>
      <c r="N992" t="n">
        <v>0</v>
      </c>
      <c r="O992" t="n">
        <v>0</v>
      </c>
      <c r="P992" t="n">
        <v>0</v>
      </c>
      <c r="Q992" t="n">
        <v>0</v>
      </c>
      <c r="R992" s="2" t="inlineStr"/>
    </row>
    <row r="993" ht="15" customHeight="1">
      <c r="A993" t="inlineStr">
        <is>
          <t>A 54982-2024</t>
        </is>
      </c>
      <c r="B993" s="1" t="n">
        <v>45620.7580787037</v>
      </c>
      <c r="C993" s="1" t="n">
        <v>46063</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36795-2023</t>
        </is>
      </c>
      <c r="B994" s="1" t="n">
        <v>45154.38245370371</v>
      </c>
      <c r="C994" s="1" t="n">
        <v>46063</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15698-2023</t>
        </is>
      </c>
      <c r="B995" s="1" t="n">
        <v>45021</v>
      </c>
      <c r="C995" s="1" t="n">
        <v>46063</v>
      </c>
      <c r="D995" t="inlineStr">
        <is>
          <t>SKÅNE LÄN</t>
        </is>
      </c>
      <c r="E995" t="inlineStr">
        <is>
          <t>HÄSSLEHOLM</t>
        </is>
      </c>
      <c r="F995" t="inlineStr">
        <is>
          <t>Kommuner</t>
        </is>
      </c>
      <c r="G995" t="n">
        <v>5.5</v>
      </c>
      <c r="H995" t="n">
        <v>0</v>
      </c>
      <c r="I995" t="n">
        <v>0</v>
      </c>
      <c r="J995" t="n">
        <v>0</v>
      </c>
      <c r="K995" t="n">
        <v>0</v>
      </c>
      <c r="L995" t="n">
        <v>0</v>
      </c>
      <c r="M995" t="n">
        <v>0</v>
      </c>
      <c r="N995" t="n">
        <v>0</v>
      </c>
      <c r="O995" t="n">
        <v>0</v>
      </c>
      <c r="P995" t="n">
        <v>0</v>
      </c>
      <c r="Q995" t="n">
        <v>0</v>
      </c>
      <c r="R995" s="2" t="inlineStr"/>
    </row>
    <row r="996" ht="15" customHeight="1">
      <c r="A996" t="inlineStr">
        <is>
          <t>A 12584-2025</t>
        </is>
      </c>
      <c r="B996" s="1" t="n">
        <v>45732</v>
      </c>
      <c r="C996" s="1" t="n">
        <v>46063</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31998-2023</t>
        </is>
      </c>
      <c r="B997" s="1" t="n">
        <v>45119</v>
      </c>
      <c r="C997" s="1" t="n">
        <v>46063</v>
      </c>
      <c r="D997" t="inlineStr">
        <is>
          <t>SKÅNE LÄN</t>
        </is>
      </c>
      <c r="E997" t="inlineStr">
        <is>
          <t>HÄSSLEHOLM</t>
        </is>
      </c>
      <c r="G997" t="n">
        <v>1.8</v>
      </c>
      <c r="H997" t="n">
        <v>0</v>
      </c>
      <c r="I997" t="n">
        <v>0</v>
      </c>
      <c r="J997" t="n">
        <v>0</v>
      </c>
      <c r="K997" t="n">
        <v>0</v>
      </c>
      <c r="L997" t="n">
        <v>0</v>
      </c>
      <c r="M997" t="n">
        <v>0</v>
      </c>
      <c r="N997" t="n">
        <v>0</v>
      </c>
      <c r="O997" t="n">
        <v>0</v>
      </c>
      <c r="P997" t="n">
        <v>0</v>
      </c>
      <c r="Q997" t="n">
        <v>0</v>
      </c>
      <c r="R997" s="2" t="inlineStr"/>
    </row>
    <row r="998" ht="15" customHeight="1">
      <c r="A998" t="inlineStr">
        <is>
          <t>A 4140-2023</t>
        </is>
      </c>
      <c r="B998" s="1" t="n">
        <v>44953</v>
      </c>
      <c r="C998" s="1" t="n">
        <v>46063</v>
      </c>
      <c r="D998" t="inlineStr">
        <is>
          <t>SKÅNE LÄN</t>
        </is>
      </c>
      <c r="E998" t="inlineStr">
        <is>
          <t>HÄSSLEHOLM</t>
        </is>
      </c>
      <c r="G998" t="n">
        <v>10.6</v>
      </c>
      <c r="H998" t="n">
        <v>0</v>
      </c>
      <c r="I998" t="n">
        <v>0</v>
      </c>
      <c r="J998" t="n">
        <v>0</v>
      </c>
      <c r="K998" t="n">
        <v>0</v>
      </c>
      <c r="L998" t="n">
        <v>0</v>
      </c>
      <c r="M998" t="n">
        <v>0</v>
      </c>
      <c r="N998" t="n">
        <v>0</v>
      </c>
      <c r="O998" t="n">
        <v>0</v>
      </c>
      <c r="P998" t="n">
        <v>0</v>
      </c>
      <c r="Q998" t="n">
        <v>0</v>
      </c>
      <c r="R998" s="2" t="inlineStr"/>
    </row>
    <row r="999" ht="15" customHeight="1">
      <c r="A999" t="inlineStr">
        <is>
          <t>A 25077-2024</t>
        </is>
      </c>
      <c r="B999" s="1" t="n">
        <v>45462</v>
      </c>
      <c r="C999" s="1" t="n">
        <v>46063</v>
      </c>
      <c r="D999" t="inlineStr">
        <is>
          <t>SKÅNE LÄN</t>
        </is>
      </c>
      <c r="E999" t="inlineStr">
        <is>
          <t>HÄSSLEHOLM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46942-2024</t>
        </is>
      </c>
      <c r="B1000" s="1" t="n">
        <v>45585.6684375</v>
      </c>
      <c r="C1000" s="1" t="n">
        <v>46063</v>
      </c>
      <c r="D1000" t="inlineStr">
        <is>
          <t>SKÅNE LÄN</t>
        </is>
      </c>
      <c r="E1000" t="inlineStr">
        <is>
          <t>HÄSSLEHOLM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33257-2024</t>
        </is>
      </c>
      <c r="B1001" s="1" t="n">
        <v>45518</v>
      </c>
      <c r="C1001" s="1" t="n">
        <v>46063</v>
      </c>
      <c r="D1001" t="inlineStr">
        <is>
          <t>SKÅNE LÄN</t>
        </is>
      </c>
      <c r="E1001" t="inlineStr">
        <is>
          <t>HÄSSLEHOLM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17492-2025</t>
        </is>
      </c>
      <c r="B1002" s="1" t="n">
        <v>45747</v>
      </c>
      <c r="C1002" s="1" t="n">
        <v>46063</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51618-2024</t>
        </is>
      </c>
      <c r="B1003" s="1" t="n">
        <v>45604.82615740741</v>
      </c>
      <c r="C1003" s="1" t="n">
        <v>46063</v>
      </c>
      <c r="D1003" t="inlineStr">
        <is>
          <t>SKÅNE LÄN</t>
        </is>
      </c>
      <c r="E1003" t="inlineStr">
        <is>
          <t>HÄSSLEHOLM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10409-2024</t>
        </is>
      </c>
      <c r="B1004" s="1" t="n">
        <v>45365.6978125</v>
      </c>
      <c r="C1004" s="1" t="n">
        <v>46063</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31995-2023</t>
        </is>
      </c>
      <c r="B1005" s="1" t="n">
        <v>45107</v>
      </c>
      <c r="C1005" s="1" t="n">
        <v>46063</v>
      </c>
      <c r="D1005" t="inlineStr">
        <is>
          <t>SKÅNE LÄN</t>
        </is>
      </c>
      <c r="E1005" t="inlineStr">
        <is>
          <t>HÄSSLEHOLM</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4356-2024</t>
        </is>
      </c>
      <c r="B1006" s="1" t="n">
        <v>45325.36195601852</v>
      </c>
      <c r="C1006" s="1" t="n">
        <v>46063</v>
      </c>
      <c r="D1006" t="inlineStr">
        <is>
          <t>SKÅNE LÄN</t>
        </is>
      </c>
      <c r="E1006" t="inlineStr">
        <is>
          <t>HÄSSLEHOLM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47840-2023</t>
        </is>
      </c>
      <c r="B1007" s="1" t="n">
        <v>45204</v>
      </c>
      <c r="C1007" s="1" t="n">
        <v>46063</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34888-2023</t>
        </is>
      </c>
      <c r="B1008" s="1" t="n">
        <v>45142.388125</v>
      </c>
      <c r="C1008" s="1" t="n">
        <v>46063</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20435-2021</t>
        </is>
      </c>
      <c r="B1009" s="1" t="n">
        <v>44315.5793287037</v>
      </c>
      <c r="C1009" s="1" t="n">
        <v>46063</v>
      </c>
      <c r="D1009" t="inlineStr">
        <is>
          <t>SKÅNE LÄN</t>
        </is>
      </c>
      <c r="E1009" t="inlineStr">
        <is>
          <t>HÄSSLEHOLM</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53085-2022</t>
        </is>
      </c>
      <c r="B1010" s="1" t="n">
        <v>44873</v>
      </c>
      <c r="C1010" s="1" t="n">
        <v>46063</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16388-2025</t>
        </is>
      </c>
      <c r="B1011" s="1" t="n">
        <v>45751.42787037037</v>
      </c>
      <c r="C1011" s="1" t="n">
        <v>46063</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16668-2025</t>
        </is>
      </c>
      <c r="B1012" s="1" t="n">
        <v>45754.43009259259</v>
      </c>
      <c r="C1012" s="1" t="n">
        <v>46063</v>
      </c>
      <c r="D1012" t="inlineStr">
        <is>
          <t>SKÅNE LÄN</t>
        </is>
      </c>
      <c r="E1012" t="inlineStr">
        <is>
          <t>HÄSSLEHOLM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9709-2023</t>
        </is>
      </c>
      <c r="B1013" s="1" t="n">
        <v>44984.48376157408</v>
      </c>
      <c r="C1013" s="1" t="n">
        <v>46063</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13646-2024</t>
        </is>
      </c>
      <c r="B1014" s="1" t="n">
        <v>45387</v>
      </c>
      <c r="C1014" s="1" t="n">
        <v>46063</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21867-2023</t>
        </is>
      </c>
      <c r="B1015" s="1" t="n">
        <v>45063</v>
      </c>
      <c r="C1015" s="1" t="n">
        <v>46063</v>
      </c>
      <c r="D1015" t="inlineStr">
        <is>
          <t>SKÅNE LÄN</t>
        </is>
      </c>
      <c r="E1015" t="inlineStr">
        <is>
          <t>HÄSSLEHOLM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13087-2023</t>
        </is>
      </c>
      <c r="B1016" s="1" t="n">
        <v>45001</v>
      </c>
      <c r="C1016" s="1" t="n">
        <v>46063</v>
      </c>
      <c r="D1016" t="inlineStr">
        <is>
          <t>SKÅNE LÄN</t>
        </is>
      </c>
      <c r="E1016" t="inlineStr">
        <is>
          <t>HÄSSLEHOLM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52968-2022</t>
        </is>
      </c>
      <c r="B1017" s="1" t="n">
        <v>44875</v>
      </c>
      <c r="C1017" s="1" t="n">
        <v>46063</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62167-2022</t>
        </is>
      </c>
      <c r="B1018" s="1" t="n">
        <v>44915</v>
      </c>
      <c r="C1018" s="1" t="n">
        <v>46063</v>
      </c>
      <c r="D1018" t="inlineStr">
        <is>
          <t>SKÅNE LÄN</t>
        </is>
      </c>
      <c r="E1018" t="inlineStr">
        <is>
          <t>HÄSSLEHOLM</t>
        </is>
      </c>
      <c r="F1018" t="inlineStr">
        <is>
          <t>Kyrkan</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62234-2022</t>
        </is>
      </c>
      <c r="B1019" s="1" t="n">
        <v>44922</v>
      </c>
      <c r="C1019" s="1" t="n">
        <v>46063</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44741-2023</t>
        </is>
      </c>
      <c r="B1020" s="1" t="n">
        <v>45190.38804398148</v>
      </c>
      <c r="C1020" s="1" t="n">
        <v>46063</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9397-2025</t>
        </is>
      </c>
      <c r="B1021" s="1" t="n">
        <v>45715.37361111111</v>
      </c>
      <c r="C1021" s="1" t="n">
        <v>46063</v>
      </c>
      <c r="D1021" t="inlineStr">
        <is>
          <t>SKÅNE LÄN</t>
        </is>
      </c>
      <c r="E1021" t="inlineStr">
        <is>
          <t>HÄSSLEHOLM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50899-2024</t>
        </is>
      </c>
      <c r="B1022" s="1" t="n">
        <v>45602.68584490741</v>
      </c>
      <c r="C1022" s="1" t="n">
        <v>46063</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48624-2021</t>
        </is>
      </c>
      <c r="B1023" s="1" t="n">
        <v>44452</v>
      </c>
      <c r="C1023" s="1" t="n">
        <v>46063</v>
      </c>
      <c r="D1023" t="inlineStr">
        <is>
          <t>SKÅNE LÄN</t>
        </is>
      </c>
      <c r="E1023" t="inlineStr">
        <is>
          <t>HÄSSLEHOLM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10802-2024</t>
        </is>
      </c>
      <c r="B1024" s="1" t="n">
        <v>45369</v>
      </c>
      <c r="C1024" s="1" t="n">
        <v>46063</v>
      </c>
      <c r="D1024" t="inlineStr">
        <is>
          <t>SKÅNE LÄN</t>
        </is>
      </c>
      <c r="E1024" t="inlineStr">
        <is>
          <t>HÄSSLEHOLM</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48046-2023</t>
        </is>
      </c>
      <c r="B1025" s="1" t="n">
        <v>45204.85201388889</v>
      </c>
      <c r="C1025" s="1" t="n">
        <v>46063</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11607-2025</t>
        </is>
      </c>
      <c r="B1026" s="1" t="n">
        <v>45727</v>
      </c>
      <c r="C1026" s="1" t="n">
        <v>46063</v>
      </c>
      <c r="D1026" t="inlineStr">
        <is>
          <t>SKÅNE LÄN</t>
        </is>
      </c>
      <c r="E1026" t="inlineStr">
        <is>
          <t>HÄSSLEHOLM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13808-2021</t>
        </is>
      </c>
      <c r="B1027" s="1" t="n">
        <v>44276</v>
      </c>
      <c r="C1027" s="1" t="n">
        <v>46063</v>
      </c>
      <c r="D1027" t="inlineStr">
        <is>
          <t>SKÅNE LÄN</t>
        </is>
      </c>
      <c r="E1027" t="inlineStr">
        <is>
          <t>HÄSSLEHOLM</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49106-2023</t>
        </is>
      </c>
      <c r="B1028" s="1" t="n">
        <v>45210</v>
      </c>
      <c r="C1028" s="1" t="n">
        <v>46063</v>
      </c>
      <c r="D1028" t="inlineStr">
        <is>
          <t>SKÅNE LÄN</t>
        </is>
      </c>
      <c r="E1028" t="inlineStr">
        <is>
          <t>HÄSSLEHOLM</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58815-2023</t>
        </is>
      </c>
      <c r="B1029" s="1" t="n">
        <v>45247</v>
      </c>
      <c r="C1029" s="1" t="n">
        <v>46063</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9697-2023</t>
        </is>
      </c>
      <c r="B1030" s="1" t="n">
        <v>44984</v>
      </c>
      <c r="C1030" s="1" t="n">
        <v>46063</v>
      </c>
      <c r="D1030" t="inlineStr">
        <is>
          <t>SKÅNE LÄN</t>
        </is>
      </c>
      <c r="E1030" t="inlineStr">
        <is>
          <t>HÄSSLEHOLM</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27478-2023</t>
        </is>
      </c>
      <c r="B1031" s="1" t="n">
        <v>45092</v>
      </c>
      <c r="C1031" s="1" t="n">
        <v>46063</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1170-2025</t>
        </is>
      </c>
      <c r="B1032" s="1" t="n">
        <v>45667.29226851852</v>
      </c>
      <c r="C1032" s="1" t="n">
        <v>46063</v>
      </c>
      <c r="D1032" t="inlineStr">
        <is>
          <t>SKÅNE LÄN</t>
        </is>
      </c>
      <c r="E1032" t="inlineStr">
        <is>
          <t>HÄSSLEHOLM</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57749-2023</t>
        </is>
      </c>
      <c r="B1033" s="1" t="n">
        <v>45246</v>
      </c>
      <c r="C1033" s="1" t="n">
        <v>46063</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44940-2023</t>
        </is>
      </c>
      <c r="B1034" s="1" t="n">
        <v>45190.68653935185</v>
      </c>
      <c r="C1034" s="1" t="n">
        <v>46063</v>
      </c>
      <c r="D1034" t="inlineStr">
        <is>
          <t>SKÅNE LÄN</t>
        </is>
      </c>
      <c r="E1034" t="inlineStr">
        <is>
          <t>HÄSSLEHOLM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18800-2023</t>
        </is>
      </c>
      <c r="B1035" s="1" t="n">
        <v>45044</v>
      </c>
      <c r="C1035" s="1" t="n">
        <v>46063</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25206-2023</t>
        </is>
      </c>
      <c r="B1036" s="1" t="n">
        <v>45086.59318287037</v>
      </c>
      <c r="C1036" s="1" t="n">
        <v>46063</v>
      </c>
      <c r="D1036" t="inlineStr">
        <is>
          <t>SKÅNE LÄN</t>
        </is>
      </c>
      <c r="E1036" t="inlineStr">
        <is>
          <t>HÄSSLEHOLM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5116-2023</t>
        </is>
      </c>
      <c r="B1037" s="1" t="n">
        <v>44958.67546296296</v>
      </c>
      <c r="C1037" s="1" t="n">
        <v>46063</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10220-2023</t>
        </is>
      </c>
      <c r="B1038" s="1" t="n">
        <v>44986.60916666667</v>
      </c>
      <c r="C1038" s="1" t="n">
        <v>46063</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25611-2024</t>
        </is>
      </c>
      <c r="B1039" s="1" t="n">
        <v>45463</v>
      </c>
      <c r="C1039" s="1" t="n">
        <v>46063</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26536-2022</t>
        </is>
      </c>
      <c r="B1040" s="1" t="n">
        <v>44739.45496527778</v>
      </c>
      <c r="C1040" s="1" t="n">
        <v>46063</v>
      </c>
      <c r="D1040" t="inlineStr">
        <is>
          <t>SKÅNE LÄN</t>
        </is>
      </c>
      <c r="E1040" t="inlineStr">
        <is>
          <t>HÄSSLEHOLM</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16334-2024</t>
        </is>
      </c>
      <c r="B1041" s="1" t="n">
        <v>45407.54856481482</v>
      </c>
      <c r="C1041" s="1" t="n">
        <v>46063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41873-2023</t>
        </is>
      </c>
      <c r="B1042" s="1" t="n">
        <v>45176</v>
      </c>
      <c r="C1042" s="1" t="n">
        <v>46063</v>
      </c>
      <c r="D1042" t="inlineStr">
        <is>
          <t>SKÅNE LÄN</t>
        </is>
      </c>
      <c r="E1042" t="inlineStr">
        <is>
          <t>HÄSSLEHOLM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60973-2024</t>
        </is>
      </c>
      <c r="B1043" s="1" t="n">
        <v>45644</v>
      </c>
      <c r="C1043" s="1" t="n">
        <v>46063</v>
      </c>
      <c r="D1043" t="inlineStr">
        <is>
          <t>SKÅNE LÄN</t>
        </is>
      </c>
      <c r="E1043" t="inlineStr">
        <is>
          <t>HÄSSLEHOLM</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38228-2021</t>
        </is>
      </c>
      <c r="B1044" s="1" t="n">
        <v>44405</v>
      </c>
      <c r="C1044" s="1" t="n">
        <v>46063</v>
      </c>
      <c r="D1044" t="inlineStr">
        <is>
          <t>SKÅNE LÄN</t>
        </is>
      </c>
      <c r="E1044" t="inlineStr">
        <is>
          <t>HÄSSLEHOLM</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14655-2025</t>
        </is>
      </c>
      <c r="B1045" s="1" t="n">
        <v>45742.5072337963</v>
      </c>
      <c r="C1045" s="1" t="n">
        <v>46063</v>
      </c>
      <c r="D1045" t="inlineStr">
        <is>
          <t>SKÅNE LÄN</t>
        </is>
      </c>
      <c r="E1045" t="inlineStr">
        <is>
          <t>HÄSSLEHOLM</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59763-2022</t>
        </is>
      </c>
      <c r="B1046" s="1" t="n">
        <v>44900</v>
      </c>
      <c r="C1046" s="1" t="n">
        <v>46063</v>
      </c>
      <c r="D1046" t="inlineStr">
        <is>
          <t>SKÅNE LÄN</t>
        </is>
      </c>
      <c r="E1046" t="inlineStr">
        <is>
          <t>HÄSSLEHOLM</t>
        </is>
      </c>
      <c r="F1046" t="inlineStr">
        <is>
          <t>Övriga Aktiebolag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43061-2024</t>
        </is>
      </c>
      <c r="B1047" s="1" t="n">
        <v>45567</v>
      </c>
      <c r="C1047" s="1" t="n">
        <v>46063</v>
      </c>
      <c r="D1047" t="inlineStr">
        <is>
          <t>SKÅNE LÄN</t>
        </is>
      </c>
      <c r="E1047" t="inlineStr">
        <is>
          <t>HÄSSLEHOLM</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21328-2023</t>
        </is>
      </c>
      <c r="B1048" s="1" t="n">
        <v>45062</v>
      </c>
      <c r="C1048" s="1" t="n">
        <v>46063</v>
      </c>
      <c r="D1048" t="inlineStr">
        <is>
          <t>SKÅNE LÄN</t>
        </is>
      </c>
      <c r="E1048" t="inlineStr">
        <is>
          <t>HÄSSLEHOLM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10277-2023</t>
        </is>
      </c>
      <c r="B1049" s="1" t="n">
        <v>44986</v>
      </c>
      <c r="C1049" s="1" t="n">
        <v>46063</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10290-2023</t>
        </is>
      </c>
      <c r="B1050" s="1" t="n">
        <v>44986</v>
      </c>
      <c r="C1050" s="1" t="n">
        <v>46063</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6619-2024</t>
        </is>
      </c>
      <c r="B1051" s="1" t="n">
        <v>45341.6021412037</v>
      </c>
      <c r="C1051" s="1" t="n">
        <v>46063</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20666-2023</t>
        </is>
      </c>
      <c r="B1052" s="1" t="n">
        <v>45058.35664351852</v>
      </c>
      <c r="C1052" s="1" t="n">
        <v>46063</v>
      </c>
      <c r="D1052" t="inlineStr">
        <is>
          <t>SKÅNE LÄN</t>
        </is>
      </c>
      <c r="E1052" t="inlineStr">
        <is>
          <t>HÄSSLEHOLM</t>
        </is>
      </c>
      <c r="F1052" t="inlineStr">
        <is>
          <t>Kyrkan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19593-2023</t>
        </is>
      </c>
      <c r="B1053" s="1" t="n">
        <v>45050.75895833333</v>
      </c>
      <c r="C1053" s="1" t="n">
        <v>46063</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7494-2023</t>
        </is>
      </c>
      <c r="B1054" s="1" t="n">
        <v>44971.70835648148</v>
      </c>
      <c r="C1054" s="1" t="n">
        <v>46063</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6087-2025</t>
        </is>
      </c>
      <c r="B1055" s="1" t="n">
        <v>45697.69782407407</v>
      </c>
      <c r="C1055" s="1" t="n">
        <v>46063</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50571-2023</t>
        </is>
      </c>
      <c r="B1056" s="1" t="n">
        <v>45217.38359953704</v>
      </c>
      <c r="C1056" s="1" t="n">
        <v>46063</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18041-2023</t>
        </is>
      </c>
      <c r="B1057" s="1" t="n">
        <v>45040</v>
      </c>
      <c r="C1057" s="1" t="n">
        <v>46063</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16950-2025</t>
        </is>
      </c>
      <c r="B1058" s="1" t="n">
        <v>45755</v>
      </c>
      <c r="C1058" s="1" t="n">
        <v>46063</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58618-2024</t>
        </is>
      </c>
      <c r="B1059" s="1" t="n">
        <v>45635.56150462963</v>
      </c>
      <c r="C1059" s="1" t="n">
        <v>46063</v>
      </c>
      <c r="D1059" t="inlineStr">
        <is>
          <t>SKÅNE LÄN</t>
        </is>
      </c>
      <c r="E1059" t="inlineStr">
        <is>
          <t>HÄSSLEHOLM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52337-2023</t>
        </is>
      </c>
      <c r="B1060" s="1" t="n">
        <v>45224.66359953704</v>
      </c>
      <c r="C1060" s="1" t="n">
        <v>46063</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13084-2025</t>
        </is>
      </c>
      <c r="B1061" s="1" t="n">
        <v>45734</v>
      </c>
      <c r="C1061" s="1" t="n">
        <v>46063</v>
      </c>
      <c r="D1061" t="inlineStr">
        <is>
          <t>SKÅNE LÄN</t>
        </is>
      </c>
      <c r="E1061" t="inlineStr">
        <is>
          <t>HÄSSLEHOLM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27991-2024</t>
        </is>
      </c>
      <c r="B1062" s="1" t="n">
        <v>45476</v>
      </c>
      <c r="C1062" s="1" t="n">
        <v>46063</v>
      </c>
      <c r="D1062" t="inlineStr">
        <is>
          <t>SKÅNE LÄN</t>
        </is>
      </c>
      <c r="E1062" t="inlineStr">
        <is>
          <t>HÄSSLEHOLM</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6612-2024</t>
        </is>
      </c>
      <c r="B1063" s="1" t="n">
        <v>45341.58859953703</v>
      </c>
      <c r="C1063" s="1" t="n">
        <v>46063</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5887-2025</t>
        </is>
      </c>
      <c r="B1064" s="1" t="n">
        <v>45695.37925925926</v>
      </c>
      <c r="C1064" s="1" t="n">
        <v>46063</v>
      </c>
      <c r="D1064" t="inlineStr">
        <is>
          <t>SKÅNE LÄN</t>
        </is>
      </c>
      <c r="E1064" t="inlineStr">
        <is>
          <t>HÄSSLEHOLM</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8760-2024</t>
        </is>
      </c>
      <c r="B1065" s="1" t="n">
        <v>45356.53420138889</v>
      </c>
      <c r="C1065" s="1" t="n">
        <v>46063</v>
      </c>
      <c r="D1065" t="inlineStr">
        <is>
          <t>SKÅNE LÄN</t>
        </is>
      </c>
      <c r="E1065" t="inlineStr">
        <is>
          <t>HÄSSLEHOLM</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48889-2024</t>
        </is>
      </c>
      <c r="B1066" s="1" t="n">
        <v>45594.33754629629</v>
      </c>
      <c r="C1066" s="1" t="n">
        <v>46063</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2567-2024</t>
        </is>
      </c>
      <c r="B1067" s="1" t="n">
        <v>45313.62460648148</v>
      </c>
      <c r="C1067" s="1" t="n">
        <v>46063</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29994-2023</t>
        </is>
      </c>
      <c r="B1068" s="1" t="n">
        <v>45109.60038194444</v>
      </c>
      <c r="C1068" s="1" t="n">
        <v>46063</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20872-2025</t>
        </is>
      </c>
      <c r="B1069" s="1" t="n">
        <v>45777.34688657407</v>
      </c>
      <c r="C1069" s="1" t="n">
        <v>46063</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21091-2025</t>
        </is>
      </c>
      <c r="B1070" s="1" t="n">
        <v>45777</v>
      </c>
      <c r="C1070" s="1" t="n">
        <v>46063</v>
      </c>
      <c r="D1070" t="inlineStr">
        <is>
          <t>SKÅNE LÄN</t>
        </is>
      </c>
      <c r="E1070" t="inlineStr">
        <is>
          <t>HÄSSLEHOLM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21206-2025</t>
        </is>
      </c>
      <c r="B1071" s="1" t="n">
        <v>45779.48318287037</v>
      </c>
      <c r="C1071" s="1" t="n">
        <v>46063</v>
      </c>
      <c r="D1071" t="inlineStr">
        <is>
          <t>SKÅNE LÄN</t>
        </is>
      </c>
      <c r="E1071" t="inlineStr">
        <is>
          <t>HÄSSLEHOLM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29845-2024</t>
        </is>
      </c>
      <c r="B1072" s="1" t="n">
        <v>45485.6212037037</v>
      </c>
      <c r="C1072" s="1" t="n">
        <v>46063</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20006-2025</t>
        </is>
      </c>
      <c r="B1073" s="1" t="n">
        <v>45772.05032407407</v>
      </c>
      <c r="C1073" s="1" t="n">
        <v>46063</v>
      </c>
      <c r="D1073" t="inlineStr">
        <is>
          <t>SKÅNE LÄN</t>
        </is>
      </c>
      <c r="E1073" t="inlineStr">
        <is>
          <t>HÄSSLEHOLM</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61533-2024</t>
        </is>
      </c>
      <c r="B1074" s="1" t="n">
        <v>45646</v>
      </c>
      <c r="C1074" s="1" t="n">
        <v>46063</v>
      </c>
      <c r="D1074" t="inlineStr">
        <is>
          <t>SKÅNE LÄN</t>
        </is>
      </c>
      <c r="E1074" t="inlineStr">
        <is>
          <t>HÄSSLEHOLM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61537-2024</t>
        </is>
      </c>
      <c r="B1075" s="1" t="n">
        <v>45646</v>
      </c>
      <c r="C1075" s="1" t="n">
        <v>46063</v>
      </c>
      <c r="D1075" t="inlineStr">
        <is>
          <t>SKÅNE LÄN</t>
        </is>
      </c>
      <c r="E1075" t="inlineStr">
        <is>
          <t>HÄSSLEHOLM</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21638-2025</t>
        </is>
      </c>
      <c r="B1076" s="1" t="n">
        <v>45783.43087962963</v>
      </c>
      <c r="C1076" s="1" t="n">
        <v>46063</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7818-2024</t>
        </is>
      </c>
      <c r="B1077" s="1" t="n">
        <v>45349.68872685185</v>
      </c>
      <c r="C1077" s="1" t="n">
        <v>46063</v>
      </c>
      <c r="D1077" t="inlineStr">
        <is>
          <t>SKÅNE LÄN</t>
        </is>
      </c>
      <c r="E1077" t="inlineStr">
        <is>
          <t>HÄSSLEHOLM</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39111-2023</t>
        </is>
      </c>
      <c r="B1078" s="1" t="n">
        <v>45164.87140046297</v>
      </c>
      <c r="C1078" s="1" t="n">
        <v>46063</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60851-2024</t>
        </is>
      </c>
      <c r="B1079" s="1" t="n">
        <v>45644.66182870371</v>
      </c>
      <c r="C1079" s="1" t="n">
        <v>46063</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317-2025</t>
        </is>
      </c>
      <c r="B1080" s="1" t="n">
        <v>45660</v>
      </c>
      <c r="C1080" s="1" t="n">
        <v>46063</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21625-2025</t>
        </is>
      </c>
      <c r="B1081" s="1" t="n">
        <v>45783.41252314814</v>
      </c>
      <c r="C1081" s="1" t="n">
        <v>46063</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60920-2024</t>
        </is>
      </c>
      <c r="B1082" s="1" t="n">
        <v>45645.34442129629</v>
      </c>
      <c r="C1082" s="1" t="n">
        <v>46063</v>
      </c>
      <c r="D1082" t="inlineStr">
        <is>
          <t>SKÅNE LÄN</t>
        </is>
      </c>
      <c r="E1082" t="inlineStr">
        <is>
          <t>HÄSSLEHOLM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1703-2025</t>
        </is>
      </c>
      <c r="B1083" s="1" t="n">
        <v>45670.80732638889</v>
      </c>
      <c r="C1083" s="1" t="n">
        <v>46063</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22024-2025</t>
        </is>
      </c>
      <c r="B1084" s="1" t="n">
        <v>45784.85322916666</v>
      </c>
      <c r="C1084" s="1" t="n">
        <v>46063</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29274-2023</t>
        </is>
      </c>
      <c r="B1085" s="1" t="n">
        <v>45105</v>
      </c>
      <c r="C1085" s="1" t="n">
        <v>46063</v>
      </c>
      <c r="D1085" t="inlineStr">
        <is>
          <t>SKÅNE LÄN</t>
        </is>
      </c>
      <c r="E1085" t="inlineStr">
        <is>
          <t>HÄSSLEHOLM</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34890-2023</t>
        </is>
      </c>
      <c r="B1086" s="1" t="n">
        <v>45142.39475694444</v>
      </c>
      <c r="C1086" s="1" t="n">
        <v>46063</v>
      </c>
      <c r="D1086" t="inlineStr">
        <is>
          <t>SKÅNE LÄN</t>
        </is>
      </c>
      <c r="E1086" t="inlineStr">
        <is>
          <t>HÄSSLEHOLM</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3886-2024</t>
        </is>
      </c>
      <c r="B1087" s="1" t="n">
        <v>45322.44539351852</v>
      </c>
      <c r="C1087" s="1" t="n">
        <v>46063</v>
      </c>
      <c r="D1087" t="inlineStr">
        <is>
          <t>SKÅNE LÄN</t>
        </is>
      </c>
      <c r="E1087" t="inlineStr">
        <is>
          <t>HÄSSLEHOLM</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61932-2023</t>
        </is>
      </c>
      <c r="B1088" s="1" t="n">
        <v>45266.53761574074</v>
      </c>
      <c r="C1088" s="1" t="n">
        <v>46063</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13149-2024</t>
        </is>
      </c>
      <c r="B1089" s="1" t="n">
        <v>45386</v>
      </c>
      <c r="C1089" s="1" t="n">
        <v>46063</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53466-2024</t>
        </is>
      </c>
      <c r="B1090" s="1" t="n">
        <v>45614.55304398148</v>
      </c>
      <c r="C1090" s="1" t="n">
        <v>46063</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10230-2025</t>
        </is>
      </c>
      <c r="B1091" s="1" t="n">
        <v>45720</v>
      </c>
      <c r="C1091" s="1" t="n">
        <v>46063</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19735-2023</t>
        </is>
      </c>
      <c r="B1092" s="1" t="n">
        <v>45051.52199074074</v>
      </c>
      <c r="C1092" s="1" t="n">
        <v>46063</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48797-2023</t>
        </is>
      </c>
      <c r="B1093" s="1" t="n">
        <v>45209.24986111111</v>
      </c>
      <c r="C1093" s="1" t="n">
        <v>46063</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5532-2025</t>
        </is>
      </c>
      <c r="B1094" s="1" t="n">
        <v>45693</v>
      </c>
      <c r="C1094" s="1" t="n">
        <v>46063</v>
      </c>
      <c r="D1094" t="inlineStr">
        <is>
          <t>SKÅNE LÄN</t>
        </is>
      </c>
      <c r="E1094" t="inlineStr">
        <is>
          <t>HÄSSLEHOLM</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55662-2022</t>
        </is>
      </c>
      <c r="B1095" s="1" t="n">
        <v>44883</v>
      </c>
      <c r="C1095" s="1" t="n">
        <v>46063</v>
      </c>
      <c r="D1095" t="inlineStr">
        <is>
          <t>SKÅNE LÄN</t>
        </is>
      </c>
      <c r="E1095" t="inlineStr">
        <is>
          <t>HÄSSLEHOLM</t>
        </is>
      </c>
      <c r="F1095" t="inlineStr">
        <is>
          <t>Övriga Aktiebolag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29844-2024</t>
        </is>
      </c>
      <c r="B1096" s="1" t="n">
        <v>45485</v>
      </c>
      <c r="C1096" s="1" t="n">
        <v>46063</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40536-2024</t>
        </is>
      </c>
      <c r="B1097" s="1" t="n">
        <v>45555.61314814815</v>
      </c>
      <c r="C1097" s="1" t="n">
        <v>46063</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33266-2024</t>
        </is>
      </c>
      <c r="B1098" s="1" t="n">
        <v>45518</v>
      </c>
      <c r="C1098" s="1" t="n">
        <v>46063</v>
      </c>
      <c r="D1098" t="inlineStr">
        <is>
          <t>SKÅNE LÄN</t>
        </is>
      </c>
      <c r="E1098" t="inlineStr">
        <is>
          <t>HÄSSLEHOLM</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56386-2023</t>
        </is>
      </c>
      <c r="B1099" s="1" t="n">
        <v>45243</v>
      </c>
      <c r="C1099" s="1" t="n">
        <v>46063</v>
      </c>
      <c r="D1099" t="inlineStr">
        <is>
          <t>SKÅNE LÄN</t>
        </is>
      </c>
      <c r="E1099" t="inlineStr">
        <is>
          <t>HÄSSLEHOLM</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2490-2024</t>
        </is>
      </c>
      <c r="B1100" s="1" t="n">
        <v>45313.43649305555</v>
      </c>
      <c r="C1100" s="1" t="n">
        <v>46063</v>
      </c>
      <c r="D1100" t="inlineStr">
        <is>
          <t>SKÅNE LÄN</t>
        </is>
      </c>
      <c r="E1100" t="inlineStr">
        <is>
          <t>HÄSSLEHOLM</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50244-2024</t>
        </is>
      </c>
      <c r="B1101" s="1" t="n">
        <v>45600.56502314815</v>
      </c>
      <c r="C1101" s="1" t="n">
        <v>46063</v>
      </c>
      <c r="D1101" t="inlineStr">
        <is>
          <t>SKÅNE LÄN</t>
        </is>
      </c>
      <c r="E1101" t="inlineStr">
        <is>
          <t>HÄSSLEHOLM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9924-2025</t>
        </is>
      </c>
      <c r="B1102" s="1" t="n">
        <v>45717.72505787037</v>
      </c>
      <c r="C1102" s="1" t="n">
        <v>46063</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13007-2024</t>
        </is>
      </c>
      <c r="B1103" s="1" t="n">
        <v>45385.57092592592</v>
      </c>
      <c r="C1103" s="1" t="n">
        <v>46063</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23007-2025</t>
        </is>
      </c>
      <c r="B1104" s="1" t="n">
        <v>45790</v>
      </c>
      <c r="C1104" s="1" t="n">
        <v>46063</v>
      </c>
      <c r="D1104" t="inlineStr">
        <is>
          <t>SKÅNE LÄN</t>
        </is>
      </c>
      <c r="E1104" t="inlineStr">
        <is>
          <t>HÄSSLEHOLM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7221-2025</t>
        </is>
      </c>
      <c r="B1105" s="1" t="n">
        <v>45701</v>
      </c>
      <c r="C1105" s="1" t="n">
        <v>46063</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74030-2021</t>
        </is>
      </c>
      <c r="B1106" s="1" t="n">
        <v>44553</v>
      </c>
      <c r="C1106" s="1" t="n">
        <v>46063</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27606-2024</t>
        </is>
      </c>
      <c r="B1107" s="1" t="n">
        <v>45474</v>
      </c>
      <c r="C1107" s="1" t="n">
        <v>46063</v>
      </c>
      <c r="D1107" t="inlineStr">
        <is>
          <t>SKÅNE LÄN</t>
        </is>
      </c>
      <c r="E1107" t="inlineStr">
        <is>
          <t>HÄSSLEHOLM</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56735-2024</t>
        </is>
      </c>
      <c r="B1108" s="1" t="n">
        <v>45628.36234953703</v>
      </c>
      <c r="C1108" s="1" t="n">
        <v>46063</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2621-2025</t>
        </is>
      </c>
      <c r="B1109" s="1" t="n">
        <v>45675.60765046296</v>
      </c>
      <c r="C1109" s="1" t="n">
        <v>46063</v>
      </c>
      <c r="D1109" t="inlineStr">
        <is>
          <t>SKÅNE LÄN</t>
        </is>
      </c>
      <c r="E1109" t="inlineStr">
        <is>
          <t>HÄSSLEHOLM</t>
        </is>
      </c>
      <c r="F1109" t="inlineStr">
        <is>
          <t>Kommuner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23005-2025</t>
        </is>
      </c>
      <c r="B1110" s="1" t="n">
        <v>45790</v>
      </c>
      <c r="C1110" s="1" t="n">
        <v>46063</v>
      </c>
      <c r="D1110" t="inlineStr">
        <is>
          <t>SKÅNE LÄN</t>
        </is>
      </c>
      <c r="E1110" t="inlineStr">
        <is>
          <t>HÄSSLEHOLM</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8737-2025</t>
        </is>
      </c>
      <c r="B1111" s="1" t="n">
        <v>45712.54578703704</v>
      </c>
      <c r="C1111" s="1" t="n">
        <v>46063</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22587-2025</t>
        </is>
      </c>
      <c r="B1112" s="1" t="n">
        <v>45789.39974537037</v>
      </c>
      <c r="C1112" s="1" t="n">
        <v>46063</v>
      </c>
      <c r="D1112" t="inlineStr">
        <is>
          <t>SKÅNE LÄN</t>
        </is>
      </c>
      <c r="E1112" t="inlineStr">
        <is>
          <t>HÄSSLEHOLM</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22592-2025</t>
        </is>
      </c>
      <c r="B1113" s="1" t="n">
        <v>45789.40502314815</v>
      </c>
      <c r="C1113" s="1" t="n">
        <v>46063</v>
      </c>
      <c r="D1113" t="inlineStr">
        <is>
          <t>SKÅNE LÄN</t>
        </is>
      </c>
      <c r="E1113" t="inlineStr">
        <is>
          <t>HÄSSLEHOLM</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17171-2025</t>
        </is>
      </c>
      <c r="B1114" s="1" t="n">
        <v>45755</v>
      </c>
      <c r="C1114" s="1" t="n">
        <v>46063</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13954-2023</t>
        </is>
      </c>
      <c r="B1115" s="1" t="n">
        <v>45008</v>
      </c>
      <c r="C1115" s="1" t="n">
        <v>46063</v>
      </c>
      <c r="D1115" t="inlineStr">
        <is>
          <t>SKÅNE LÄN</t>
        </is>
      </c>
      <c r="E1115" t="inlineStr">
        <is>
          <t>HÄSSLEHOLM</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51018-2023</t>
        </is>
      </c>
      <c r="B1116" s="1" t="n">
        <v>45218</v>
      </c>
      <c r="C1116" s="1" t="n">
        <v>46063</v>
      </c>
      <c r="D1116" t="inlineStr">
        <is>
          <t>SKÅNE LÄN</t>
        </is>
      </c>
      <c r="E1116" t="inlineStr">
        <is>
          <t>HÄSSLEHOLM</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40152-2024</t>
        </is>
      </c>
      <c r="B1117" s="1" t="n">
        <v>45554</v>
      </c>
      <c r="C1117" s="1" t="n">
        <v>46063</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31254-2024</t>
        </is>
      </c>
      <c r="B1118" s="1" t="n">
        <v>45503</v>
      </c>
      <c r="C1118" s="1" t="n">
        <v>46063</v>
      </c>
      <c r="D1118" t="inlineStr">
        <is>
          <t>SKÅNE LÄN</t>
        </is>
      </c>
      <c r="E1118" t="inlineStr">
        <is>
          <t>HÄSSLEHOLM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27825-2024</t>
        </is>
      </c>
      <c r="B1119" s="1" t="n">
        <v>45475</v>
      </c>
      <c r="C1119" s="1" t="n">
        <v>46063</v>
      </c>
      <c r="D1119" t="inlineStr">
        <is>
          <t>SKÅNE LÄN</t>
        </is>
      </c>
      <c r="E1119" t="inlineStr">
        <is>
          <t>HÄSSLEHOLM</t>
        </is>
      </c>
      <c r="F1119" t="inlineStr">
        <is>
          <t>Kommuner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37764-2022</t>
        </is>
      </c>
      <c r="B1120" s="1" t="n">
        <v>44810</v>
      </c>
      <c r="C1120" s="1" t="n">
        <v>46063</v>
      </c>
      <c r="D1120" t="inlineStr">
        <is>
          <t>SKÅNE LÄN</t>
        </is>
      </c>
      <c r="E1120" t="inlineStr">
        <is>
          <t>HÄSSLEHOLM</t>
        </is>
      </c>
      <c r="F1120" t="inlineStr">
        <is>
          <t>Kyrkan</t>
        </is>
      </c>
      <c r="G1120" t="n">
        <v>9.4</v>
      </c>
      <c r="H1120" t="n">
        <v>0</v>
      </c>
      <c r="I1120" t="n">
        <v>0</v>
      </c>
      <c r="J1120" t="n">
        <v>0</v>
      </c>
      <c r="K1120" t="n">
        <v>0</v>
      </c>
      <c r="L1120" t="n">
        <v>0</v>
      </c>
      <c r="M1120" t="n">
        <v>0</v>
      </c>
      <c r="N1120" t="n">
        <v>0</v>
      </c>
      <c r="O1120" t="n">
        <v>0</v>
      </c>
      <c r="P1120" t="n">
        <v>0</v>
      </c>
      <c r="Q1120" t="n">
        <v>0</v>
      </c>
      <c r="R1120" s="2" t="inlineStr"/>
    </row>
    <row r="1121" ht="15" customHeight="1">
      <c r="A1121" t="inlineStr">
        <is>
          <t>A 37486-2024</t>
        </is>
      </c>
      <c r="B1121" s="1" t="n">
        <v>45541</v>
      </c>
      <c r="C1121" s="1" t="n">
        <v>46063</v>
      </c>
      <c r="D1121" t="inlineStr">
        <is>
          <t>SKÅNE LÄN</t>
        </is>
      </c>
      <c r="E1121" t="inlineStr">
        <is>
          <t>HÄSSLEHOLM</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44838-2023</t>
        </is>
      </c>
      <c r="B1122" s="1" t="n">
        <v>45190</v>
      </c>
      <c r="C1122" s="1" t="n">
        <v>46063</v>
      </c>
      <c r="D1122" t="inlineStr">
        <is>
          <t>SKÅNE LÄN</t>
        </is>
      </c>
      <c r="E1122" t="inlineStr">
        <is>
          <t>HÄSSLEHOLM</t>
        </is>
      </c>
      <c r="F1122" t="inlineStr">
        <is>
          <t>Kommuner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15072-2024</t>
        </is>
      </c>
      <c r="B1123" s="1" t="n">
        <v>45399.5996875</v>
      </c>
      <c r="C1123" s="1" t="n">
        <v>46063</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16930-2024</t>
        </is>
      </c>
      <c r="B1124" s="1" t="n">
        <v>45411</v>
      </c>
      <c r="C1124" s="1" t="n">
        <v>46063</v>
      </c>
      <c r="D1124" t="inlineStr">
        <is>
          <t>SKÅNE LÄN</t>
        </is>
      </c>
      <c r="E1124" t="inlineStr">
        <is>
          <t>HÄSSLEHOLM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11262-2025</t>
        </is>
      </c>
      <c r="B1125" s="1" t="n">
        <v>45726</v>
      </c>
      <c r="C1125" s="1" t="n">
        <v>46063</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5395-2024</t>
        </is>
      </c>
      <c r="B1126" s="1" t="n">
        <v>45331</v>
      </c>
      <c r="C1126" s="1" t="n">
        <v>46063</v>
      </c>
      <c r="D1126" t="inlineStr">
        <is>
          <t>SKÅNE LÄN</t>
        </is>
      </c>
      <c r="E1126" t="inlineStr">
        <is>
          <t>HÄSSLEHOLM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56069-2024</t>
        </is>
      </c>
      <c r="B1127" s="1" t="n">
        <v>45624.38006944444</v>
      </c>
      <c r="C1127" s="1" t="n">
        <v>46063</v>
      </c>
      <c r="D1127" t="inlineStr">
        <is>
          <t>SKÅNE LÄN</t>
        </is>
      </c>
      <c r="E1127" t="inlineStr">
        <is>
          <t>HÄSSLEHOLM</t>
        </is>
      </c>
      <c r="F1127" t="inlineStr">
        <is>
          <t>Övriga Aktiebolag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60797-2024</t>
        </is>
      </c>
      <c r="B1128" s="1" t="n">
        <v>45644</v>
      </c>
      <c r="C1128" s="1" t="n">
        <v>46063</v>
      </c>
      <c r="D1128" t="inlineStr">
        <is>
          <t>SKÅNE LÄN</t>
        </is>
      </c>
      <c r="E1128" t="inlineStr">
        <is>
          <t>HÄSSLEHOLM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24034-2025</t>
        </is>
      </c>
      <c r="B1129" s="1" t="n">
        <v>45796.48251157408</v>
      </c>
      <c r="C1129" s="1" t="n">
        <v>46063</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24039-2025</t>
        </is>
      </c>
      <c r="B1130" s="1" t="n">
        <v>45796.48675925926</v>
      </c>
      <c r="C1130" s="1" t="n">
        <v>46063</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7681-2025</t>
        </is>
      </c>
      <c r="B1131" s="1" t="n">
        <v>45706.36758101852</v>
      </c>
      <c r="C1131" s="1" t="n">
        <v>46063</v>
      </c>
      <c r="D1131" t="inlineStr">
        <is>
          <t>SKÅNE LÄN</t>
        </is>
      </c>
      <c r="E1131" t="inlineStr">
        <is>
          <t>HÄSSLEHOLM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24032-2025</t>
        </is>
      </c>
      <c r="B1132" s="1" t="n">
        <v>45796.478125</v>
      </c>
      <c r="C1132" s="1" t="n">
        <v>46063</v>
      </c>
      <c r="D1132" t="inlineStr">
        <is>
          <t>SKÅNE LÄN</t>
        </is>
      </c>
      <c r="E1132" t="inlineStr">
        <is>
          <t>HÄSSLEHOLM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5252-2025</t>
        </is>
      </c>
      <c r="B1133" s="1" t="n">
        <v>45692.3449537037</v>
      </c>
      <c r="C1133" s="1" t="n">
        <v>46063</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24047-2025</t>
        </is>
      </c>
      <c r="B1134" s="1" t="n">
        <v>45796.49528935185</v>
      </c>
      <c r="C1134" s="1" t="n">
        <v>46063</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60789-2024</t>
        </is>
      </c>
      <c r="B1135" s="1" t="n">
        <v>45644</v>
      </c>
      <c r="C1135" s="1" t="n">
        <v>46063</v>
      </c>
      <c r="D1135" t="inlineStr">
        <is>
          <t>SKÅNE LÄN</t>
        </is>
      </c>
      <c r="E1135" t="inlineStr">
        <is>
          <t>HÄSSLEHOLM</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24029-2025</t>
        </is>
      </c>
      <c r="B1136" s="1" t="n">
        <v>45796.47552083333</v>
      </c>
      <c r="C1136" s="1" t="n">
        <v>46063</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24675-2025</t>
        </is>
      </c>
      <c r="B1137" s="1" t="n">
        <v>45798.653125</v>
      </c>
      <c r="C1137" s="1" t="n">
        <v>46063</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10562-2025</t>
        </is>
      </c>
      <c r="B1138" s="1" t="n">
        <v>45721.52913194444</v>
      </c>
      <c r="C1138" s="1" t="n">
        <v>46063</v>
      </c>
      <c r="D1138" t="inlineStr">
        <is>
          <t>SKÅNE LÄN</t>
        </is>
      </c>
      <c r="E1138" t="inlineStr">
        <is>
          <t>HÄSSLEHOLM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32512-2024</t>
        </is>
      </c>
      <c r="B1139" s="1" t="n">
        <v>45513.45613425926</v>
      </c>
      <c r="C1139" s="1" t="n">
        <v>46063</v>
      </c>
      <c r="D1139" t="inlineStr">
        <is>
          <t>SKÅNE LÄN</t>
        </is>
      </c>
      <c r="E1139" t="inlineStr">
        <is>
          <t>HÄSSLEHOLM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55522-2024</t>
        </is>
      </c>
      <c r="B1140" s="1" t="n">
        <v>45622</v>
      </c>
      <c r="C1140" s="1" t="n">
        <v>46063</v>
      </c>
      <c r="D1140" t="inlineStr">
        <is>
          <t>SKÅNE LÄN</t>
        </is>
      </c>
      <c r="E1140" t="inlineStr">
        <is>
          <t>HÄSSLEHOLM</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5242-2025</t>
        </is>
      </c>
      <c r="B1141" s="1" t="n">
        <v>45692.32883101852</v>
      </c>
      <c r="C1141" s="1" t="n">
        <v>46063</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42735-2024</t>
        </is>
      </c>
      <c r="B1142" s="1" t="n">
        <v>45566.47274305556</v>
      </c>
      <c r="C1142" s="1" t="n">
        <v>46063</v>
      </c>
      <c r="D1142" t="inlineStr">
        <is>
          <t>SKÅNE LÄN</t>
        </is>
      </c>
      <c r="E1142" t="inlineStr">
        <is>
          <t>HÄSSLEHOLM</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24658-2025</t>
        </is>
      </c>
      <c r="B1143" s="1" t="n">
        <v>45798.64134259259</v>
      </c>
      <c r="C1143" s="1" t="n">
        <v>46063</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24250-2025</t>
        </is>
      </c>
      <c r="B1144" s="1" t="n">
        <v>45797.40260416667</v>
      </c>
      <c r="C1144" s="1" t="n">
        <v>46063</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32826-2024</t>
        </is>
      </c>
      <c r="B1145" s="1" t="n">
        <v>45516.59056712963</v>
      </c>
      <c r="C1145" s="1" t="n">
        <v>46063</v>
      </c>
      <c r="D1145" t="inlineStr">
        <is>
          <t>SKÅNE LÄN</t>
        </is>
      </c>
      <c r="E1145" t="inlineStr">
        <is>
          <t>HÄSSLEHOLM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24985-2025</t>
        </is>
      </c>
      <c r="B1146" s="1" t="n">
        <v>45799.60256944445</v>
      </c>
      <c r="C1146" s="1" t="n">
        <v>46063</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27837-2024</t>
        </is>
      </c>
      <c r="B1147" s="1" t="n">
        <v>45475</v>
      </c>
      <c r="C1147" s="1" t="n">
        <v>46063</v>
      </c>
      <c r="D1147" t="inlineStr">
        <is>
          <t>SKÅNE LÄN</t>
        </is>
      </c>
      <c r="E1147" t="inlineStr">
        <is>
          <t>HÄSSLEHOLM</t>
        </is>
      </c>
      <c r="F1147" t="inlineStr">
        <is>
          <t>Kommuner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29659-2024</t>
        </is>
      </c>
      <c r="B1148" s="1" t="n">
        <v>45484.92587962963</v>
      </c>
      <c r="C1148" s="1" t="n">
        <v>46063</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1679-2022</t>
        </is>
      </c>
      <c r="B1149" s="1" t="n">
        <v>44573</v>
      </c>
      <c r="C1149" s="1" t="n">
        <v>46063</v>
      </c>
      <c r="D1149" t="inlineStr">
        <is>
          <t>SKÅNE LÄN</t>
        </is>
      </c>
      <c r="E1149" t="inlineStr">
        <is>
          <t>HÄSSLEHOLM</t>
        </is>
      </c>
      <c r="F1149" t="inlineStr">
        <is>
          <t>Kyrkan</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259-2024</t>
        </is>
      </c>
      <c r="B1150" s="1" t="n">
        <v>45294</v>
      </c>
      <c r="C1150" s="1" t="n">
        <v>46063</v>
      </c>
      <c r="D1150" t="inlineStr">
        <is>
          <t>SKÅNE LÄN</t>
        </is>
      </c>
      <c r="E1150" t="inlineStr">
        <is>
          <t>HÄSSLEHOLM</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25372-2025</t>
        </is>
      </c>
      <c r="B1151" s="1" t="n">
        <v>45799</v>
      </c>
      <c r="C1151" s="1" t="n">
        <v>46063</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9399-2025</t>
        </is>
      </c>
      <c r="B1152" s="1" t="n">
        <v>45715.37861111111</v>
      </c>
      <c r="C1152" s="1" t="n">
        <v>46063</v>
      </c>
      <c r="D1152" t="inlineStr">
        <is>
          <t>SKÅNE LÄN</t>
        </is>
      </c>
      <c r="E1152" t="inlineStr">
        <is>
          <t>HÄSSLEHOLM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46063</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25430-2025</t>
        </is>
      </c>
      <c r="B1154" s="1" t="n">
        <v>45800.78212962963</v>
      </c>
      <c r="C1154" s="1" t="n">
        <v>46063</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11470-2025</t>
        </is>
      </c>
      <c r="B1155" s="1" t="n">
        <v>45726</v>
      </c>
      <c r="C1155" s="1" t="n">
        <v>46063</v>
      </c>
      <c r="D1155" t="inlineStr">
        <is>
          <t>SKÅNE LÄN</t>
        </is>
      </c>
      <c r="E1155" t="inlineStr">
        <is>
          <t>HÄSSLEHOLM</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25615-2025</t>
        </is>
      </c>
      <c r="B1156" s="1" t="n">
        <v>45803</v>
      </c>
      <c r="C1156" s="1" t="n">
        <v>46063</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25431-2025</t>
        </is>
      </c>
      <c r="B1157" s="1" t="n">
        <v>45800.78340277778</v>
      </c>
      <c r="C1157" s="1" t="n">
        <v>46063</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25432-2025</t>
        </is>
      </c>
      <c r="B1158" s="1" t="n">
        <v>45800.7847800926</v>
      </c>
      <c r="C1158" s="1" t="n">
        <v>46063</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11412-2025</t>
        </is>
      </c>
      <c r="B1159" s="1" t="n">
        <v>45726</v>
      </c>
      <c r="C1159" s="1" t="n">
        <v>46063</v>
      </c>
      <c r="D1159" t="inlineStr">
        <is>
          <t>SKÅNE LÄN</t>
        </is>
      </c>
      <c r="E1159" t="inlineStr">
        <is>
          <t>HÄSSLEHOLM</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11466-2025</t>
        </is>
      </c>
      <c r="B1160" s="1" t="n">
        <v>45726</v>
      </c>
      <c r="C1160" s="1" t="n">
        <v>46063</v>
      </c>
      <c r="D1160" t="inlineStr">
        <is>
          <t>SKÅNE LÄN</t>
        </is>
      </c>
      <c r="E1160" t="inlineStr">
        <is>
          <t>HÄSSLEHOLM</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26232-2025</t>
        </is>
      </c>
      <c r="B1161" s="1" t="n">
        <v>45805.56642361111</v>
      </c>
      <c r="C1161" s="1" t="n">
        <v>46063</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26244-2025</t>
        </is>
      </c>
      <c r="B1162" s="1" t="n">
        <v>45805.57364583333</v>
      </c>
      <c r="C1162" s="1" t="n">
        <v>46063</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38358-2024</t>
        </is>
      </c>
      <c r="B1163" s="1" t="n">
        <v>45545.79068287037</v>
      </c>
      <c r="C1163" s="1" t="n">
        <v>46063</v>
      </c>
      <c r="D1163" t="inlineStr">
        <is>
          <t>SKÅNE LÄN</t>
        </is>
      </c>
      <c r="E1163" t="inlineStr">
        <is>
          <t>HÄSSLEHOLM</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16368-2025</t>
        </is>
      </c>
      <c r="B1164" s="1" t="n">
        <v>45751</v>
      </c>
      <c r="C1164" s="1" t="n">
        <v>46063</v>
      </c>
      <c r="D1164" t="inlineStr">
        <is>
          <t>SKÅNE LÄN</t>
        </is>
      </c>
      <c r="E1164" t="inlineStr">
        <is>
          <t>HÄSSLEHOLM</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27393-2025</t>
        </is>
      </c>
      <c r="B1165" s="1" t="n">
        <v>45812.68295138889</v>
      </c>
      <c r="C1165" s="1" t="n">
        <v>46063</v>
      </c>
      <c r="D1165" t="inlineStr">
        <is>
          <t>SKÅNE LÄN</t>
        </is>
      </c>
      <c r="E1165" t="inlineStr">
        <is>
          <t>HÄSSLEHOLM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28240-2025</t>
        </is>
      </c>
      <c r="B1166" s="1" t="n">
        <v>45817</v>
      </c>
      <c r="C1166" s="1" t="n">
        <v>46063</v>
      </c>
      <c r="D1166" t="inlineStr">
        <is>
          <t>SKÅNE LÄN</t>
        </is>
      </c>
      <c r="E1166" t="inlineStr">
        <is>
          <t>HÄSSLEHOLM</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28095-2025</t>
        </is>
      </c>
      <c r="B1167" s="1" t="n">
        <v>45817</v>
      </c>
      <c r="C1167" s="1" t="n">
        <v>46063</v>
      </c>
      <c r="D1167" t="inlineStr">
        <is>
          <t>SKÅNE LÄN</t>
        </is>
      </c>
      <c r="E1167" t="inlineStr">
        <is>
          <t>HÄSSLEHOLM</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27940-2025</t>
        </is>
      </c>
      <c r="B1168" s="1" t="n">
        <v>45817.50439814815</v>
      </c>
      <c r="C1168" s="1" t="n">
        <v>46063</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27887-2025</t>
        </is>
      </c>
      <c r="B1169" s="1" t="n">
        <v>45817.45994212963</v>
      </c>
      <c r="C1169" s="1" t="n">
        <v>46063</v>
      </c>
      <c r="D1169" t="inlineStr">
        <is>
          <t>SKÅNE LÄN</t>
        </is>
      </c>
      <c r="E1169" t="inlineStr">
        <is>
          <t>HÄSSLEHOLM</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49827-2022</t>
        </is>
      </c>
      <c r="B1170" s="1" t="n">
        <v>44859</v>
      </c>
      <c r="C1170" s="1" t="n">
        <v>46063</v>
      </c>
      <c r="D1170" t="inlineStr">
        <is>
          <t>SKÅNE LÄN</t>
        </is>
      </c>
      <c r="E1170" t="inlineStr">
        <is>
          <t>HÄSSLEHOLM</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28251-2025</t>
        </is>
      </c>
      <c r="B1171" s="1" t="n">
        <v>45817</v>
      </c>
      <c r="C1171" s="1" t="n">
        <v>46063</v>
      </c>
      <c r="D1171" t="inlineStr">
        <is>
          <t>SKÅNE LÄN</t>
        </is>
      </c>
      <c r="E1171" t="inlineStr">
        <is>
          <t>HÄSSLEHOLM</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27934-2025</t>
        </is>
      </c>
      <c r="B1172" s="1" t="n">
        <v>45817.49761574074</v>
      </c>
      <c r="C1172" s="1" t="n">
        <v>46063</v>
      </c>
      <c r="D1172" t="inlineStr">
        <is>
          <t>SKÅNE LÄN</t>
        </is>
      </c>
      <c r="E1172" t="inlineStr">
        <is>
          <t>HÄSSLEHOLM</t>
        </is>
      </c>
      <c r="G1172" t="n">
        <v>0.7</v>
      </c>
      <c r="H1172" t="n">
        <v>0</v>
      </c>
      <c r="I1172" t="n">
        <v>0</v>
      </c>
      <c r="J1172" t="n">
        <v>0</v>
      </c>
      <c r="K1172" t="n">
        <v>0</v>
      </c>
      <c r="L1172" t="n">
        <v>0</v>
      </c>
      <c r="M1172" t="n">
        <v>0</v>
      </c>
      <c r="N1172" t="n">
        <v>0</v>
      </c>
      <c r="O1172" t="n">
        <v>0</v>
      </c>
      <c r="P1172" t="n">
        <v>0</v>
      </c>
      <c r="Q1172" t="n">
        <v>0</v>
      </c>
      <c r="R1172" s="2" t="inlineStr"/>
    </row>
    <row r="1173">
      <c r="A1173" t="inlineStr">
        <is>
          <t>A 28122-2025</t>
        </is>
      </c>
      <c r="B1173" s="1" t="n">
        <v>45817</v>
      </c>
      <c r="C1173" s="1" t="n">
        <v>46063</v>
      </c>
      <c r="D1173" t="inlineStr">
        <is>
          <t>SKÅNE LÄN</t>
        </is>
      </c>
      <c r="E1173" t="inlineStr">
        <is>
          <t>HÄSSLEHOLM</t>
        </is>
      </c>
      <c r="G1173" t="n">
        <v>2.4</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2026-02-10T11:03:52Z</dcterms:created>
  <dcterms:modified xmlns:dcterms="http://purl.org/dc/terms/" xmlns:xsi="http://www.w3.org/2001/XMLSchema-instance" xsi:type="dcterms:W3CDTF">2026-02-10T11:03:53Z</dcterms:modified>
</cp:coreProperties>
</file>