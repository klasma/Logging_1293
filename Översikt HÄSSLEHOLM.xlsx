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45911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45911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45911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45911</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45911</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45911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6634-2024</t>
        </is>
      </c>
      <c r="B22" s="1" t="n">
        <v>45341</v>
      </c>
      <c r="C22" s="1" t="n">
        <v>45911</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45911</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54523-2024</t>
        </is>
      </c>
      <c r="B24" s="1" t="n">
        <v>45617</v>
      </c>
      <c r="C24" s="1" t="n">
        <v>45911</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45911</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45911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4725-2025</t>
        </is>
      </c>
      <c r="B27" s="1" t="n">
        <v>45688.42583333333</v>
      </c>
      <c r="C27" s="1" t="n">
        <v>45911</v>
      </c>
      <c r="D27" t="inlineStr">
        <is>
          <t>SKÅNE LÄN</t>
        </is>
      </c>
      <c r="E27" t="inlineStr">
        <is>
          <t>HÄSSLEHOLM</t>
        </is>
      </c>
      <c r="G27" t="n">
        <v>5.5</v>
      </c>
      <c r="H27" t="n">
        <v>1</v>
      </c>
      <c r="I27" t="n">
        <v>0</v>
      </c>
      <c r="J27" t="n">
        <v>0</v>
      </c>
      <c r="K27" t="n">
        <v>0</v>
      </c>
      <c r="L27" t="n">
        <v>0</v>
      </c>
      <c r="M27" t="n">
        <v>0</v>
      </c>
      <c r="N27" t="n">
        <v>0</v>
      </c>
      <c r="O27" t="n">
        <v>0</v>
      </c>
      <c r="P27" t="n">
        <v>0</v>
      </c>
      <c r="Q27" t="n">
        <v>1</v>
      </c>
      <c r="R27" s="2" t="inlineStr">
        <is>
          <t>Grönvit nattviol</t>
        </is>
      </c>
      <c r="S27">
        <f>HYPERLINK("https://klasma.github.io/Logging_1293/artfynd/A 4725-2025 artfynd.xlsx", "A 4725-2025")</f>
        <v/>
      </c>
      <c r="T27">
        <f>HYPERLINK("https://klasma.github.io/Logging_1293/kartor/A 4725-2025 karta.png", "A 4725-2025")</f>
        <v/>
      </c>
      <c r="V27">
        <f>HYPERLINK("https://klasma.github.io/Logging_1293/klagomål/A 4725-2025 FSC-klagomål.docx", "A 4725-2025")</f>
        <v/>
      </c>
      <c r="W27">
        <f>HYPERLINK("https://klasma.github.io/Logging_1293/klagomålsmail/A 4725-2025 FSC-klagomål mail.docx", "A 4725-2025")</f>
        <v/>
      </c>
      <c r="X27">
        <f>HYPERLINK("https://klasma.github.io/Logging_1293/tillsyn/A 4725-2025 tillsynsbegäran.docx", "A 4725-2025")</f>
        <v/>
      </c>
      <c r="Y27">
        <f>HYPERLINK("https://klasma.github.io/Logging_1293/tillsynsmail/A 4725-2025 tillsynsbegäran mail.docx", "A 4725-2025")</f>
        <v/>
      </c>
    </row>
    <row r="28" ht="15" customHeight="1">
      <c r="A28" t="inlineStr">
        <is>
          <t>A 16107-2025</t>
        </is>
      </c>
      <c r="B28" s="1" t="n">
        <v>45750.34537037037</v>
      </c>
      <c r="C28" s="1" t="n">
        <v>45911</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36690-2025</t>
        </is>
      </c>
      <c r="B29" s="1" t="n">
        <v>45873.42915509259</v>
      </c>
      <c r="C29" s="1" t="n">
        <v>45911</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9289-2025</t>
        </is>
      </c>
      <c r="B30" s="1" t="n">
        <v>45714</v>
      </c>
      <c r="C30" s="1" t="n">
        <v>45911</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14933-2023</t>
        </is>
      </c>
      <c r="B31" s="1" t="n">
        <v>45014</v>
      </c>
      <c r="C31" s="1" t="n">
        <v>45911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49572-2022</t>
        </is>
      </c>
      <c r="B32" s="1" t="n">
        <v>44862.335</v>
      </c>
      <c r="C32" s="1" t="n">
        <v>45911</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8223-2025</t>
        </is>
      </c>
      <c r="B33" s="1" t="n">
        <v>45708.46127314815</v>
      </c>
      <c r="C33" s="1" t="n">
        <v>45911</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40613-2025</t>
        </is>
      </c>
      <c r="B34" s="1" t="n">
        <v>45896</v>
      </c>
      <c r="C34" s="1" t="n">
        <v>45911</v>
      </c>
      <c r="D34" t="inlineStr">
        <is>
          <t>SKÅNE LÄN</t>
        </is>
      </c>
      <c r="E34" t="inlineStr">
        <is>
          <t>HÄSSLEHOLM</t>
        </is>
      </c>
      <c r="F34" t="inlineStr">
        <is>
          <t>Kyrkan</t>
        </is>
      </c>
      <c r="G34" t="n">
        <v>3.4</v>
      </c>
      <c r="H34" t="n">
        <v>1</v>
      </c>
      <c r="I34" t="n">
        <v>0</v>
      </c>
      <c r="J34" t="n">
        <v>0</v>
      </c>
      <c r="K34" t="n">
        <v>0</v>
      </c>
      <c r="L34" t="n">
        <v>0</v>
      </c>
      <c r="M34" t="n">
        <v>0</v>
      </c>
      <c r="N34" t="n">
        <v>0</v>
      </c>
      <c r="O34" t="n">
        <v>0</v>
      </c>
      <c r="P34" t="n">
        <v>0</v>
      </c>
      <c r="Q34" t="n">
        <v>1</v>
      </c>
      <c r="R34" s="2" t="inlineStr">
        <is>
          <t>Revlummer</t>
        </is>
      </c>
      <c r="S34">
        <f>HYPERLINK("https://klasma.github.io/Logging_1293/artfynd/A 40613-2025 artfynd.xlsx", "A 40613-2025")</f>
        <v/>
      </c>
      <c r="T34">
        <f>HYPERLINK("https://klasma.github.io/Logging_1293/kartor/A 40613-2025 karta.png", "A 40613-2025")</f>
        <v/>
      </c>
      <c r="V34">
        <f>HYPERLINK("https://klasma.github.io/Logging_1293/klagomål/A 40613-2025 FSC-klagomål.docx", "A 40613-2025")</f>
        <v/>
      </c>
      <c r="W34">
        <f>HYPERLINK("https://klasma.github.io/Logging_1293/klagomålsmail/A 40613-2025 FSC-klagomål mail.docx", "A 40613-2025")</f>
        <v/>
      </c>
      <c r="X34">
        <f>HYPERLINK("https://klasma.github.io/Logging_1293/tillsyn/A 40613-2025 tillsynsbegäran.docx", "A 40613-2025")</f>
        <v/>
      </c>
      <c r="Y34">
        <f>HYPERLINK("https://klasma.github.io/Logging_1293/tillsynsmail/A 40613-2025 tillsynsbegäran mail.docx", "A 40613-2025")</f>
        <v/>
      </c>
    </row>
    <row r="35" ht="15" customHeight="1">
      <c r="A35" t="inlineStr">
        <is>
          <t>A 29272-2023</t>
        </is>
      </c>
      <c r="B35" s="1" t="n">
        <v>45105</v>
      </c>
      <c r="C35" s="1" t="n">
        <v>45911</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7862-2024</t>
        </is>
      </c>
      <c r="B36" s="1" t="n">
        <v>45348</v>
      </c>
      <c r="C36" s="1" t="n">
        <v>45911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20280-2025</t>
        </is>
      </c>
      <c r="B37" s="1" t="n">
        <v>45774.38790509259</v>
      </c>
      <c r="C37" s="1" t="n">
        <v>45911</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61707-2024</t>
        </is>
      </c>
      <c r="B38" s="1" t="n">
        <v>45648.61747685185</v>
      </c>
      <c r="C38" s="1" t="n">
        <v>45911</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45911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45911</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45911</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45911</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45911</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45911</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45911</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45911</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45911</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45911</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45911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45911</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45911</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45911</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45911</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45911</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45911</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45911</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45911</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45911</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45911</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45911</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45911</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45911</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45911</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45911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45911</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45911</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45911</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45911</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45911</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45911</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45911</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45911</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45911</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45911</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45911</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45911</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45911</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45911</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45911</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45911</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45911</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45911</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45911</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45911</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45911</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45911</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45911</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45911</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45911</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45911</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45911</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45911</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45911</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45911</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45911</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45911</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45911</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45911</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45911</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45911</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45911</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2765-2022</t>
        </is>
      </c>
      <c r="B104" s="1" t="n">
        <v>44580</v>
      </c>
      <c r="C104" s="1" t="n">
        <v>45911</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37181-2022</t>
        </is>
      </c>
      <c r="B105" s="1" t="n">
        <v>44806</v>
      </c>
      <c r="C105" s="1" t="n">
        <v>45911</v>
      </c>
      <c r="D105" t="inlineStr">
        <is>
          <t>SKÅNE LÄN</t>
        </is>
      </c>
      <c r="E105" t="inlineStr">
        <is>
          <t>HÄSSLEHOLM</t>
        </is>
      </c>
      <c r="F105" t="inlineStr">
        <is>
          <t>Kyrkan</t>
        </is>
      </c>
      <c r="G105" t="n">
        <v>3.5</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45911</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45911</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45911</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45911</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45911</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45911</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45911</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45911</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45911</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45911</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45911</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45911</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45911</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45911</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45911</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45911</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45911</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45911</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45911</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45911</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45911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45911</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45911</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45911</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45911</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45911</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45911</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45911</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45911</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45911</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52461-2021</t>
        </is>
      </c>
      <c r="B138" s="1" t="n">
        <v>44466</v>
      </c>
      <c r="C138" s="1" t="n">
        <v>45911</v>
      </c>
      <c r="D138" t="inlineStr">
        <is>
          <t>SKÅNE LÄN</t>
        </is>
      </c>
      <c r="E138" t="inlineStr">
        <is>
          <t>HÄSSLEHOLM</t>
        </is>
      </c>
      <c r="G138" t="n">
        <v>2.7</v>
      </c>
      <c r="H138" t="n">
        <v>0</v>
      </c>
      <c r="I138" t="n">
        <v>0</v>
      </c>
      <c r="J138" t="n">
        <v>0</v>
      </c>
      <c r="K138" t="n">
        <v>0</v>
      </c>
      <c r="L138" t="n">
        <v>0</v>
      </c>
      <c r="M138" t="n">
        <v>0</v>
      </c>
      <c r="N138" t="n">
        <v>0</v>
      </c>
      <c r="O138" t="n">
        <v>0</v>
      </c>
      <c r="P138" t="n">
        <v>0</v>
      </c>
      <c r="Q138" t="n">
        <v>0</v>
      </c>
      <c r="R138" s="2" t="inlineStr"/>
    </row>
    <row r="139" ht="15" customHeight="1">
      <c r="A139" t="inlineStr">
        <is>
          <t>A 63972-2021</t>
        </is>
      </c>
      <c r="B139" s="1" t="n">
        <v>44509.89649305555</v>
      </c>
      <c r="C139" s="1" t="n">
        <v>45911</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48212-2020</t>
        </is>
      </c>
      <c r="B140" s="1" t="n">
        <v>44102</v>
      </c>
      <c r="C140" s="1" t="n">
        <v>45911</v>
      </c>
      <c r="D140" t="inlineStr">
        <is>
          <t>SKÅNE LÄN</t>
        </is>
      </c>
      <c r="E140" t="inlineStr">
        <is>
          <t>HÄSSLEHOLM</t>
        </is>
      </c>
      <c r="G140" t="n">
        <v>4.2</v>
      </c>
      <c r="H140" t="n">
        <v>0</v>
      </c>
      <c r="I140" t="n">
        <v>0</v>
      </c>
      <c r="J140" t="n">
        <v>0</v>
      </c>
      <c r="K140" t="n">
        <v>0</v>
      </c>
      <c r="L140" t="n">
        <v>0</v>
      </c>
      <c r="M140" t="n">
        <v>0</v>
      </c>
      <c r="N140" t="n">
        <v>0</v>
      </c>
      <c r="O140" t="n">
        <v>0</v>
      </c>
      <c r="P140" t="n">
        <v>0</v>
      </c>
      <c r="Q140" t="n">
        <v>0</v>
      </c>
      <c r="R140" s="2" t="inlineStr"/>
    </row>
    <row r="141" ht="15" customHeight="1">
      <c r="A141" t="inlineStr">
        <is>
          <t>A 49786-2020</t>
        </is>
      </c>
      <c r="B141" s="1" t="n">
        <v>44103</v>
      </c>
      <c r="C141" s="1" t="n">
        <v>45911</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2952-2021</t>
        </is>
      </c>
      <c r="B142" s="1" t="n">
        <v>44216</v>
      </c>
      <c r="C142" s="1" t="n">
        <v>45911</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52852-2020</t>
        </is>
      </c>
      <c r="B143" s="1" t="n">
        <v>44119</v>
      </c>
      <c r="C143" s="1" t="n">
        <v>45911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3276-2022</t>
        </is>
      </c>
      <c r="B144" s="1" t="n">
        <v>44584.40916666666</v>
      </c>
      <c r="C144" s="1" t="n">
        <v>45911</v>
      </c>
      <c r="D144" t="inlineStr">
        <is>
          <t>SKÅNE LÄN</t>
        </is>
      </c>
      <c r="E144" t="inlineStr">
        <is>
          <t>HÄSSLEHOLM</t>
        </is>
      </c>
      <c r="G144" t="n">
        <v>0.2</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45911</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37334-2021</t>
        </is>
      </c>
      <c r="B146" s="1" t="n">
        <v>44397.57800925926</v>
      </c>
      <c r="C146" s="1" t="n">
        <v>45911</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20659-2021</t>
        </is>
      </c>
      <c r="B147" s="1" t="n">
        <v>44316</v>
      </c>
      <c r="C147" s="1" t="n">
        <v>45911</v>
      </c>
      <c r="D147" t="inlineStr">
        <is>
          <t>SKÅNE LÄN</t>
        </is>
      </c>
      <c r="E147" t="inlineStr">
        <is>
          <t>HÄSSLEHOLM</t>
        </is>
      </c>
      <c r="G147" t="n">
        <v>2.8</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45911</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34027-2021</t>
        </is>
      </c>
      <c r="B149" s="1" t="n">
        <v>44379</v>
      </c>
      <c r="C149" s="1" t="n">
        <v>45911</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45911</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45911</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45911</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34679-2021</t>
        </is>
      </c>
      <c r="B153" s="1" t="n">
        <v>44382</v>
      </c>
      <c r="C153" s="1" t="n">
        <v>45911</v>
      </c>
      <c r="D153" t="inlineStr">
        <is>
          <t>SKÅNE LÄN</t>
        </is>
      </c>
      <c r="E153" t="inlineStr">
        <is>
          <t>HÄSSLEHOLM</t>
        </is>
      </c>
      <c r="F153" t="inlineStr">
        <is>
          <t>Övriga Aktiebolag</t>
        </is>
      </c>
      <c r="G153" t="n">
        <v>1</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45911</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4161-2022</t>
        </is>
      </c>
      <c r="B155" s="1" t="n">
        <v>44588</v>
      </c>
      <c r="C155" s="1" t="n">
        <v>45911</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40702-2021</t>
        </is>
      </c>
      <c r="B156" s="1" t="n">
        <v>44420.61719907408</v>
      </c>
      <c r="C156" s="1" t="n">
        <v>45911</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21029-2021</t>
        </is>
      </c>
      <c r="B157" s="1" t="n">
        <v>44319.63366898148</v>
      </c>
      <c r="C157" s="1" t="n">
        <v>45911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64607-2021</t>
        </is>
      </c>
      <c r="B158" s="1" t="n">
        <v>44511</v>
      </c>
      <c r="C158" s="1" t="n">
        <v>45911</v>
      </c>
      <c r="D158" t="inlineStr">
        <is>
          <t>SKÅNE LÄN</t>
        </is>
      </c>
      <c r="E158" t="inlineStr">
        <is>
          <t>HÄSSLEHOLM</t>
        </is>
      </c>
      <c r="G158" t="n">
        <v>1.5</v>
      </c>
      <c r="H158" t="n">
        <v>0</v>
      </c>
      <c r="I158" t="n">
        <v>0</v>
      </c>
      <c r="J158" t="n">
        <v>0</v>
      </c>
      <c r="K158" t="n">
        <v>0</v>
      </c>
      <c r="L158" t="n">
        <v>0</v>
      </c>
      <c r="M158" t="n">
        <v>0</v>
      </c>
      <c r="N158" t="n">
        <v>0</v>
      </c>
      <c r="O158" t="n">
        <v>0</v>
      </c>
      <c r="P158" t="n">
        <v>0</v>
      </c>
      <c r="Q158" t="n">
        <v>0</v>
      </c>
      <c r="R158" s="2" t="inlineStr"/>
    </row>
    <row r="159" ht="15" customHeight="1">
      <c r="A159" t="inlineStr">
        <is>
          <t>A 1535-2022</t>
        </is>
      </c>
      <c r="B159" s="1" t="n">
        <v>44573</v>
      </c>
      <c r="C159" s="1" t="n">
        <v>45911</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13982-2021</t>
        </is>
      </c>
      <c r="B160" s="1" t="n">
        <v>44277.57800925926</v>
      </c>
      <c r="C160" s="1" t="n">
        <v>45911</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45911</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18523-2021</t>
        </is>
      </c>
      <c r="B162" s="1" t="n">
        <v>44305</v>
      </c>
      <c r="C162" s="1" t="n">
        <v>45911</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12617-2021</t>
        </is>
      </c>
      <c r="B163" s="1" t="n">
        <v>44270.45030092593</v>
      </c>
      <c r="C163" s="1" t="n">
        <v>45911</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2631-2022</t>
        </is>
      </c>
      <c r="B164" s="1" t="n">
        <v>44580</v>
      </c>
      <c r="C164" s="1" t="n">
        <v>45911</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66474-2020</t>
        </is>
      </c>
      <c r="B165" s="1" t="n">
        <v>44177</v>
      </c>
      <c r="C165" s="1" t="n">
        <v>45911</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45911</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45911</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56989-2021</t>
        </is>
      </c>
      <c r="B168" s="1" t="n">
        <v>44482</v>
      </c>
      <c r="C168" s="1" t="n">
        <v>45911</v>
      </c>
      <c r="D168" t="inlineStr">
        <is>
          <t>SKÅNE LÄN</t>
        </is>
      </c>
      <c r="E168" t="inlineStr">
        <is>
          <t>HÄSSLEHOLM</t>
        </is>
      </c>
      <c r="G168" t="n">
        <v>1.1</v>
      </c>
      <c r="H168" t="n">
        <v>0</v>
      </c>
      <c r="I168" t="n">
        <v>0</v>
      </c>
      <c r="J168" t="n">
        <v>0</v>
      </c>
      <c r="K168" t="n">
        <v>0</v>
      </c>
      <c r="L168" t="n">
        <v>0</v>
      </c>
      <c r="M168" t="n">
        <v>0</v>
      </c>
      <c r="N168" t="n">
        <v>0</v>
      </c>
      <c r="O168" t="n">
        <v>0</v>
      </c>
      <c r="P168" t="n">
        <v>0</v>
      </c>
      <c r="Q168" t="n">
        <v>0</v>
      </c>
      <c r="R168" s="2" t="inlineStr"/>
    </row>
    <row r="169" ht="15" customHeight="1">
      <c r="A169" t="inlineStr">
        <is>
          <t>A 51159-2021</t>
        </is>
      </c>
      <c r="B169" s="1" t="n">
        <v>44461</v>
      </c>
      <c r="C169" s="1" t="n">
        <v>45911</v>
      </c>
      <c r="D169" t="inlineStr">
        <is>
          <t>SKÅNE LÄN</t>
        </is>
      </c>
      <c r="E169" t="inlineStr">
        <is>
          <t>HÄSSLEHOLM</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25383-2021</t>
        </is>
      </c>
      <c r="B170" s="1" t="n">
        <v>44342</v>
      </c>
      <c r="C170" s="1" t="n">
        <v>45911</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27330-2021</t>
        </is>
      </c>
      <c r="B171" s="1" t="n">
        <v>44351</v>
      </c>
      <c r="C171" s="1" t="n">
        <v>45911</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45911</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60260-2021</t>
        </is>
      </c>
      <c r="B173" s="1" t="n">
        <v>44495</v>
      </c>
      <c r="C173" s="1" t="n">
        <v>45911</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55394-2022</t>
        </is>
      </c>
      <c r="B174" s="1" t="n">
        <v>44887.57112268519</v>
      </c>
      <c r="C174" s="1" t="n">
        <v>45911</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15986-2022</t>
        </is>
      </c>
      <c r="B175" s="1" t="n">
        <v>44664</v>
      </c>
      <c r="C175" s="1" t="n">
        <v>45911</v>
      </c>
      <c r="D175" t="inlineStr">
        <is>
          <t>SKÅNE LÄN</t>
        </is>
      </c>
      <c r="E175" t="inlineStr">
        <is>
          <t>HÄSSLEHOLM</t>
        </is>
      </c>
      <c r="F175" t="inlineStr">
        <is>
          <t>Kyrkan</t>
        </is>
      </c>
      <c r="G175" t="n">
        <v>6</v>
      </c>
      <c r="H175" t="n">
        <v>0</v>
      </c>
      <c r="I175" t="n">
        <v>0</v>
      </c>
      <c r="J175" t="n">
        <v>0</v>
      </c>
      <c r="K175" t="n">
        <v>0</v>
      </c>
      <c r="L175" t="n">
        <v>0</v>
      </c>
      <c r="M175" t="n">
        <v>0</v>
      </c>
      <c r="N175" t="n">
        <v>0</v>
      </c>
      <c r="O175" t="n">
        <v>0</v>
      </c>
      <c r="P175" t="n">
        <v>0</v>
      </c>
      <c r="Q175" t="n">
        <v>0</v>
      </c>
      <c r="R175" s="2" t="inlineStr"/>
    </row>
    <row r="176" ht="15" customHeight="1">
      <c r="A176" t="inlineStr">
        <is>
          <t>A 59302-2020</t>
        </is>
      </c>
      <c r="B176" s="1" t="n">
        <v>44147</v>
      </c>
      <c r="C176" s="1" t="n">
        <v>45911</v>
      </c>
      <c r="D176" t="inlineStr">
        <is>
          <t>SKÅNE LÄN</t>
        </is>
      </c>
      <c r="E176" t="inlineStr">
        <is>
          <t>HÄSSLEHOLM</t>
        </is>
      </c>
      <c r="G176" t="n">
        <v>11.2</v>
      </c>
      <c r="H176" t="n">
        <v>0</v>
      </c>
      <c r="I176" t="n">
        <v>0</v>
      </c>
      <c r="J176" t="n">
        <v>0</v>
      </c>
      <c r="K176" t="n">
        <v>0</v>
      </c>
      <c r="L176" t="n">
        <v>0</v>
      </c>
      <c r="M176" t="n">
        <v>0</v>
      </c>
      <c r="N176" t="n">
        <v>0</v>
      </c>
      <c r="O176" t="n">
        <v>0</v>
      </c>
      <c r="P176" t="n">
        <v>0</v>
      </c>
      <c r="Q176" t="n">
        <v>0</v>
      </c>
      <c r="R176" s="2" t="inlineStr"/>
    </row>
    <row r="177" ht="15" customHeight="1">
      <c r="A177" t="inlineStr">
        <is>
          <t>A 51888-2021</t>
        </is>
      </c>
      <c r="B177" s="1" t="n">
        <v>44462</v>
      </c>
      <c r="C177" s="1" t="n">
        <v>45911</v>
      </c>
      <c r="D177" t="inlineStr">
        <is>
          <t>SKÅNE LÄN</t>
        </is>
      </c>
      <c r="E177" t="inlineStr">
        <is>
          <t>HÄSSLEHOLM</t>
        </is>
      </c>
      <c r="G177" t="n">
        <v>5.6</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45911</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29143-2021</t>
        </is>
      </c>
      <c r="B179" s="1" t="n">
        <v>44358.6319212963</v>
      </c>
      <c r="C179" s="1" t="n">
        <v>45911</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66520-2020</t>
        </is>
      </c>
      <c r="B180" s="1" t="n">
        <v>44179</v>
      </c>
      <c r="C180" s="1" t="n">
        <v>45911</v>
      </c>
      <c r="D180" t="inlineStr">
        <is>
          <t>SKÅNE LÄN</t>
        </is>
      </c>
      <c r="E180" t="inlineStr">
        <is>
          <t>HÄSSLEHOLM</t>
        </is>
      </c>
      <c r="G180" t="n">
        <v>0.4</v>
      </c>
      <c r="H180" t="n">
        <v>0</v>
      </c>
      <c r="I180" t="n">
        <v>0</v>
      </c>
      <c r="J180" t="n">
        <v>0</v>
      </c>
      <c r="K180" t="n">
        <v>0</v>
      </c>
      <c r="L180" t="n">
        <v>0</v>
      </c>
      <c r="M180" t="n">
        <v>0</v>
      </c>
      <c r="N180" t="n">
        <v>0</v>
      </c>
      <c r="O180" t="n">
        <v>0</v>
      </c>
      <c r="P180" t="n">
        <v>0</v>
      </c>
      <c r="Q180" t="n">
        <v>0</v>
      </c>
      <c r="R180" s="2" t="inlineStr"/>
    </row>
    <row r="181" ht="15" customHeight="1">
      <c r="A181" t="inlineStr">
        <is>
          <t>A 45357-2022</t>
        </is>
      </c>
      <c r="B181" s="1" t="n">
        <v>44844.61952546296</v>
      </c>
      <c r="C181" s="1" t="n">
        <v>45911</v>
      </c>
      <c r="D181" t="inlineStr">
        <is>
          <t>SKÅNE LÄN</t>
        </is>
      </c>
      <c r="E181" t="inlineStr">
        <is>
          <t>HÄSSLEHOLM</t>
        </is>
      </c>
      <c r="G181" t="n">
        <v>5.8</v>
      </c>
      <c r="H181" t="n">
        <v>0</v>
      </c>
      <c r="I181" t="n">
        <v>0</v>
      </c>
      <c r="J181" t="n">
        <v>0</v>
      </c>
      <c r="K181" t="n">
        <v>0</v>
      </c>
      <c r="L181" t="n">
        <v>0</v>
      </c>
      <c r="M181" t="n">
        <v>0</v>
      </c>
      <c r="N181" t="n">
        <v>0</v>
      </c>
      <c r="O181" t="n">
        <v>0</v>
      </c>
      <c r="P181" t="n">
        <v>0</v>
      </c>
      <c r="Q181" t="n">
        <v>0</v>
      </c>
      <c r="R181" s="2" t="inlineStr"/>
    </row>
    <row r="182" ht="15" customHeight="1">
      <c r="A182" t="inlineStr">
        <is>
          <t>A 7262-2022</t>
        </is>
      </c>
      <c r="B182" s="1" t="n">
        <v>44606</v>
      </c>
      <c r="C182" s="1" t="n">
        <v>45911</v>
      </c>
      <c r="D182" t="inlineStr">
        <is>
          <t>SKÅNE LÄN</t>
        </is>
      </c>
      <c r="E182" t="inlineStr">
        <is>
          <t>HÄSSLEHOLM</t>
        </is>
      </c>
      <c r="F182" t="inlineStr">
        <is>
          <t>Övriga Aktiebolag</t>
        </is>
      </c>
      <c r="G182" t="n">
        <v>1</v>
      </c>
      <c r="H182" t="n">
        <v>0</v>
      </c>
      <c r="I182" t="n">
        <v>0</v>
      </c>
      <c r="J182" t="n">
        <v>0</v>
      </c>
      <c r="K182" t="n">
        <v>0</v>
      </c>
      <c r="L182" t="n">
        <v>0</v>
      </c>
      <c r="M182" t="n">
        <v>0</v>
      </c>
      <c r="N182" t="n">
        <v>0</v>
      </c>
      <c r="O182" t="n">
        <v>0</v>
      </c>
      <c r="P182" t="n">
        <v>0</v>
      </c>
      <c r="Q182" t="n">
        <v>0</v>
      </c>
      <c r="R182" s="2" t="inlineStr"/>
    </row>
    <row r="183" ht="15" customHeight="1">
      <c r="A183" t="inlineStr">
        <is>
          <t>A 45989-2021</t>
        </is>
      </c>
      <c r="B183" s="1" t="n">
        <v>44441.74627314815</v>
      </c>
      <c r="C183" s="1" t="n">
        <v>45911</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44669-2022</t>
        </is>
      </c>
      <c r="B184" s="1" t="n">
        <v>44840</v>
      </c>
      <c r="C184" s="1" t="n">
        <v>45911</v>
      </c>
      <c r="D184" t="inlineStr">
        <is>
          <t>SKÅNE LÄN</t>
        </is>
      </c>
      <c r="E184" t="inlineStr">
        <is>
          <t>HÄSSLEHOLM</t>
        </is>
      </c>
      <c r="G184" t="n">
        <v>1.2</v>
      </c>
      <c r="H184" t="n">
        <v>0</v>
      </c>
      <c r="I184" t="n">
        <v>0</v>
      </c>
      <c r="J184" t="n">
        <v>0</v>
      </c>
      <c r="K184" t="n">
        <v>0</v>
      </c>
      <c r="L184" t="n">
        <v>0</v>
      </c>
      <c r="M184" t="n">
        <v>0</v>
      </c>
      <c r="N184" t="n">
        <v>0</v>
      </c>
      <c r="O184" t="n">
        <v>0</v>
      </c>
      <c r="P184" t="n">
        <v>0</v>
      </c>
      <c r="Q184" t="n">
        <v>0</v>
      </c>
      <c r="R184" s="2" t="inlineStr"/>
    </row>
    <row r="185" ht="15" customHeight="1">
      <c r="A185" t="inlineStr">
        <is>
          <t>A 7248-2021</t>
        </is>
      </c>
      <c r="B185" s="1" t="n">
        <v>44236</v>
      </c>
      <c r="C185" s="1" t="n">
        <v>45911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26386-2022</t>
        </is>
      </c>
      <c r="B186" s="1" t="n">
        <v>44735.6803125</v>
      </c>
      <c r="C186" s="1" t="n">
        <v>45911</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354-2022</t>
        </is>
      </c>
      <c r="B187" s="1" t="n">
        <v>44565.62510416667</v>
      </c>
      <c r="C187" s="1" t="n">
        <v>45911</v>
      </c>
      <c r="D187" t="inlineStr">
        <is>
          <t>SKÅNE LÄN</t>
        </is>
      </c>
      <c r="E187" t="inlineStr">
        <is>
          <t>HÄSSLEHOLM</t>
        </is>
      </c>
      <c r="G187" t="n">
        <v>2.4</v>
      </c>
      <c r="H187" t="n">
        <v>0</v>
      </c>
      <c r="I187" t="n">
        <v>0</v>
      </c>
      <c r="J187" t="n">
        <v>0</v>
      </c>
      <c r="K187" t="n">
        <v>0</v>
      </c>
      <c r="L187" t="n">
        <v>0</v>
      </c>
      <c r="M187" t="n">
        <v>0</v>
      </c>
      <c r="N187" t="n">
        <v>0</v>
      </c>
      <c r="O187" t="n">
        <v>0</v>
      </c>
      <c r="P187" t="n">
        <v>0</v>
      </c>
      <c r="Q187" t="n">
        <v>0</v>
      </c>
      <c r="R187" s="2" t="inlineStr"/>
    </row>
    <row r="188" ht="15" customHeight="1">
      <c r="A188" t="inlineStr">
        <is>
          <t>A 25469-2022</t>
        </is>
      </c>
      <c r="B188" s="1" t="n">
        <v>44732</v>
      </c>
      <c r="C188" s="1" t="n">
        <v>45911</v>
      </c>
      <c r="D188" t="inlineStr">
        <is>
          <t>SKÅNE LÄN</t>
        </is>
      </c>
      <c r="E188" t="inlineStr">
        <is>
          <t>HÄSSLEHOLM</t>
        </is>
      </c>
      <c r="G188" t="n">
        <v>4.2</v>
      </c>
      <c r="H188" t="n">
        <v>0</v>
      </c>
      <c r="I188" t="n">
        <v>0</v>
      </c>
      <c r="J188" t="n">
        <v>0</v>
      </c>
      <c r="K188" t="n">
        <v>0</v>
      </c>
      <c r="L188" t="n">
        <v>0</v>
      </c>
      <c r="M188" t="n">
        <v>0</v>
      </c>
      <c r="N188" t="n">
        <v>0</v>
      </c>
      <c r="O188" t="n">
        <v>0</v>
      </c>
      <c r="P188" t="n">
        <v>0</v>
      </c>
      <c r="Q188" t="n">
        <v>0</v>
      </c>
      <c r="R188" s="2" t="inlineStr"/>
    </row>
    <row r="189" ht="15" customHeight="1">
      <c r="A189" t="inlineStr">
        <is>
          <t>A 32892-2021</t>
        </is>
      </c>
      <c r="B189" s="1" t="n">
        <v>44375</v>
      </c>
      <c r="C189" s="1" t="n">
        <v>45911</v>
      </c>
      <c r="D189" t="inlineStr">
        <is>
          <t>SKÅNE LÄN</t>
        </is>
      </c>
      <c r="E189" t="inlineStr">
        <is>
          <t>HÄSSLEHOLM</t>
        </is>
      </c>
      <c r="G189" t="n">
        <v>2.9</v>
      </c>
      <c r="H189" t="n">
        <v>0</v>
      </c>
      <c r="I189" t="n">
        <v>0</v>
      </c>
      <c r="J189" t="n">
        <v>0</v>
      </c>
      <c r="K189" t="n">
        <v>0</v>
      </c>
      <c r="L189" t="n">
        <v>0</v>
      </c>
      <c r="M189" t="n">
        <v>0</v>
      </c>
      <c r="N189" t="n">
        <v>0</v>
      </c>
      <c r="O189" t="n">
        <v>0</v>
      </c>
      <c r="P189" t="n">
        <v>0</v>
      </c>
      <c r="Q189" t="n">
        <v>0</v>
      </c>
      <c r="R189" s="2" t="inlineStr"/>
    </row>
    <row r="190" ht="15" customHeight="1">
      <c r="A190" t="inlineStr">
        <is>
          <t>A 73513-2021</t>
        </is>
      </c>
      <c r="B190" s="1" t="n">
        <v>44551.69012731482</v>
      </c>
      <c r="C190" s="1" t="n">
        <v>45911</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8695-2021</t>
        </is>
      </c>
      <c r="B191" s="1" t="n">
        <v>44246</v>
      </c>
      <c r="C191" s="1" t="n">
        <v>45911</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69198-2020</t>
        </is>
      </c>
      <c r="B192" s="1" t="n">
        <v>44191</v>
      </c>
      <c r="C192" s="1" t="n">
        <v>45911</v>
      </c>
      <c r="D192" t="inlineStr">
        <is>
          <t>SKÅNE LÄN</t>
        </is>
      </c>
      <c r="E192" t="inlineStr">
        <is>
          <t>HÄSSLEHOLM</t>
        </is>
      </c>
      <c r="G192" t="n">
        <v>6.6</v>
      </c>
      <c r="H192" t="n">
        <v>0</v>
      </c>
      <c r="I192" t="n">
        <v>0</v>
      </c>
      <c r="J192" t="n">
        <v>0</v>
      </c>
      <c r="K192" t="n">
        <v>0</v>
      </c>
      <c r="L192" t="n">
        <v>0</v>
      </c>
      <c r="M192" t="n">
        <v>0</v>
      </c>
      <c r="N192" t="n">
        <v>0</v>
      </c>
      <c r="O192" t="n">
        <v>0</v>
      </c>
      <c r="P192" t="n">
        <v>0</v>
      </c>
      <c r="Q192" t="n">
        <v>0</v>
      </c>
      <c r="R192" s="2" t="inlineStr"/>
    </row>
    <row r="193" ht="15" customHeight="1">
      <c r="A193" t="inlineStr">
        <is>
          <t>A 1461-2021</t>
        </is>
      </c>
      <c r="B193" s="1" t="n">
        <v>44208</v>
      </c>
      <c r="C193" s="1" t="n">
        <v>45911</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39102-2022</t>
        </is>
      </c>
      <c r="B194" s="1" t="n">
        <v>44817.43260416666</v>
      </c>
      <c r="C194" s="1" t="n">
        <v>45911</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48792-2020</t>
        </is>
      </c>
      <c r="B195" s="1" t="n">
        <v>44103</v>
      </c>
      <c r="C195" s="1" t="n">
        <v>45911</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2858-2022</t>
        </is>
      </c>
      <c r="B196" s="1" t="n">
        <v>44581</v>
      </c>
      <c r="C196" s="1" t="n">
        <v>45911</v>
      </c>
      <c r="D196" t="inlineStr">
        <is>
          <t>SKÅNE LÄN</t>
        </is>
      </c>
      <c r="E196" t="inlineStr">
        <is>
          <t>HÄSSLEHOLM</t>
        </is>
      </c>
      <c r="F196" t="inlineStr">
        <is>
          <t>Övriga Aktiebolag</t>
        </is>
      </c>
      <c r="G196" t="n">
        <v>1.3</v>
      </c>
      <c r="H196" t="n">
        <v>0</v>
      </c>
      <c r="I196" t="n">
        <v>0</v>
      </c>
      <c r="J196" t="n">
        <v>0</v>
      </c>
      <c r="K196" t="n">
        <v>0</v>
      </c>
      <c r="L196" t="n">
        <v>0</v>
      </c>
      <c r="M196" t="n">
        <v>0</v>
      </c>
      <c r="N196" t="n">
        <v>0</v>
      </c>
      <c r="O196" t="n">
        <v>0</v>
      </c>
      <c r="P196" t="n">
        <v>0</v>
      </c>
      <c r="Q196" t="n">
        <v>0</v>
      </c>
      <c r="R196" s="2" t="inlineStr"/>
    </row>
    <row r="197" ht="15" customHeight="1">
      <c r="A197" t="inlineStr">
        <is>
          <t>A 20510-2021</t>
        </is>
      </c>
      <c r="B197" s="1" t="n">
        <v>44315</v>
      </c>
      <c r="C197" s="1" t="n">
        <v>45911</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54362-2020</t>
        </is>
      </c>
      <c r="B198" s="1" t="n">
        <v>44126</v>
      </c>
      <c r="C198" s="1" t="n">
        <v>45911</v>
      </c>
      <c r="D198" t="inlineStr">
        <is>
          <t>SKÅNE LÄN</t>
        </is>
      </c>
      <c r="E198" t="inlineStr">
        <is>
          <t>HÄSSLEHOLM</t>
        </is>
      </c>
      <c r="G198" t="n">
        <v>4.5</v>
      </c>
      <c r="H198" t="n">
        <v>0</v>
      </c>
      <c r="I198" t="n">
        <v>0</v>
      </c>
      <c r="J198" t="n">
        <v>0</v>
      </c>
      <c r="K198" t="n">
        <v>0</v>
      </c>
      <c r="L198" t="n">
        <v>0</v>
      </c>
      <c r="M198" t="n">
        <v>0</v>
      </c>
      <c r="N198" t="n">
        <v>0</v>
      </c>
      <c r="O198" t="n">
        <v>0</v>
      </c>
      <c r="P198" t="n">
        <v>0</v>
      </c>
      <c r="Q198" t="n">
        <v>0</v>
      </c>
      <c r="R198" s="2" t="inlineStr"/>
    </row>
    <row r="199" ht="15" customHeight="1">
      <c r="A199" t="inlineStr">
        <is>
          <t>A 47112-2021</t>
        </is>
      </c>
      <c r="B199" s="1" t="n">
        <v>44446</v>
      </c>
      <c r="C199" s="1" t="n">
        <v>45911</v>
      </c>
      <c r="D199" t="inlineStr">
        <is>
          <t>SKÅNE LÄN</t>
        </is>
      </c>
      <c r="E199" t="inlineStr">
        <is>
          <t>HÄSSLEHOLM</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48397-2020</t>
        </is>
      </c>
      <c r="B200" s="1" t="n">
        <v>44097</v>
      </c>
      <c r="C200" s="1" t="n">
        <v>45911</v>
      </c>
      <c r="D200" t="inlineStr">
        <is>
          <t>SKÅNE LÄN</t>
        </is>
      </c>
      <c r="E200" t="inlineStr">
        <is>
          <t>HÄSSLEHOLM</t>
        </is>
      </c>
      <c r="G200" t="n">
        <v>8</v>
      </c>
      <c r="H200" t="n">
        <v>0</v>
      </c>
      <c r="I200" t="n">
        <v>0</v>
      </c>
      <c r="J200" t="n">
        <v>0</v>
      </c>
      <c r="K200" t="n">
        <v>0</v>
      </c>
      <c r="L200" t="n">
        <v>0</v>
      </c>
      <c r="M200" t="n">
        <v>0</v>
      </c>
      <c r="N200" t="n">
        <v>0</v>
      </c>
      <c r="O200" t="n">
        <v>0</v>
      </c>
      <c r="P200" t="n">
        <v>0</v>
      </c>
      <c r="Q200" t="n">
        <v>0</v>
      </c>
      <c r="R200" s="2" t="inlineStr"/>
    </row>
    <row r="201" ht="15" customHeight="1">
      <c r="A201" t="inlineStr">
        <is>
          <t>A 13811-2021</t>
        </is>
      </c>
      <c r="B201" s="1" t="n">
        <v>44276</v>
      </c>
      <c r="C201" s="1" t="n">
        <v>45911</v>
      </c>
      <c r="D201" t="inlineStr">
        <is>
          <t>SKÅNE LÄN</t>
        </is>
      </c>
      <c r="E201" t="inlineStr">
        <is>
          <t>HÄSSLEHOLM</t>
        </is>
      </c>
      <c r="G201" t="n">
        <v>8</v>
      </c>
      <c r="H201" t="n">
        <v>0</v>
      </c>
      <c r="I201" t="n">
        <v>0</v>
      </c>
      <c r="J201" t="n">
        <v>0</v>
      </c>
      <c r="K201" t="n">
        <v>0</v>
      </c>
      <c r="L201" t="n">
        <v>0</v>
      </c>
      <c r="M201" t="n">
        <v>0</v>
      </c>
      <c r="N201" t="n">
        <v>0</v>
      </c>
      <c r="O201" t="n">
        <v>0</v>
      </c>
      <c r="P201" t="n">
        <v>0</v>
      </c>
      <c r="Q201" t="n">
        <v>0</v>
      </c>
      <c r="R201" s="2" t="inlineStr"/>
    </row>
    <row r="202" ht="15" customHeight="1">
      <c r="A202" t="inlineStr">
        <is>
          <t>A 27959-2022</t>
        </is>
      </c>
      <c r="B202" s="1" t="n">
        <v>44744</v>
      </c>
      <c r="C202" s="1" t="n">
        <v>45911</v>
      </c>
      <c r="D202" t="inlineStr">
        <is>
          <t>SKÅNE LÄN</t>
        </is>
      </c>
      <c r="E202" t="inlineStr">
        <is>
          <t>HÄSSLEHOLM</t>
        </is>
      </c>
      <c r="G202" t="n">
        <v>3</v>
      </c>
      <c r="H202" t="n">
        <v>0</v>
      </c>
      <c r="I202" t="n">
        <v>0</v>
      </c>
      <c r="J202" t="n">
        <v>0</v>
      </c>
      <c r="K202" t="n">
        <v>0</v>
      </c>
      <c r="L202" t="n">
        <v>0</v>
      </c>
      <c r="M202" t="n">
        <v>0</v>
      </c>
      <c r="N202" t="n">
        <v>0</v>
      </c>
      <c r="O202" t="n">
        <v>0</v>
      </c>
      <c r="P202" t="n">
        <v>0</v>
      </c>
      <c r="Q202" t="n">
        <v>0</v>
      </c>
      <c r="R202" s="2" t="inlineStr"/>
    </row>
    <row r="203" ht="15" customHeight="1">
      <c r="A203" t="inlineStr">
        <is>
          <t>A 64826-2021</t>
        </is>
      </c>
      <c r="B203" s="1" t="n">
        <v>44512.55935185185</v>
      </c>
      <c r="C203" s="1" t="n">
        <v>45911</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50372-2020</t>
        </is>
      </c>
      <c r="B204" s="1" t="n">
        <v>44110</v>
      </c>
      <c r="C204" s="1" t="n">
        <v>45911</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6414-2022</t>
        </is>
      </c>
      <c r="B205" s="1" t="n">
        <v>44600</v>
      </c>
      <c r="C205" s="1" t="n">
        <v>45911</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46145-2020</t>
        </is>
      </c>
      <c r="B206" s="1" t="n">
        <v>44091</v>
      </c>
      <c r="C206" s="1" t="n">
        <v>45911</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54079-2020</t>
        </is>
      </c>
      <c r="B207" s="1" t="n">
        <v>44125.61570601852</v>
      </c>
      <c r="C207" s="1" t="n">
        <v>45911</v>
      </c>
      <c r="D207" t="inlineStr">
        <is>
          <t>SKÅNE LÄN</t>
        </is>
      </c>
      <c r="E207" t="inlineStr">
        <is>
          <t>HÄSSLEHOLM</t>
        </is>
      </c>
      <c r="G207" t="n">
        <v>0.3</v>
      </c>
      <c r="H207" t="n">
        <v>0</v>
      </c>
      <c r="I207" t="n">
        <v>0</v>
      </c>
      <c r="J207" t="n">
        <v>0</v>
      </c>
      <c r="K207" t="n">
        <v>0</v>
      </c>
      <c r="L207" t="n">
        <v>0</v>
      </c>
      <c r="M207" t="n">
        <v>0</v>
      </c>
      <c r="N207" t="n">
        <v>0</v>
      </c>
      <c r="O207" t="n">
        <v>0</v>
      </c>
      <c r="P207" t="n">
        <v>0</v>
      </c>
      <c r="Q207" t="n">
        <v>0</v>
      </c>
      <c r="R207" s="2" t="inlineStr"/>
    </row>
    <row r="208" ht="15" customHeight="1">
      <c r="A208" t="inlineStr">
        <is>
          <t>A 23967-2022</t>
        </is>
      </c>
      <c r="B208" s="1" t="n">
        <v>44722.74079861111</v>
      </c>
      <c r="C208" s="1" t="n">
        <v>45911</v>
      </c>
      <c r="D208" t="inlineStr">
        <is>
          <t>SKÅNE LÄN</t>
        </is>
      </c>
      <c r="E208" t="inlineStr">
        <is>
          <t>HÄSSLEHOLM</t>
        </is>
      </c>
      <c r="F208" t="inlineStr">
        <is>
          <t>Kyrkan</t>
        </is>
      </c>
      <c r="G208" t="n">
        <v>12.4</v>
      </c>
      <c r="H208" t="n">
        <v>0</v>
      </c>
      <c r="I208" t="n">
        <v>0</v>
      </c>
      <c r="J208" t="n">
        <v>0</v>
      </c>
      <c r="K208" t="n">
        <v>0</v>
      </c>
      <c r="L208" t="n">
        <v>0</v>
      </c>
      <c r="M208" t="n">
        <v>0</v>
      </c>
      <c r="N208" t="n">
        <v>0</v>
      </c>
      <c r="O208" t="n">
        <v>0</v>
      </c>
      <c r="P208" t="n">
        <v>0</v>
      </c>
      <c r="Q208" t="n">
        <v>0</v>
      </c>
      <c r="R208" s="2" t="inlineStr"/>
    </row>
    <row r="209" ht="15" customHeight="1">
      <c r="A209" t="inlineStr">
        <is>
          <t>A 60597-2020</t>
        </is>
      </c>
      <c r="B209" s="1" t="n">
        <v>44152</v>
      </c>
      <c r="C209" s="1" t="n">
        <v>45911</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56431-2021</t>
        </is>
      </c>
      <c r="B210" s="1" t="n">
        <v>44480</v>
      </c>
      <c r="C210" s="1" t="n">
        <v>45911</v>
      </c>
      <c r="D210" t="inlineStr">
        <is>
          <t>SKÅNE LÄN</t>
        </is>
      </c>
      <c r="E210" t="inlineStr">
        <is>
          <t>HÄSSLEHOLM</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62802-2020</t>
        </is>
      </c>
      <c r="B211" s="1" t="n">
        <v>44161</v>
      </c>
      <c r="C211" s="1" t="n">
        <v>45911</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69504-2020</t>
        </is>
      </c>
      <c r="B212" s="1" t="n">
        <v>44194</v>
      </c>
      <c r="C212" s="1" t="n">
        <v>45911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45814-2020</t>
        </is>
      </c>
      <c r="B213" s="1" t="n">
        <v>44090.8908912037</v>
      </c>
      <c r="C213" s="1" t="n">
        <v>45911</v>
      </c>
      <c r="D213" t="inlineStr">
        <is>
          <t>SKÅNE LÄN</t>
        </is>
      </c>
      <c r="E213" t="inlineStr">
        <is>
          <t>HÄSSLEHOLM</t>
        </is>
      </c>
      <c r="G213" t="n">
        <v>0.2</v>
      </c>
      <c r="H213" t="n">
        <v>0</v>
      </c>
      <c r="I213" t="n">
        <v>0</v>
      </c>
      <c r="J213" t="n">
        <v>0</v>
      </c>
      <c r="K213" t="n">
        <v>0</v>
      </c>
      <c r="L213" t="n">
        <v>0</v>
      </c>
      <c r="M213" t="n">
        <v>0</v>
      </c>
      <c r="N213" t="n">
        <v>0</v>
      </c>
      <c r="O213" t="n">
        <v>0</v>
      </c>
      <c r="P213" t="n">
        <v>0</v>
      </c>
      <c r="Q213" t="n">
        <v>0</v>
      </c>
      <c r="R213" s="2" t="inlineStr"/>
    </row>
    <row r="214" ht="15" customHeight="1">
      <c r="A214" t="inlineStr">
        <is>
          <t>A 45815-2020</t>
        </is>
      </c>
      <c r="B214" s="1" t="n">
        <v>44090.9071875</v>
      </c>
      <c r="C214" s="1" t="n">
        <v>45911</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57807-2020</t>
        </is>
      </c>
      <c r="B215" s="1" t="n">
        <v>44141</v>
      </c>
      <c r="C215" s="1" t="n">
        <v>45911</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52567-2021</t>
        </is>
      </c>
      <c r="B216" s="1" t="n">
        <v>44466</v>
      </c>
      <c r="C216" s="1" t="n">
        <v>45911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62782-2020</t>
        </is>
      </c>
      <c r="B217" s="1" t="n">
        <v>44161</v>
      </c>
      <c r="C217" s="1" t="n">
        <v>45911</v>
      </c>
      <c r="D217" t="inlineStr">
        <is>
          <t>SKÅNE LÄN</t>
        </is>
      </c>
      <c r="E217" t="inlineStr">
        <is>
          <t>HÄSSLEHOLM</t>
        </is>
      </c>
      <c r="F217" t="inlineStr">
        <is>
          <t>Kyrkan</t>
        </is>
      </c>
      <c r="G217" t="n">
        <v>1.6</v>
      </c>
      <c r="H217" t="n">
        <v>0</v>
      </c>
      <c r="I217" t="n">
        <v>0</v>
      </c>
      <c r="J217" t="n">
        <v>0</v>
      </c>
      <c r="K217" t="n">
        <v>0</v>
      </c>
      <c r="L217" t="n">
        <v>0</v>
      </c>
      <c r="M217" t="n">
        <v>0</v>
      </c>
      <c r="N217" t="n">
        <v>0</v>
      </c>
      <c r="O217" t="n">
        <v>0</v>
      </c>
      <c r="P217" t="n">
        <v>0</v>
      </c>
      <c r="Q217" t="n">
        <v>0</v>
      </c>
      <c r="R217" s="2" t="inlineStr"/>
    </row>
    <row r="218" ht="15" customHeight="1">
      <c r="A218" t="inlineStr">
        <is>
          <t>A 61216-2020</t>
        </is>
      </c>
      <c r="B218" s="1" t="n">
        <v>44155</v>
      </c>
      <c r="C218" s="1" t="n">
        <v>45911</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6967-2021</t>
        </is>
      </c>
      <c r="B219" s="1" t="n">
        <v>44237</v>
      </c>
      <c r="C219" s="1" t="n">
        <v>45911</v>
      </c>
      <c r="D219" t="inlineStr">
        <is>
          <t>SKÅNE LÄN</t>
        </is>
      </c>
      <c r="E219" t="inlineStr">
        <is>
          <t>HÄSSLEHOLM</t>
        </is>
      </c>
      <c r="G219" t="n">
        <v>0.7</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45911</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45911</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74297-2021</t>
        </is>
      </c>
      <c r="B222" s="1" t="n">
        <v>44558</v>
      </c>
      <c r="C222" s="1" t="n">
        <v>45911</v>
      </c>
      <c r="D222" t="inlineStr">
        <is>
          <t>SKÅNE LÄN</t>
        </is>
      </c>
      <c r="E222" t="inlineStr">
        <is>
          <t>HÄSSLEHOLM</t>
        </is>
      </c>
      <c r="F222" t="inlineStr">
        <is>
          <t>Kyrkan</t>
        </is>
      </c>
      <c r="G222" t="n">
        <v>3.8</v>
      </c>
      <c r="H222" t="n">
        <v>0</v>
      </c>
      <c r="I222" t="n">
        <v>0</v>
      </c>
      <c r="J222" t="n">
        <v>0</v>
      </c>
      <c r="K222" t="n">
        <v>0</v>
      </c>
      <c r="L222" t="n">
        <v>0</v>
      </c>
      <c r="M222" t="n">
        <v>0</v>
      </c>
      <c r="N222" t="n">
        <v>0</v>
      </c>
      <c r="O222" t="n">
        <v>0</v>
      </c>
      <c r="P222" t="n">
        <v>0</v>
      </c>
      <c r="Q222" t="n">
        <v>0</v>
      </c>
      <c r="R222" s="2" t="inlineStr"/>
    </row>
    <row r="223" ht="15" customHeight="1">
      <c r="A223" t="inlineStr">
        <is>
          <t>A 46479-2020</t>
        </is>
      </c>
      <c r="B223" s="1" t="n">
        <v>44095</v>
      </c>
      <c r="C223" s="1" t="n">
        <v>45911</v>
      </c>
      <c r="D223" t="inlineStr">
        <is>
          <t>SKÅNE LÄN</t>
        </is>
      </c>
      <c r="E223" t="inlineStr">
        <is>
          <t>HÄSSLEHOLM</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2514-2021</t>
        </is>
      </c>
      <c r="B224" s="1" t="n">
        <v>44214</v>
      </c>
      <c r="C224" s="1" t="n">
        <v>45911</v>
      </c>
      <c r="D224" t="inlineStr">
        <is>
          <t>SKÅNE LÄN</t>
        </is>
      </c>
      <c r="E224" t="inlineStr">
        <is>
          <t>HÄSSLEHOLM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418-2022</t>
        </is>
      </c>
      <c r="B225" s="1" t="n">
        <v>44565.84958333334</v>
      </c>
      <c r="C225" s="1" t="n">
        <v>45911</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69505-2020</t>
        </is>
      </c>
      <c r="B226" s="1" t="n">
        <v>44194</v>
      </c>
      <c r="C226" s="1" t="n">
        <v>45911</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6965-2021</t>
        </is>
      </c>
      <c r="B227" s="1" t="n">
        <v>44237</v>
      </c>
      <c r="C227" s="1" t="n">
        <v>45911</v>
      </c>
      <c r="D227" t="inlineStr">
        <is>
          <t>SKÅNE LÄN</t>
        </is>
      </c>
      <c r="E227" t="inlineStr">
        <is>
          <t>HÄSSLEHOLM</t>
        </is>
      </c>
      <c r="G227" t="n">
        <v>0.3</v>
      </c>
      <c r="H227" t="n">
        <v>0</v>
      </c>
      <c r="I227" t="n">
        <v>0</v>
      </c>
      <c r="J227" t="n">
        <v>0</v>
      </c>
      <c r="K227" t="n">
        <v>0</v>
      </c>
      <c r="L227" t="n">
        <v>0</v>
      </c>
      <c r="M227" t="n">
        <v>0</v>
      </c>
      <c r="N227" t="n">
        <v>0</v>
      </c>
      <c r="O227" t="n">
        <v>0</v>
      </c>
      <c r="P227" t="n">
        <v>0</v>
      </c>
      <c r="Q227" t="n">
        <v>0</v>
      </c>
      <c r="R227" s="2" t="inlineStr"/>
    </row>
    <row r="228" ht="15" customHeight="1">
      <c r="A228" t="inlineStr">
        <is>
          <t>A 52295-2021</t>
        </is>
      </c>
      <c r="B228" s="1" t="n">
        <v>44463</v>
      </c>
      <c r="C228" s="1" t="n">
        <v>45911</v>
      </c>
      <c r="D228" t="inlineStr">
        <is>
          <t>SKÅNE LÄN</t>
        </is>
      </c>
      <c r="E228" t="inlineStr">
        <is>
          <t>HÄSSLEHOLM</t>
        </is>
      </c>
      <c r="G228" t="n">
        <v>0.3</v>
      </c>
      <c r="H228" t="n">
        <v>0</v>
      </c>
      <c r="I228" t="n">
        <v>0</v>
      </c>
      <c r="J228" t="n">
        <v>0</v>
      </c>
      <c r="K228" t="n">
        <v>0</v>
      </c>
      <c r="L228" t="n">
        <v>0</v>
      </c>
      <c r="M228" t="n">
        <v>0</v>
      </c>
      <c r="N228" t="n">
        <v>0</v>
      </c>
      <c r="O228" t="n">
        <v>0</v>
      </c>
      <c r="P228" t="n">
        <v>0</v>
      </c>
      <c r="Q228" t="n">
        <v>0</v>
      </c>
      <c r="R228" s="2" t="inlineStr"/>
    </row>
    <row r="229" ht="15" customHeight="1">
      <c r="A229" t="inlineStr">
        <is>
          <t>A 6973-2021</t>
        </is>
      </c>
      <c r="B229" s="1" t="n">
        <v>44237</v>
      </c>
      <c r="C229" s="1" t="n">
        <v>45911</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68909-2021</t>
        </is>
      </c>
      <c r="B230" s="1" t="n">
        <v>44530.46730324074</v>
      </c>
      <c r="C230" s="1" t="n">
        <v>45911</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30344-2022</t>
        </is>
      </c>
      <c r="B231" s="1" t="n">
        <v>44760.50783564815</v>
      </c>
      <c r="C231" s="1" t="n">
        <v>45911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25788-2021</t>
        </is>
      </c>
      <c r="B232" s="1" t="n">
        <v>44343</v>
      </c>
      <c r="C232" s="1" t="n">
        <v>45911</v>
      </c>
      <c r="D232" t="inlineStr">
        <is>
          <t>SKÅNE LÄN</t>
        </is>
      </c>
      <c r="E232" t="inlineStr">
        <is>
          <t>HÄSSLEHOLM</t>
        </is>
      </c>
      <c r="G232" t="n">
        <v>4.8</v>
      </c>
      <c r="H232" t="n">
        <v>0</v>
      </c>
      <c r="I232" t="n">
        <v>0</v>
      </c>
      <c r="J232" t="n">
        <v>0</v>
      </c>
      <c r="K232" t="n">
        <v>0</v>
      </c>
      <c r="L232" t="n">
        <v>0</v>
      </c>
      <c r="M232" t="n">
        <v>0</v>
      </c>
      <c r="N232" t="n">
        <v>0</v>
      </c>
      <c r="O232" t="n">
        <v>0</v>
      </c>
      <c r="P232" t="n">
        <v>0</v>
      </c>
      <c r="Q232" t="n">
        <v>0</v>
      </c>
      <c r="R232" s="2" t="inlineStr"/>
    </row>
    <row r="233" ht="15" customHeight="1">
      <c r="A233" t="inlineStr">
        <is>
          <t>A 56527-2021</t>
        </is>
      </c>
      <c r="B233" s="1" t="n">
        <v>44480</v>
      </c>
      <c r="C233" s="1" t="n">
        <v>45911</v>
      </c>
      <c r="D233" t="inlineStr">
        <is>
          <t>SKÅNE LÄN</t>
        </is>
      </c>
      <c r="E233" t="inlineStr">
        <is>
          <t>HÄSSLEHOLM</t>
        </is>
      </c>
      <c r="F233" t="inlineStr">
        <is>
          <t>Kyrkan</t>
        </is>
      </c>
      <c r="G233" t="n">
        <v>2.7</v>
      </c>
      <c r="H233" t="n">
        <v>0</v>
      </c>
      <c r="I233" t="n">
        <v>0</v>
      </c>
      <c r="J233" t="n">
        <v>0</v>
      </c>
      <c r="K233" t="n">
        <v>0</v>
      </c>
      <c r="L233" t="n">
        <v>0</v>
      </c>
      <c r="M233" t="n">
        <v>0</v>
      </c>
      <c r="N233" t="n">
        <v>0</v>
      </c>
      <c r="O233" t="n">
        <v>0</v>
      </c>
      <c r="P233" t="n">
        <v>0</v>
      </c>
      <c r="Q233" t="n">
        <v>0</v>
      </c>
      <c r="R233" s="2" t="inlineStr"/>
    </row>
    <row r="234" ht="15" customHeight="1">
      <c r="A234" t="inlineStr">
        <is>
          <t>A 7904-2022</t>
        </is>
      </c>
      <c r="B234" s="1" t="n">
        <v>44607</v>
      </c>
      <c r="C234" s="1" t="n">
        <v>45911</v>
      </c>
      <c r="D234" t="inlineStr">
        <is>
          <t>SKÅNE LÄN</t>
        </is>
      </c>
      <c r="E234" t="inlineStr">
        <is>
          <t>HÄSSLEHOLM</t>
        </is>
      </c>
      <c r="F234" t="inlineStr">
        <is>
          <t>Kyrkan</t>
        </is>
      </c>
      <c r="G234" t="n">
        <v>3.9</v>
      </c>
      <c r="H234" t="n">
        <v>0</v>
      </c>
      <c r="I234" t="n">
        <v>0</v>
      </c>
      <c r="J234" t="n">
        <v>0</v>
      </c>
      <c r="K234" t="n">
        <v>0</v>
      </c>
      <c r="L234" t="n">
        <v>0</v>
      </c>
      <c r="M234" t="n">
        <v>0</v>
      </c>
      <c r="N234" t="n">
        <v>0</v>
      </c>
      <c r="O234" t="n">
        <v>0</v>
      </c>
      <c r="P234" t="n">
        <v>0</v>
      </c>
      <c r="Q234" t="n">
        <v>0</v>
      </c>
      <c r="R234" s="2" t="inlineStr"/>
    </row>
    <row r="235" ht="15" customHeight="1">
      <c r="A235" t="inlineStr">
        <is>
          <t>A 9453-2021</t>
        </is>
      </c>
      <c r="B235" s="1" t="n">
        <v>44251</v>
      </c>
      <c r="C235" s="1" t="n">
        <v>45911</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47121-2020</t>
        </is>
      </c>
      <c r="B236" s="1" t="n">
        <v>44096</v>
      </c>
      <c r="C236" s="1" t="n">
        <v>45911</v>
      </c>
      <c r="D236" t="inlineStr">
        <is>
          <t>SKÅNE LÄN</t>
        </is>
      </c>
      <c r="E236" t="inlineStr">
        <is>
          <t>HÄSSLEHOLM</t>
        </is>
      </c>
      <c r="G236" t="n">
        <v>3.6</v>
      </c>
      <c r="H236" t="n">
        <v>0</v>
      </c>
      <c r="I236" t="n">
        <v>0</v>
      </c>
      <c r="J236" t="n">
        <v>0</v>
      </c>
      <c r="K236" t="n">
        <v>0</v>
      </c>
      <c r="L236" t="n">
        <v>0</v>
      </c>
      <c r="M236" t="n">
        <v>0</v>
      </c>
      <c r="N236" t="n">
        <v>0</v>
      </c>
      <c r="O236" t="n">
        <v>0</v>
      </c>
      <c r="P236" t="n">
        <v>0</v>
      </c>
      <c r="Q236" t="n">
        <v>0</v>
      </c>
      <c r="R236" s="2" t="inlineStr"/>
    </row>
    <row r="237" ht="15" customHeight="1">
      <c r="A237" t="inlineStr">
        <is>
          <t>A 7250-2022</t>
        </is>
      </c>
      <c r="B237" s="1" t="n">
        <v>44606</v>
      </c>
      <c r="C237" s="1" t="n">
        <v>45911</v>
      </c>
      <c r="D237" t="inlineStr">
        <is>
          <t>SKÅNE LÄN</t>
        </is>
      </c>
      <c r="E237" t="inlineStr">
        <is>
          <t>HÄSSLEHOLM</t>
        </is>
      </c>
      <c r="F237" t="inlineStr">
        <is>
          <t>Övriga Aktiebolag</t>
        </is>
      </c>
      <c r="G237" t="n">
        <v>2.6</v>
      </c>
      <c r="H237" t="n">
        <v>0</v>
      </c>
      <c r="I237" t="n">
        <v>0</v>
      </c>
      <c r="J237" t="n">
        <v>0</v>
      </c>
      <c r="K237" t="n">
        <v>0</v>
      </c>
      <c r="L237" t="n">
        <v>0</v>
      </c>
      <c r="M237" t="n">
        <v>0</v>
      </c>
      <c r="N237" t="n">
        <v>0</v>
      </c>
      <c r="O237" t="n">
        <v>0</v>
      </c>
      <c r="P237" t="n">
        <v>0</v>
      </c>
      <c r="Q237" t="n">
        <v>0</v>
      </c>
      <c r="R237" s="2" t="inlineStr"/>
    </row>
    <row r="238" ht="15" customHeight="1">
      <c r="A238" t="inlineStr">
        <is>
          <t>A 3992-2022</t>
        </is>
      </c>
      <c r="B238" s="1" t="n">
        <v>44587</v>
      </c>
      <c r="C238" s="1" t="n">
        <v>45911</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25955-2022</t>
        </is>
      </c>
      <c r="B239" s="1" t="n">
        <v>44734</v>
      </c>
      <c r="C239" s="1" t="n">
        <v>45911</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51895-2021</t>
        </is>
      </c>
      <c r="B240" s="1" t="n">
        <v>44462</v>
      </c>
      <c r="C240" s="1" t="n">
        <v>45911</v>
      </c>
      <c r="D240" t="inlineStr">
        <is>
          <t>SKÅNE LÄN</t>
        </is>
      </c>
      <c r="E240" t="inlineStr">
        <is>
          <t>HÄSSLEHOLM</t>
        </is>
      </c>
      <c r="G240" t="n">
        <v>5.7</v>
      </c>
      <c r="H240" t="n">
        <v>0</v>
      </c>
      <c r="I240" t="n">
        <v>0</v>
      </c>
      <c r="J240" t="n">
        <v>0</v>
      </c>
      <c r="K240" t="n">
        <v>0</v>
      </c>
      <c r="L240" t="n">
        <v>0</v>
      </c>
      <c r="M240" t="n">
        <v>0</v>
      </c>
      <c r="N240" t="n">
        <v>0</v>
      </c>
      <c r="O240" t="n">
        <v>0</v>
      </c>
      <c r="P240" t="n">
        <v>0</v>
      </c>
      <c r="Q240" t="n">
        <v>0</v>
      </c>
      <c r="R240" s="2" t="inlineStr"/>
    </row>
    <row r="241" ht="15" customHeight="1">
      <c r="A241" t="inlineStr">
        <is>
          <t>A 20657-2022</t>
        </is>
      </c>
      <c r="B241" s="1" t="n">
        <v>44700</v>
      </c>
      <c r="C241" s="1" t="n">
        <v>45911</v>
      </c>
      <c r="D241" t="inlineStr">
        <is>
          <t>SKÅNE LÄN</t>
        </is>
      </c>
      <c r="E241" t="inlineStr">
        <is>
          <t>HÄSSLEHOLM</t>
        </is>
      </c>
      <c r="G241" t="n">
        <v>3.8</v>
      </c>
      <c r="H241" t="n">
        <v>0</v>
      </c>
      <c r="I241" t="n">
        <v>0</v>
      </c>
      <c r="J241" t="n">
        <v>0</v>
      </c>
      <c r="K241" t="n">
        <v>0</v>
      </c>
      <c r="L241" t="n">
        <v>0</v>
      </c>
      <c r="M241" t="n">
        <v>0</v>
      </c>
      <c r="N241" t="n">
        <v>0</v>
      </c>
      <c r="O241" t="n">
        <v>0</v>
      </c>
      <c r="P241" t="n">
        <v>0</v>
      </c>
      <c r="Q241" t="n">
        <v>0</v>
      </c>
      <c r="R241" s="2" t="inlineStr"/>
    </row>
    <row r="242" ht="15" customHeight="1">
      <c r="A242" t="inlineStr">
        <is>
          <t>A 219-2022</t>
        </is>
      </c>
      <c r="B242" s="1" t="n">
        <v>44564</v>
      </c>
      <c r="C242" s="1" t="n">
        <v>45911</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6048-2022</t>
        </is>
      </c>
      <c r="B243" s="1" t="n">
        <v>44599.5174537037</v>
      </c>
      <c r="C243" s="1" t="n">
        <v>45911</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55412-2022</t>
        </is>
      </c>
      <c r="B244" s="1" t="n">
        <v>44882</v>
      </c>
      <c r="C244" s="1" t="n">
        <v>45911</v>
      </c>
      <c r="D244" t="inlineStr">
        <is>
          <t>SKÅNE LÄN</t>
        </is>
      </c>
      <c r="E244" t="inlineStr">
        <is>
          <t>HÄSSLEHOLM</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53576-2022</t>
        </is>
      </c>
      <c r="B245" s="1" t="n">
        <v>44875</v>
      </c>
      <c r="C245" s="1" t="n">
        <v>45911</v>
      </c>
      <c r="D245" t="inlineStr">
        <is>
          <t>SKÅNE LÄN</t>
        </is>
      </c>
      <c r="E245" t="inlineStr">
        <is>
          <t>HÄSSLEHOLM</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6253-2022</t>
        </is>
      </c>
      <c r="B246" s="1" t="n">
        <v>44600</v>
      </c>
      <c r="C246" s="1" t="n">
        <v>45911</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62347-2020</t>
        </is>
      </c>
      <c r="B247" s="1" t="n">
        <v>44159</v>
      </c>
      <c r="C247" s="1" t="n">
        <v>45911</v>
      </c>
      <c r="D247" t="inlineStr">
        <is>
          <t>SKÅNE LÄN</t>
        </is>
      </c>
      <c r="E247" t="inlineStr">
        <is>
          <t>HÄSSLEHOLM</t>
        </is>
      </c>
      <c r="G247" t="n">
        <v>4</v>
      </c>
      <c r="H247" t="n">
        <v>0</v>
      </c>
      <c r="I247" t="n">
        <v>0</v>
      </c>
      <c r="J247" t="n">
        <v>0</v>
      </c>
      <c r="K247" t="n">
        <v>0</v>
      </c>
      <c r="L247" t="n">
        <v>0</v>
      </c>
      <c r="M247" t="n">
        <v>0</v>
      </c>
      <c r="N247" t="n">
        <v>0</v>
      </c>
      <c r="O247" t="n">
        <v>0</v>
      </c>
      <c r="P247" t="n">
        <v>0</v>
      </c>
      <c r="Q247" t="n">
        <v>0</v>
      </c>
      <c r="R247" s="2" t="inlineStr"/>
    </row>
    <row r="248" ht="15" customHeight="1">
      <c r="A248" t="inlineStr">
        <is>
          <t>A 57811-2020</t>
        </is>
      </c>
      <c r="B248" s="1" t="n">
        <v>44141</v>
      </c>
      <c r="C248" s="1" t="n">
        <v>45911</v>
      </c>
      <c r="D248" t="inlineStr">
        <is>
          <t>SKÅNE LÄN</t>
        </is>
      </c>
      <c r="E248" t="inlineStr">
        <is>
          <t>HÄSSLEHOLM</t>
        </is>
      </c>
      <c r="G248" t="n">
        <v>2</v>
      </c>
      <c r="H248" t="n">
        <v>0</v>
      </c>
      <c r="I248" t="n">
        <v>0</v>
      </c>
      <c r="J248" t="n">
        <v>0</v>
      </c>
      <c r="K248" t="n">
        <v>0</v>
      </c>
      <c r="L248" t="n">
        <v>0</v>
      </c>
      <c r="M248" t="n">
        <v>0</v>
      </c>
      <c r="N248" t="n">
        <v>0</v>
      </c>
      <c r="O248" t="n">
        <v>0</v>
      </c>
      <c r="P248" t="n">
        <v>0</v>
      </c>
      <c r="Q248" t="n">
        <v>0</v>
      </c>
      <c r="R248" s="2" t="inlineStr"/>
    </row>
    <row r="249" ht="15" customHeight="1">
      <c r="A249" t="inlineStr">
        <is>
          <t>A 58509-2020</t>
        </is>
      </c>
      <c r="B249" s="1" t="n">
        <v>44144</v>
      </c>
      <c r="C249" s="1" t="n">
        <v>45911</v>
      </c>
      <c r="D249" t="inlineStr">
        <is>
          <t>SKÅNE LÄN</t>
        </is>
      </c>
      <c r="E249" t="inlineStr">
        <is>
          <t>HÄSSLEHOLM</t>
        </is>
      </c>
      <c r="G249" t="n">
        <v>8.5</v>
      </c>
      <c r="H249" t="n">
        <v>0</v>
      </c>
      <c r="I249" t="n">
        <v>0</v>
      </c>
      <c r="J249" t="n">
        <v>0</v>
      </c>
      <c r="K249" t="n">
        <v>0</v>
      </c>
      <c r="L249" t="n">
        <v>0</v>
      </c>
      <c r="M249" t="n">
        <v>0</v>
      </c>
      <c r="N249" t="n">
        <v>0</v>
      </c>
      <c r="O249" t="n">
        <v>0</v>
      </c>
      <c r="P249" t="n">
        <v>0</v>
      </c>
      <c r="Q249" t="n">
        <v>0</v>
      </c>
      <c r="R249" s="2" t="inlineStr"/>
    </row>
    <row r="250" ht="15" customHeight="1">
      <c r="A250" t="inlineStr">
        <is>
          <t>A 3930-2021</t>
        </is>
      </c>
      <c r="B250" s="1" t="n">
        <v>44222</v>
      </c>
      <c r="C250" s="1" t="n">
        <v>45911</v>
      </c>
      <c r="D250" t="inlineStr">
        <is>
          <t>SKÅNE LÄN</t>
        </is>
      </c>
      <c r="E250" t="inlineStr">
        <is>
          <t>HÄSSLEHOLM</t>
        </is>
      </c>
      <c r="G250" t="n">
        <v>3.4</v>
      </c>
      <c r="H250" t="n">
        <v>0</v>
      </c>
      <c r="I250" t="n">
        <v>0</v>
      </c>
      <c r="J250" t="n">
        <v>0</v>
      </c>
      <c r="K250" t="n">
        <v>0</v>
      </c>
      <c r="L250" t="n">
        <v>0</v>
      </c>
      <c r="M250" t="n">
        <v>0</v>
      </c>
      <c r="N250" t="n">
        <v>0</v>
      </c>
      <c r="O250" t="n">
        <v>0</v>
      </c>
      <c r="P250" t="n">
        <v>0</v>
      </c>
      <c r="Q250" t="n">
        <v>0</v>
      </c>
      <c r="R250" s="2" t="inlineStr"/>
    </row>
    <row r="251" ht="15" customHeight="1">
      <c r="A251" t="inlineStr">
        <is>
          <t>A 59542-2020</t>
        </is>
      </c>
      <c r="B251" s="1" t="n">
        <v>44148</v>
      </c>
      <c r="C251" s="1" t="n">
        <v>45911</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23830-2021</t>
        </is>
      </c>
      <c r="B252" s="1" t="n">
        <v>44335</v>
      </c>
      <c r="C252" s="1" t="n">
        <v>45911</v>
      </c>
      <c r="D252" t="inlineStr">
        <is>
          <t>SKÅNE LÄN</t>
        </is>
      </c>
      <c r="E252" t="inlineStr">
        <is>
          <t>HÄSSLEHOLM</t>
        </is>
      </c>
      <c r="G252" t="n">
        <v>18.7</v>
      </c>
      <c r="H252" t="n">
        <v>0</v>
      </c>
      <c r="I252" t="n">
        <v>0</v>
      </c>
      <c r="J252" t="n">
        <v>0</v>
      </c>
      <c r="K252" t="n">
        <v>0</v>
      </c>
      <c r="L252" t="n">
        <v>0</v>
      </c>
      <c r="M252" t="n">
        <v>0</v>
      </c>
      <c r="N252" t="n">
        <v>0</v>
      </c>
      <c r="O252" t="n">
        <v>0</v>
      </c>
      <c r="P252" t="n">
        <v>0</v>
      </c>
      <c r="Q252" t="n">
        <v>0</v>
      </c>
      <c r="R252" s="2" t="inlineStr"/>
    </row>
    <row r="253" ht="15" customHeight="1">
      <c r="A253" t="inlineStr">
        <is>
          <t>A 7306-2025</t>
        </is>
      </c>
      <c r="B253" s="1" t="n">
        <v>45702</v>
      </c>
      <c r="C253" s="1" t="n">
        <v>45911</v>
      </c>
      <c r="D253" t="inlineStr">
        <is>
          <t>SKÅNE LÄN</t>
        </is>
      </c>
      <c r="E253" t="inlineStr">
        <is>
          <t>HÄSSLEHOLM</t>
        </is>
      </c>
      <c r="F253" t="inlineStr">
        <is>
          <t>Övriga Aktiebolag</t>
        </is>
      </c>
      <c r="G253" t="n">
        <v>3.3</v>
      </c>
      <c r="H253" t="n">
        <v>0</v>
      </c>
      <c r="I253" t="n">
        <v>0</v>
      </c>
      <c r="J253" t="n">
        <v>0</v>
      </c>
      <c r="K253" t="n">
        <v>0</v>
      </c>
      <c r="L253" t="n">
        <v>0</v>
      </c>
      <c r="M253" t="n">
        <v>0</v>
      </c>
      <c r="N253" t="n">
        <v>0</v>
      </c>
      <c r="O253" t="n">
        <v>0</v>
      </c>
      <c r="P253" t="n">
        <v>0</v>
      </c>
      <c r="Q253" t="n">
        <v>0</v>
      </c>
      <c r="R253" s="2" t="inlineStr"/>
    </row>
    <row r="254" ht="15" customHeight="1">
      <c r="A254" t="inlineStr">
        <is>
          <t>A 7308-2025</t>
        </is>
      </c>
      <c r="B254" s="1" t="n">
        <v>45702</v>
      </c>
      <c r="C254" s="1" t="n">
        <v>45911</v>
      </c>
      <c r="D254" t="inlineStr">
        <is>
          <t>SKÅNE LÄN</t>
        </is>
      </c>
      <c r="E254" t="inlineStr">
        <is>
          <t>HÄSSLEHOLM</t>
        </is>
      </c>
      <c r="F254" t="inlineStr">
        <is>
          <t>Övriga Aktiebolag</t>
        </is>
      </c>
      <c r="G254" t="n">
        <v>4.8</v>
      </c>
      <c r="H254" t="n">
        <v>0</v>
      </c>
      <c r="I254" t="n">
        <v>0</v>
      </c>
      <c r="J254" t="n">
        <v>0</v>
      </c>
      <c r="K254" t="n">
        <v>0</v>
      </c>
      <c r="L254" t="n">
        <v>0</v>
      </c>
      <c r="M254" t="n">
        <v>0</v>
      </c>
      <c r="N254" t="n">
        <v>0</v>
      </c>
      <c r="O254" t="n">
        <v>0</v>
      </c>
      <c r="P254" t="n">
        <v>0</v>
      </c>
      <c r="Q254" t="n">
        <v>0</v>
      </c>
      <c r="R254" s="2" t="inlineStr"/>
    </row>
    <row r="255" ht="15" customHeight="1">
      <c r="A255" t="inlineStr">
        <is>
          <t>A 7729-2021</t>
        </is>
      </c>
      <c r="B255" s="1" t="n">
        <v>44242</v>
      </c>
      <c r="C255" s="1" t="n">
        <v>45911</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197-2021</t>
        </is>
      </c>
      <c r="B256" s="1" t="n">
        <v>44200</v>
      </c>
      <c r="C256" s="1" t="n">
        <v>45911</v>
      </c>
      <c r="D256" t="inlineStr">
        <is>
          <t>SKÅNE LÄN</t>
        </is>
      </c>
      <c r="E256" t="inlineStr">
        <is>
          <t>HÄSSLEHOLM</t>
        </is>
      </c>
      <c r="G256" t="n">
        <v>12.9</v>
      </c>
      <c r="H256" t="n">
        <v>0</v>
      </c>
      <c r="I256" t="n">
        <v>0</v>
      </c>
      <c r="J256" t="n">
        <v>0</v>
      </c>
      <c r="K256" t="n">
        <v>0</v>
      </c>
      <c r="L256" t="n">
        <v>0</v>
      </c>
      <c r="M256" t="n">
        <v>0</v>
      </c>
      <c r="N256" t="n">
        <v>0</v>
      </c>
      <c r="O256" t="n">
        <v>0</v>
      </c>
      <c r="P256" t="n">
        <v>0</v>
      </c>
      <c r="Q256" t="n">
        <v>0</v>
      </c>
      <c r="R256" s="2" t="inlineStr"/>
    </row>
    <row r="257" ht="15" customHeight="1">
      <c r="A257" t="inlineStr">
        <is>
          <t>A 26642-2023</t>
        </is>
      </c>
      <c r="B257" s="1" t="n">
        <v>45092.8975</v>
      </c>
      <c r="C257" s="1" t="n">
        <v>45911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11616-2021</t>
        </is>
      </c>
      <c r="B258" s="1" t="n">
        <v>44264.63064814815</v>
      </c>
      <c r="C258" s="1" t="n">
        <v>45911</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27177-2024</t>
        </is>
      </c>
      <c r="B259" s="1" t="n">
        <v>45471.57201388889</v>
      </c>
      <c r="C259" s="1" t="n">
        <v>45911</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42428-2022</t>
        </is>
      </c>
      <c r="B260" s="1" t="n">
        <v>44831</v>
      </c>
      <c r="C260" s="1" t="n">
        <v>45911</v>
      </c>
      <c r="D260" t="inlineStr">
        <is>
          <t>SKÅNE LÄN</t>
        </is>
      </c>
      <c r="E260" t="inlineStr">
        <is>
          <t>HÄSSLEHOLM</t>
        </is>
      </c>
      <c r="G260" t="n">
        <v>2.8</v>
      </c>
      <c r="H260" t="n">
        <v>0</v>
      </c>
      <c r="I260" t="n">
        <v>0</v>
      </c>
      <c r="J260" t="n">
        <v>0</v>
      </c>
      <c r="K260" t="n">
        <v>0</v>
      </c>
      <c r="L260" t="n">
        <v>0</v>
      </c>
      <c r="M260" t="n">
        <v>0</v>
      </c>
      <c r="N260" t="n">
        <v>0</v>
      </c>
      <c r="O260" t="n">
        <v>0</v>
      </c>
      <c r="P260" t="n">
        <v>0</v>
      </c>
      <c r="Q260" t="n">
        <v>0</v>
      </c>
      <c r="R260" s="2" t="inlineStr"/>
    </row>
    <row r="261" ht="15" customHeight="1">
      <c r="A261" t="inlineStr">
        <is>
          <t>A 22595-2024</t>
        </is>
      </c>
      <c r="B261" s="1" t="n">
        <v>45447.61053240741</v>
      </c>
      <c r="C261" s="1" t="n">
        <v>45911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23003-2021</t>
        </is>
      </c>
      <c r="B262" s="1" t="n">
        <v>44328</v>
      </c>
      <c r="C262" s="1" t="n">
        <v>45911</v>
      </c>
      <c r="D262" t="inlineStr">
        <is>
          <t>SKÅNE LÄN</t>
        </is>
      </c>
      <c r="E262" t="inlineStr">
        <is>
          <t>HÄSSLEHOLM</t>
        </is>
      </c>
      <c r="G262" t="n">
        <v>4.4</v>
      </c>
      <c r="H262" t="n">
        <v>0</v>
      </c>
      <c r="I262" t="n">
        <v>0</v>
      </c>
      <c r="J262" t="n">
        <v>0</v>
      </c>
      <c r="K262" t="n">
        <v>0</v>
      </c>
      <c r="L262" t="n">
        <v>0</v>
      </c>
      <c r="M262" t="n">
        <v>0</v>
      </c>
      <c r="N262" t="n">
        <v>0</v>
      </c>
      <c r="O262" t="n">
        <v>0</v>
      </c>
      <c r="P262" t="n">
        <v>0</v>
      </c>
      <c r="Q262" t="n">
        <v>0</v>
      </c>
      <c r="R262" s="2" t="inlineStr"/>
    </row>
    <row r="263" ht="15" customHeight="1">
      <c r="A263" t="inlineStr">
        <is>
          <t>A 5016-2024</t>
        </is>
      </c>
      <c r="B263" s="1" t="n">
        <v>45329</v>
      </c>
      <c r="C263" s="1" t="n">
        <v>45911</v>
      </c>
      <c r="D263" t="inlineStr">
        <is>
          <t>SKÅNE LÄN</t>
        </is>
      </c>
      <c r="E263" t="inlineStr">
        <is>
          <t>HÄSSLEHOLM</t>
        </is>
      </c>
      <c r="G263" t="n">
        <v>3.2</v>
      </c>
      <c r="H263" t="n">
        <v>0</v>
      </c>
      <c r="I263" t="n">
        <v>0</v>
      </c>
      <c r="J263" t="n">
        <v>0</v>
      </c>
      <c r="K263" t="n">
        <v>0</v>
      </c>
      <c r="L263" t="n">
        <v>0</v>
      </c>
      <c r="M263" t="n">
        <v>0</v>
      </c>
      <c r="N263" t="n">
        <v>0</v>
      </c>
      <c r="O263" t="n">
        <v>0</v>
      </c>
      <c r="P263" t="n">
        <v>0</v>
      </c>
      <c r="Q263" t="n">
        <v>0</v>
      </c>
      <c r="R263" s="2" t="inlineStr"/>
    </row>
    <row r="264" ht="15" customHeight="1">
      <c r="A264" t="inlineStr">
        <is>
          <t>A 38148-2022</t>
        </is>
      </c>
      <c r="B264" s="1" t="n">
        <v>44811</v>
      </c>
      <c r="C264" s="1" t="n">
        <v>45911</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5091-2022</t>
        </is>
      </c>
      <c r="B265" s="1" t="n">
        <v>44593.85114583333</v>
      </c>
      <c r="C265" s="1" t="n">
        <v>45911</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11715-2023</t>
        </is>
      </c>
      <c r="B266" s="1" t="n">
        <v>44992</v>
      </c>
      <c r="C266" s="1" t="n">
        <v>45911</v>
      </c>
      <c r="D266" t="inlineStr">
        <is>
          <t>SKÅNE LÄN</t>
        </is>
      </c>
      <c r="E266" t="inlineStr">
        <is>
          <t>HÄSSLEHOLM</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25606-2024</t>
        </is>
      </c>
      <c r="B267" s="1" t="n">
        <v>45463.63179398148</v>
      </c>
      <c r="C267" s="1" t="n">
        <v>45911</v>
      </c>
      <c r="D267" t="inlineStr">
        <is>
          <t>SKÅNE LÄN</t>
        </is>
      </c>
      <c r="E267" t="inlineStr">
        <is>
          <t>HÄSSLEHOLM</t>
        </is>
      </c>
      <c r="G267" t="n">
        <v>1.5</v>
      </c>
      <c r="H267" t="n">
        <v>0</v>
      </c>
      <c r="I267" t="n">
        <v>0</v>
      </c>
      <c r="J267" t="n">
        <v>0</v>
      </c>
      <c r="K267" t="n">
        <v>0</v>
      </c>
      <c r="L267" t="n">
        <v>0</v>
      </c>
      <c r="M267" t="n">
        <v>0</v>
      </c>
      <c r="N267" t="n">
        <v>0</v>
      </c>
      <c r="O267" t="n">
        <v>0</v>
      </c>
      <c r="P267" t="n">
        <v>0</v>
      </c>
      <c r="Q267" t="n">
        <v>0</v>
      </c>
      <c r="R267" s="2" t="inlineStr"/>
    </row>
    <row r="268" ht="15" customHeight="1">
      <c r="A268" t="inlineStr">
        <is>
          <t>A 61186-2022</t>
        </is>
      </c>
      <c r="B268" s="1" t="n">
        <v>44915.50745370371</v>
      </c>
      <c r="C268" s="1" t="n">
        <v>45911</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4512-2024</t>
        </is>
      </c>
      <c r="B269" s="1" t="n">
        <v>45327.6312962963</v>
      </c>
      <c r="C269" s="1" t="n">
        <v>45911</v>
      </c>
      <c r="D269" t="inlineStr">
        <is>
          <t>SKÅNE LÄN</t>
        </is>
      </c>
      <c r="E269" t="inlineStr">
        <is>
          <t>HÄSSLEHOLM</t>
        </is>
      </c>
      <c r="G269" t="n">
        <v>2</v>
      </c>
      <c r="H269" t="n">
        <v>0</v>
      </c>
      <c r="I269" t="n">
        <v>0</v>
      </c>
      <c r="J269" t="n">
        <v>0</v>
      </c>
      <c r="K269" t="n">
        <v>0</v>
      </c>
      <c r="L269" t="n">
        <v>0</v>
      </c>
      <c r="M269" t="n">
        <v>0</v>
      </c>
      <c r="N269" t="n">
        <v>0</v>
      </c>
      <c r="O269" t="n">
        <v>0</v>
      </c>
      <c r="P269" t="n">
        <v>0</v>
      </c>
      <c r="Q269" t="n">
        <v>0</v>
      </c>
      <c r="R269" s="2" t="inlineStr"/>
    </row>
    <row r="270" ht="15" customHeight="1">
      <c r="A270" t="inlineStr">
        <is>
          <t>A 13018-2024</t>
        </is>
      </c>
      <c r="B270" s="1" t="n">
        <v>45385.58274305556</v>
      </c>
      <c r="C270" s="1" t="n">
        <v>45911</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1538-2024</t>
        </is>
      </c>
      <c r="B271" s="1" t="n">
        <v>45306</v>
      </c>
      <c r="C271" s="1" t="n">
        <v>45911</v>
      </c>
      <c r="D271" t="inlineStr">
        <is>
          <t>SKÅNE LÄN</t>
        </is>
      </c>
      <c r="E271" t="inlineStr">
        <is>
          <t>HÄSSLEHOLM</t>
        </is>
      </c>
      <c r="G271" t="n">
        <v>4.8</v>
      </c>
      <c r="H271" t="n">
        <v>0</v>
      </c>
      <c r="I271" t="n">
        <v>0</v>
      </c>
      <c r="J271" t="n">
        <v>0</v>
      </c>
      <c r="K271" t="n">
        <v>0</v>
      </c>
      <c r="L271" t="n">
        <v>0</v>
      </c>
      <c r="M271" t="n">
        <v>0</v>
      </c>
      <c r="N271" t="n">
        <v>0</v>
      </c>
      <c r="O271" t="n">
        <v>0</v>
      </c>
      <c r="P271" t="n">
        <v>0</v>
      </c>
      <c r="Q271" t="n">
        <v>0</v>
      </c>
      <c r="R271" s="2" t="inlineStr"/>
    </row>
    <row r="272" ht="15" customHeight="1">
      <c r="A272" t="inlineStr">
        <is>
          <t>A 4916-2024</t>
        </is>
      </c>
      <c r="B272" s="1" t="n">
        <v>45329</v>
      </c>
      <c r="C272" s="1" t="n">
        <v>45911</v>
      </c>
      <c r="D272" t="inlineStr">
        <is>
          <t>SKÅNE LÄN</t>
        </is>
      </c>
      <c r="E272" t="inlineStr">
        <is>
          <t>HÄSSLEHOLM</t>
        </is>
      </c>
      <c r="G272" t="n">
        <v>1.3</v>
      </c>
      <c r="H272" t="n">
        <v>0</v>
      </c>
      <c r="I272" t="n">
        <v>0</v>
      </c>
      <c r="J272" t="n">
        <v>0</v>
      </c>
      <c r="K272" t="n">
        <v>0</v>
      </c>
      <c r="L272" t="n">
        <v>0</v>
      </c>
      <c r="M272" t="n">
        <v>0</v>
      </c>
      <c r="N272" t="n">
        <v>0</v>
      </c>
      <c r="O272" t="n">
        <v>0</v>
      </c>
      <c r="P272" t="n">
        <v>0</v>
      </c>
      <c r="Q272" t="n">
        <v>0</v>
      </c>
      <c r="R272" s="2" t="inlineStr"/>
    </row>
    <row r="273" ht="15" customHeight="1">
      <c r="A273" t="inlineStr">
        <is>
          <t>A 34342-2021</t>
        </is>
      </c>
      <c r="B273" s="1" t="n">
        <v>44379</v>
      </c>
      <c r="C273" s="1" t="n">
        <v>45911</v>
      </c>
      <c r="D273" t="inlineStr">
        <is>
          <t>SKÅNE LÄN</t>
        </is>
      </c>
      <c r="E273" t="inlineStr">
        <is>
          <t>HÄSSLEHOLM</t>
        </is>
      </c>
      <c r="G273" t="n">
        <v>7</v>
      </c>
      <c r="H273" t="n">
        <v>0</v>
      </c>
      <c r="I273" t="n">
        <v>0</v>
      </c>
      <c r="J273" t="n">
        <v>0</v>
      </c>
      <c r="K273" t="n">
        <v>0</v>
      </c>
      <c r="L273" t="n">
        <v>0</v>
      </c>
      <c r="M273" t="n">
        <v>0</v>
      </c>
      <c r="N273" t="n">
        <v>0</v>
      </c>
      <c r="O273" t="n">
        <v>0</v>
      </c>
      <c r="P273" t="n">
        <v>0</v>
      </c>
      <c r="Q273" t="n">
        <v>0</v>
      </c>
      <c r="R273" s="2" t="inlineStr"/>
    </row>
    <row r="274" ht="15" customHeight="1">
      <c r="A274" t="inlineStr">
        <is>
          <t>A 25533-2024</t>
        </is>
      </c>
      <c r="B274" s="1" t="n">
        <v>45463</v>
      </c>
      <c r="C274" s="1" t="n">
        <v>45911</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10230-2025</t>
        </is>
      </c>
      <c r="B275" s="1" t="n">
        <v>45720</v>
      </c>
      <c r="C275" s="1" t="n">
        <v>45911</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30109-2025</t>
        </is>
      </c>
      <c r="B276" s="1" t="n">
        <v>45826</v>
      </c>
      <c r="C276" s="1" t="n">
        <v>45911</v>
      </c>
      <c r="D276" t="inlineStr">
        <is>
          <t>SKÅNE LÄN</t>
        </is>
      </c>
      <c r="E276" t="inlineStr">
        <is>
          <t>HÄSSLEHOLM</t>
        </is>
      </c>
      <c r="G276" t="n">
        <v>2.4</v>
      </c>
      <c r="H276" t="n">
        <v>0</v>
      </c>
      <c r="I276" t="n">
        <v>0</v>
      </c>
      <c r="J276" t="n">
        <v>0</v>
      </c>
      <c r="K276" t="n">
        <v>0</v>
      </c>
      <c r="L276" t="n">
        <v>0</v>
      </c>
      <c r="M276" t="n">
        <v>0</v>
      </c>
      <c r="N276" t="n">
        <v>0</v>
      </c>
      <c r="O276" t="n">
        <v>0</v>
      </c>
      <c r="P276" t="n">
        <v>0</v>
      </c>
      <c r="Q276" t="n">
        <v>0</v>
      </c>
      <c r="R276" s="2" t="inlineStr"/>
    </row>
    <row r="277" ht="15" customHeight="1">
      <c r="A277" t="inlineStr">
        <is>
          <t>A 28236-2022</t>
        </is>
      </c>
      <c r="B277" s="1" t="n">
        <v>44746</v>
      </c>
      <c r="C277" s="1" t="n">
        <v>45911</v>
      </c>
      <c r="D277" t="inlineStr">
        <is>
          <t>SKÅNE LÄN</t>
        </is>
      </c>
      <c r="E277" t="inlineStr">
        <is>
          <t>HÄSSLEHOLM</t>
        </is>
      </c>
      <c r="G277" t="n">
        <v>3.5</v>
      </c>
      <c r="H277" t="n">
        <v>0</v>
      </c>
      <c r="I277" t="n">
        <v>0</v>
      </c>
      <c r="J277" t="n">
        <v>0</v>
      </c>
      <c r="K277" t="n">
        <v>0</v>
      </c>
      <c r="L277" t="n">
        <v>0</v>
      </c>
      <c r="M277" t="n">
        <v>0</v>
      </c>
      <c r="N277" t="n">
        <v>0</v>
      </c>
      <c r="O277" t="n">
        <v>0</v>
      </c>
      <c r="P277" t="n">
        <v>0</v>
      </c>
      <c r="Q277" t="n">
        <v>0</v>
      </c>
      <c r="R277" s="2" t="inlineStr"/>
    </row>
    <row r="278" ht="15" customHeight="1">
      <c r="A278" t="inlineStr">
        <is>
          <t>A 31934-2024</t>
        </is>
      </c>
      <c r="B278" s="1" t="n">
        <v>45510.41177083334</v>
      </c>
      <c r="C278" s="1" t="n">
        <v>45911</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26857-2025</t>
        </is>
      </c>
      <c r="B279" s="1" t="n">
        <v>45810</v>
      </c>
      <c r="C279" s="1" t="n">
        <v>45911</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29847-2024</t>
        </is>
      </c>
      <c r="B280" s="1" t="n">
        <v>45485.6278587963</v>
      </c>
      <c r="C280" s="1" t="n">
        <v>45911</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16860-2025</t>
        </is>
      </c>
      <c r="B281" s="1" t="n">
        <v>45751</v>
      </c>
      <c r="C281" s="1" t="n">
        <v>45911</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42776-2021</t>
        </is>
      </c>
      <c r="B282" s="1" t="n">
        <v>44428</v>
      </c>
      <c r="C282" s="1" t="n">
        <v>45911</v>
      </c>
      <c r="D282" t="inlineStr">
        <is>
          <t>SKÅNE LÄN</t>
        </is>
      </c>
      <c r="E282" t="inlineStr">
        <is>
          <t>HÄSSLEHOLM</t>
        </is>
      </c>
      <c r="G282" t="n">
        <v>3.2</v>
      </c>
      <c r="H282" t="n">
        <v>0</v>
      </c>
      <c r="I282" t="n">
        <v>0</v>
      </c>
      <c r="J282" t="n">
        <v>0</v>
      </c>
      <c r="K282" t="n">
        <v>0</v>
      </c>
      <c r="L282" t="n">
        <v>0</v>
      </c>
      <c r="M282" t="n">
        <v>0</v>
      </c>
      <c r="N282" t="n">
        <v>0</v>
      </c>
      <c r="O282" t="n">
        <v>0</v>
      </c>
      <c r="P282" t="n">
        <v>0</v>
      </c>
      <c r="Q282" t="n">
        <v>0</v>
      </c>
      <c r="R282" s="2" t="inlineStr"/>
    </row>
    <row r="283" ht="15" customHeight="1">
      <c r="A283" t="inlineStr">
        <is>
          <t>A 7653-2024</t>
        </is>
      </c>
      <c r="B283" s="1" t="n">
        <v>45348.69043981482</v>
      </c>
      <c r="C283" s="1" t="n">
        <v>45911</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19735-2023</t>
        </is>
      </c>
      <c r="B284" s="1" t="n">
        <v>45051.52199074074</v>
      </c>
      <c r="C284" s="1" t="n">
        <v>45911</v>
      </c>
      <c r="D284" t="inlineStr">
        <is>
          <t>SKÅNE LÄN</t>
        </is>
      </c>
      <c r="E284" t="inlineStr">
        <is>
          <t>HÄSSLEHOLM</t>
        </is>
      </c>
      <c r="G284" t="n">
        <v>4</v>
      </c>
      <c r="H284" t="n">
        <v>0</v>
      </c>
      <c r="I284" t="n">
        <v>0</v>
      </c>
      <c r="J284" t="n">
        <v>0</v>
      </c>
      <c r="K284" t="n">
        <v>0</v>
      </c>
      <c r="L284" t="n">
        <v>0</v>
      </c>
      <c r="M284" t="n">
        <v>0</v>
      </c>
      <c r="N284" t="n">
        <v>0</v>
      </c>
      <c r="O284" t="n">
        <v>0</v>
      </c>
      <c r="P284" t="n">
        <v>0</v>
      </c>
      <c r="Q284" t="n">
        <v>0</v>
      </c>
      <c r="R284" s="2" t="inlineStr"/>
    </row>
    <row r="285" ht="15" customHeight="1">
      <c r="A285" t="inlineStr">
        <is>
          <t>A 48797-2023</t>
        </is>
      </c>
      <c r="B285" s="1" t="n">
        <v>45209.24986111111</v>
      </c>
      <c r="C285" s="1" t="n">
        <v>45911</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20279-2025</t>
        </is>
      </c>
      <c r="B286" s="1" t="n">
        <v>45774.38643518519</v>
      </c>
      <c r="C286" s="1" t="n">
        <v>45911</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5532-2025</t>
        </is>
      </c>
      <c r="B287" s="1" t="n">
        <v>45693</v>
      </c>
      <c r="C287" s="1" t="n">
        <v>45911</v>
      </c>
      <c r="D287" t="inlineStr">
        <is>
          <t>SKÅNE LÄN</t>
        </is>
      </c>
      <c r="E287" t="inlineStr">
        <is>
          <t>HÄSSLEHOLM</t>
        </is>
      </c>
      <c r="G287" t="n">
        <v>2.4</v>
      </c>
      <c r="H287" t="n">
        <v>0</v>
      </c>
      <c r="I287" t="n">
        <v>0</v>
      </c>
      <c r="J287" t="n">
        <v>0</v>
      </c>
      <c r="K287" t="n">
        <v>0</v>
      </c>
      <c r="L287" t="n">
        <v>0</v>
      </c>
      <c r="M287" t="n">
        <v>0</v>
      </c>
      <c r="N287" t="n">
        <v>0</v>
      </c>
      <c r="O287" t="n">
        <v>0</v>
      </c>
      <c r="P287" t="n">
        <v>0</v>
      </c>
      <c r="Q287" t="n">
        <v>0</v>
      </c>
      <c r="R287" s="2" t="inlineStr"/>
    </row>
    <row r="288" ht="15" customHeight="1">
      <c r="A288" t="inlineStr">
        <is>
          <t>A 55662-2022</t>
        </is>
      </c>
      <c r="B288" s="1" t="n">
        <v>44883</v>
      </c>
      <c r="C288" s="1" t="n">
        <v>45911</v>
      </c>
      <c r="D288" t="inlineStr">
        <is>
          <t>SKÅNE LÄN</t>
        </is>
      </c>
      <c r="E288" t="inlineStr">
        <is>
          <t>HÄSSLEHOLM</t>
        </is>
      </c>
      <c r="F288" t="inlineStr">
        <is>
          <t>Övriga Aktiebolag</t>
        </is>
      </c>
      <c r="G288" t="n">
        <v>2.6</v>
      </c>
      <c r="H288" t="n">
        <v>0</v>
      </c>
      <c r="I288" t="n">
        <v>0</v>
      </c>
      <c r="J288" t="n">
        <v>0</v>
      </c>
      <c r="K288" t="n">
        <v>0</v>
      </c>
      <c r="L288" t="n">
        <v>0</v>
      </c>
      <c r="M288" t="n">
        <v>0</v>
      </c>
      <c r="N288" t="n">
        <v>0</v>
      </c>
      <c r="O288" t="n">
        <v>0</v>
      </c>
      <c r="P288" t="n">
        <v>0</v>
      </c>
      <c r="Q288" t="n">
        <v>0</v>
      </c>
      <c r="R288" s="2" t="inlineStr"/>
    </row>
    <row r="289" ht="15" customHeight="1">
      <c r="A289" t="inlineStr">
        <is>
          <t>A 12780-2024</t>
        </is>
      </c>
      <c r="B289" s="1" t="n">
        <v>45384.59726851852</v>
      </c>
      <c r="C289" s="1" t="n">
        <v>45911</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12570-2023</t>
        </is>
      </c>
      <c r="B290" s="1" t="n">
        <v>44999</v>
      </c>
      <c r="C290" s="1" t="n">
        <v>45911</v>
      </c>
      <c r="D290" t="inlineStr">
        <is>
          <t>SKÅNE LÄN</t>
        </is>
      </c>
      <c r="E290" t="inlineStr">
        <is>
          <t>HÄSSLEHOLM</t>
        </is>
      </c>
      <c r="G290" t="n">
        <v>3.4</v>
      </c>
      <c r="H290" t="n">
        <v>0</v>
      </c>
      <c r="I290" t="n">
        <v>0</v>
      </c>
      <c r="J290" t="n">
        <v>0</v>
      </c>
      <c r="K290" t="n">
        <v>0</v>
      </c>
      <c r="L290" t="n">
        <v>0</v>
      </c>
      <c r="M290" t="n">
        <v>0</v>
      </c>
      <c r="N290" t="n">
        <v>0</v>
      </c>
      <c r="O290" t="n">
        <v>0</v>
      </c>
      <c r="P290" t="n">
        <v>0</v>
      </c>
      <c r="Q290" t="n">
        <v>0</v>
      </c>
      <c r="R290" s="2" t="inlineStr"/>
    </row>
    <row r="291" ht="15" customHeight="1">
      <c r="A291" t="inlineStr">
        <is>
          <t>A 28457-2024</t>
        </is>
      </c>
      <c r="B291" s="1" t="n">
        <v>45477.68884259259</v>
      </c>
      <c r="C291" s="1" t="n">
        <v>45911</v>
      </c>
      <c r="D291" t="inlineStr">
        <is>
          <t>SKÅNE LÄN</t>
        </is>
      </c>
      <c r="E291" t="inlineStr">
        <is>
          <t>HÄSSLEHOLM</t>
        </is>
      </c>
      <c r="G291" t="n">
        <v>0.7</v>
      </c>
      <c r="H291" t="n">
        <v>0</v>
      </c>
      <c r="I291" t="n">
        <v>0</v>
      </c>
      <c r="J291" t="n">
        <v>0</v>
      </c>
      <c r="K291" t="n">
        <v>0</v>
      </c>
      <c r="L291" t="n">
        <v>0</v>
      </c>
      <c r="M291" t="n">
        <v>0</v>
      </c>
      <c r="N291" t="n">
        <v>0</v>
      </c>
      <c r="O291" t="n">
        <v>0</v>
      </c>
      <c r="P291" t="n">
        <v>0</v>
      </c>
      <c r="Q291" t="n">
        <v>0</v>
      </c>
      <c r="R291" s="2" t="inlineStr"/>
    </row>
    <row r="292" ht="15" customHeight="1">
      <c r="A292" t="inlineStr">
        <is>
          <t>A 29844-2024</t>
        </is>
      </c>
      <c r="B292" s="1" t="n">
        <v>45485</v>
      </c>
      <c r="C292" s="1" t="n">
        <v>45911</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40536-2024</t>
        </is>
      </c>
      <c r="B293" s="1" t="n">
        <v>45555.61314814815</v>
      </c>
      <c r="C293" s="1" t="n">
        <v>45911</v>
      </c>
      <c r="D293" t="inlineStr">
        <is>
          <t>SKÅNE LÄN</t>
        </is>
      </c>
      <c r="E293" t="inlineStr">
        <is>
          <t>HÄSSLEHOLM</t>
        </is>
      </c>
      <c r="G293" t="n">
        <v>1</v>
      </c>
      <c r="H293" t="n">
        <v>0</v>
      </c>
      <c r="I293" t="n">
        <v>0</v>
      </c>
      <c r="J293" t="n">
        <v>0</v>
      </c>
      <c r="K293" t="n">
        <v>0</v>
      </c>
      <c r="L293" t="n">
        <v>0</v>
      </c>
      <c r="M293" t="n">
        <v>0</v>
      </c>
      <c r="N293" t="n">
        <v>0</v>
      </c>
      <c r="O293" t="n">
        <v>0</v>
      </c>
      <c r="P293" t="n">
        <v>0</v>
      </c>
      <c r="Q293" t="n">
        <v>0</v>
      </c>
      <c r="R293" s="2" t="inlineStr"/>
    </row>
    <row r="294" ht="15" customHeight="1">
      <c r="A294" t="inlineStr">
        <is>
          <t>A 14926-2024</t>
        </is>
      </c>
      <c r="B294" s="1" t="n">
        <v>45398</v>
      </c>
      <c r="C294" s="1" t="n">
        <v>45911</v>
      </c>
      <c r="D294" t="inlineStr">
        <is>
          <t>SKÅNE LÄN</t>
        </is>
      </c>
      <c r="E294" t="inlineStr">
        <is>
          <t>HÄSSLEHOLM</t>
        </is>
      </c>
      <c r="G294" t="n">
        <v>3.4</v>
      </c>
      <c r="H294" t="n">
        <v>0</v>
      </c>
      <c r="I294" t="n">
        <v>0</v>
      </c>
      <c r="J294" t="n">
        <v>0</v>
      </c>
      <c r="K294" t="n">
        <v>0</v>
      </c>
      <c r="L294" t="n">
        <v>0</v>
      </c>
      <c r="M294" t="n">
        <v>0</v>
      </c>
      <c r="N294" t="n">
        <v>0</v>
      </c>
      <c r="O294" t="n">
        <v>0</v>
      </c>
      <c r="P294" t="n">
        <v>0</v>
      </c>
      <c r="Q294" t="n">
        <v>0</v>
      </c>
      <c r="R294" s="2" t="inlineStr"/>
    </row>
    <row r="295" ht="15" customHeight="1">
      <c r="A295" t="inlineStr">
        <is>
          <t>A 2688-2024</t>
        </is>
      </c>
      <c r="B295" s="1" t="n">
        <v>45314</v>
      </c>
      <c r="C295" s="1" t="n">
        <v>45911</v>
      </c>
      <c r="D295" t="inlineStr">
        <is>
          <t>SKÅNE LÄN</t>
        </is>
      </c>
      <c r="E295" t="inlineStr">
        <is>
          <t>HÄSSLEHOLM</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36733-2023</t>
        </is>
      </c>
      <c r="B296" s="1" t="n">
        <v>45153.69989583334</v>
      </c>
      <c r="C296" s="1" t="n">
        <v>45911</v>
      </c>
      <c r="D296" t="inlineStr">
        <is>
          <t>SKÅNE LÄN</t>
        </is>
      </c>
      <c r="E296" t="inlineStr">
        <is>
          <t>HÄSSLEHOLM</t>
        </is>
      </c>
      <c r="G296" t="n">
        <v>4.8</v>
      </c>
      <c r="H296" t="n">
        <v>0</v>
      </c>
      <c r="I296" t="n">
        <v>0</v>
      </c>
      <c r="J296" t="n">
        <v>0</v>
      </c>
      <c r="K296" t="n">
        <v>0</v>
      </c>
      <c r="L296" t="n">
        <v>0</v>
      </c>
      <c r="M296" t="n">
        <v>0</v>
      </c>
      <c r="N296" t="n">
        <v>0</v>
      </c>
      <c r="O296" t="n">
        <v>0</v>
      </c>
      <c r="P296" t="n">
        <v>0</v>
      </c>
      <c r="Q296" t="n">
        <v>0</v>
      </c>
      <c r="R296" s="2" t="inlineStr"/>
    </row>
    <row r="297" ht="15" customHeight="1">
      <c r="A297" t="inlineStr">
        <is>
          <t>A 33266-2024</t>
        </is>
      </c>
      <c r="B297" s="1" t="n">
        <v>45518</v>
      </c>
      <c r="C297" s="1" t="n">
        <v>45911</v>
      </c>
      <c r="D297" t="inlineStr">
        <is>
          <t>SKÅNE LÄN</t>
        </is>
      </c>
      <c r="E297" t="inlineStr">
        <is>
          <t>HÄSSLEHOLM</t>
        </is>
      </c>
      <c r="G297" t="n">
        <v>3.2</v>
      </c>
      <c r="H297" t="n">
        <v>0</v>
      </c>
      <c r="I297" t="n">
        <v>0</v>
      </c>
      <c r="J297" t="n">
        <v>0</v>
      </c>
      <c r="K297" t="n">
        <v>0</v>
      </c>
      <c r="L297" t="n">
        <v>0</v>
      </c>
      <c r="M297" t="n">
        <v>0</v>
      </c>
      <c r="N297" t="n">
        <v>0</v>
      </c>
      <c r="O297" t="n">
        <v>0</v>
      </c>
      <c r="P297" t="n">
        <v>0</v>
      </c>
      <c r="Q297" t="n">
        <v>0</v>
      </c>
      <c r="R297" s="2" t="inlineStr"/>
    </row>
    <row r="298" ht="15" customHeight="1">
      <c r="A298" t="inlineStr">
        <is>
          <t>A 22594-2024</t>
        </is>
      </c>
      <c r="B298" s="1" t="n">
        <v>45447.60892361111</v>
      </c>
      <c r="C298" s="1" t="n">
        <v>45911</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8244-2023</t>
        </is>
      </c>
      <c r="B299" s="1" t="n">
        <v>44974</v>
      </c>
      <c r="C299" s="1" t="n">
        <v>45911</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8246-2023</t>
        </is>
      </c>
      <c r="B300" s="1" t="n">
        <v>44974</v>
      </c>
      <c r="C300" s="1" t="n">
        <v>45911</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55056-2021</t>
        </is>
      </c>
      <c r="B301" s="1" t="n">
        <v>44474.62072916667</v>
      </c>
      <c r="C301" s="1" t="n">
        <v>45911</v>
      </c>
      <c r="D301" t="inlineStr">
        <is>
          <t>SKÅNE LÄN</t>
        </is>
      </c>
      <c r="E301" t="inlineStr">
        <is>
          <t>HÄSSLEHOLM</t>
        </is>
      </c>
      <c r="G301" t="n">
        <v>2.5</v>
      </c>
      <c r="H301" t="n">
        <v>0</v>
      </c>
      <c r="I301" t="n">
        <v>0</v>
      </c>
      <c r="J301" t="n">
        <v>0</v>
      </c>
      <c r="K301" t="n">
        <v>0</v>
      </c>
      <c r="L301" t="n">
        <v>0</v>
      </c>
      <c r="M301" t="n">
        <v>0</v>
      </c>
      <c r="N301" t="n">
        <v>0</v>
      </c>
      <c r="O301" t="n">
        <v>0</v>
      </c>
      <c r="P301" t="n">
        <v>0</v>
      </c>
      <c r="Q301" t="n">
        <v>0</v>
      </c>
      <c r="R301" s="2" t="inlineStr"/>
    </row>
    <row r="302" ht="15" customHeight="1">
      <c r="A302" t="inlineStr">
        <is>
          <t>A 34834-2023</t>
        </is>
      </c>
      <c r="B302" s="1" t="n">
        <v>45141.7199537037</v>
      </c>
      <c r="C302" s="1" t="n">
        <v>45911</v>
      </c>
      <c r="D302" t="inlineStr">
        <is>
          <t>SKÅNE LÄN</t>
        </is>
      </c>
      <c r="E302" t="inlineStr">
        <is>
          <t>HÄSSLEHOLM</t>
        </is>
      </c>
      <c r="G302" t="n">
        <v>1</v>
      </c>
      <c r="H302" t="n">
        <v>0</v>
      </c>
      <c r="I302" t="n">
        <v>0</v>
      </c>
      <c r="J302" t="n">
        <v>0</v>
      </c>
      <c r="K302" t="n">
        <v>0</v>
      </c>
      <c r="L302" t="n">
        <v>0</v>
      </c>
      <c r="M302" t="n">
        <v>0</v>
      </c>
      <c r="N302" t="n">
        <v>0</v>
      </c>
      <c r="O302" t="n">
        <v>0</v>
      </c>
      <c r="P302" t="n">
        <v>0</v>
      </c>
      <c r="Q302" t="n">
        <v>0</v>
      </c>
      <c r="R302" s="2" t="inlineStr"/>
    </row>
    <row r="303" ht="15" customHeight="1">
      <c r="A303" t="inlineStr">
        <is>
          <t>A 4042-2023</t>
        </is>
      </c>
      <c r="B303" s="1" t="n">
        <v>44952.59950231481</v>
      </c>
      <c r="C303" s="1" t="n">
        <v>45911</v>
      </c>
      <c r="D303" t="inlineStr">
        <is>
          <t>SKÅNE LÄN</t>
        </is>
      </c>
      <c r="E303" t="inlineStr">
        <is>
          <t>HÄSSLEHOLM</t>
        </is>
      </c>
      <c r="G303" t="n">
        <v>2.7</v>
      </c>
      <c r="H303" t="n">
        <v>0</v>
      </c>
      <c r="I303" t="n">
        <v>0</v>
      </c>
      <c r="J303" t="n">
        <v>0</v>
      </c>
      <c r="K303" t="n">
        <v>0</v>
      </c>
      <c r="L303" t="n">
        <v>0</v>
      </c>
      <c r="M303" t="n">
        <v>0</v>
      </c>
      <c r="N303" t="n">
        <v>0</v>
      </c>
      <c r="O303" t="n">
        <v>0</v>
      </c>
      <c r="P303" t="n">
        <v>0</v>
      </c>
      <c r="Q303" t="n">
        <v>0</v>
      </c>
      <c r="R303" s="2" t="inlineStr"/>
    </row>
    <row r="304" ht="15" customHeight="1">
      <c r="A304" t="inlineStr">
        <is>
          <t>A 62199-2022</t>
        </is>
      </c>
      <c r="B304" s="1" t="n">
        <v>44915</v>
      </c>
      <c r="C304" s="1" t="n">
        <v>45911</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56386-2023</t>
        </is>
      </c>
      <c r="B305" s="1" t="n">
        <v>45243</v>
      </c>
      <c r="C305" s="1" t="n">
        <v>45911</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24679-2023</t>
        </is>
      </c>
      <c r="B306" s="1" t="n">
        <v>45084</v>
      </c>
      <c r="C306" s="1" t="n">
        <v>45911</v>
      </c>
      <c r="D306" t="inlineStr">
        <is>
          <t>SKÅNE LÄN</t>
        </is>
      </c>
      <c r="E306" t="inlineStr">
        <is>
          <t>HÄSSLEHOLM</t>
        </is>
      </c>
      <c r="G306" t="n">
        <v>7.1</v>
      </c>
      <c r="H306" t="n">
        <v>0</v>
      </c>
      <c r="I306" t="n">
        <v>0</v>
      </c>
      <c r="J306" t="n">
        <v>0</v>
      </c>
      <c r="K306" t="n">
        <v>0</v>
      </c>
      <c r="L306" t="n">
        <v>0</v>
      </c>
      <c r="M306" t="n">
        <v>0</v>
      </c>
      <c r="N306" t="n">
        <v>0</v>
      </c>
      <c r="O306" t="n">
        <v>0</v>
      </c>
      <c r="P306" t="n">
        <v>0</v>
      </c>
      <c r="Q306" t="n">
        <v>0</v>
      </c>
      <c r="R306" s="2" t="inlineStr"/>
    </row>
    <row r="307" ht="15" customHeight="1">
      <c r="A307" t="inlineStr">
        <is>
          <t>A 3123-2023</t>
        </is>
      </c>
      <c r="B307" s="1" t="n">
        <v>44946.4925</v>
      </c>
      <c r="C307" s="1" t="n">
        <v>45911</v>
      </c>
      <c r="D307" t="inlineStr">
        <is>
          <t>SKÅNE LÄN</t>
        </is>
      </c>
      <c r="E307" t="inlineStr">
        <is>
          <t>HÄSSLEHOLM</t>
        </is>
      </c>
      <c r="G307" t="n">
        <v>3.5</v>
      </c>
      <c r="H307" t="n">
        <v>0</v>
      </c>
      <c r="I307" t="n">
        <v>0</v>
      </c>
      <c r="J307" t="n">
        <v>0</v>
      </c>
      <c r="K307" t="n">
        <v>0</v>
      </c>
      <c r="L307" t="n">
        <v>0</v>
      </c>
      <c r="M307" t="n">
        <v>0</v>
      </c>
      <c r="N307" t="n">
        <v>0</v>
      </c>
      <c r="O307" t="n">
        <v>0</v>
      </c>
      <c r="P307" t="n">
        <v>0</v>
      </c>
      <c r="Q307" t="n">
        <v>0</v>
      </c>
      <c r="R307" s="2" t="inlineStr"/>
    </row>
    <row r="308" ht="15" customHeight="1">
      <c r="A308" t="inlineStr">
        <is>
          <t>A 3126-2023</t>
        </is>
      </c>
      <c r="B308" s="1" t="n">
        <v>44946.49570601852</v>
      </c>
      <c r="C308" s="1" t="n">
        <v>45911</v>
      </c>
      <c r="D308" t="inlineStr">
        <is>
          <t>SKÅNE LÄN</t>
        </is>
      </c>
      <c r="E308" t="inlineStr">
        <is>
          <t>HÄSSLEHOLM</t>
        </is>
      </c>
      <c r="G308" t="n">
        <v>2.2</v>
      </c>
      <c r="H308" t="n">
        <v>0</v>
      </c>
      <c r="I308" t="n">
        <v>0</v>
      </c>
      <c r="J308" t="n">
        <v>0</v>
      </c>
      <c r="K308" t="n">
        <v>0</v>
      </c>
      <c r="L308" t="n">
        <v>0</v>
      </c>
      <c r="M308" t="n">
        <v>0</v>
      </c>
      <c r="N308" t="n">
        <v>0</v>
      </c>
      <c r="O308" t="n">
        <v>0</v>
      </c>
      <c r="P308" t="n">
        <v>0</v>
      </c>
      <c r="Q308" t="n">
        <v>0</v>
      </c>
      <c r="R308" s="2" t="inlineStr"/>
    </row>
    <row r="309" ht="15" customHeight="1">
      <c r="A309" t="inlineStr">
        <is>
          <t>A 14157-2021</t>
        </is>
      </c>
      <c r="B309" s="1" t="n">
        <v>44278.43246527778</v>
      </c>
      <c r="C309" s="1" t="n">
        <v>45911</v>
      </c>
      <c r="D309" t="inlineStr">
        <is>
          <t>SKÅNE LÄN</t>
        </is>
      </c>
      <c r="E309" t="inlineStr">
        <is>
          <t>HÄSSLEHOLM</t>
        </is>
      </c>
      <c r="G309" t="n">
        <v>10.5</v>
      </c>
      <c r="H309" t="n">
        <v>0</v>
      </c>
      <c r="I309" t="n">
        <v>0</v>
      </c>
      <c r="J309" t="n">
        <v>0</v>
      </c>
      <c r="K309" t="n">
        <v>0</v>
      </c>
      <c r="L309" t="n">
        <v>0</v>
      </c>
      <c r="M309" t="n">
        <v>0</v>
      </c>
      <c r="N309" t="n">
        <v>0</v>
      </c>
      <c r="O309" t="n">
        <v>0</v>
      </c>
      <c r="P309" t="n">
        <v>0</v>
      </c>
      <c r="Q309" t="n">
        <v>0</v>
      </c>
      <c r="R309" s="2" t="inlineStr"/>
    </row>
    <row r="310" ht="15" customHeight="1">
      <c r="A310" t="inlineStr">
        <is>
          <t>A 677-2024</t>
        </is>
      </c>
      <c r="B310" s="1" t="n">
        <v>45300</v>
      </c>
      <c r="C310" s="1" t="n">
        <v>45911</v>
      </c>
      <c r="D310" t="inlineStr">
        <is>
          <t>SKÅNE LÄN</t>
        </is>
      </c>
      <c r="E310" t="inlineStr">
        <is>
          <t>HÄSSLEHOLM</t>
        </is>
      </c>
      <c r="G310" t="n">
        <v>6.8</v>
      </c>
      <c r="H310" t="n">
        <v>0</v>
      </c>
      <c r="I310" t="n">
        <v>0</v>
      </c>
      <c r="J310" t="n">
        <v>0</v>
      </c>
      <c r="K310" t="n">
        <v>0</v>
      </c>
      <c r="L310" t="n">
        <v>0</v>
      </c>
      <c r="M310" t="n">
        <v>0</v>
      </c>
      <c r="N310" t="n">
        <v>0</v>
      </c>
      <c r="O310" t="n">
        <v>0</v>
      </c>
      <c r="P310" t="n">
        <v>0</v>
      </c>
      <c r="Q310" t="n">
        <v>0</v>
      </c>
      <c r="R310" s="2" t="inlineStr"/>
    </row>
    <row r="311" ht="15" customHeight="1">
      <c r="A311" t="inlineStr">
        <is>
          <t>A 25213-2023</t>
        </is>
      </c>
      <c r="B311" s="1" t="n">
        <v>45086.60010416667</v>
      </c>
      <c r="C311" s="1" t="n">
        <v>45911</v>
      </c>
      <c r="D311" t="inlineStr">
        <is>
          <t>SKÅNE LÄN</t>
        </is>
      </c>
      <c r="E311" t="inlineStr">
        <is>
          <t>HÄSSLEHOLM</t>
        </is>
      </c>
      <c r="G311" t="n">
        <v>7.2</v>
      </c>
      <c r="H311" t="n">
        <v>0</v>
      </c>
      <c r="I311" t="n">
        <v>0</v>
      </c>
      <c r="J311" t="n">
        <v>0</v>
      </c>
      <c r="K311" t="n">
        <v>0</v>
      </c>
      <c r="L311" t="n">
        <v>0</v>
      </c>
      <c r="M311" t="n">
        <v>0</v>
      </c>
      <c r="N311" t="n">
        <v>0</v>
      </c>
      <c r="O311" t="n">
        <v>0</v>
      </c>
      <c r="P311" t="n">
        <v>0</v>
      </c>
      <c r="Q311" t="n">
        <v>0</v>
      </c>
      <c r="R311" s="2" t="inlineStr"/>
    </row>
    <row r="312" ht="15" customHeight="1">
      <c r="A312" t="inlineStr">
        <is>
          <t>A 51287-2022</t>
        </is>
      </c>
      <c r="B312" s="1" t="n">
        <v>44868.83146990741</v>
      </c>
      <c r="C312" s="1" t="n">
        <v>45911</v>
      </c>
      <c r="D312" t="inlineStr">
        <is>
          <t>SKÅNE LÄN</t>
        </is>
      </c>
      <c r="E312" t="inlineStr">
        <is>
          <t>HÄSSLEHOLM</t>
        </is>
      </c>
      <c r="G312" t="n">
        <v>2.2</v>
      </c>
      <c r="H312" t="n">
        <v>0</v>
      </c>
      <c r="I312" t="n">
        <v>0</v>
      </c>
      <c r="J312" t="n">
        <v>0</v>
      </c>
      <c r="K312" t="n">
        <v>0</v>
      </c>
      <c r="L312" t="n">
        <v>0</v>
      </c>
      <c r="M312" t="n">
        <v>0</v>
      </c>
      <c r="N312" t="n">
        <v>0</v>
      </c>
      <c r="O312" t="n">
        <v>0</v>
      </c>
      <c r="P312" t="n">
        <v>0</v>
      </c>
      <c r="Q312" t="n">
        <v>0</v>
      </c>
      <c r="R312" s="2" t="inlineStr"/>
    </row>
    <row r="313" ht="15" customHeight="1">
      <c r="A313" t="inlineStr">
        <is>
          <t>A 2490-2024</t>
        </is>
      </c>
      <c r="B313" s="1" t="n">
        <v>45313.43649305555</v>
      </c>
      <c r="C313" s="1" t="n">
        <v>45911</v>
      </c>
      <c r="D313" t="inlineStr">
        <is>
          <t>SKÅNE LÄN</t>
        </is>
      </c>
      <c r="E313" t="inlineStr">
        <is>
          <t>HÄSSLEHOLM</t>
        </is>
      </c>
      <c r="G313" t="n">
        <v>4</v>
      </c>
      <c r="H313" t="n">
        <v>0</v>
      </c>
      <c r="I313" t="n">
        <v>0</v>
      </c>
      <c r="J313" t="n">
        <v>0</v>
      </c>
      <c r="K313" t="n">
        <v>0</v>
      </c>
      <c r="L313" t="n">
        <v>0</v>
      </c>
      <c r="M313" t="n">
        <v>0</v>
      </c>
      <c r="N313" t="n">
        <v>0</v>
      </c>
      <c r="O313" t="n">
        <v>0</v>
      </c>
      <c r="P313" t="n">
        <v>0</v>
      </c>
      <c r="Q313" t="n">
        <v>0</v>
      </c>
      <c r="R313" s="2" t="inlineStr"/>
    </row>
    <row r="314" ht="15" customHeight="1">
      <c r="A314" t="inlineStr">
        <is>
          <t>A 18109-2025</t>
        </is>
      </c>
      <c r="B314" s="1" t="n">
        <v>45761</v>
      </c>
      <c r="C314" s="1" t="n">
        <v>45911</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50244-2024</t>
        </is>
      </c>
      <c r="B315" s="1" t="n">
        <v>45600.56502314815</v>
      </c>
      <c r="C315" s="1" t="n">
        <v>45911</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15562-2024</t>
        </is>
      </c>
      <c r="B316" s="1" t="n">
        <v>45401.64975694445</v>
      </c>
      <c r="C316" s="1" t="n">
        <v>45911</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9924-2025</t>
        </is>
      </c>
      <c r="B317" s="1" t="n">
        <v>45717.72505787037</v>
      </c>
      <c r="C317" s="1" t="n">
        <v>45911</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9747-2024</t>
        </is>
      </c>
      <c r="B318" s="1" t="n">
        <v>45362</v>
      </c>
      <c r="C318" s="1" t="n">
        <v>45911</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15508-2023</t>
        </is>
      </c>
      <c r="B319" s="1" t="n">
        <v>45020.50045138889</v>
      </c>
      <c r="C319" s="1" t="n">
        <v>45911</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18580-2023</t>
        </is>
      </c>
      <c r="B320" s="1" t="n">
        <v>45043.37037037037</v>
      </c>
      <c r="C320" s="1" t="n">
        <v>45911</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17335-2024</t>
        </is>
      </c>
      <c r="B321" s="1" t="n">
        <v>45414.5687962963</v>
      </c>
      <c r="C321" s="1" t="n">
        <v>45911</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50000-2023</t>
        </is>
      </c>
      <c r="B322" s="1" t="n">
        <v>45215.4434837963</v>
      </c>
      <c r="C322" s="1" t="n">
        <v>45911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24865-2024</t>
        </is>
      </c>
      <c r="B323" s="1" t="n">
        <v>45461.48974537037</v>
      </c>
      <c r="C323" s="1" t="n">
        <v>45911</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50607-2023</t>
        </is>
      </c>
      <c r="B324" s="1" t="n">
        <v>45210</v>
      </c>
      <c r="C324" s="1" t="n">
        <v>45911</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50616-2023</t>
        </is>
      </c>
      <c r="B325" s="1" t="n">
        <v>45210</v>
      </c>
      <c r="C325" s="1" t="n">
        <v>45911</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34187-2023</t>
        </is>
      </c>
      <c r="B326" s="1" t="n">
        <v>45138</v>
      </c>
      <c r="C326" s="1" t="n">
        <v>45911</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9323-2025</t>
        </is>
      </c>
      <c r="B327" s="1" t="n">
        <v>45714.73532407408</v>
      </c>
      <c r="C327" s="1" t="n">
        <v>45911</v>
      </c>
      <c r="D327" t="inlineStr">
        <is>
          <t>SKÅNE LÄN</t>
        </is>
      </c>
      <c r="E327" t="inlineStr">
        <is>
          <t>HÄSSLEHOLM</t>
        </is>
      </c>
      <c r="G327" t="n">
        <v>5.2</v>
      </c>
      <c r="H327" t="n">
        <v>0</v>
      </c>
      <c r="I327" t="n">
        <v>0</v>
      </c>
      <c r="J327" t="n">
        <v>0</v>
      </c>
      <c r="K327" t="n">
        <v>0</v>
      </c>
      <c r="L327" t="n">
        <v>0</v>
      </c>
      <c r="M327" t="n">
        <v>0</v>
      </c>
      <c r="N327" t="n">
        <v>0</v>
      </c>
      <c r="O327" t="n">
        <v>0</v>
      </c>
      <c r="P327" t="n">
        <v>0</v>
      </c>
      <c r="Q327" t="n">
        <v>0</v>
      </c>
      <c r="R327" s="2" t="inlineStr"/>
    </row>
    <row r="328" ht="15" customHeight="1">
      <c r="A328" t="inlineStr">
        <is>
          <t>A 13007-2024</t>
        </is>
      </c>
      <c r="B328" s="1" t="n">
        <v>45385.57092592592</v>
      </c>
      <c r="C328" s="1" t="n">
        <v>45911</v>
      </c>
      <c r="D328" t="inlineStr">
        <is>
          <t>SKÅNE LÄN</t>
        </is>
      </c>
      <c r="E328" t="inlineStr">
        <is>
          <t>HÄSSLEHOLM</t>
        </is>
      </c>
      <c r="G328" t="n">
        <v>1.4</v>
      </c>
      <c r="H328" t="n">
        <v>0</v>
      </c>
      <c r="I328" t="n">
        <v>0</v>
      </c>
      <c r="J328" t="n">
        <v>0</v>
      </c>
      <c r="K328" t="n">
        <v>0</v>
      </c>
      <c r="L328" t="n">
        <v>0</v>
      </c>
      <c r="M328" t="n">
        <v>0</v>
      </c>
      <c r="N328" t="n">
        <v>0</v>
      </c>
      <c r="O328" t="n">
        <v>0</v>
      </c>
      <c r="P328" t="n">
        <v>0</v>
      </c>
      <c r="Q328" t="n">
        <v>0</v>
      </c>
      <c r="R328" s="2" t="inlineStr"/>
    </row>
    <row r="329" ht="15" customHeight="1">
      <c r="A329" t="inlineStr">
        <is>
          <t>A 33927-2021</t>
        </is>
      </c>
      <c r="B329" s="1" t="n">
        <v>44378</v>
      </c>
      <c r="C329" s="1" t="n">
        <v>45911</v>
      </c>
      <c r="D329" t="inlineStr">
        <is>
          <t>SKÅNE LÄN</t>
        </is>
      </c>
      <c r="E329" t="inlineStr">
        <is>
          <t>HÄSSLEHOLM</t>
        </is>
      </c>
      <c r="G329" t="n">
        <v>16.7</v>
      </c>
      <c r="H329" t="n">
        <v>0</v>
      </c>
      <c r="I329" t="n">
        <v>0</v>
      </c>
      <c r="J329" t="n">
        <v>0</v>
      </c>
      <c r="K329" t="n">
        <v>0</v>
      </c>
      <c r="L329" t="n">
        <v>0</v>
      </c>
      <c r="M329" t="n">
        <v>0</v>
      </c>
      <c r="N329" t="n">
        <v>0</v>
      </c>
      <c r="O329" t="n">
        <v>0</v>
      </c>
      <c r="P329" t="n">
        <v>0</v>
      </c>
      <c r="Q329" t="n">
        <v>0</v>
      </c>
      <c r="R329" s="2" t="inlineStr"/>
    </row>
    <row r="330" ht="15" customHeight="1">
      <c r="A330" t="inlineStr">
        <is>
          <t>A 11019-2025</t>
        </is>
      </c>
      <c r="B330" s="1" t="n">
        <v>45723</v>
      </c>
      <c r="C330" s="1" t="n">
        <v>45911</v>
      </c>
      <c r="D330" t="inlineStr">
        <is>
          <t>SKÅNE LÄN</t>
        </is>
      </c>
      <c r="E330" t="inlineStr">
        <is>
          <t>HÄSSLEHOLM</t>
        </is>
      </c>
      <c r="G330" t="n">
        <v>3.2</v>
      </c>
      <c r="H330" t="n">
        <v>0</v>
      </c>
      <c r="I330" t="n">
        <v>0</v>
      </c>
      <c r="J330" t="n">
        <v>0</v>
      </c>
      <c r="K330" t="n">
        <v>0</v>
      </c>
      <c r="L330" t="n">
        <v>0</v>
      </c>
      <c r="M330" t="n">
        <v>0</v>
      </c>
      <c r="N330" t="n">
        <v>0</v>
      </c>
      <c r="O330" t="n">
        <v>0</v>
      </c>
      <c r="P330" t="n">
        <v>0</v>
      </c>
      <c r="Q330" t="n">
        <v>0</v>
      </c>
      <c r="R330" s="2" t="inlineStr"/>
    </row>
    <row r="331" ht="15" customHeight="1">
      <c r="A331" t="inlineStr">
        <is>
          <t>A 56062-2024</t>
        </is>
      </c>
      <c r="B331" s="1" t="n">
        <v>45624.37105324074</v>
      </c>
      <c r="C331" s="1" t="n">
        <v>45911</v>
      </c>
      <c r="D331" t="inlineStr">
        <is>
          <t>SKÅNE LÄN</t>
        </is>
      </c>
      <c r="E331" t="inlineStr">
        <is>
          <t>HÄSSLEHOLM</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45299-2024</t>
        </is>
      </c>
      <c r="B332" s="1" t="n">
        <v>45576.40599537037</v>
      </c>
      <c r="C332" s="1" t="n">
        <v>45911</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25057-2024</t>
        </is>
      </c>
      <c r="B333" s="1" t="n">
        <v>45462</v>
      </c>
      <c r="C333" s="1" t="n">
        <v>45911</v>
      </c>
      <c r="D333" t="inlineStr">
        <is>
          <t>SKÅNE LÄN</t>
        </is>
      </c>
      <c r="E333" t="inlineStr">
        <is>
          <t>HÄSSLEHOLM</t>
        </is>
      </c>
      <c r="G333" t="n">
        <v>4.3</v>
      </c>
      <c r="H333" t="n">
        <v>0</v>
      </c>
      <c r="I333" t="n">
        <v>0</v>
      </c>
      <c r="J333" t="n">
        <v>0</v>
      </c>
      <c r="K333" t="n">
        <v>0</v>
      </c>
      <c r="L333" t="n">
        <v>0</v>
      </c>
      <c r="M333" t="n">
        <v>0</v>
      </c>
      <c r="N333" t="n">
        <v>0</v>
      </c>
      <c r="O333" t="n">
        <v>0</v>
      </c>
      <c r="P333" t="n">
        <v>0</v>
      </c>
      <c r="Q333" t="n">
        <v>0</v>
      </c>
      <c r="R333" s="2" t="inlineStr"/>
    </row>
    <row r="334" ht="15" customHeight="1">
      <c r="A334" t="inlineStr">
        <is>
          <t>A 34369-2023</t>
        </is>
      </c>
      <c r="B334" s="1" t="n">
        <v>45139.47817129629</v>
      </c>
      <c r="C334" s="1" t="n">
        <v>45911</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27297-2023</t>
        </is>
      </c>
      <c r="B335" s="1" t="n">
        <v>45096</v>
      </c>
      <c r="C335" s="1" t="n">
        <v>45911</v>
      </c>
      <c r="D335" t="inlineStr">
        <is>
          <t>SKÅNE LÄN</t>
        </is>
      </c>
      <c r="E335" t="inlineStr">
        <is>
          <t>HÄSSLEHOLM</t>
        </is>
      </c>
      <c r="G335" t="n">
        <v>1.3</v>
      </c>
      <c r="H335" t="n">
        <v>0</v>
      </c>
      <c r="I335" t="n">
        <v>0</v>
      </c>
      <c r="J335" t="n">
        <v>0</v>
      </c>
      <c r="K335" t="n">
        <v>0</v>
      </c>
      <c r="L335" t="n">
        <v>0</v>
      </c>
      <c r="M335" t="n">
        <v>0</v>
      </c>
      <c r="N335" t="n">
        <v>0</v>
      </c>
      <c r="O335" t="n">
        <v>0</v>
      </c>
      <c r="P335" t="n">
        <v>0</v>
      </c>
      <c r="Q335" t="n">
        <v>0</v>
      </c>
      <c r="R335" s="2" t="inlineStr"/>
    </row>
    <row r="336" ht="15" customHeight="1">
      <c r="A336" t="inlineStr">
        <is>
          <t>A 23007-2025</t>
        </is>
      </c>
      <c r="B336" s="1" t="n">
        <v>45790</v>
      </c>
      <c r="C336" s="1" t="n">
        <v>45911</v>
      </c>
      <c r="D336" t="inlineStr">
        <is>
          <t>SKÅNE LÄN</t>
        </is>
      </c>
      <c r="E336" t="inlineStr">
        <is>
          <t>HÄSSLEHOLM</t>
        </is>
      </c>
      <c r="G336" t="n">
        <v>0.4</v>
      </c>
      <c r="H336" t="n">
        <v>0</v>
      </c>
      <c r="I336" t="n">
        <v>0</v>
      </c>
      <c r="J336" t="n">
        <v>0</v>
      </c>
      <c r="K336" t="n">
        <v>0</v>
      </c>
      <c r="L336" t="n">
        <v>0</v>
      </c>
      <c r="M336" t="n">
        <v>0</v>
      </c>
      <c r="N336" t="n">
        <v>0</v>
      </c>
      <c r="O336" t="n">
        <v>0</v>
      </c>
      <c r="P336" t="n">
        <v>0</v>
      </c>
      <c r="Q336" t="n">
        <v>0</v>
      </c>
      <c r="R336" s="2" t="inlineStr"/>
    </row>
    <row r="337" ht="15" customHeight="1">
      <c r="A337" t="inlineStr">
        <is>
          <t>A 7221-2025</t>
        </is>
      </c>
      <c r="B337" s="1" t="n">
        <v>45701</v>
      </c>
      <c r="C337" s="1" t="n">
        <v>45911</v>
      </c>
      <c r="D337" t="inlineStr">
        <is>
          <t>SKÅNE LÄN</t>
        </is>
      </c>
      <c r="E337" t="inlineStr">
        <is>
          <t>HÄSSLEHOLM</t>
        </is>
      </c>
      <c r="G337" t="n">
        <v>1.8</v>
      </c>
      <c r="H337" t="n">
        <v>0</v>
      </c>
      <c r="I337" t="n">
        <v>0</v>
      </c>
      <c r="J337" t="n">
        <v>0</v>
      </c>
      <c r="K337" t="n">
        <v>0</v>
      </c>
      <c r="L337" t="n">
        <v>0</v>
      </c>
      <c r="M337" t="n">
        <v>0</v>
      </c>
      <c r="N337" t="n">
        <v>0</v>
      </c>
      <c r="O337" t="n">
        <v>0</v>
      </c>
      <c r="P337" t="n">
        <v>0</v>
      </c>
      <c r="Q337" t="n">
        <v>0</v>
      </c>
      <c r="R337" s="2" t="inlineStr"/>
    </row>
    <row r="338" ht="15" customHeight="1">
      <c r="A338" t="inlineStr">
        <is>
          <t>A 10028-2024</t>
        </is>
      </c>
      <c r="B338" s="1" t="n">
        <v>45363.97292824074</v>
      </c>
      <c r="C338" s="1" t="n">
        <v>45911</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23946-2023</t>
        </is>
      </c>
      <c r="B339" s="1" t="n">
        <v>45078.61601851852</v>
      </c>
      <c r="C339" s="1" t="n">
        <v>45911</v>
      </c>
      <c r="D339" t="inlineStr">
        <is>
          <t>SKÅNE LÄN</t>
        </is>
      </c>
      <c r="E339" t="inlineStr">
        <is>
          <t>HÄSSLEHOLM</t>
        </is>
      </c>
      <c r="G339" t="n">
        <v>0.2</v>
      </c>
      <c r="H339" t="n">
        <v>0</v>
      </c>
      <c r="I339" t="n">
        <v>0</v>
      </c>
      <c r="J339" t="n">
        <v>0</v>
      </c>
      <c r="K339" t="n">
        <v>0</v>
      </c>
      <c r="L339" t="n">
        <v>0</v>
      </c>
      <c r="M339" t="n">
        <v>0</v>
      </c>
      <c r="N339" t="n">
        <v>0</v>
      </c>
      <c r="O339" t="n">
        <v>0</v>
      </c>
      <c r="P339" t="n">
        <v>0</v>
      </c>
      <c r="Q339" t="n">
        <v>0</v>
      </c>
      <c r="R339" s="2" t="inlineStr"/>
    </row>
    <row r="340" ht="15" customHeight="1">
      <c r="A340" t="inlineStr">
        <is>
          <t>A 74030-2021</t>
        </is>
      </c>
      <c r="B340" s="1" t="n">
        <v>44553</v>
      </c>
      <c r="C340" s="1" t="n">
        <v>45911</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61158-2022</t>
        </is>
      </c>
      <c r="B341" s="1" t="n">
        <v>44915.47112268519</v>
      </c>
      <c r="C341" s="1" t="n">
        <v>45911</v>
      </c>
      <c r="D341" t="inlineStr">
        <is>
          <t>SKÅNE LÄN</t>
        </is>
      </c>
      <c r="E341" t="inlineStr">
        <is>
          <t>HÄSSLEHOLM</t>
        </is>
      </c>
      <c r="G341" t="n">
        <v>8.4</v>
      </c>
      <c r="H341" t="n">
        <v>0</v>
      </c>
      <c r="I341" t="n">
        <v>0</v>
      </c>
      <c r="J341" t="n">
        <v>0</v>
      </c>
      <c r="K341" t="n">
        <v>0</v>
      </c>
      <c r="L341" t="n">
        <v>0</v>
      </c>
      <c r="M341" t="n">
        <v>0</v>
      </c>
      <c r="N341" t="n">
        <v>0</v>
      </c>
      <c r="O341" t="n">
        <v>0</v>
      </c>
      <c r="P341" t="n">
        <v>0</v>
      </c>
      <c r="Q341" t="n">
        <v>0</v>
      </c>
      <c r="R341" s="2" t="inlineStr"/>
    </row>
    <row r="342" ht="15" customHeight="1">
      <c r="A342" t="inlineStr">
        <is>
          <t>A 27606-2024</t>
        </is>
      </c>
      <c r="B342" s="1" t="n">
        <v>45474</v>
      </c>
      <c r="C342" s="1" t="n">
        <v>45911</v>
      </c>
      <c r="D342" t="inlineStr">
        <is>
          <t>SKÅNE LÄN</t>
        </is>
      </c>
      <c r="E342" t="inlineStr">
        <is>
          <t>HÄSSLEHOLM</t>
        </is>
      </c>
      <c r="G342" t="n">
        <v>3.6</v>
      </c>
      <c r="H342" t="n">
        <v>0</v>
      </c>
      <c r="I342" t="n">
        <v>0</v>
      </c>
      <c r="J342" t="n">
        <v>0</v>
      </c>
      <c r="K342" t="n">
        <v>0</v>
      </c>
      <c r="L342" t="n">
        <v>0</v>
      </c>
      <c r="M342" t="n">
        <v>0</v>
      </c>
      <c r="N342" t="n">
        <v>0</v>
      </c>
      <c r="O342" t="n">
        <v>0</v>
      </c>
      <c r="P342" t="n">
        <v>0</v>
      </c>
      <c r="Q342" t="n">
        <v>0</v>
      </c>
      <c r="R342" s="2" t="inlineStr"/>
    </row>
    <row r="343" ht="15" customHeight="1">
      <c r="A343" t="inlineStr">
        <is>
          <t>A 12468-2024</t>
        </is>
      </c>
      <c r="B343" s="1" t="n">
        <v>45379</v>
      </c>
      <c r="C343" s="1" t="n">
        <v>45911</v>
      </c>
      <c r="D343" t="inlineStr">
        <is>
          <t>SKÅNE LÄN</t>
        </is>
      </c>
      <c r="E343" t="inlineStr">
        <is>
          <t>HÄSSLEHOLM</t>
        </is>
      </c>
      <c r="G343" t="n">
        <v>15.5</v>
      </c>
      <c r="H343" t="n">
        <v>0</v>
      </c>
      <c r="I343" t="n">
        <v>0</v>
      </c>
      <c r="J343" t="n">
        <v>0</v>
      </c>
      <c r="K343" t="n">
        <v>0</v>
      </c>
      <c r="L343" t="n">
        <v>0</v>
      </c>
      <c r="M343" t="n">
        <v>0</v>
      </c>
      <c r="N343" t="n">
        <v>0</v>
      </c>
      <c r="O343" t="n">
        <v>0</v>
      </c>
      <c r="P343" t="n">
        <v>0</v>
      </c>
      <c r="Q343" t="n">
        <v>0</v>
      </c>
      <c r="R343" s="2" t="inlineStr"/>
    </row>
    <row r="344" ht="15" customHeight="1">
      <c r="A344" t="inlineStr">
        <is>
          <t>A 49250-2022</t>
        </is>
      </c>
      <c r="B344" s="1" t="n">
        <v>44858</v>
      </c>
      <c r="C344" s="1" t="n">
        <v>45911</v>
      </c>
      <c r="D344" t="inlineStr">
        <is>
          <t>SKÅNE LÄN</t>
        </is>
      </c>
      <c r="E344" t="inlineStr">
        <is>
          <t>HÄSSLEHOLM</t>
        </is>
      </c>
      <c r="F344" t="inlineStr">
        <is>
          <t>Kyrkan</t>
        </is>
      </c>
      <c r="G344" t="n">
        <v>1.5</v>
      </c>
      <c r="H344" t="n">
        <v>0</v>
      </c>
      <c r="I344" t="n">
        <v>0</v>
      </c>
      <c r="J344" t="n">
        <v>0</v>
      </c>
      <c r="K344" t="n">
        <v>0</v>
      </c>
      <c r="L344" t="n">
        <v>0</v>
      </c>
      <c r="M344" t="n">
        <v>0</v>
      </c>
      <c r="N344" t="n">
        <v>0</v>
      </c>
      <c r="O344" t="n">
        <v>0</v>
      </c>
      <c r="P344" t="n">
        <v>0</v>
      </c>
      <c r="Q344" t="n">
        <v>0</v>
      </c>
      <c r="R344" s="2" t="inlineStr"/>
    </row>
    <row r="345" ht="15" customHeight="1">
      <c r="A345" t="inlineStr">
        <is>
          <t>A 4009-2024</t>
        </is>
      </c>
      <c r="B345" s="1" t="n">
        <v>45323</v>
      </c>
      <c r="C345" s="1" t="n">
        <v>45911</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60848-2022</t>
        </is>
      </c>
      <c r="B346" s="1" t="n">
        <v>44914</v>
      </c>
      <c r="C346" s="1" t="n">
        <v>45911</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8378-2023</t>
        </is>
      </c>
      <c r="B347" s="1" t="n">
        <v>44971</v>
      </c>
      <c r="C347" s="1" t="n">
        <v>45911</v>
      </c>
      <c r="D347" t="inlineStr">
        <is>
          <t>SKÅNE LÄN</t>
        </is>
      </c>
      <c r="E347" t="inlineStr">
        <is>
          <t>HÄSSLEHOLM</t>
        </is>
      </c>
      <c r="G347" t="n">
        <v>1.2</v>
      </c>
      <c r="H347" t="n">
        <v>0</v>
      </c>
      <c r="I347" t="n">
        <v>0</v>
      </c>
      <c r="J347" t="n">
        <v>0</v>
      </c>
      <c r="K347" t="n">
        <v>0</v>
      </c>
      <c r="L347" t="n">
        <v>0</v>
      </c>
      <c r="M347" t="n">
        <v>0</v>
      </c>
      <c r="N347" t="n">
        <v>0</v>
      </c>
      <c r="O347" t="n">
        <v>0</v>
      </c>
      <c r="P347" t="n">
        <v>0</v>
      </c>
      <c r="Q347" t="n">
        <v>0</v>
      </c>
      <c r="R347" s="2" t="inlineStr"/>
    </row>
    <row r="348" ht="15" customHeight="1">
      <c r="A348" t="inlineStr">
        <is>
          <t>A 8759-2024</t>
        </is>
      </c>
      <c r="B348" s="1" t="n">
        <v>45356.52271990741</v>
      </c>
      <c r="C348" s="1" t="n">
        <v>45911</v>
      </c>
      <c r="D348" t="inlineStr">
        <is>
          <t>SKÅNE LÄN</t>
        </is>
      </c>
      <c r="E348" t="inlineStr">
        <is>
          <t>HÄSSLEHOLM</t>
        </is>
      </c>
      <c r="G348" t="n">
        <v>5.7</v>
      </c>
      <c r="H348" t="n">
        <v>0</v>
      </c>
      <c r="I348" t="n">
        <v>0</v>
      </c>
      <c r="J348" t="n">
        <v>0</v>
      </c>
      <c r="K348" t="n">
        <v>0</v>
      </c>
      <c r="L348" t="n">
        <v>0</v>
      </c>
      <c r="M348" t="n">
        <v>0</v>
      </c>
      <c r="N348" t="n">
        <v>0</v>
      </c>
      <c r="O348" t="n">
        <v>0</v>
      </c>
      <c r="P348" t="n">
        <v>0</v>
      </c>
      <c r="Q348" t="n">
        <v>0</v>
      </c>
      <c r="R348" s="2" t="inlineStr"/>
    </row>
    <row r="349" ht="15" customHeight="1">
      <c r="A349" t="inlineStr">
        <is>
          <t>A 10020-2024</t>
        </is>
      </c>
      <c r="B349" s="1" t="n">
        <v>45363.96944444445</v>
      </c>
      <c r="C349" s="1" t="n">
        <v>45911</v>
      </c>
      <c r="D349" t="inlineStr">
        <is>
          <t>SKÅNE LÄN</t>
        </is>
      </c>
      <c r="E349" t="inlineStr">
        <is>
          <t>HÄSSLEHOLM</t>
        </is>
      </c>
      <c r="G349" t="n">
        <v>5.3</v>
      </c>
      <c r="H349" t="n">
        <v>0</v>
      </c>
      <c r="I349" t="n">
        <v>0</v>
      </c>
      <c r="J349" t="n">
        <v>0</v>
      </c>
      <c r="K349" t="n">
        <v>0</v>
      </c>
      <c r="L349" t="n">
        <v>0</v>
      </c>
      <c r="M349" t="n">
        <v>0</v>
      </c>
      <c r="N349" t="n">
        <v>0</v>
      </c>
      <c r="O349" t="n">
        <v>0</v>
      </c>
      <c r="P349" t="n">
        <v>0</v>
      </c>
      <c r="Q349" t="n">
        <v>0</v>
      </c>
      <c r="R349" s="2" t="inlineStr"/>
    </row>
    <row r="350" ht="15" customHeight="1">
      <c r="A350" t="inlineStr">
        <is>
          <t>A 57649-2022</t>
        </is>
      </c>
      <c r="B350" s="1" t="n">
        <v>44897.42755787037</v>
      </c>
      <c r="C350" s="1" t="n">
        <v>45911</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60704-2023</t>
        </is>
      </c>
      <c r="B351" s="1" t="n">
        <v>45260.51340277777</v>
      </c>
      <c r="C351" s="1" t="n">
        <v>45911</v>
      </c>
      <c r="D351" t="inlineStr">
        <is>
          <t>SKÅNE LÄN</t>
        </is>
      </c>
      <c r="E351" t="inlineStr">
        <is>
          <t>HÄSSLEHOLM</t>
        </is>
      </c>
      <c r="G351" t="n">
        <v>2.1</v>
      </c>
      <c r="H351" t="n">
        <v>0</v>
      </c>
      <c r="I351" t="n">
        <v>0</v>
      </c>
      <c r="J351" t="n">
        <v>0</v>
      </c>
      <c r="K351" t="n">
        <v>0</v>
      </c>
      <c r="L351" t="n">
        <v>0</v>
      </c>
      <c r="M351" t="n">
        <v>0</v>
      </c>
      <c r="N351" t="n">
        <v>0</v>
      </c>
      <c r="O351" t="n">
        <v>0</v>
      </c>
      <c r="P351" t="n">
        <v>0</v>
      </c>
      <c r="Q351" t="n">
        <v>0</v>
      </c>
      <c r="R351" s="2" t="inlineStr"/>
    </row>
    <row r="352" ht="15" customHeight="1">
      <c r="A352" t="inlineStr">
        <is>
          <t>A 57665-2022</t>
        </is>
      </c>
      <c r="B352" s="1" t="n">
        <v>44897.4494212963</v>
      </c>
      <c r="C352" s="1" t="n">
        <v>45911</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57676-2022</t>
        </is>
      </c>
      <c r="B353" s="1" t="n">
        <v>44897</v>
      </c>
      <c r="C353" s="1" t="n">
        <v>45911</v>
      </c>
      <c r="D353" t="inlineStr">
        <is>
          <t>SKÅNE LÄN</t>
        </is>
      </c>
      <c r="E353" t="inlineStr">
        <is>
          <t>HÄSSLEHOLM</t>
        </is>
      </c>
      <c r="G353" t="n">
        <v>1</v>
      </c>
      <c r="H353" t="n">
        <v>0</v>
      </c>
      <c r="I353" t="n">
        <v>0</v>
      </c>
      <c r="J353" t="n">
        <v>0</v>
      </c>
      <c r="K353" t="n">
        <v>0</v>
      </c>
      <c r="L353" t="n">
        <v>0</v>
      </c>
      <c r="M353" t="n">
        <v>0</v>
      </c>
      <c r="N353" t="n">
        <v>0</v>
      </c>
      <c r="O353" t="n">
        <v>0</v>
      </c>
      <c r="P353" t="n">
        <v>0</v>
      </c>
      <c r="Q353" t="n">
        <v>0</v>
      </c>
      <c r="R353" s="2" t="inlineStr"/>
    </row>
    <row r="354" ht="15" customHeight="1">
      <c r="A354" t="inlineStr">
        <is>
          <t>A 56735-2024</t>
        </is>
      </c>
      <c r="B354" s="1" t="n">
        <v>45628.36234953703</v>
      </c>
      <c r="C354" s="1" t="n">
        <v>45911</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61569-2023</t>
        </is>
      </c>
      <c r="B355" s="1" t="n">
        <v>45265</v>
      </c>
      <c r="C355" s="1" t="n">
        <v>45911</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2621-2025</t>
        </is>
      </c>
      <c r="B356" s="1" t="n">
        <v>45675.60765046296</v>
      </c>
      <c r="C356" s="1" t="n">
        <v>45911</v>
      </c>
      <c r="D356" t="inlineStr">
        <is>
          <t>SKÅNE LÄN</t>
        </is>
      </c>
      <c r="E356" t="inlineStr">
        <is>
          <t>HÄSSLEHOLM</t>
        </is>
      </c>
      <c r="F356" t="inlineStr">
        <is>
          <t>Kommuner</t>
        </is>
      </c>
      <c r="G356" t="n">
        <v>3</v>
      </c>
      <c r="H356" t="n">
        <v>0</v>
      </c>
      <c r="I356" t="n">
        <v>0</v>
      </c>
      <c r="J356" t="n">
        <v>0</v>
      </c>
      <c r="K356" t="n">
        <v>0</v>
      </c>
      <c r="L356" t="n">
        <v>0</v>
      </c>
      <c r="M356" t="n">
        <v>0</v>
      </c>
      <c r="N356" t="n">
        <v>0</v>
      </c>
      <c r="O356" t="n">
        <v>0</v>
      </c>
      <c r="P356" t="n">
        <v>0</v>
      </c>
      <c r="Q356" t="n">
        <v>0</v>
      </c>
      <c r="R356" s="2" t="inlineStr"/>
    </row>
    <row r="357" ht="15" customHeight="1">
      <c r="A357" t="inlineStr">
        <is>
          <t>A 54671-2022</t>
        </is>
      </c>
      <c r="B357" s="1" t="n">
        <v>44883</v>
      </c>
      <c r="C357" s="1" t="n">
        <v>45911</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12936-2025</t>
        </is>
      </c>
      <c r="B358" s="1" t="n">
        <v>45734</v>
      </c>
      <c r="C358" s="1" t="n">
        <v>45911</v>
      </c>
      <c r="D358" t="inlineStr">
        <is>
          <t>SKÅNE LÄN</t>
        </is>
      </c>
      <c r="E358" t="inlineStr">
        <is>
          <t>HÄSSLEHOLM</t>
        </is>
      </c>
      <c r="G358" t="n">
        <v>1.7</v>
      </c>
      <c r="H358" t="n">
        <v>0</v>
      </c>
      <c r="I358" t="n">
        <v>0</v>
      </c>
      <c r="J358" t="n">
        <v>0</v>
      </c>
      <c r="K358" t="n">
        <v>0</v>
      </c>
      <c r="L358" t="n">
        <v>0</v>
      </c>
      <c r="M358" t="n">
        <v>0</v>
      </c>
      <c r="N358" t="n">
        <v>0</v>
      </c>
      <c r="O358" t="n">
        <v>0</v>
      </c>
      <c r="P358" t="n">
        <v>0</v>
      </c>
      <c r="Q358" t="n">
        <v>0</v>
      </c>
      <c r="R358" s="2" t="inlineStr"/>
    </row>
    <row r="359" ht="15" customHeight="1">
      <c r="A359" t="inlineStr">
        <is>
          <t>A 23005-2025</t>
        </is>
      </c>
      <c r="B359" s="1" t="n">
        <v>45790</v>
      </c>
      <c r="C359" s="1" t="n">
        <v>45911</v>
      </c>
      <c r="D359" t="inlineStr">
        <is>
          <t>SKÅNE LÄN</t>
        </is>
      </c>
      <c r="E359" t="inlineStr">
        <is>
          <t>HÄSSLEHOLM</t>
        </is>
      </c>
      <c r="G359" t="n">
        <v>0.3</v>
      </c>
      <c r="H359" t="n">
        <v>0</v>
      </c>
      <c r="I359" t="n">
        <v>0</v>
      </c>
      <c r="J359" t="n">
        <v>0</v>
      </c>
      <c r="K359" t="n">
        <v>0</v>
      </c>
      <c r="L359" t="n">
        <v>0</v>
      </c>
      <c r="M359" t="n">
        <v>0</v>
      </c>
      <c r="N359" t="n">
        <v>0</v>
      </c>
      <c r="O359" t="n">
        <v>0</v>
      </c>
      <c r="P359" t="n">
        <v>0</v>
      </c>
      <c r="Q359" t="n">
        <v>0</v>
      </c>
      <c r="R359" s="2" t="inlineStr"/>
    </row>
    <row r="360" ht="15" customHeight="1">
      <c r="A360" t="inlineStr">
        <is>
          <t>A 53887-2023</t>
        </is>
      </c>
      <c r="B360" s="1" t="n">
        <v>45231.52675925926</v>
      </c>
      <c r="C360" s="1" t="n">
        <v>45911</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49167-2022</t>
        </is>
      </c>
      <c r="B361" s="1" t="n">
        <v>44860</v>
      </c>
      <c r="C361" s="1" t="n">
        <v>45911</v>
      </c>
      <c r="D361" t="inlineStr">
        <is>
          <t>SKÅNE LÄN</t>
        </is>
      </c>
      <c r="E361" t="inlineStr">
        <is>
          <t>HÄSSLEHOLM</t>
        </is>
      </c>
      <c r="G361" t="n">
        <v>1.3</v>
      </c>
      <c r="H361" t="n">
        <v>0</v>
      </c>
      <c r="I361" t="n">
        <v>0</v>
      </c>
      <c r="J361" t="n">
        <v>0</v>
      </c>
      <c r="K361" t="n">
        <v>0</v>
      </c>
      <c r="L361" t="n">
        <v>0</v>
      </c>
      <c r="M361" t="n">
        <v>0</v>
      </c>
      <c r="N361" t="n">
        <v>0</v>
      </c>
      <c r="O361" t="n">
        <v>0</v>
      </c>
      <c r="P361" t="n">
        <v>0</v>
      </c>
      <c r="Q361" t="n">
        <v>0</v>
      </c>
      <c r="R361" s="2" t="inlineStr"/>
    </row>
    <row r="362" ht="15" customHeight="1">
      <c r="A362" t="inlineStr">
        <is>
          <t>A 28071-2023</t>
        </is>
      </c>
      <c r="B362" s="1" t="n">
        <v>45099.37755787037</v>
      </c>
      <c r="C362" s="1" t="n">
        <v>45911</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3507-2024</t>
        </is>
      </c>
      <c r="B363" s="1" t="n">
        <v>45320.4906712963</v>
      </c>
      <c r="C363" s="1" t="n">
        <v>45911</v>
      </c>
      <c r="D363" t="inlineStr">
        <is>
          <t>SKÅNE LÄN</t>
        </is>
      </c>
      <c r="E363" t="inlineStr">
        <is>
          <t>HÄSSLEHOLM</t>
        </is>
      </c>
      <c r="G363" t="n">
        <v>6.4</v>
      </c>
      <c r="H363" t="n">
        <v>0</v>
      </c>
      <c r="I363" t="n">
        <v>0</v>
      </c>
      <c r="J363" t="n">
        <v>0</v>
      </c>
      <c r="K363" t="n">
        <v>0</v>
      </c>
      <c r="L363" t="n">
        <v>0</v>
      </c>
      <c r="M363" t="n">
        <v>0</v>
      </c>
      <c r="N363" t="n">
        <v>0</v>
      </c>
      <c r="O363" t="n">
        <v>0</v>
      </c>
      <c r="P363" t="n">
        <v>0</v>
      </c>
      <c r="Q363" t="n">
        <v>0</v>
      </c>
      <c r="R363" s="2" t="inlineStr"/>
    </row>
    <row r="364" ht="15" customHeight="1">
      <c r="A364" t="inlineStr">
        <is>
          <t>A 315-2022</t>
        </is>
      </c>
      <c r="B364" s="1" t="n">
        <v>44565.55630787037</v>
      </c>
      <c r="C364" s="1" t="n">
        <v>45911</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4119-2024</t>
        </is>
      </c>
      <c r="B365" s="1" t="n">
        <v>45323.67920138889</v>
      </c>
      <c r="C365" s="1" t="n">
        <v>45911</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8737-2025</t>
        </is>
      </c>
      <c r="B366" s="1" t="n">
        <v>45712.54578703704</v>
      </c>
      <c r="C366" s="1" t="n">
        <v>45911</v>
      </c>
      <c r="D366" t="inlineStr">
        <is>
          <t>SKÅNE LÄN</t>
        </is>
      </c>
      <c r="E366" t="inlineStr">
        <is>
          <t>HÄSSLEHOLM</t>
        </is>
      </c>
      <c r="G366" t="n">
        <v>2.7</v>
      </c>
      <c r="H366" t="n">
        <v>0</v>
      </c>
      <c r="I366" t="n">
        <v>0</v>
      </c>
      <c r="J366" t="n">
        <v>0</v>
      </c>
      <c r="K366" t="n">
        <v>0</v>
      </c>
      <c r="L366" t="n">
        <v>0</v>
      </c>
      <c r="M366" t="n">
        <v>0</v>
      </c>
      <c r="N366" t="n">
        <v>0</v>
      </c>
      <c r="O366" t="n">
        <v>0</v>
      </c>
      <c r="P366" t="n">
        <v>0</v>
      </c>
      <c r="Q366" t="n">
        <v>0</v>
      </c>
      <c r="R366" s="2" t="inlineStr"/>
    </row>
    <row r="367" ht="15" customHeight="1">
      <c r="A367" t="inlineStr">
        <is>
          <t>A 48877-2024</t>
        </is>
      </c>
      <c r="B367" s="1" t="n">
        <v>45594.31729166667</v>
      </c>
      <c r="C367" s="1" t="n">
        <v>45911</v>
      </c>
      <c r="D367" t="inlineStr">
        <is>
          <t>SKÅNE LÄN</t>
        </is>
      </c>
      <c r="E367" t="inlineStr">
        <is>
          <t>HÄSSLEHOLM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22587-2025</t>
        </is>
      </c>
      <c r="B368" s="1" t="n">
        <v>45789.39974537037</v>
      </c>
      <c r="C368" s="1" t="n">
        <v>45911</v>
      </c>
      <c r="D368" t="inlineStr">
        <is>
          <t>SKÅNE LÄN</t>
        </is>
      </c>
      <c r="E368" t="inlineStr">
        <is>
          <t>HÄSSLEHOLM</t>
        </is>
      </c>
      <c r="G368" t="n">
        <v>5.7</v>
      </c>
      <c r="H368" t="n">
        <v>0</v>
      </c>
      <c r="I368" t="n">
        <v>0</v>
      </c>
      <c r="J368" t="n">
        <v>0</v>
      </c>
      <c r="K368" t="n">
        <v>0</v>
      </c>
      <c r="L368" t="n">
        <v>0</v>
      </c>
      <c r="M368" t="n">
        <v>0</v>
      </c>
      <c r="N368" t="n">
        <v>0</v>
      </c>
      <c r="O368" t="n">
        <v>0</v>
      </c>
      <c r="P368" t="n">
        <v>0</v>
      </c>
      <c r="Q368" t="n">
        <v>0</v>
      </c>
      <c r="R368" s="2" t="inlineStr"/>
    </row>
    <row r="369" ht="15" customHeight="1">
      <c r="A369" t="inlineStr">
        <is>
          <t>A 22592-2025</t>
        </is>
      </c>
      <c r="B369" s="1" t="n">
        <v>45789.40502314815</v>
      </c>
      <c r="C369" s="1" t="n">
        <v>45911</v>
      </c>
      <c r="D369" t="inlineStr">
        <is>
          <t>SKÅNE LÄN</t>
        </is>
      </c>
      <c r="E369" t="inlineStr">
        <is>
          <t>HÄSSLEHOLM</t>
        </is>
      </c>
      <c r="G369" t="n">
        <v>7.1</v>
      </c>
      <c r="H369" t="n">
        <v>0</v>
      </c>
      <c r="I369" t="n">
        <v>0</v>
      </c>
      <c r="J369" t="n">
        <v>0</v>
      </c>
      <c r="K369" t="n">
        <v>0</v>
      </c>
      <c r="L369" t="n">
        <v>0</v>
      </c>
      <c r="M369" t="n">
        <v>0</v>
      </c>
      <c r="N369" t="n">
        <v>0</v>
      </c>
      <c r="O369" t="n">
        <v>0</v>
      </c>
      <c r="P369" t="n">
        <v>0</v>
      </c>
      <c r="Q369" t="n">
        <v>0</v>
      </c>
      <c r="R369" s="2" t="inlineStr"/>
    </row>
    <row r="370" ht="15" customHeight="1">
      <c r="A370" t="inlineStr">
        <is>
          <t>A 47647-2024</t>
        </is>
      </c>
      <c r="B370" s="1" t="n">
        <v>45588</v>
      </c>
      <c r="C370" s="1" t="n">
        <v>45911</v>
      </c>
      <c r="D370" t="inlineStr">
        <is>
          <t>SKÅNE LÄN</t>
        </is>
      </c>
      <c r="E370" t="inlineStr">
        <is>
          <t>HÄSSLEHOLM</t>
        </is>
      </c>
      <c r="G370" t="n">
        <v>6.5</v>
      </c>
      <c r="H370" t="n">
        <v>0</v>
      </c>
      <c r="I370" t="n">
        <v>0</v>
      </c>
      <c r="J370" t="n">
        <v>0</v>
      </c>
      <c r="K370" t="n">
        <v>0</v>
      </c>
      <c r="L370" t="n">
        <v>0</v>
      </c>
      <c r="M370" t="n">
        <v>0</v>
      </c>
      <c r="N370" t="n">
        <v>0</v>
      </c>
      <c r="O370" t="n">
        <v>0</v>
      </c>
      <c r="P370" t="n">
        <v>0</v>
      </c>
      <c r="Q370" t="n">
        <v>0</v>
      </c>
      <c r="R370" s="2" t="inlineStr"/>
    </row>
    <row r="371" ht="15" customHeight="1">
      <c r="A371" t="inlineStr">
        <is>
          <t>A 1619-2022</t>
        </is>
      </c>
      <c r="B371" s="1" t="n">
        <v>44573</v>
      </c>
      <c r="C371" s="1" t="n">
        <v>45911</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31161-2024</t>
        </is>
      </c>
      <c r="B372" s="1" t="n">
        <v>45503</v>
      </c>
      <c r="C372" s="1" t="n">
        <v>45911</v>
      </c>
      <c r="D372" t="inlineStr">
        <is>
          <t>SKÅNE LÄN</t>
        </is>
      </c>
      <c r="E372" t="inlineStr">
        <is>
          <t>HÄSSLEHOLM</t>
        </is>
      </c>
      <c r="G372" t="n">
        <v>1.5</v>
      </c>
      <c r="H372" t="n">
        <v>0</v>
      </c>
      <c r="I372" t="n">
        <v>0</v>
      </c>
      <c r="J372" t="n">
        <v>0</v>
      </c>
      <c r="K372" t="n">
        <v>0</v>
      </c>
      <c r="L372" t="n">
        <v>0</v>
      </c>
      <c r="M372" t="n">
        <v>0</v>
      </c>
      <c r="N372" t="n">
        <v>0</v>
      </c>
      <c r="O372" t="n">
        <v>0</v>
      </c>
      <c r="P372" t="n">
        <v>0</v>
      </c>
      <c r="Q372" t="n">
        <v>0</v>
      </c>
      <c r="R372" s="2" t="inlineStr"/>
    </row>
    <row r="373" ht="15" customHeight="1">
      <c r="A373" t="inlineStr">
        <is>
          <t>A 33067-2024</t>
        </is>
      </c>
      <c r="B373" s="1" t="n">
        <v>45517.6520949074</v>
      </c>
      <c r="C373" s="1" t="n">
        <v>45911</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17171-2025</t>
        </is>
      </c>
      <c r="B374" s="1" t="n">
        <v>45755</v>
      </c>
      <c r="C374" s="1" t="n">
        <v>45911</v>
      </c>
      <c r="D374" t="inlineStr">
        <is>
          <t>SKÅNE LÄN</t>
        </is>
      </c>
      <c r="E374" t="inlineStr">
        <is>
          <t>HÄSSLEHOLM</t>
        </is>
      </c>
      <c r="G374" t="n">
        <v>1.5</v>
      </c>
      <c r="H374" t="n">
        <v>0</v>
      </c>
      <c r="I374" t="n">
        <v>0</v>
      </c>
      <c r="J374" t="n">
        <v>0</v>
      </c>
      <c r="K374" t="n">
        <v>0</v>
      </c>
      <c r="L374" t="n">
        <v>0</v>
      </c>
      <c r="M374" t="n">
        <v>0</v>
      </c>
      <c r="N374" t="n">
        <v>0</v>
      </c>
      <c r="O374" t="n">
        <v>0</v>
      </c>
      <c r="P374" t="n">
        <v>0</v>
      </c>
      <c r="Q374" t="n">
        <v>0</v>
      </c>
      <c r="R374" s="2" t="inlineStr"/>
    </row>
    <row r="375" ht="15" customHeight="1">
      <c r="A375" t="inlineStr">
        <is>
          <t>A 38888-2023</t>
        </is>
      </c>
      <c r="B375" s="1" t="n">
        <v>45161</v>
      </c>
      <c r="C375" s="1" t="n">
        <v>45911</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13954-2023</t>
        </is>
      </c>
      <c r="B376" s="1" t="n">
        <v>45008</v>
      </c>
      <c r="C376" s="1" t="n">
        <v>45911</v>
      </c>
      <c r="D376" t="inlineStr">
        <is>
          <t>SKÅNE LÄN</t>
        </is>
      </c>
      <c r="E376" t="inlineStr">
        <is>
          <t>HÄSSLEHOLM</t>
        </is>
      </c>
      <c r="G376" t="n">
        <v>1.9</v>
      </c>
      <c r="H376" t="n">
        <v>0</v>
      </c>
      <c r="I376" t="n">
        <v>0</v>
      </c>
      <c r="J376" t="n">
        <v>0</v>
      </c>
      <c r="K376" t="n">
        <v>0</v>
      </c>
      <c r="L376" t="n">
        <v>0</v>
      </c>
      <c r="M376" t="n">
        <v>0</v>
      </c>
      <c r="N376" t="n">
        <v>0</v>
      </c>
      <c r="O376" t="n">
        <v>0</v>
      </c>
      <c r="P376" t="n">
        <v>0</v>
      </c>
      <c r="Q376" t="n">
        <v>0</v>
      </c>
      <c r="R376" s="2" t="inlineStr"/>
    </row>
    <row r="377" ht="15" customHeight="1">
      <c r="A377" t="inlineStr">
        <is>
          <t>A 51018-2023</t>
        </is>
      </c>
      <c r="B377" s="1" t="n">
        <v>45218</v>
      </c>
      <c r="C377" s="1" t="n">
        <v>45911</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40152-2024</t>
        </is>
      </c>
      <c r="B378" s="1" t="n">
        <v>45554</v>
      </c>
      <c r="C378" s="1" t="n">
        <v>45911</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31254-2024</t>
        </is>
      </c>
      <c r="B379" s="1" t="n">
        <v>45503</v>
      </c>
      <c r="C379" s="1" t="n">
        <v>45911</v>
      </c>
      <c r="D379" t="inlineStr">
        <is>
          <t>SKÅNE LÄN</t>
        </is>
      </c>
      <c r="E379" t="inlineStr">
        <is>
          <t>HÄSSLEHOLM</t>
        </is>
      </c>
      <c r="G379" t="n">
        <v>2.2</v>
      </c>
      <c r="H379" t="n">
        <v>0</v>
      </c>
      <c r="I379" t="n">
        <v>0</v>
      </c>
      <c r="J379" t="n">
        <v>0</v>
      </c>
      <c r="K379" t="n">
        <v>0</v>
      </c>
      <c r="L379" t="n">
        <v>0</v>
      </c>
      <c r="M379" t="n">
        <v>0</v>
      </c>
      <c r="N379" t="n">
        <v>0</v>
      </c>
      <c r="O379" t="n">
        <v>0</v>
      </c>
      <c r="P379" t="n">
        <v>0</v>
      </c>
      <c r="Q379" t="n">
        <v>0</v>
      </c>
      <c r="R379" s="2" t="inlineStr"/>
    </row>
    <row r="380" ht="15" customHeight="1">
      <c r="A380" t="inlineStr">
        <is>
          <t>A 27825-2024</t>
        </is>
      </c>
      <c r="B380" s="1" t="n">
        <v>45475</v>
      </c>
      <c r="C380" s="1" t="n">
        <v>45911</v>
      </c>
      <c r="D380" t="inlineStr">
        <is>
          <t>SKÅNE LÄN</t>
        </is>
      </c>
      <c r="E380" t="inlineStr">
        <is>
          <t>HÄSSLEHOLM</t>
        </is>
      </c>
      <c r="F380" t="inlineStr">
        <is>
          <t>Kommuner</t>
        </is>
      </c>
      <c r="G380" t="n">
        <v>1.1</v>
      </c>
      <c r="H380" t="n">
        <v>0</v>
      </c>
      <c r="I380" t="n">
        <v>0</v>
      </c>
      <c r="J380" t="n">
        <v>0</v>
      </c>
      <c r="K380" t="n">
        <v>0</v>
      </c>
      <c r="L380" t="n">
        <v>0</v>
      </c>
      <c r="M380" t="n">
        <v>0</v>
      </c>
      <c r="N380" t="n">
        <v>0</v>
      </c>
      <c r="O380" t="n">
        <v>0</v>
      </c>
      <c r="P380" t="n">
        <v>0</v>
      </c>
      <c r="Q380" t="n">
        <v>0</v>
      </c>
      <c r="R380" s="2" t="inlineStr"/>
    </row>
    <row r="381" ht="15" customHeight="1">
      <c r="A381" t="inlineStr">
        <is>
          <t>A 11753-2025</t>
        </is>
      </c>
      <c r="B381" s="1" t="n">
        <v>45727</v>
      </c>
      <c r="C381" s="1" t="n">
        <v>45911</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37764-2022</t>
        </is>
      </c>
      <c r="B382" s="1" t="n">
        <v>44810</v>
      </c>
      <c r="C382" s="1" t="n">
        <v>45911</v>
      </c>
      <c r="D382" t="inlineStr">
        <is>
          <t>SKÅNE LÄN</t>
        </is>
      </c>
      <c r="E382" t="inlineStr">
        <is>
          <t>HÄSSLEHOLM</t>
        </is>
      </c>
      <c r="F382" t="inlineStr">
        <is>
          <t>Kyrkan</t>
        </is>
      </c>
      <c r="G382" t="n">
        <v>9.4</v>
      </c>
      <c r="H382" t="n">
        <v>0</v>
      </c>
      <c r="I382" t="n">
        <v>0</v>
      </c>
      <c r="J382" t="n">
        <v>0</v>
      </c>
      <c r="K382" t="n">
        <v>0</v>
      </c>
      <c r="L382" t="n">
        <v>0</v>
      </c>
      <c r="M382" t="n">
        <v>0</v>
      </c>
      <c r="N382" t="n">
        <v>0</v>
      </c>
      <c r="O382" t="n">
        <v>0</v>
      </c>
      <c r="P382" t="n">
        <v>0</v>
      </c>
      <c r="Q382" t="n">
        <v>0</v>
      </c>
      <c r="R382" s="2" t="inlineStr"/>
    </row>
    <row r="383" ht="15" customHeight="1">
      <c r="A383" t="inlineStr">
        <is>
          <t>A 8749-2024</t>
        </is>
      </c>
      <c r="B383" s="1" t="n">
        <v>45356.50387731481</v>
      </c>
      <c r="C383" s="1" t="n">
        <v>45911</v>
      </c>
      <c r="D383" t="inlineStr">
        <is>
          <t>SKÅNE LÄN</t>
        </is>
      </c>
      <c r="E383" t="inlineStr">
        <is>
          <t>HÄSSLEHOLM</t>
        </is>
      </c>
      <c r="G383" t="n">
        <v>2.9</v>
      </c>
      <c r="H383" t="n">
        <v>0</v>
      </c>
      <c r="I383" t="n">
        <v>0</v>
      </c>
      <c r="J383" t="n">
        <v>0</v>
      </c>
      <c r="K383" t="n">
        <v>0</v>
      </c>
      <c r="L383" t="n">
        <v>0</v>
      </c>
      <c r="M383" t="n">
        <v>0</v>
      </c>
      <c r="N383" t="n">
        <v>0</v>
      </c>
      <c r="O383" t="n">
        <v>0</v>
      </c>
      <c r="P383" t="n">
        <v>0</v>
      </c>
      <c r="Q383" t="n">
        <v>0</v>
      </c>
      <c r="R383" s="2" t="inlineStr"/>
    </row>
    <row r="384" ht="15" customHeight="1">
      <c r="A384" t="inlineStr">
        <is>
          <t>A 8752-2024</t>
        </is>
      </c>
      <c r="B384" s="1" t="n">
        <v>45356</v>
      </c>
      <c r="C384" s="1" t="n">
        <v>45911</v>
      </c>
      <c r="D384" t="inlineStr">
        <is>
          <t>SKÅNE LÄN</t>
        </is>
      </c>
      <c r="E384" t="inlineStr">
        <is>
          <t>HÄSSLEHOLM</t>
        </is>
      </c>
      <c r="G384" t="n">
        <v>3.4</v>
      </c>
      <c r="H384" t="n">
        <v>0</v>
      </c>
      <c r="I384" t="n">
        <v>0</v>
      </c>
      <c r="J384" t="n">
        <v>0</v>
      </c>
      <c r="K384" t="n">
        <v>0</v>
      </c>
      <c r="L384" t="n">
        <v>0</v>
      </c>
      <c r="M384" t="n">
        <v>0</v>
      </c>
      <c r="N384" t="n">
        <v>0</v>
      </c>
      <c r="O384" t="n">
        <v>0</v>
      </c>
      <c r="P384" t="n">
        <v>0</v>
      </c>
      <c r="Q384" t="n">
        <v>0</v>
      </c>
      <c r="R384" s="2" t="inlineStr"/>
    </row>
    <row r="385" ht="15" customHeight="1">
      <c r="A385" t="inlineStr">
        <is>
          <t>A 42906-2022</t>
        </is>
      </c>
      <c r="B385" s="1" t="n">
        <v>44833</v>
      </c>
      <c r="C385" s="1" t="n">
        <v>45911</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15036-2024</t>
        </is>
      </c>
      <c r="B386" s="1" t="n">
        <v>45399.48100694444</v>
      </c>
      <c r="C386" s="1" t="n">
        <v>45911</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5992-2022</t>
        </is>
      </c>
      <c r="B387" s="1" t="n">
        <v>44599</v>
      </c>
      <c r="C387" s="1" t="n">
        <v>45911</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22132-2024</t>
        </is>
      </c>
      <c r="B388" s="1" t="n">
        <v>45444.37234953704</v>
      </c>
      <c r="C388" s="1" t="n">
        <v>45911</v>
      </c>
      <c r="D388" t="inlineStr">
        <is>
          <t>SKÅNE LÄN</t>
        </is>
      </c>
      <c r="E388" t="inlineStr">
        <is>
          <t>HÄSSLEHOLM</t>
        </is>
      </c>
      <c r="G388" t="n">
        <v>3.1</v>
      </c>
      <c r="H388" t="n">
        <v>0</v>
      </c>
      <c r="I388" t="n">
        <v>0</v>
      </c>
      <c r="J388" t="n">
        <v>0</v>
      </c>
      <c r="K388" t="n">
        <v>0</v>
      </c>
      <c r="L388" t="n">
        <v>0</v>
      </c>
      <c r="M388" t="n">
        <v>0</v>
      </c>
      <c r="N388" t="n">
        <v>0</v>
      </c>
      <c r="O388" t="n">
        <v>0</v>
      </c>
      <c r="P388" t="n">
        <v>0</v>
      </c>
      <c r="Q388" t="n">
        <v>0</v>
      </c>
      <c r="R388" s="2" t="inlineStr"/>
    </row>
    <row r="389" ht="15" customHeight="1">
      <c r="A389" t="inlineStr">
        <is>
          <t>A 54171-2022</t>
        </is>
      </c>
      <c r="B389" s="1" t="n">
        <v>44881</v>
      </c>
      <c r="C389" s="1" t="n">
        <v>45911</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37486-2024</t>
        </is>
      </c>
      <c r="B390" s="1" t="n">
        <v>45541</v>
      </c>
      <c r="C390" s="1" t="n">
        <v>45911</v>
      </c>
      <c r="D390" t="inlineStr">
        <is>
          <t>SKÅNE LÄN</t>
        </is>
      </c>
      <c r="E390" t="inlineStr">
        <is>
          <t>HÄSSLEHOLM</t>
        </is>
      </c>
      <c r="G390" t="n">
        <v>8.5</v>
      </c>
      <c r="H390" t="n">
        <v>0</v>
      </c>
      <c r="I390" t="n">
        <v>0</v>
      </c>
      <c r="J390" t="n">
        <v>0</v>
      </c>
      <c r="K390" t="n">
        <v>0</v>
      </c>
      <c r="L390" t="n">
        <v>0</v>
      </c>
      <c r="M390" t="n">
        <v>0</v>
      </c>
      <c r="N390" t="n">
        <v>0</v>
      </c>
      <c r="O390" t="n">
        <v>0</v>
      </c>
      <c r="P390" t="n">
        <v>0</v>
      </c>
      <c r="Q390" t="n">
        <v>0</v>
      </c>
      <c r="R390" s="2" t="inlineStr"/>
    </row>
    <row r="391" ht="15" customHeight="1">
      <c r="A391" t="inlineStr">
        <is>
          <t>A 44838-2023</t>
        </is>
      </c>
      <c r="B391" s="1" t="n">
        <v>45190</v>
      </c>
      <c r="C391" s="1" t="n">
        <v>45911</v>
      </c>
      <c r="D391" t="inlineStr">
        <is>
          <t>SKÅNE LÄN</t>
        </is>
      </c>
      <c r="E391" t="inlineStr">
        <is>
          <t>HÄSSLEHOLM</t>
        </is>
      </c>
      <c r="F391" t="inlineStr">
        <is>
          <t>Kommuner</t>
        </is>
      </c>
      <c r="G391" t="n">
        <v>2</v>
      </c>
      <c r="H391" t="n">
        <v>0</v>
      </c>
      <c r="I391" t="n">
        <v>0</v>
      </c>
      <c r="J391" t="n">
        <v>0</v>
      </c>
      <c r="K391" t="n">
        <v>0</v>
      </c>
      <c r="L391" t="n">
        <v>0</v>
      </c>
      <c r="M391" t="n">
        <v>0</v>
      </c>
      <c r="N391" t="n">
        <v>0</v>
      </c>
      <c r="O391" t="n">
        <v>0</v>
      </c>
      <c r="P391" t="n">
        <v>0</v>
      </c>
      <c r="Q391" t="n">
        <v>0</v>
      </c>
      <c r="R391" s="2" t="inlineStr"/>
    </row>
    <row r="392" ht="15" customHeight="1">
      <c r="A392" t="inlineStr">
        <is>
          <t>A 15072-2024</t>
        </is>
      </c>
      <c r="B392" s="1" t="n">
        <v>45399.5996875</v>
      </c>
      <c r="C392" s="1" t="n">
        <v>45911</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16930-2024</t>
        </is>
      </c>
      <c r="B393" s="1" t="n">
        <v>45411</v>
      </c>
      <c r="C393" s="1" t="n">
        <v>45911</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11262-2025</t>
        </is>
      </c>
      <c r="B394" s="1" t="n">
        <v>45726</v>
      </c>
      <c r="C394" s="1" t="n">
        <v>45911</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5395-2024</t>
        </is>
      </c>
      <c r="B395" s="1" t="n">
        <v>45331</v>
      </c>
      <c r="C395" s="1" t="n">
        <v>45911</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56069-2024</t>
        </is>
      </c>
      <c r="B396" s="1" t="n">
        <v>45624.38006944444</v>
      </c>
      <c r="C396" s="1" t="n">
        <v>45911</v>
      </c>
      <c r="D396" t="inlineStr">
        <is>
          <t>SKÅNE LÄN</t>
        </is>
      </c>
      <c r="E396" t="inlineStr">
        <is>
          <t>HÄSSLEHOLM</t>
        </is>
      </c>
      <c r="F396" t="inlineStr">
        <is>
          <t>Övriga Aktiebolag</t>
        </is>
      </c>
      <c r="G396" t="n">
        <v>2.3</v>
      </c>
      <c r="H396" t="n">
        <v>0</v>
      </c>
      <c r="I396" t="n">
        <v>0</v>
      </c>
      <c r="J396" t="n">
        <v>0</v>
      </c>
      <c r="K396" t="n">
        <v>0</v>
      </c>
      <c r="L396" t="n">
        <v>0</v>
      </c>
      <c r="M396" t="n">
        <v>0</v>
      </c>
      <c r="N396" t="n">
        <v>0</v>
      </c>
      <c r="O396" t="n">
        <v>0</v>
      </c>
      <c r="P396" t="n">
        <v>0</v>
      </c>
      <c r="Q396" t="n">
        <v>0</v>
      </c>
      <c r="R396" s="2" t="inlineStr"/>
    </row>
    <row r="397" ht="15" customHeight="1">
      <c r="A397" t="inlineStr">
        <is>
          <t>A 11240-2023</t>
        </is>
      </c>
      <c r="B397" s="1" t="n">
        <v>44992</v>
      </c>
      <c r="C397" s="1" t="n">
        <v>45911</v>
      </c>
      <c r="D397" t="inlineStr">
        <is>
          <t>SKÅNE LÄN</t>
        </is>
      </c>
      <c r="E397" t="inlineStr">
        <is>
          <t>HÄSSLEHOLM</t>
        </is>
      </c>
      <c r="G397" t="n">
        <v>2.1</v>
      </c>
      <c r="H397" t="n">
        <v>0</v>
      </c>
      <c r="I397" t="n">
        <v>0</v>
      </c>
      <c r="J397" t="n">
        <v>0</v>
      </c>
      <c r="K397" t="n">
        <v>0</v>
      </c>
      <c r="L397" t="n">
        <v>0</v>
      </c>
      <c r="M397" t="n">
        <v>0</v>
      </c>
      <c r="N397" t="n">
        <v>0</v>
      </c>
      <c r="O397" t="n">
        <v>0</v>
      </c>
      <c r="P397" t="n">
        <v>0</v>
      </c>
      <c r="Q397" t="n">
        <v>0</v>
      </c>
      <c r="R397" s="2" t="inlineStr"/>
    </row>
    <row r="398" ht="15" customHeight="1">
      <c r="A398" t="inlineStr">
        <is>
          <t>A 60797-2024</t>
        </is>
      </c>
      <c r="B398" s="1" t="n">
        <v>45644</v>
      </c>
      <c r="C398" s="1" t="n">
        <v>45911</v>
      </c>
      <c r="D398" t="inlineStr">
        <is>
          <t>SKÅNE LÄN</t>
        </is>
      </c>
      <c r="E398" t="inlineStr">
        <is>
          <t>HÄSSLEHOLM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3248-2022</t>
        </is>
      </c>
      <c r="B399" s="1" t="n">
        <v>44583</v>
      </c>
      <c r="C399" s="1" t="n">
        <v>45911</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3245-2022</t>
        </is>
      </c>
      <c r="B400" s="1" t="n">
        <v>44583.39136574074</v>
      </c>
      <c r="C400" s="1" t="n">
        <v>45911</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43874-2022</t>
        </is>
      </c>
      <c r="B401" s="1" t="n">
        <v>44838.44738425926</v>
      </c>
      <c r="C401" s="1" t="n">
        <v>45911</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58915-2023</t>
        </is>
      </c>
      <c r="B402" s="1" t="n">
        <v>45250</v>
      </c>
      <c r="C402" s="1" t="n">
        <v>45911</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18648-2021</t>
        </is>
      </c>
      <c r="B403" s="1" t="n">
        <v>44306.70583333333</v>
      </c>
      <c r="C403" s="1" t="n">
        <v>45911</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20494-2024</t>
        </is>
      </c>
      <c r="B404" s="1" t="n">
        <v>45435</v>
      </c>
      <c r="C404" s="1" t="n">
        <v>45911</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24034-2025</t>
        </is>
      </c>
      <c r="B405" s="1" t="n">
        <v>45796.48251157408</v>
      </c>
      <c r="C405" s="1" t="n">
        <v>45911</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57033-2022</t>
        </is>
      </c>
      <c r="B406" s="1" t="n">
        <v>44895.31270833333</v>
      </c>
      <c r="C406" s="1" t="n">
        <v>45911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6310-2025</t>
        </is>
      </c>
      <c r="B407" s="1" t="n">
        <v>45698</v>
      </c>
      <c r="C407" s="1" t="n">
        <v>45911</v>
      </c>
      <c r="D407" t="inlineStr">
        <is>
          <t>SKÅNE LÄN</t>
        </is>
      </c>
      <c r="E407" t="inlineStr">
        <is>
          <t>HÄSSLEHOLM</t>
        </is>
      </c>
      <c r="G407" t="n">
        <v>2.7</v>
      </c>
      <c r="H407" t="n">
        <v>0</v>
      </c>
      <c r="I407" t="n">
        <v>0</v>
      </c>
      <c r="J407" t="n">
        <v>0</v>
      </c>
      <c r="K407" t="n">
        <v>0</v>
      </c>
      <c r="L407" t="n">
        <v>0</v>
      </c>
      <c r="M407" t="n">
        <v>0</v>
      </c>
      <c r="N407" t="n">
        <v>0</v>
      </c>
      <c r="O407" t="n">
        <v>0</v>
      </c>
      <c r="P407" t="n">
        <v>0</v>
      </c>
      <c r="Q407" t="n">
        <v>0</v>
      </c>
      <c r="R407" s="2" t="inlineStr"/>
    </row>
    <row r="408" ht="15" customHeight="1">
      <c r="A408" t="inlineStr">
        <is>
          <t>A 31255-2024</t>
        </is>
      </c>
      <c r="B408" s="1" t="n">
        <v>45503.69114583333</v>
      </c>
      <c r="C408" s="1" t="n">
        <v>45911</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24039-2025</t>
        </is>
      </c>
      <c r="B409" s="1" t="n">
        <v>45796.48675925926</v>
      </c>
      <c r="C409" s="1" t="n">
        <v>45911</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44697-2021</t>
        </is>
      </c>
      <c r="B410" s="1" t="n">
        <v>44438</v>
      </c>
      <c r="C410" s="1" t="n">
        <v>45911</v>
      </c>
      <c r="D410" t="inlineStr">
        <is>
          <t>SKÅNE LÄN</t>
        </is>
      </c>
      <c r="E410" t="inlineStr">
        <is>
          <t>HÄSSLEHOLM</t>
        </is>
      </c>
      <c r="G410" t="n">
        <v>4.8</v>
      </c>
      <c r="H410" t="n">
        <v>0</v>
      </c>
      <c r="I410" t="n">
        <v>0</v>
      </c>
      <c r="J410" t="n">
        <v>0</v>
      </c>
      <c r="K410" t="n">
        <v>0</v>
      </c>
      <c r="L410" t="n">
        <v>0</v>
      </c>
      <c r="M410" t="n">
        <v>0</v>
      </c>
      <c r="N410" t="n">
        <v>0</v>
      </c>
      <c r="O410" t="n">
        <v>0</v>
      </c>
      <c r="P410" t="n">
        <v>0</v>
      </c>
      <c r="Q410" t="n">
        <v>0</v>
      </c>
      <c r="R410" s="2" t="inlineStr"/>
    </row>
    <row r="411" ht="15" customHeight="1">
      <c r="A411" t="inlineStr">
        <is>
          <t>A 53067-2022</t>
        </is>
      </c>
      <c r="B411" s="1" t="n">
        <v>44873</v>
      </c>
      <c r="C411" s="1" t="n">
        <v>45911</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61929-2023</t>
        </is>
      </c>
      <c r="B412" s="1" t="n">
        <v>45266</v>
      </c>
      <c r="C412" s="1" t="n">
        <v>45911</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1120-2024</t>
        </is>
      </c>
      <c r="B413" s="1" t="n">
        <v>45302.4452662037</v>
      </c>
      <c r="C413" s="1" t="n">
        <v>45911</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16474-2025</t>
        </is>
      </c>
      <c r="B414" s="1" t="n">
        <v>45751.56834490741</v>
      </c>
      <c r="C414" s="1" t="n">
        <v>45911</v>
      </c>
      <c r="D414" t="inlineStr">
        <is>
          <t>SKÅNE LÄN</t>
        </is>
      </c>
      <c r="E414" t="inlineStr">
        <is>
          <t>HÄSSLEHOLM</t>
        </is>
      </c>
      <c r="G414" t="n">
        <v>5.9</v>
      </c>
      <c r="H414" t="n">
        <v>0</v>
      </c>
      <c r="I414" t="n">
        <v>0</v>
      </c>
      <c r="J414" t="n">
        <v>0</v>
      </c>
      <c r="K414" t="n">
        <v>0</v>
      </c>
      <c r="L414" t="n">
        <v>0</v>
      </c>
      <c r="M414" t="n">
        <v>0</v>
      </c>
      <c r="N414" t="n">
        <v>0</v>
      </c>
      <c r="O414" t="n">
        <v>0</v>
      </c>
      <c r="P414" t="n">
        <v>0</v>
      </c>
      <c r="Q414" t="n">
        <v>0</v>
      </c>
      <c r="R414" s="2" t="inlineStr"/>
    </row>
    <row r="415" ht="15" customHeight="1">
      <c r="A415" t="inlineStr">
        <is>
          <t>A 8524-2024</t>
        </is>
      </c>
      <c r="B415" s="1" t="n">
        <v>45355.48570601852</v>
      </c>
      <c r="C415" s="1" t="n">
        <v>45911</v>
      </c>
      <c r="D415" t="inlineStr">
        <is>
          <t>SKÅNE LÄN</t>
        </is>
      </c>
      <c r="E415" t="inlineStr">
        <is>
          <t>HÄSSLEHOLM</t>
        </is>
      </c>
      <c r="G415" t="n">
        <v>4</v>
      </c>
      <c r="H415" t="n">
        <v>0</v>
      </c>
      <c r="I415" t="n">
        <v>0</v>
      </c>
      <c r="J415" t="n">
        <v>0</v>
      </c>
      <c r="K415" t="n">
        <v>0</v>
      </c>
      <c r="L415" t="n">
        <v>0</v>
      </c>
      <c r="M415" t="n">
        <v>0</v>
      </c>
      <c r="N415" t="n">
        <v>0</v>
      </c>
      <c r="O415" t="n">
        <v>0</v>
      </c>
      <c r="P415" t="n">
        <v>0</v>
      </c>
      <c r="Q415" t="n">
        <v>0</v>
      </c>
      <c r="R415" s="2" t="inlineStr"/>
    </row>
    <row r="416" ht="15" customHeight="1">
      <c r="A416" t="inlineStr">
        <is>
          <t>A 4787-2023</t>
        </is>
      </c>
      <c r="B416" s="1" t="n">
        <v>44957.60079861111</v>
      </c>
      <c r="C416" s="1" t="n">
        <v>45911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4788-2023</t>
        </is>
      </c>
      <c r="B417" s="1" t="n">
        <v>44957.60130787037</v>
      </c>
      <c r="C417" s="1" t="n">
        <v>45911</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6596-2021</t>
        </is>
      </c>
      <c r="B418" s="1" t="n">
        <v>44236</v>
      </c>
      <c r="C418" s="1" t="n">
        <v>45911</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7681-2025</t>
        </is>
      </c>
      <c r="B419" s="1" t="n">
        <v>45706.36758101852</v>
      </c>
      <c r="C419" s="1" t="n">
        <v>45911</v>
      </c>
      <c r="D419" t="inlineStr">
        <is>
          <t>SKÅNE LÄN</t>
        </is>
      </c>
      <c r="E419" t="inlineStr">
        <is>
          <t>HÄSSLEHOLM</t>
        </is>
      </c>
      <c r="G419" t="n">
        <v>1.9</v>
      </c>
      <c r="H419" t="n">
        <v>0</v>
      </c>
      <c r="I419" t="n">
        <v>0</v>
      </c>
      <c r="J419" t="n">
        <v>0</v>
      </c>
      <c r="K419" t="n">
        <v>0</v>
      </c>
      <c r="L419" t="n">
        <v>0</v>
      </c>
      <c r="M419" t="n">
        <v>0</v>
      </c>
      <c r="N419" t="n">
        <v>0</v>
      </c>
      <c r="O419" t="n">
        <v>0</v>
      </c>
      <c r="P419" t="n">
        <v>0</v>
      </c>
      <c r="Q419" t="n">
        <v>0</v>
      </c>
      <c r="R419" s="2" t="inlineStr"/>
    </row>
    <row r="420" ht="15" customHeight="1">
      <c r="A420" t="inlineStr">
        <is>
          <t>A 22157-2024</t>
        </is>
      </c>
      <c r="B420" s="1" t="n">
        <v>45445.85290509259</v>
      </c>
      <c r="C420" s="1" t="n">
        <v>45911</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24032-2025</t>
        </is>
      </c>
      <c r="B421" s="1" t="n">
        <v>45796.478125</v>
      </c>
      <c r="C421" s="1" t="n">
        <v>45911</v>
      </c>
      <c r="D421" t="inlineStr">
        <is>
          <t>SKÅNE LÄN</t>
        </is>
      </c>
      <c r="E421" t="inlineStr">
        <is>
          <t>HÄSSLEHOLM</t>
        </is>
      </c>
      <c r="G421" t="n">
        <v>2.2</v>
      </c>
      <c r="H421" t="n">
        <v>0</v>
      </c>
      <c r="I421" t="n">
        <v>0</v>
      </c>
      <c r="J421" t="n">
        <v>0</v>
      </c>
      <c r="K421" t="n">
        <v>0</v>
      </c>
      <c r="L421" t="n">
        <v>0</v>
      </c>
      <c r="M421" t="n">
        <v>0</v>
      </c>
      <c r="N421" t="n">
        <v>0</v>
      </c>
      <c r="O421" t="n">
        <v>0</v>
      </c>
      <c r="P421" t="n">
        <v>0</v>
      </c>
      <c r="Q421" t="n">
        <v>0</v>
      </c>
      <c r="R421" s="2" t="inlineStr"/>
    </row>
    <row r="422" ht="15" customHeight="1">
      <c r="A422" t="inlineStr">
        <is>
          <t>A 14145-2023</t>
        </is>
      </c>
      <c r="B422" s="1" t="n">
        <v>45009</v>
      </c>
      <c r="C422" s="1" t="n">
        <v>45911</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32210-2024</t>
        </is>
      </c>
      <c r="B423" s="1" t="n">
        <v>45511.67777777778</v>
      </c>
      <c r="C423" s="1" t="n">
        <v>45911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5252-2025</t>
        </is>
      </c>
      <c r="B424" s="1" t="n">
        <v>45692.3449537037</v>
      </c>
      <c r="C424" s="1" t="n">
        <v>45911</v>
      </c>
      <c r="D424" t="inlineStr">
        <is>
          <t>SKÅNE LÄN</t>
        </is>
      </c>
      <c r="E424" t="inlineStr">
        <is>
          <t>HÄSSLEHOLM</t>
        </is>
      </c>
      <c r="G424" t="n">
        <v>2.1</v>
      </c>
      <c r="H424" t="n">
        <v>0</v>
      </c>
      <c r="I424" t="n">
        <v>0</v>
      </c>
      <c r="J424" t="n">
        <v>0</v>
      </c>
      <c r="K424" t="n">
        <v>0</v>
      </c>
      <c r="L424" t="n">
        <v>0</v>
      </c>
      <c r="M424" t="n">
        <v>0</v>
      </c>
      <c r="N424" t="n">
        <v>0</v>
      </c>
      <c r="O424" t="n">
        <v>0</v>
      </c>
      <c r="P424" t="n">
        <v>0</v>
      </c>
      <c r="Q424" t="n">
        <v>0</v>
      </c>
      <c r="R424" s="2" t="inlineStr"/>
    </row>
    <row r="425" ht="15" customHeight="1">
      <c r="A425" t="inlineStr">
        <is>
          <t>A 59431-2023</t>
        </is>
      </c>
      <c r="B425" s="1" t="n">
        <v>45254.29207175926</v>
      </c>
      <c r="C425" s="1" t="n">
        <v>45911</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59433-2023</t>
        </is>
      </c>
      <c r="B426" s="1" t="n">
        <v>45254.29768518519</v>
      </c>
      <c r="C426" s="1" t="n">
        <v>45911</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24047-2025</t>
        </is>
      </c>
      <c r="B427" s="1" t="n">
        <v>45796.49528935185</v>
      </c>
      <c r="C427" s="1" t="n">
        <v>45911</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60789-2024</t>
        </is>
      </c>
      <c r="B428" s="1" t="n">
        <v>45644</v>
      </c>
      <c r="C428" s="1" t="n">
        <v>45911</v>
      </c>
      <c r="D428" t="inlineStr">
        <is>
          <t>SKÅNE LÄN</t>
        </is>
      </c>
      <c r="E428" t="inlineStr">
        <is>
          <t>HÄSSLEHOLM</t>
        </is>
      </c>
      <c r="G428" t="n">
        <v>3</v>
      </c>
      <c r="H428" t="n">
        <v>0</v>
      </c>
      <c r="I428" t="n">
        <v>0</v>
      </c>
      <c r="J428" t="n">
        <v>0</v>
      </c>
      <c r="K428" t="n">
        <v>0</v>
      </c>
      <c r="L428" t="n">
        <v>0</v>
      </c>
      <c r="M428" t="n">
        <v>0</v>
      </c>
      <c r="N428" t="n">
        <v>0</v>
      </c>
      <c r="O428" t="n">
        <v>0</v>
      </c>
      <c r="P428" t="n">
        <v>0</v>
      </c>
      <c r="Q428" t="n">
        <v>0</v>
      </c>
      <c r="R428" s="2" t="inlineStr"/>
    </row>
    <row r="429" ht="15" customHeight="1">
      <c r="A429" t="inlineStr">
        <is>
          <t>A 24029-2025</t>
        </is>
      </c>
      <c r="B429" s="1" t="n">
        <v>45796.47552083333</v>
      </c>
      <c r="C429" s="1" t="n">
        <v>45911</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6309-2025</t>
        </is>
      </c>
      <c r="B430" s="1" t="n">
        <v>45698</v>
      </c>
      <c r="C430" s="1" t="n">
        <v>45911</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24675-2025</t>
        </is>
      </c>
      <c r="B431" s="1" t="n">
        <v>45798.653125</v>
      </c>
      <c r="C431" s="1" t="n">
        <v>45911</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10562-2025</t>
        </is>
      </c>
      <c r="B432" s="1" t="n">
        <v>45721.52913194444</v>
      </c>
      <c r="C432" s="1" t="n">
        <v>45911</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23864-2024</t>
        </is>
      </c>
      <c r="B433" s="1" t="n">
        <v>45455</v>
      </c>
      <c r="C433" s="1" t="n">
        <v>45911</v>
      </c>
      <c r="D433" t="inlineStr">
        <is>
          <t>SKÅNE LÄN</t>
        </is>
      </c>
      <c r="E433" t="inlineStr">
        <is>
          <t>HÄSSLEHOLM</t>
        </is>
      </c>
      <c r="G433" t="n">
        <v>6.2</v>
      </c>
      <c r="H433" t="n">
        <v>0</v>
      </c>
      <c r="I433" t="n">
        <v>0</v>
      </c>
      <c r="J433" t="n">
        <v>0</v>
      </c>
      <c r="K433" t="n">
        <v>0</v>
      </c>
      <c r="L433" t="n">
        <v>0</v>
      </c>
      <c r="M433" t="n">
        <v>0</v>
      </c>
      <c r="N433" t="n">
        <v>0</v>
      </c>
      <c r="O433" t="n">
        <v>0</v>
      </c>
      <c r="P433" t="n">
        <v>0</v>
      </c>
      <c r="Q433" t="n">
        <v>0</v>
      </c>
      <c r="R433" s="2" t="inlineStr"/>
    </row>
    <row r="434" ht="15" customHeight="1">
      <c r="A434" t="inlineStr">
        <is>
          <t>A 32512-2024</t>
        </is>
      </c>
      <c r="B434" s="1" t="n">
        <v>45513.45613425926</v>
      </c>
      <c r="C434" s="1" t="n">
        <v>45911</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26403-2024</t>
        </is>
      </c>
      <c r="B435" s="1" t="n">
        <v>45469.44505787037</v>
      </c>
      <c r="C435" s="1" t="n">
        <v>45911</v>
      </c>
      <c r="D435" t="inlineStr">
        <is>
          <t>SKÅNE LÄN</t>
        </is>
      </c>
      <c r="E435" t="inlineStr">
        <is>
          <t>HÄSSLEHOLM</t>
        </is>
      </c>
      <c r="G435" t="n">
        <v>2.6</v>
      </c>
      <c r="H435" t="n">
        <v>0</v>
      </c>
      <c r="I435" t="n">
        <v>0</v>
      </c>
      <c r="J435" t="n">
        <v>0</v>
      </c>
      <c r="K435" t="n">
        <v>0</v>
      </c>
      <c r="L435" t="n">
        <v>0</v>
      </c>
      <c r="M435" t="n">
        <v>0</v>
      </c>
      <c r="N435" t="n">
        <v>0</v>
      </c>
      <c r="O435" t="n">
        <v>0</v>
      </c>
      <c r="P435" t="n">
        <v>0</v>
      </c>
      <c r="Q435" t="n">
        <v>0</v>
      </c>
      <c r="R435" s="2" t="inlineStr"/>
    </row>
    <row r="436" ht="15" customHeight="1">
      <c r="A436" t="inlineStr">
        <is>
          <t>A 55522-2024</t>
        </is>
      </c>
      <c r="B436" s="1" t="n">
        <v>45622</v>
      </c>
      <c r="C436" s="1" t="n">
        <v>45911</v>
      </c>
      <c r="D436" t="inlineStr">
        <is>
          <t>SKÅNE LÄN</t>
        </is>
      </c>
      <c r="E436" t="inlineStr">
        <is>
          <t>HÄSSLEHOLM</t>
        </is>
      </c>
      <c r="G436" t="n">
        <v>5.6</v>
      </c>
      <c r="H436" t="n">
        <v>0</v>
      </c>
      <c r="I436" t="n">
        <v>0</v>
      </c>
      <c r="J436" t="n">
        <v>0</v>
      </c>
      <c r="K436" t="n">
        <v>0</v>
      </c>
      <c r="L436" t="n">
        <v>0</v>
      </c>
      <c r="M436" t="n">
        <v>0</v>
      </c>
      <c r="N436" t="n">
        <v>0</v>
      </c>
      <c r="O436" t="n">
        <v>0</v>
      </c>
      <c r="P436" t="n">
        <v>0</v>
      </c>
      <c r="Q436" t="n">
        <v>0</v>
      </c>
      <c r="R436" s="2" t="inlineStr"/>
    </row>
    <row r="437" ht="15" customHeight="1">
      <c r="A437" t="inlineStr">
        <is>
          <t>A 5242-2025</t>
        </is>
      </c>
      <c r="B437" s="1" t="n">
        <v>45692.32883101852</v>
      </c>
      <c r="C437" s="1" t="n">
        <v>45911</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42735-2024</t>
        </is>
      </c>
      <c r="B438" s="1" t="n">
        <v>45566.47274305556</v>
      </c>
      <c r="C438" s="1" t="n">
        <v>45911</v>
      </c>
      <c r="D438" t="inlineStr">
        <is>
          <t>SKÅNE LÄN</t>
        </is>
      </c>
      <c r="E438" t="inlineStr">
        <is>
          <t>HÄSSLEHOLM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24658-2025</t>
        </is>
      </c>
      <c r="B439" s="1" t="n">
        <v>45798.64134259259</v>
      </c>
      <c r="C439" s="1" t="n">
        <v>45911</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24250-2025</t>
        </is>
      </c>
      <c r="B440" s="1" t="n">
        <v>45797.40260416667</v>
      </c>
      <c r="C440" s="1" t="n">
        <v>45911</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32826-2024</t>
        </is>
      </c>
      <c r="B441" s="1" t="n">
        <v>45516.59056712963</v>
      </c>
      <c r="C441" s="1" t="n">
        <v>45911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24985-2025</t>
        </is>
      </c>
      <c r="B442" s="1" t="n">
        <v>45799.60256944445</v>
      </c>
      <c r="C442" s="1" t="n">
        <v>45911</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12344-2023</t>
        </is>
      </c>
      <c r="B443" s="1" t="n">
        <v>44999</v>
      </c>
      <c r="C443" s="1" t="n">
        <v>45911</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58272-2024</t>
        </is>
      </c>
      <c r="B444" s="1" t="n">
        <v>45632.57025462963</v>
      </c>
      <c r="C444" s="1" t="n">
        <v>45911</v>
      </c>
      <c r="D444" t="inlineStr">
        <is>
          <t>SKÅNE LÄN</t>
        </is>
      </c>
      <c r="E444" t="inlineStr">
        <is>
          <t>HÄSSLEHOLM</t>
        </is>
      </c>
      <c r="G444" t="n">
        <v>2.3</v>
      </c>
      <c r="H444" t="n">
        <v>0</v>
      </c>
      <c r="I444" t="n">
        <v>0</v>
      </c>
      <c r="J444" t="n">
        <v>0</v>
      </c>
      <c r="K444" t="n">
        <v>0</v>
      </c>
      <c r="L444" t="n">
        <v>0</v>
      </c>
      <c r="M444" t="n">
        <v>0</v>
      </c>
      <c r="N444" t="n">
        <v>0</v>
      </c>
      <c r="O444" t="n">
        <v>0</v>
      </c>
      <c r="P444" t="n">
        <v>0</v>
      </c>
      <c r="Q444" t="n">
        <v>0</v>
      </c>
      <c r="R444" s="2" t="inlineStr"/>
    </row>
    <row r="445" ht="15" customHeight="1">
      <c r="A445" t="inlineStr">
        <is>
          <t>A 27837-2024</t>
        </is>
      </c>
      <c r="B445" s="1" t="n">
        <v>45475</v>
      </c>
      <c r="C445" s="1" t="n">
        <v>45911</v>
      </c>
      <c r="D445" t="inlineStr">
        <is>
          <t>SKÅNE LÄN</t>
        </is>
      </c>
      <c r="E445" t="inlineStr">
        <is>
          <t>HÄSSLEHOLM</t>
        </is>
      </c>
      <c r="F445" t="inlineStr">
        <is>
          <t>Kommuner</t>
        </is>
      </c>
      <c r="G445" t="n">
        <v>2.3</v>
      </c>
      <c r="H445" t="n">
        <v>0</v>
      </c>
      <c r="I445" t="n">
        <v>0</v>
      </c>
      <c r="J445" t="n">
        <v>0</v>
      </c>
      <c r="K445" t="n">
        <v>0</v>
      </c>
      <c r="L445" t="n">
        <v>0</v>
      </c>
      <c r="M445" t="n">
        <v>0</v>
      </c>
      <c r="N445" t="n">
        <v>0</v>
      </c>
      <c r="O445" t="n">
        <v>0</v>
      </c>
      <c r="P445" t="n">
        <v>0</v>
      </c>
      <c r="Q445" t="n">
        <v>0</v>
      </c>
      <c r="R445" s="2" t="inlineStr"/>
    </row>
    <row r="446" ht="15" customHeight="1">
      <c r="A446" t="inlineStr">
        <is>
          <t>A 29659-2024</t>
        </is>
      </c>
      <c r="B446" s="1" t="n">
        <v>45484.92587962963</v>
      </c>
      <c r="C446" s="1" t="n">
        <v>45911</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49865-2020</t>
        </is>
      </c>
      <c r="B447" s="1" t="n">
        <v>44107</v>
      </c>
      <c r="C447" s="1" t="n">
        <v>45911</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1679-2022</t>
        </is>
      </c>
      <c r="B448" s="1" t="n">
        <v>44573</v>
      </c>
      <c r="C448" s="1" t="n">
        <v>45911</v>
      </c>
      <c r="D448" t="inlineStr">
        <is>
          <t>SKÅNE LÄN</t>
        </is>
      </c>
      <c r="E448" t="inlineStr">
        <is>
          <t>HÄSSLEHOLM</t>
        </is>
      </c>
      <c r="F448" t="inlineStr">
        <is>
          <t>Kyrkan</t>
        </is>
      </c>
      <c r="G448" t="n">
        <v>4.3</v>
      </c>
      <c r="H448" t="n">
        <v>0</v>
      </c>
      <c r="I448" t="n">
        <v>0</v>
      </c>
      <c r="J448" t="n">
        <v>0</v>
      </c>
      <c r="K448" t="n">
        <v>0</v>
      </c>
      <c r="L448" t="n">
        <v>0</v>
      </c>
      <c r="M448" t="n">
        <v>0</v>
      </c>
      <c r="N448" t="n">
        <v>0</v>
      </c>
      <c r="O448" t="n">
        <v>0</v>
      </c>
      <c r="P448" t="n">
        <v>0</v>
      </c>
      <c r="Q448" t="n">
        <v>0</v>
      </c>
      <c r="R448" s="2" t="inlineStr"/>
    </row>
    <row r="449" ht="15" customHeight="1">
      <c r="A449" t="inlineStr">
        <is>
          <t>A 9668-2025</t>
        </is>
      </c>
      <c r="B449" s="1" t="n">
        <v>45716.3278587963</v>
      </c>
      <c r="C449" s="1" t="n">
        <v>45911</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259-2024</t>
        </is>
      </c>
      <c r="B450" s="1" t="n">
        <v>45294</v>
      </c>
      <c r="C450" s="1" t="n">
        <v>45911</v>
      </c>
      <c r="D450" t="inlineStr">
        <is>
          <t>SKÅNE LÄN</t>
        </is>
      </c>
      <c r="E450" t="inlineStr">
        <is>
          <t>HÄSSLEHOLM</t>
        </is>
      </c>
      <c r="G450" t="n">
        <v>8</v>
      </c>
      <c r="H450" t="n">
        <v>0</v>
      </c>
      <c r="I450" t="n">
        <v>0</v>
      </c>
      <c r="J450" t="n">
        <v>0</v>
      </c>
      <c r="K450" t="n">
        <v>0</v>
      </c>
      <c r="L450" t="n">
        <v>0</v>
      </c>
      <c r="M450" t="n">
        <v>0</v>
      </c>
      <c r="N450" t="n">
        <v>0</v>
      </c>
      <c r="O450" t="n">
        <v>0</v>
      </c>
      <c r="P450" t="n">
        <v>0</v>
      </c>
      <c r="Q450" t="n">
        <v>0</v>
      </c>
      <c r="R450" s="2" t="inlineStr"/>
    </row>
    <row r="451" ht="15" customHeight="1">
      <c r="A451" t="inlineStr">
        <is>
          <t>A 24776-2025</t>
        </is>
      </c>
      <c r="B451" s="1" t="n">
        <v>45799.40640046296</v>
      </c>
      <c r="C451" s="1" t="n">
        <v>45911</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31391-2023</t>
        </is>
      </c>
      <c r="B452" s="1" t="n">
        <v>45114.56143518518</v>
      </c>
      <c r="C452" s="1" t="n">
        <v>45911</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25372-2025</t>
        </is>
      </c>
      <c r="B453" s="1" t="n">
        <v>45799</v>
      </c>
      <c r="C453" s="1" t="n">
        <v>45911</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9399-2025</t>
        </is>
      </c>
      <c r="B454" s="1" t="n">
        <v>45715.37861111111</v>
      </c>
      <c r="C454" s="1" t="n">
        <v>45911</v>
      </c>
      <c r="D454" t="inlineStr">
        <is>
          <t>SKÅNE LÄN</t>
        </is>
      </c>
      <c r="E454" t="inlineStr">
        <is>
          <t>HÄSSLEHOLM</t>
        </is>
      </c>
      <c r="G454" t="n">
        <v>5.2</v>
      </c>
      <c r="H454" t="n">
        <v>0</v>
      </c>
      <c r="I454" t="n">
        <v>0</v>
      </c>
      <c r="J454" t="n">
        <v>0</v>
      </c>
      <c r="K454" t="n">
        <v>0</v>
      </c>
      <c r="L454" t="n">
        <v>0</v>
      </c>
      <c r="M454" t="n">
        <v>0</v>
      </c>
      <c r="N454" t="n">
        <v>0</v>
      </c>
      <c r="O454" t="n">
        <v>0</v>
      </c>
      <c r="P454" t="n">
        <v>0</v>
      </c>
      <c r="Q454" t="n">
        <v>0</v>
      </c>
      <c r="R454" s="2" t="inlineStr"/>
    </row>
    <row r="455" ht="15" customHeight="1">
      <c r="A455" t="inlineStr">
        <is>
          <t>A 9678-2025</t>
        </is>
      </c>
      <c r="B455" s="1" t="n">
        <v>45716.34403935185</v>
      </c>
      <c r="C455" s="1" t="n">
        <v>45911</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51565-2023</t>
        </is>
      </c>
      <c r="B456" s="1" t="n">
        <v>45222</v>
      </c>
      <c r="C456" s="1" t="n">
        <v>45911</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54174-2022</t>
        </is>
      </c>
      <c r="B457" s="1" t="n">
        <v>44881</v>
      </c>
      <c r="C457" s="1" t="n">
        <v>45911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52235-2021</t>
        </is>
      </c>
      <c r="B458" s="1" t="n">
        <v>44463.60085648148</v>
      </c>
      <c r="C458" s="1" t="n">
        <v>45911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45361-2023</t>
        </is>
      </c>
      <c r="B459" s="1" t="n">
        <v>45192.49068287037</v>
      </c>
      <c r="C459" s="1" t="n">
        <v>45911</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25430-2025</t>
        </is>
      </c>
      <c r="B460" s="1" t="n">
        <v>45800.78212962963</v>
      </c>
      <c r="C460" s="1" t="n">
        <v>45911</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11470-2025</t>
        </is>
      </c>
      <c r="B461" s="1" t="n">
        <v>45726</v>
      </c>
      <c r="C461" s="1" t="n">
        <v>45911</v>
      </c>
      <c r="D461" t="inlineStr">
        <is>
          <t>SKÅNE LÄN</t>
        </is>
      </c>
      <c r="E461" t="inlineStr">
        <is>
          <t>HÄSSLEHOLM</t>
        </is>
      </c>
      <c r="G461" t="n">
        <v>0.4</v>
      </c>
      <c r="H461" t="n">
        <v>0</v>
      </c>
      <c r="I461" t="n">
        <v>0</v>
      </c>
      <c r="J461" t="n">
        <v>0</v>
      </c>
      <c r="K461" t="n">
        <v>0</v>
      </c>
      <c r="L461" t="n">
        <v>0</v>
      </c>
      <c r="M461" t="n">
        <v>0</v>
      </c>
      <c r="N461" t="n">
        <v>0</v>
      </c>
      <c r="O461" t="n">
        <v>0</v>
      </c>
      <c r="P461" t="n">
        <v>0</v>
      </c>
      <c r="Q461" t="n">
        <v>0</v>
      </c>
      <c r="R461" s="2" t="inlineStr"/>
    </row>
    <row r="462" ht="15" customHeight="1">
      <c r="A462" t="inlineStr">
        <is>
          <t>A 25615-2025</t>
        </is>
      </c>
      <c r="B462" s="1" t="n">
        <v>45803</v>
      </c>
      <c r="C462" s="1" t="n">
        <v>45911</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53302-2022</t>
        </is>
      </c>
      <c r="B463" s="1" t="n">
        <v>44877</v>
      </c>
      <c r="C463" s="1" t="n">
        <v>45911</v>
      </c>
      <c r="D463" t="inlineStr">
        <is>
          <t>SKÅNE LÄN</t>
        </is>
      </c>
      <c r="E463" t="inlineStr">
        <is>
          <t>HÄSSLEHOLM</t>
        </is>
      </c>
      <c r="G463" t="n">
        <v>0.1</v>
      </c>
      <c r="H463" t="n">
        <v>0</v>
      </c>
      <c r="I463" t="n">
        <v>0</v>
      </c>
      <c r="J463" t="n">
        <v>0</v>
      </c>
      <c r="K463" t="n">
        <v>0</v>
      </c>
      <c r="L463" t="n">
        <v>0</v>
      </c>
      <c r="M463" t="n">
        <v>0</v>
      </c>
      <c r="N463" t="n">
        <v>0</v>
      </c>
      <c r="O463" t="n">
        <v>0</v>
      </c>
      <c r="P463" t="n">
        <v>0</v>
      </c>
      <c r="Q463" t="n">
        <v>0</v>
      </c>
      <c r="R463" s="2" t="inlineStr"/>
    </row>
    <row r="464" ht="15" customHeight="1">
      <c r="A464" t="inlineStr">
        <is>
          <t>A 45220-2023</t>
        </is>
      </c>
      <c r="B464" s="1" t="n">
        <v>45191</v>
      </c>
      <c r="C464" s="1" t="n">
        <v>45911</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52642-2021</t>
        </is>
      </c>
      <c r="B465" s="1" t="n">
        <v>44466.64298611111</v>
      </c>
      <c r="C465" s="1" t="n">
        <v>45911</v>
      </c>
      <c r="D465" t="inlineStr">
        <is>
          <t>SKÅNE LÄN</t>
        </is>
      </c>
      <c r="E465" t="inlineStr">
        <is>
          <t>HÄSSLEHOLM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29850-2024</t>
        </is>
      </c>
      <c r="B466" s="1" t="n">
        <v>45485.64620370371</v>
      </c>
      <c r="C466" s="1" t="n">
        <v>45911</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38712-2024</t>
        </is>
      </c>
      <c r="B467" s="1" t="n">
        <v>45547</v>
      </c>
      <c r="C467" s="1" t="n">
        <v>45911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57647-2024</t>
        </is>
      </c>
      <c r="B468" s="1" t="n">
        <v>45630</v>
      </c>
      <c r="C468" s="1" t="n">
        <v>45911</v>
      </c>
      <c r="D468" t="inlineStr">
        <is>
          <t>SKÅNE LÄN</t>
        </is>
      </c>
      <c r="E468" t="inlineStr">
        <is>
          <t>HÄSSLEHOLM</t>
        </is>
      </c>
      <c r="G468" t="n">
        <v>2.9</v>
      </c>
      <c r="H468" t="n">
        <v>0</v>
      </c>
      <c r="I468" t="n">
        <v>0</v>
      </c>
      <c r="J468" t="n">
        <v>0</v>
      </c>
      <c r="K468" t="n">
        <v>0</v>
      </c>
      <c r="L468" t="n">
        <v>0</v>
      </c>
      <c r="M468" t="n">
        <v>0</v>
      </c>
      <c r="N468" t="n">
        <v>0</v>
      </c>
      <c r="O468" t="n">
        <v>0</v>
      </c>
      <c r="P468" t="n">
        <v>0</v>
      </c>
      <c r="Q468" t="n">
        <v>0</v>
      </c>
      <c r="R468" s="2" t="inlineStr"/>
    </row>
    <row r="469" ht="15" customHeight="1">
      <c r="A469" t="inlineStr">
        <is>
          <t>A 35711-2024</t>
        </is>
      </c>
      <c r="B469" s="1" t="n">
        <v>45532</v>
      </c>
      <c r="C469" s="1" t="n">
        <v>45911</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61182-2024</t>
        </is>
      </c>
      <c r="B470" s="1" t="n">
        <v>45645</v>
      </c>
      <c r="C470" s="1" t="n">
        <v>45911</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25431-2025</t>
        </is>
      </c>
      <c r="B471" s="1" t="n">
        <v>45800.78340277778</v>
      </c>
      <c r="C471" s="1" t="n">
        <v>45911</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25432-2025</t>
        </is>
      </c>
      <c r="B472" s="1" t="n">
        <v>45800.7847800926</v>
      </c>
      <c r="C472" s="1" t="n">
        <v>45911</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11412-2025</t>
        </is>
      </c>
      <c r="B473" s="1" t="n">
        <v>45726</v>
      </c>
      <c r="C473" s="1" t="n">
        <v>45911</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13990-2022</t>
        </is>
      </c>
      <c r="B474" s="1" t="n">
        <v>44650</v>
      </c>
      <c r="C474" s="1" t="n">
        <v>45911</v>
      </c>
      <c r="D474" t="inlineStr">
        <is>
          <t>SKÅNE LÄN</t>
        </is>
      </c>
      <c r="E474" t="inlineStr">
        <is>
          <t>HÄSSLEHOLM</t>
        </is>
      </c>
      <c r="G474" t="n">
        <v>3.6</v>
      </c>
      <c r="H474" t="n">
        <v>0</v>
      </c>
      <c r="I474" t="n">
        <v>0</v>
      </c>
      <c r="J474" t="n">
        <v>0</v>
      </c>
      <c r="K474" t="n">
        <v>0</v>
      </c>
      <c r="L474" t="n">
        <v>0</v>
      </c>
      <c r="M474" t="n">
        <v>0</v>
      </c>
      <c r="N474" t="n">
        <v>0</v>
      </c>
      <c r="O474" t="n">
        <v>0</v>
      </c>
      <c r="P474" t="n">
        <v>0</v>
      </c>
      <c r="Q474" t="n">
        <v>0</v>
      </c>
      <c r="R474" s="2" t="inlineStr"/>
    </row>
    <row r="475" ht="15" customHeight="1">
      <c r="A475" t="inlineStr">
        <is>
          <t>A 62041-2022</t>
        </is>
      </c>
      <c r="B475" s="1" t="n">
        <v>44918.55743055556</v>
      </c>
      <c r="C475" s="1" t="n">
        <v>45911</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25219-2023</t>
        </is>
      </c>
      <c r="B476" s="1" t="n">
        <v>45086.60541666667</v>
      </c>
      <c r="C476" s="1" t="n">
        <v>45911</v>
      </c>
      <c r="D476" t="inlineStr">
        <is>
          <t>SKÅNE LÄN</t>
        </is>
      </c>
      <c r="E476" t="inlineStr">
        <is>
          <t>HÄSSLEHOLM</t>
        </is>
      </c>
      <c r="G476" t="n">
        <v>6.9</v>
      </c>
      <c r="H476" t="n">
        <v>0</v>
      </c>
      <c r="I476" t="n">
        <v>0</v>
      </c>
      <c r="J476" t="n">
        <v>0</v>
      </c>
      <c r="K476" t="n">
        <v>0</v>
      </c>
      <c r="L476" t="n">
        <v>0</v>
      </c>
      <c r="M476" t="n">
        <v>0</v>
      </c>
      <c r="N476" t="n">
        <v>0</v>
      </c>
      <c r="O476" t="n">
        <v>0</v>
      </c>
      <c r="P476" t="n">
        <v>0</v>
      </c>
      <c r="Q476" t="n">
        <v>0</v>
      </c>
      <c r="R476" s="2" t="inlineStr"/>
    </row>
    <row r="477" ht="15" customHeight="1">
      <c r="A477" t="inlineStr">
        <is>
          <t>A 9302-2025</t>
        </is>
      </c>
      <c r="B477" s="1" t="n">
        <v>45714.67233796296</v>
      </c>
      <c r="C477" s="1" t="n">
        <v>45911</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9322-2025</t>
        </is>
      </c>
      <c r="B478" s="1" t="n">
        <v>45714.72241898148</v>
      </c>
      <c r="C478" s="1" t="n">
        <v>45911</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40734-2024</t>
        </is>
      </c>
      <c r="B479" s="1" t="n">
        <v>45558</v>
      </c>
      <c r="C479" s="1" t="n">
        <v>45911</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40738-2024</t>
        </is>
      </c>
      <c r="B480" s="1" t="n">
        <v>45558</v>
      </c>
      <c r="C480" s="1" t="n">
        <v>45911</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11466-2025</t>
        </is>
      </c>
      <c r="B481" s="1" t="n">
        <v>45726</v>
      </c>
      <c r="C481" s="1" t="n">
        <v>45911</v>
      </c>
      <c r="D481" t="inlineStr">
        <is>
          <t>SKÅNE LÄN</t>
        </is>
      </c>
      <c r="E481" t="inlineStr">
        <is>
          <t>HÄSSLEHOLM</t>
        </is>
      </c>
      <c r="G481" t="n">
        <v>3.2</v>
      </c>
      <c r="H481" t="n">
        <v>0</v>
      </c>
      <c r="I481" t="n">
        <v>0</v>
      </c>
      <c r="J481" t="n">
        <v>0</v>
      </c>
      <c r="K481" t="n">
        <v>0</v>
      </c>
      <c r="L481" t="n">
        <v>0</v>
      </c>
      <c r="M481" t="n">
        <v>0</v>
      </c>
      <c r="N481" t="n">
        <v>0</v>
      </c>
      <c r="O481" t="n">
        <v>0</v>
      </c>
      <c r="P481" t="n">
        <v>0</v>
      </c>
      <c r="Q481" t="n">
        <v>0</v>
      </c>
      <c r="R481" s="2" t="inlineStr"/>
    </row>
    <row r="482" ht="15" customHeight="1">
      <c r="A482" t="inlineStr">
        <is>
          <t>A 37300-2023</t>
        </is>
      </c>
      <c r="B482" s="1" t="n">
        <v>45156</v>
      </c>
      <c r="C482" s="1" t="n">
        <v>45911</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37141-2021</t>
        </is>
      </c>
      <c r="B483" s="1" t="n">
        <v>44396</v>
      </c>
      <c r="C483" s="1" t="n">
        <v>45911</v>
      </c>
      <c r="D483" t="inlineStr">
        <is>
          <t>SKÅNE LÄN</t>
        </is>
      </c>
      <c r="E483" t="inlineStr">
        <is>
          <t>HÄSSLEHOLM</t>
        </is>
      </c>
      <c r="G483" t="n">
        <v>12.8</v>
      </c>
      <c r="H483" t="n">
        <v>0</v>
      </c>
      <c r="I483" t="n">
        <v>0</v>
      </c>
      <c r="J483" t="n">
        <v>0</v>
      </c>
      <c r="K483" t="n">
        <v>0</v>
      </c>
      <c r="L483" t="n">
        <v>0</v>
      </c>
      <c r="M483" t="n">
        <v>0</v>
      </c>
      <c r="N483" t="n">
        <v>0</v>
      </c>
      <c r="O483" t="n">
        <v>0</v>
      </c>
      <c r="P483" t="n">
        <v>0</v>
      </c>
      <c r="Q483" t="n">
        <v>0</v>
      </c>
      <c r="R483" s="2" t="inlineStr"/>
    </row>
    <row r="484" ht="15" customHeight="1">
      <c r="A484" t="inlineStr">
        <is>
          <t>A 26232-2025</t>
        </is>
      </c>
      <c r="B484" s="1" t="n">
        <v>45805.56642361111</v>
      </c>
      <c r="C484" s="1" t="n">
        <v>45911</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39915-2023</t>
        </is>
      </c>
      <c r="B485" s="1" t="n">
        <v>45168.4684375</v>
      </c>
      <c r="C485" s="1" t="n">
        <v>45911</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45399-2022</t>
        </is>
      </c>
      <c r="B486" s="1" t="n">
        <v>44844.70513888889</v>
      </c>
      <c r="C486" s="1" t="n">
        <v>45911</v>
      </c>
      <c r="D486" t="inlineStr">
        <is>
          <t>SKÅNE LÄN</t>
        </is>
      </c>
      <c r="E486" t="inlineStr">
        <is>
          <t>HÄSSLEHOLM</t>
        </is>
      </c>
      <c r="G486" t="n">
        <v>0</v>
      </c>
      <c r="H486" t="n">
        <v>0</v>
      </c>
      <c r="I486" t="n">
        <v>0</v>
      </c>
      <c r="J486" t="n">
        <v>0</v>
      </c>
      <c r="K486" t="n">
        <v>0</v>
      </c>
      <c r="L486" t="n">
        <v>0</v>
      </c>
      <c r="M486" t="n">
        <v>0</v>
      </c>
      <c r="N486" t="n">
        <v>0</v>
      </c>
      <c r="O486" t="n">
        <v>0</v>
      </c>
      <c r="P486" t="n">
        <v>0</v>
      </c>
      <c r="Q486" t="n">
        <v>0</v>
      </c>
      <c r="R486" s="2" t="inlineStr"/>
    </row>
    <row r="487" ht="15" customHeight="1">
      <c r="A487" t="inlineStr">
        <is>
          <t>A 49379-2021</t>
        </is>
      </c>
      <c r="B487" s="1" t="n">
        <v>44454</v>
      </c>
      <c r="C487" s="1" t="n">
        <v>45911</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32881-2024</t>
        </is>
      </c>
      <c r="B488" s="1" t="n">
        <v>45516</v>
      </c>
      <c r="C488" s="1" t="n">
        <v>45911</v>
      </c>
      <c r="D488" t="inlineStr">
        <is>
          <t>SKÅNE LÄN</t>
        </is>
      </c>
      <c r="E488" t="inlineStr">
        <is>
          <t>HÄSSLEHOLM</t>
        </is>
      </c>
      <c r="G488" t="n">
        <v>6.3</v>
      </c>
      <c r="H488" t="n">
        <v>0</v>
      </c>
      <c r="I488" t="n">
        <v>0</v>
      </c>
      <c r="J488" t="n">
        <v>0</v>
      </c>
      <c r="K488" t="n">
        <v>0</v>
      </c>
      <c r="L488" t="n">
        <v>0</v>
      </c>
      <c r="M488" t="n">
        <v>0</v>
      </c>
      <c r="N488" t="n">
        <v>0</v>
      </c>
      <c r="O488" t="n">
        <v>0</v>
      </c>
      <c r="P488" t="n">
        <v>0</v>
      </c>
      <c r="Q488" t="n">
        <v>0</v>
      </c>
      <c r="R488" s="2" t="inlineStr"/>
    </row>
    <row r="489" ht="15" customHeight="1">
      <c r="A489" t="inlineStr">
        <is>
          <t>A 2743-2023</t>
        </is>
      </c>
      <c r="B489" s="1" t="n">
        <v>44944</v>
      </c>
      <c r="C489" s="1" t="n">
        <v>45911</v>
      </c>
      <c r="D489" t="inlineStr">
        <is>
          <t>SKÅNE LÄN</t>
        </is>
      </c>
      <c r="E489" t="inlineStr">
        <is>
          <t>HÄSSLEHOLM</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35890-2023</t>
        </is>
      </c>
      <c r="B490" s="1" t="n">
        <v>45148</v>
      </c>
      <c r="C490" s="1" t="n">
        <v>45911</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35895-2023</t>
        </is>
      </c>
      <c r="B491" s="1" t="n">
        <v>45148</v>
      </c>
      <c r="C491" s="1" t="n">
        <v>45911</v>
      </c>
      <c r="D491" t="inlineStr">
        <is>
          <t>SKÅNE LÄN</t>
        </is>
      </c>
      <c r="E491" t="inlineStr">
        <is>
          <t>HÄSSLEHOLM</t>
        </is>
      </c>
      <c r="G491" t="n">
        <v>0.4</v>
      </c>
      <c r="H491" t="n">
        <v>0</v>
      </c>
      <c r="I491" t="n">
        <v>0</v>
      </c>
      <c r="J491" t="n">
        <v>0</v>
      </c>
      <c r="K491" t="n">
        <v>0</v>
      </c>
      <c r="L491" t="n">
        <v>0</v>
      </c>
      <c r="M491" t="n">
        <v>0</v>
      </c>
      <c r="N491" t="n">
        <v>0</v>
      </c>
      <c r="O491" t="n">
        <v>0</v>
      </c>
      <c r="P491" t="n">
        <v>0</v>
      </c>
      <c r="Q491" t="n">
        <v>0</v>
      </c>
      <c r="R491" s="2" t="inlineStr"/>
    </row>
    <row r="492" ht="15" customHeight="1">
      <c r="A492" t="inlineStr">
        <is>
          <t>A 62044-2022</t>
        </is>
      </c>
      <c r="B492" s="1" t="n">
        <v>44918.55976851852</v>
      </c>
      <c r="C492" s="1" t="n">
        <v>45911</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6164-2023</t>
        </is>
      </c>
      <c r="B493" s="1" t="n">
        <v>44964.66871527778</v>
      </c>
      <c r="C493" s="1" t="n">
        <v>45911</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4750-2024</t>
        </is>
      </c>
      <c r="B494" s="1" t="n">
        <v>45328</v>
      </c>
      <c r="C494" s="1" t="n">
        <v>45911</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23956-2023</t>
        </is>
      </c>
      <c r="B495" s="1" t="n">
        <v>45078.62302083334</v>
      </c>
      <c r="C495" s="1" t="n">
        <v>45911</v>
      </c>
      <c r="D495" t="inlineStr">
        <is>
          <t>SKÅNE LÄN</t>
        </is>
      </c>
      <c r="E495" t="inlineStr">
        <is>
          <t>HÄSSLEHOLM</t>
        </is>
      </c>
      <c r="G495" t="n">
        <v>0.1</v>
      </c>
      <c r="H495" t="n">
        <v>0</v>
      </c>
      <c r="I495" t="n">
        <v>0</v>
      </c>
      <c r="J495" t="n">
        <v>0</v>
      </c>
      <c r="K495" t="n">
        <v>0</v>
      </c>
      <c r="L495" t="n">
        <v>0</v>
      </c>
      <c r="M495" t="n">
        <v>0</v>
      </c>
      <c r="N495" t="n">
        <v>0</v>
      </c>
      <c r="O495" t="n">
        <v>0</v>
      </c>
      <c r="P495" t="n">
        <v>0</v>
      </c>
      <c r="Q495" t="n">
        <v>0</v>
      </c>
      <c r="R495" s="2" t="inlineStr"/>
    </row>
    <row r="496" ht="15" customHeight="1">
      <c r="A496" t="inlineStr">
        <is>
          <t>A 11708-2025</t>
        </is>
      </c>
      <c r="B496" s="1" t="n">
        <v>45727.58626157408</v>
      </c>
      <c r="C496" s="1" t="n">
        <v>45911</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37318-2024</t>
        </is>
      </c>
      <c r="B497" s="1" t="n">
        <v>45540</v>
      </c>
      <c r="C497" s="1" t="n">
        <v>45911</v>
      </c>
      <c r="D497" t="inlineStr">
        <is>
          <t>SKÅNE LÄN</t>
        </is>
      </c>
      <c r="E497" t="inlineStr">
        <is>
          <t>HÄSSLEHOLM</t>
        </is>
      </c>
      <c r="G497" t="n">
        <v>3.9</v>
      </c>
      <c r="H497" t="n">
        <v>0</v>
      </c>
      <c r="I497" t="n">
        <v>0</v>
      </c>
      <c r="J497" t="n">
        <v>0</v>
      </c>
      <c r="K497" t="n">
        <v>0</v>
      </c>
      <c r="L497" t="n">
        <v>0</v>
      </c>
      <c r="M497" t="n">
        <v>0</v>
      </c>
      <c r="N497" t="n">
        <v>0</v>
      </c>
      <c r="O497" t="n">
        <v>0</v>
      </c>
      <c r="P497" t="n">
        <v>0</v>
      </c>
      <c r="Q497" t="n">
        <v>0</v>
      </c>
      <c r="R497" s="2" t="inlineStr"/>
    </row>
    <row r="498" ht="15" customHeight="1">
      <c r="A498" t="inlineStr">
        <is>
          <t>A 58891-2022</t>
        </is>
      </c>
      <c r="B498" s="1" t="n">
        <v>44896</v>
      </c>
      <c r="C498" s="1" t="n">
        <v>45911</v>
      </c>
      <c r="D498" t="inlineStr">
        <is>
          <t>SKÅNE LÄN</t>
        </is>
      </c>
      <c r="E498" t="inlineStr">
        <is>
          <t>HÄSSLEHOLM</t>
        </is>
      </c>
      <c r="F498" t="inlineStr">
        <is>
          <t>Kyrkan</t>
        </is>
      </c>
      <c r="G498" t="n">
        <v>1.6</v>
      </c>
      <c r="H498" t="n">
        <v>0</v>
      </c>
      <c r="I498" t="n">
        <v>0</v>
      </c>
      <c r="J498" t="n">
        <v>0</v>
      </c>
      <c r="K498" t="n">
        <v>0</v>
      </c>
      <c r="L498" t="n">
        <v>0</v>
      </c>
      <c r="M498" t="n">
        <v>0</v>
      </c>
      <c r="N498" t="n">
        <v>0</v>
      </c>
      <c r="O498" t="n">
        <v>0</v>
      </c>
      <c r="P498" t="n">
        <v>0</v>
      </c>
      <c r="Q498" t="n">
        <v>0</v>
      </c>
      <c r="R498" s="2" t="inlineStr"/>
    </row>
    <row r="499" ht="15" customHeight="1">
      <c r="A499" t="inlineStr">
        <is>
          <t>A 37324-2024</t>
        </is>
      </c>
      <c r="B499" s="1" t="n">
        <v>45540.50104166667</v>
      </c>
      <c r="C499" s="1" t="n">
        <v>45911</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25176-2024</t>
        </is>
      </c>
      <c r="B500" s="1" t="n">
        <v>45462.54582175926</v>
      </c>
      <c r="C500" s="1" t="n">
        <v>45911</v>
      </c>
      <c r="D500" t="inlineStr">
        <is>
          <t>SKÅNE LÄN</t>
        </is>
      </c>
      <c r="E500" t="inlineStr">
        <is>
          <t>HÄSSLEHOLM</t>
        </is>
      </c>
      <c r="G500" t="n">
        <v>3.8</v>
      </c>
      <c r="H500" t="n">
        <v>0</v>
      </c>
      <c r="I500" t="n">
        <v>0</v>
      </c>
      <c r="J500" t="n">
        <v>0</v>
      </c>
      <c r="K500" t="n">
        <v>0</v>
      </c>
      <c r="L500" t="n">
        <v>0</v>
      </c>
      <c r="M500" t="n">
        <v>0</v>
      </c>
      <c r="N500" t="n">
        <v>0</v>
      </c>
      <c r="O500" t="n">
        <v>0</v>
      </c>
      <c r="P500" t="n">
        <v>0</v>
      </c>
      <c r="Q500" t="n">
        <v>0</v>
      </c>
      <c r="R500" s="2" t="inlineStr"/>
    </row>
    <row r="501" ht="15" customHeight="1">
      <c r="A501" t="inlineStr">
        <is>
          <t>A 26244-2025</t>
        </is>
      </c>
      <c r="B501" s="1" t="n">
        <v>45805.57364583333</v>
      </c>
      <c r="C501" s="1" t="n">
        <v>45911</v>
      </c>
      <c r="D501" t="inlineStr">
        <is>
          <t>SKÅNE LÄN</t>
        </is>
      </c>
      <c r="E501" t="inlineStr">
        <is>
          <t>HÄSSLEHOLM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48112-2024</t>
        </is>
      </c>
      <c r="B502" s="1" t="n">
        <v>45589.6295949074</v>
      </c>
      <c r="C502" s="1" t="n">
        <v>45911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38358-2024</t>
        </is>
      </c>
      <c r="B503" s="1" t="n">
        <v>45545.79068287037</v>
      </c>
      <c r="C503" s="1" t="n">
        <v>45911</v>
      </c>
      <c r="D503" t="inlineStr">
        <is>
          <t>SKÅNE LÄN</t>
        </is>
      </c>
      <c r="E503" t="inlineStr">
        <is>
          <t>HÄSSLEHOLM</t>
        </is>
      </c>
      <c r="G503" t="n">
        <v>9</v>
      </c>
      <c r="H503" t="n">
        <v>0</v>
      </c>
      <c r="I503" t="n">
        <v>0</v>
      </c>
      <c r="J503" t="n">
        <v>0</v>
      </c>
      <c r="K503" t="n">
        <v>0</v>
      </c>
      <c r="L503" t="n">
        <v>0</v>
      </c>
      <c r="M503" t="n">
        <v>0</v>
      </c>
      <c r="N503" t="n">
        <v>0</v>
      </c>
      <c r="O503" t="n">
        <v>0</v>
      </c>
      <c r="P503" t="n">
        <v>0</v>
      </c>
      <c r="Q503" t="n">
        <v>0</v>
      </c>
      <c r="R503" s="2" t="inlineStr"/>
    </row>
    <row r="504" ht="15" customHeight="1">
      <c r="A504" t="inlineStr">
        <is>
          <t>A 24246-2023</t>
        </is>
      </c>
      <c r="B504" s="1" t="n">
        <v>45079</v>
      </c>
      <c r="C504" s="1" t="n">
        <v>45911</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24249-2023</t>
        </is>
      </c>
      <c r="B505" s="1" t="n">
        <v>45079.62466435185</v>
      </c>
      <c r="C505" s="1" t="n">
        <v>45911</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52548-2023</t>
        </is>
      </c>
      <c r="B506" s="1" t="n">
        <v>45218</v>
      </c>
      <c r="C506" s="1" t="n">
        <v>45911</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11446-2025</t>
        </is>
      </c>
      <c r="B507" s="1" t="n">
        <v>45726</v>
      </c>
      <c r="C507" s="1" t="n">
        <v>45911</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3726-2024</t>
        </is>
      </c>
      <c r="B508" s="1" t="n">
        <v>45321</v>
      </c>
      <c r="C508" s="1" t="n">
        <v>45911</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39044-2024</t>
        </is>
      </c>
      <c r="B509" s="1" t="n">
        <v>45548.47707175926</v>
      </c>
      <c r="C509" s="1" t="n">
        <v>45911</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8160-2024</t>
        </is>
      </c>
      <c r="B510" s="1" t="n">
        <v>45351</v>
      </c>
      <c r="C510" s="1" t="n">
        <v>45911</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14255-2024</t>
        </is>
      </c>
      <c r="B511" s="1" t="n">
        <v>45393</v>
      </c>
      <c r="C511" s="1" t="n">
        <v>45911</v>
      </c>
      <c r="D511" t="inlineStr">
        <is>
          <t>SKÅNE LÄN</t>
        </is>
      </c>
      <c r="E511" t="inlineStr">
        <is>
          <t>HÄSSLEHOLM</t>
        </is>
      </c>
      <c r="G511" t="n">
        <v>11.9</v>
      </c>
      <c r="H511" t="n">
        <v>0</v>
      </c>
      <c r="I511" t="n">
        <v>0</v>
      </c>
      <c r="J511" t="n">
        <v>0</v>
      </c>
      <c r="K511" t="n">
        <v>0</v>
      </c>
      <c r="L511" t="n">
        <v>0</v>
      </c>
      <c r="M511" t="n">
        <v>0</v>
      </c>
      <c r="N511" t="n">
        <v>0</v>
      </c>
      <c r="O511" t="n">
        <v>0</v>
      </c>
      <c r="P511" t="n">
        <v>0</v>
      </c>
      <c r="Q511" t="n">
        <v>0</v>
      </c>
      <c r="R511" s="2" t="inlineStr"/>
    </row>
    <row r="512" ht="15" customHeight="1">
      <c r="A512" t="inlineStr">
        <is>
          <t>A 20058-2023</t>
        </is>
      </c>
      <c r="B512" s="1" t="n">
        <v>45054.68476851852</v>
      </c>
      <c r="C512" s="1" t="n">
        <v>45911</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43696-2024</t>
        </is>
      </c>
      <c r="B513" s="1" t="n">
        <v>45569.58855324074</v>
      </c>
      <c r="C513" s="1" t="n">
        <v>45911</v>
      </c>
      <c r="D513" t="inlineStr">
        <is>
          <t>SKÅNE LÄN</t>
        </is>
      </c>
      <c r="E513" t="inlineStr">
        <is>
          <t>HÄSSLEHOLM</t>
        </is>
      </c>
      <c r="G513" t="n">
        <v>2.9</v>
      </c>
      <c r="H513" t="n">
        <v>0</v>
      </c>
      <c r="I513" t="n">
        <v>0</v>
      </c>
      <c r="J513" t="n">
        <v>0</v>
      </c>
      <c r="K513" t="n">
        <v>0</v>
      </c>
      <c r="L513" t="n">
        <v>0</v>
      </c>
      <c r="M513" t="n">
        <v>0</v>
      </c>
      <c r="N513" t="n">
        <v>0</v>
      </c>
      <c r="O513" t="n">
        <v>0</v>
      </c>
      <c r="P513" t="n">
        <v>0</v>
      </c>
      <c r="Q513" t="n">
        <v>0</v>
      </c>
      <c r="R513" s="2" t="inlineStr"/>
    </row>
    <row r="514" ht="15" customHeight="1">
      <c r="A514" t="inlineStr">
        <is>
          <t>A 10897-2023</t>
        </is>
      </c>
      <c r="B514" s="1" t="n">
        <v>44985</v>
      </c>
      <c r="C514" s="1" t="n">
        <v>45911</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12182-2025</t>
        </is>
      </c>
      <c r="B515" s="1" t="n">
        <v>45729</v>
      </c>
      <c r="C515" s="1" t="n">
        <v>45911</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20185-2023</t>
        </is>
      </c>
      <c r="B516" s="1" t="n">
        <v>45055.56795138889</v>
      </c>
      <c r="C516" s="1" t="n">
        <v>45911</v>
      </c>
      <c r="D516" t="inlineStr">
        <is>
          <t>SKÅNE LÄN</t>
        </is>
      </c>
      <c r="E516" t="inlineStr">
        <is>
          <t>HÄSSLEHOLM</t>
        </is>
      </c>
      <c r="G516" t="n">
        <v>3.5</v>
      </c>
      <c r="H516" t="n">
        <v>0</v>
      </c>
      <c r="I516" t="n">
        <v>0</v>
      </c>
      <c r="J516" t="n">
        <v>0</v>
      </c>
      <c r="K516" t="n">
        <v>0</v>
      </c>
      <c r="L516" t="n">
        <v>0</v>
      </c>
      <c r="M516" t="n">
        <v>0</v>
      </c>
      <c r="N516" t="n">
        <v>0</v>
      </c>
      <c r="O516" t="n">
        <v>0</v>
      </c>
      <c r="P516" t="n">
        <v>0</v>
      </c>
      <c r="Q516" t="n">
        <v>0</v>
      </c>
      <c r="R516" s="2" t="inlineStr"/>
    </row>
    <row r="517" ht="15" customHeight="1">
      <c r="A517" t="inlineStr">
        <is>
          <t>A 38376-2022</t>
        </is>
      </c>
      <c r="B517" s="1" t="n">
        <v>44812</v>
      </c>
      <c r="C517" s="1" t="n">
        <v>45911</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49824-2024</t>
        </is>
      </c>
      <c r="B518" s="1" t="n">
        <v>45597</v>
      </c>
      <c r="C518" s="1" t="n">
        <v>45911</v>
      </c>
      <c r="D518" t="inlineStr">
        <is>
          <t>SKÅNE LÄN</t>
        </is>
      </c>
      <c r="E518" t="inlineStr">
        <is>
          <t>HÄSSLEHOLM</t>
        </is>
      </c>
      <c r="G518" t="n">
        <v>1.3</v>
      </c>
      <c r="H518" t="n">
        <v>0</v>
      </c>
      <c r="I518" t="n">
        <v>0</v>
      </c>
      <c r="J518" t="n">
        <v>0</v>
      </c>
      <c r="K518" t="n">
        <v>0</v>
      </c>
      <c r="L518" t="n">
        <v>0</v>
      </c>
      <c r="M518" t="n">
        <v>0</v>
      </c>
      <c r="N518" t="n">
        <v>0</v>
      </c>
      <c r="O518" t="n">
        <v>0</v>
      </c>
      <c r="P518" t="n">
        <v>0</v>
      </c>
      <c r="Q518" t="n">
        <v>0</v>
      </c>
      <c r="R518" s="2" t="inlineStr"/>
    </row>
    <row r="519" ht="15" customHeight="1">
      <c r="A519" t="inlineStr">
        <is>
          <t>A 16108-2025</t>
        </is>
      </c>
      <c r="B519" s="1" t="n">
        <v>45750.34667824074</v>
      </c>
      <c r="C519" s="1" t="n">
        <v>45911</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56986-2024</t>
        </is>
      </c>
      <c r="B520" s="1" t="n">
        <v>45626</v>
      </c>
      <c r="C520" s="1" t="n">
        <v>45911</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49111-2023</t>
        </is>
      </c>
      <c r="B521" s="1" t="n">
        <v>45210.44464120371</v>
      </c>
      <c r="C521" s="1" t="n">
        <v>45911</v>
      </c>
      <c r="D521" t="inlineStr">
        <is>
          <t>SKÅNE LÄN</t>
        </is>
      </c>
      <c r="E521" t="inlineStr">
        <is>
          <t>HÄSSLEHOLM</t>
        </is>
      </c>
      <c r="G521" t="n">
        <v>0.2</v>
      </c>
      <c r="H521" t="n">
        <v>0</v>
      </c>
      <c r="I521" t="n">
        <v>0</v>
      </c>
      <c r="J521" t="n">
        <v>0</v>
      </c>
      <c r="K521" t="n">
        <v>0</v>
      </c>
      <c r="L521" t="n">
        <v>0</v>
      </c>
      <c r="M521" t="n">
        <v>0</v>
      </c>
      <c r="N521" t="n">
        <v>0</v>
      </c>
      <c r="O521" t="n">
        <v>0</v>
      </c>
      <c r="P521" t="n">
        <v>0</v>
      </c>
      <c r="Q521" t="n">
        <v>0</v>
      </c>
      <c r="R521" s="2" t="inlineStr"/>
    </row>
    <row r="522" ht="15" customHeight="1">
      <c r="A522" t="inlineStr">
        <is>
          <t>A 18908-2023</t>
        </is>
      </c>
      <c r="B522" s="1" t="n">
        <v>45044</v>
      </c>
      <c r="C522" s="1" t="n">
        <v>45911</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61436-2024</t>
        </is>
      </c>
      <c r="B523" s="1" t="n">
        <v>45646.46329861111</v>
      </c>
      <c r="C523" s="1" t="n">
        <v>45911</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54359-2020</t>
        </is>
      </c>
      <c r="B524" s="1" t="n">
        <v>44126</v>
      </c>
      <c r="C524" s="1" t="n">
        <v>45911</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54374-2020</t>
        </is>
      </c>
      <c r="B525" s="1" t="n">
        <v>44126</v>
      </c>
      <c r="C525" s="1" t="n">
        <v>45911</v>
      </c>
      <c r="D525" t="inlineStr">
        <is>
          <t>SKÅNE LÄN</t>
        </is>
      </c>
      <c r="E525" t="inlineStr">
        <is>
          <t>HÄSSLEHOLM</t>
        </is>
      </c>
      <c r="G525" t="n">
        <v>2.1</v>
      </c>
      <c r="H525" t="n">
        <v>0</v>
      </c>
      <c r="I525" t="n">
        <v>0</v>
      </c>
      <c r="J525" t="n">
        <v>0</v>
      </c>
      <c r="K525" t="n">
        <v>0</v>
      </c>
      <c r="L525" t="n">
        <v>0</v>
      </c>
      <c r="M525" t="n">
        <v>0</v>
      </c>
      <c r="N525" t="n">
        <v>0</v>
      </c>
      <c r="O525" t="n">
        <v>0</v>
      </c>
      <c r="P525" t="n">
        <v>0</v>
      </c>
      <c r="Q525" t="n">
        <v>0</v>
      </c>
      <c r="R525" s="2" t="inlineStr"/>
    </row>
    <row r="526" ht="15" customHeight="1">
      <c r="A526" t="inlineStr">
        <is>
          <t>A 27349-2025</t>
        </is>
      </c>
      <c r="B526" s="1" t="n">
        <v>45812</v>
      </c>
      <c r="C526" s="1" t="n">
        <v>45911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69109-2020</t>
        </is>
      </c>
      <c r="B527" s="1" t="n">
        <v>44188</v>
      </c>
      <c r="C527" s="1" t="n">
        <v>45911</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16368-2025</t>
        </is>
      </c>
      <c r="B528" s="1" t="n">
        <v>45751</v>
      </c>
      <c r="C528" s="1" t="n">
        <v>45911</v>
      </c>
      <c r="D528" t="inlineStr">
        <is>
          <t>SKÅNE LÄN</t>
        </is>
      </c>
      <c r="E528" t="inlineStr">
        <is>
          <t>HÄSSLEHOLM</t>
        </is>
      </c>
      <c r="G528" t="n">
        <v>5</v>
      </c>
      <c r="H528" t="n">
        <v>0</v>
      </c>
      <c r="I528" t="n">
        <v>0</v>
      </c>
      <c r="J528" t="n">
        <v>0</v>
      </c>
      <c r="K528" t="n">
        <v>0</v>
      </c>
      <c r="L528" t="n">
        <v>0</v>
      </c>
      <c r="M528" t="n">
        <v>0</v>
      </c>
      <c r="N528" t="n">
        <v>0</v>
      </c>
      <c r="O528" t="n">
        <v>0</v>
      </c>
      <c r="P528" t="n">
        <v>0</v>
      </c>
      <c r="Q528" t="n">
        <v>0</v>
      </c>
      <c r="R528" s="2" t="inlineStr"/>
    </row>
    <row r="529" ht="15" customHeight="1">
      <c r="A529" t="inlineStr">
        <is>
          <t>A 34299-2024</t>
        </is>
      </c>
      <c r="B529" s="1" t="n">
        <v>45524</v>
      </c>
      <c r="C529" s="1" t="n">
        <v>45911</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60846-2022</t>
        </is>
      </c>
      <c r="B530" s="1" t="n">
        <v>44914</v>
      </c>
      <c r="C530" s="1" t="n">
        <v>45911</v>
      </c>
      <c r="D530" t="inlineStr">
        <is>
          <t>SKÅNE LÄN</t>
        </is>
      </c>
      <c r="E530" t="inlineStr">
        <is>
          <t>HÄSSLEHOLM</t>
        </is>
      </c>
      <c r="G530" t="n">
        <v>2.1</v>
      </c>
      <c r="H530" t="n">
        <v>0</v>
      </c>
      <c r="I530" t="n">
        <v>0</v>
      </c>
      <c r="J530" t="n">
        <v>0</v>
      </c>
      <c r="K530" t="n">
        <v>0</v>
      </c>
      <c r="L530" t="n">
        <v>0</v>
      </c>
      <c r="M530" t="n">
        <v>0</v>
      </c>
      <c r="N530" t="n">
        <v>0</v>
      </c>
      <c r="O530" t="n">
        <v>0</v>
      </c>
      <c r="P530" t="n">
        <v>0</v>
      </c>
      <c r="Q530" t="n">
        <v>0</v>
      </c>
      <c r="R530" s="2" t="inlineStr"/>
    </row>
    <row r="531" ht="15" customHeight="1">
      <c r="A531" t="inlineStr">
        <is>
          <t>A 54408-2024</t>
        </is>
      </c>
      <c r="B531" s="1" t="n">
        <v>45617.47263888889</v>
      </c>
      <c r="C531" s="1" t="n">
        <v>45911</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14008-2023</t>
        </is>
      </c>
      <c r="B532" s="1" t="n">
        <v>45008.56725694444</v>
      </c>
      <c r="C532" s="1" t="n">
        <v>45911</v>
      </c>
      <c r="D532" t="inlineStr">
        <is>
          <t>SKÅNE LÄN</t>
        </is>
      </c>
      <c r="E532" t="inlineStr">
        <is>
          <t>HÄSSLEHOLM</t>
        </is>
      </c>
      <c r="G532" t="n">
        <v>3.3</v>
      </c>
      <c r="H532" t="n">
        <v>0</v>
      </c>
      <c r="I532" t="n">
        <v>0</v>
      </c>
      <c r="J532" t="n">
        <v>0</v>
      </c>
      <c r="K532" t="n">
        <v>0</v>
      </c>
      <c r="L532" t="n">
        <v>0</v>
      </c>
      <c r="M532" t="n">
        <v>0</v>
      </c>
      <c r="N532" t="n">
        <v>0</v>
      </c>
      <c r="O532" t="n">
        <v>0</v>
      </c>
      <c r="P532" t="n">
        <v>0</v>
      </c>
      <c r="Q532" t="n">
        <v>0</v>
      </c>
      <c r="R532" s="2" t="inlineStr"/>
    </row>
    <row r="533" ht="15" customHeight="1">
      <c r="A533" t="inlineStr">
        <is>
          <t>A 20493-2024</t>
        </is>
      </c>
      <c r="B533" s="1" t="n">
        <v>45435</v>
      </c>
      <c r="C533" s="1" t="n">
        <v>45911</v>
      </c>
      <c r="D533" t="inlineStr">
        <is>
          <t>SKÅNE LÄN</t>
        </is>
      </c>
      <c r="E533" t="inlineStr">
        <is>
          <t>HÄSSLEHOLM</t>
        </is>
      </c>
      <c r="G533" t="n">
        <v>1.2</v>
      </c>
      <c r="H533" t="n">
        <v>0</v>
      </c>
      <c r="I533" t="n">
        <v>0</v>
      </c>
      <c r="J533" t="n">
        <v>0</v>
      </c>
      <c r="K533" t="n">
        <v>0</v>
      </c>
      <c r="L533" t="n">
        <v>0</v>
      </c>
      <c r="M533" t="n">
        <v>0</v>
      </c>
      <c r="N533" t="n">
        <v>0</v>
      </c>
      <c r="O533" t="n">
        <v>0</v>
      </c>
      <c r="P533" t="n">
        <v>0</v>
      </c>
      <c r="Q533" t="n">
        <v>0</v>
      </c>
      <c r="R533" s="2" t="inlineStr"/>
    </row>
    <row r="534" ht="15" customHeight="1">
      <c r="A534" t="inlineStr">
        <is>
          <t>A 13851-2025</t>
        </is>
      </c>
      <c r="B534" s="1" t="n">
        <v>45737.56777777777</v>
      </c>
      <c r="C534" s="1" t="n">
        <v>45911</v>
      </c>
      <c r="D534" t="inlineStr">
        <is>
          <t>SKÅNE LÄN</t>
        </is>
      </c>
      <c r="E534" t="inlineStr">
        <is>
          <t>HÄSSLEHOLM</t>
        </is>
      </c>
      <c r="G534" t="n">
        <v>3</v>
      </c>
      <c r="H534" t="n">
        <v>0</v>
      </c>
      <c r="I534" t="n">
        <v>0</v>
      </c>
      <c r="J534" t="n">
        <v>0</v>
      </c>
      <c r="K534" t="n">
        <v>0</v>
      </c>
      <c r="L534" t="n">
        <v>0</v>
      </c>
      <c r="M534" t="n">
        <v>0</v>
      </c>
      <c r="N534" t="n">
        <v>0</v>
      </c>
      <c r="O534" t="n">
        <v>0</v>
      </c>
      <c r="P534" t="n">
        <v>0</v>
      </c>
      <c r="Q534" t="n">
        <v>0</v>
      </c>
      <c r="R534" s="2" t="inlineStr"/>
    </row>
    <row r="535" ht="15" customHeight="1">
      <c r="A535" t="inlineStr">
        <is>
          <t>A 41874-2024</t>
        </is>
      </c>
      <c r="B535" s="1" t="n">
        <v>45561</v>
      </c>
      <c r="C535" s="1" t="n">
        <v>45911</v>
      </c>
      <c r="D535" t="inlineStr">
        <is>
          <t>SKÅNE LÄN</t>
        </is>
      </c>
      <c r="E535" t="inlineStr">
        <is>
          <t>HÄSSLEHOLM</t>
        </is>
      </c>
      <c r="G535" t="n">
        <v>1</v>
      </c>
      <c r="H535" t="n">
        <v>0</v>
      </c>
      <c r="I535" t="n">
        <v>0</v>
      </c>
      <c r="J535" t="n">
        <v>0</v>
      </c>
      <c r="K535" t="n">
        <v>0</v>
      </c>
      <c r="L535" t="n">
        <v>0</v>
      </c>
      <c r="M535" t="n">
        <v>0</v>
      </c>
      <c r="N535" t="n">
        <v>0</v>
      </c>
      <c r="O535" t="n">
        <v>0</v>
      </c>
      <c r="P535" t="n">
        <v>0</v>
      </c>
      <c r="Q535" t="n">
        <v>0</v>
      </c>
      <c r="R535" s="2" t="inlineStr"/>
    </row>
    <row r="536" ht="15" customHeight="1">
      <c r="A536" t="inlineStr">
        <is>
          <t>A 11798-2022</t>
        </is>
      </c>
      <c r="B536" s="1" t="n">
        <v>44634.64900462963</v>
      </c>
      <c r="C536" s="1" t="n">
        <v>45911</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27393-2025</t>
        </is>
      </c>
      <c r="B537" s="1" t="n">
        <v>45812.68295138889</v>
      </c>
      <c r="C537" s="1" t="n">
        <v>45911</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54435-2024</t>
        </is>
      </c>
      <c r="B538" s="1" t="n">
        <v>45617.49494212963</v>
      </c>
      <c r="C538" s="1" t="n">
        <v>45911</v>
      </c>
      <c r="D538" t="inlineStr">
        <is>
          <t>SKÅNE LÄN</t>
        </is>
      </c>
      <c r="E538" t="inlineStr">
        <is>
          <t>HÄSSLEHOLM</t>
        </is>
      </c>
      <c r="G538" t="n">
        <v>2.3</v>
      </c>
      <c r="H538" t="n">
        <v>0</v>
      </c>
      <c r="I538" t="n">
        <v>0</v>
      </c>
      <c r="J538" t="n">
        <v>0</v>
      </c>
      <c r="K538" t="n">
        <v>0</v>
      </c>
      <c r="L538" t="n">
        <v>0</v>
      </c>
      <c r="M538" t="n">
        <v>0</v>
      </c>
      <c r="N538" t="n">
        <v>0</v>
      </c>
      <c r="O538" t="n">
        <v>0</v>
      </c>
      <c r="P538" t="n">
        <v>0</v>
      </c>
      <c r="Q538" t="n">
        <v>0</v>
      </c>
      <c r="R538" s="2" t="inlineStr"/>
    </row>
    <row r="539" ht="15" customHeight="1">
      <c r="A539" t="inlineStr">
        <is>
          <t>A 13890-2024</t>
        </is>
      </c>
      <c r="B539" s="1" t="n">
        <v>45391</v>
      </c>
      <c r="C539" s="1" t="n">
        <v>45911</v>
      </c>
      <c r="D539" t="inlineStr">
        <is>
          <t>SKÅNE LÄN</t>
        </is>
      </c>
      <c r="E539" t="inlineStr">
        <is>
          <t>HÄSSLEHOLM</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39223-2024</t>
        </is>
      </c>
      <c r="B540" s="1" t="n">
        <v>45550</v>
      </c>
      <c r="C540" s="1" t="n">
        <v>45911</v>
      </c>
      <c r="D540" t="inlineStr">
        <is>
          <t>SKÅNE LÄN</t>
        </is>
      </c>
      <c r="E540" t="inlineStr">
        <is>
          <t>HÄSSLEHOLM</t>
        </is>
      </c>
      <c r="G540" t="n">
        <v>3.1</v>
      </c>
      <c r="H540" t="n">
        <v>0</v>
      </c>
      <c r="I540" t="n">
        <v>0</v>
      </c>
      <c r="J540" t="n">
        <v>0</v>
      </c>
      <c r="K540" t="n">
        <v>0</v>
      </c>
      <c r="L540" t="n">
        <v>0</v>
      </c>
      <c r="M540" t="n">
        <v>0</v>
      </c>
      <c r="N540" t="n">
        <v>0</v>
      </c>
      <c r="O540" t="n">
        <v>0</v>
      </c>
      <c r="P540" t="n">
        <v>0</v>
      </c>
      <c r="Q540" t="n">
        <v>0</v>
      </c>
      <c r="R540" s="2" t="inlineStr"/>
    </row>
    <row r="541" ht="15" customHeight="1">
      <c r="A541" t="inlineStr">
        <is>
          <t>A 6122-2021</t>
        </is>
      </c>
      <c r="B541" s="1" t="n">
        <v>44232.55091435185</v>
      </c>
      <c r="C541" s="1" t="n">
        <v>45911</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13932-2023</t>
        </is>
      </c>
      <c r="B542" s="1" t="n">
        <v>45008.43935185186</v>
      </c>
      <c r="C542" s="1" t="n">
        <v>45911</v>
      </c>
      <c r="D542" t="inlineStr">
        <is>
          <t>SKÅNE LÄN</t>
        </is>
      </c>
      <c r="E542" t="inlineStr">
        <is>
          <t>HÄSSLEHOLM</t>
        </is>
      </c>
      <c r="G542" t="n">
        <v>3.3</v>
      </c>
      <c r="H542" t="n">
        <v>0</v>
      </c>
      <c r="I542" t="n">
        <v>0</v>
      </c>
      <c r="J542" t="n">
        <v>0</v>
      </c>
      <c r="K542" t="n">
        <v>0</v>
      </c>
      <c r="L542" t="n">
        <v>0</v>
      </c>
      <c r="M542" t="n">
        <v>0</v>
      </c>
      <c r="N542" t="n">
        <v>0</v>
      </c>
      <c r="O542" t="n">
        <v>0</v>
      </c>
      <c r="P542" t="n">
        <v>0</v>
      </c>
      <c r="Q542" t="n">
        <v>0</v>
      </c>
      <c r="R542" s="2" t="inlineStr"/>
    </row>
    <row r="543" ht="15" customHeight="1">
      <c r="A543" t="inlineStr">
        <is>
          <t>A 720-2025</t>
        </is>
      </c>
      <c r="B543" s="1" t="n">
        <v>45665.3744212963</v>
      </c>
      <c r="C543" s="1" t="n">
        <v>45911</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31581-2023</t>
        </is>
      </c>
      <c r="B544" s="1" t="n">
        <v>45117.45165509259</v>
      </c>
      <c r="C544" s="1" t="n">
        <v>45911</v>
      </c>
      <c r="D544" t="inlineStr">
        <is>
          <t>SKÅNE LÄN</t>
        </is>
      </c>
      <c r="E544" t="inlineStr">
        <is>
          <t>HÄSSLEHOLM</t>
        </is>
      </c>
      <c r="G544" t="n">
        <v>1.7</v>
      </c>
      <c r="H544" t="n">
        <v>0</v>
      </c>
      <c r="I544" t="n">
        <v>0</v>
      </c>
      <c r="J544" t="n">
        <v>0</v>
      </c>
      <c r="K544" t="n">
        <v>0</v>
      </c>
      <c r="L544" t="n">
        <v>0</v>
      </c>
      <c r="M544" t="n">
        <v>0</v>
      </c>
      <c r="N544" t="n">
        <v>0</v>
      </c>
      <c r="O544" t="n">
        <v>0</v>
      </c>
      <c r="P544" t="n">
        <v>0</v>
      </c>
      <c r="Q544" t="n">
        <v>0</v>
      </c>
      <c r="R544" s="2" t="inlineStr"/>
    </row>
    <row r="545" ht="15" customHeight="1">
      <c r="A545" t="inlineStr">
        <is>
          <t>A 32008-2024</t>
        </is>
      </c>
      <c r="B545" s="1" t="n">
        <v>45510</v>
      </c>
      <c r="C545" s="1" t="n">
        <v>45911</v>
      </c>
      <c r="D545" t="inlineStr">
        <is>
          <t>SKÅNE LÄN</t>
        </is>
      </c>
      <c r="E545" t="inlineStr">
        <is>
          <t>HÄSSLEHOLM</t>
        </is>
      </c>
      <c r="G545" t="n">
        <v>5.1</v>
      </c>
      <c r="H545" t="n">
        <v>0</v>
      </c>
      <c r="I545" t="n">
        <v>0</v>
      </c>
      <c r="J545" t="n">
        <v>0</v>
      </c>
      <c r="K545" t="n">
        <v>0</v>
      </c>
      <c r="L545" t="n">
        <v>0</v>
      </c>
      <c r="M545" t="n">
        <v>0</v>
      </c>
      <c r="N545" t="n">
        <v>0</v>
      </c>
      <c r="O545" t="n">
        <v>0</v>
      </c>
      <c r="P545" t="n">
        <v>0</v>
      </c>
      <c r="Q545" t="n">
        <v>0</v>
      </c>
      <c r="R545" s="2" t="inlineStr"/>
    </row>
    <row r="546" ht="15" customHeight="1">
      <c r="A546" t="inlineStr">
        <is>
          <t>A 17138-2025</t>
        </is>
      </c>
      <c r="B546" s="1" t="n">
        <v>45755.80378472222</v>
      </c>
      <c r="C546" s="1" t="n">
        <v>45911</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15512-2025</t>
        </is>
      </c>
      <c r="B547" s="1" t="n">
        <v>45747</v>
      </c>
      <c r="C547" s="1" t="n">
        <v>45911</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33597-2023</t>
        </is>
      </c>
      <c r="B548" s="1" t="n">
        <v>45132</v>
      </c>
      <c r="C548" s="1" t="n">
        <v>45911</v>
      </c>
      <c r="D548" t="inlineStr">
        <is>
          <t>SKÅNE LÄN</t>
        </is>
      </c>
      <c r="E548" t="inlineStr">
        <is>
          <t>HÄSSLEHOLM</t>
        </is>
      </c>
      <c r="G548" t="n">
        <v>3.9</v>
      </c>
      <c r="H548" t="n">
        <v>0</v>
      </c>
      <c r="I548" t="n">
        <v>0</v>
      </c>
      <c r="J548" t="n">
        <v>0</v>
      </c>
      <c r="K548" t="n">
        <v>0</v>
      </c>
      <c r="L548" t="n">
        <v>0</v>
      </c>
      <c r="M548" t="n">
        <v>0</v>
      </c>
      <c r="N548" t="n">
        <v>0</v>
      </c>
      <c r="O548" t="n">
        <v>0</v>
      </c>
      <c r="P548" t="n">
        <v>0</v>
      </c>
      <c r="Q548" t="n">
        <v>0</v>
      </c>
      <c r="R548" s="2" t="inlineStr"/>
    </row>
    <row r="549" ht="15" customHeight="1">
      <c r="A549" t="inlineStr">
        <is>
          <t>A 33599-2023</t>
        </is>
      </c>
      <c r="B549" s="1" t="n">
        <v>45132</v>
      </c>
      <c r="C549" s="1" t="n">
        <v>45911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28240-2025</t>
        </is>
      </c>
      <c r="B550" s="1" t="n">
        <v>45817</v>
      </c>
      <c r="C550" s="1" t="n">
        <v>45911</v>
      </c>
      <c r="D550" t="inlineStr">
        <is>
          <t>SKÅNE LÄN</t>
        </is>
      </c>
      <c r="E550" t="inlineStr">
        <is>
          <t>HÄSSLEHOLM</t>
        </is>
      </c>
      <c r="G550" t="n">
        <v>7.7</v>
      </c>
      <c r="H550" t="n">
        <v>0</v>
      </c>
      <c r="I550" t="n">
        <v>0</v>
      </c>
      <c r="J550" t="n">
        <v>0</v>
      </c>
      <c r="K550" t="n">
        <v>0</v>
      </c>
      <c r="L550" t="n">
        <v>0</v>
      </c>
      <c r="M550" t="n">
        <v>0</v>
      </c>
      <c r="N550" t="n">
        <v>0</v>
      </c>
      <c r="O550" t="n">
        <v>0</v>
      </c>
      <c r="P550" t="n">
        <v>0</v>
      </c>
      <c r="Q550" t="n">
        <v>0</v>
      </c>
      <c r="R550" s="2" t="inlineStr"/>
    </row>
    <row r="551" ht="15" customHeight="1">
      <c r="A551" t="inlineStr">
        <is>
          <t>A 14700-2023</t>
        </is>
      </c>
      <c r="B551" s="1" t="n">
        <v>45014.38376157408</v>
      </c>
      <c r="C551" s="1" t="n">
        <v>45911</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3531-2023</t>
        </is>
      </c>
      <c r="B552" s="1" t="n">
        <v>44950</v>
      </c>
      <c r="C552" s="1" t="n">
        <v>45911</v>
      </c>
      <c r="D552" t="inlineStr">
        <is>
          <t>SKÅNE LÄN</t>
        </is>
      </c>
      <c r="E552" t="inlineStr">
        <is>
          <t>HÄSSLEHOLM</t>
        </is>
      </c>
      <c r="G552" t="n">
        <v>10.1</v>
      </c>
      <c r="H552" t="n">
        <v>0</v>
      </c>
      <c r="I552" t="n">
        <v>0</v>
      </c>
      <c r="J552" t="n">
        <v>0</v>
      </c>
      <c r="K552" t="n">
        <v>0</v>
      </c>
      <c r="L552" t="n">
        <v>0</v>
      </c>
      <c r="M552" t="n">
        <v>0</v>
      </c>
      <c r="N552" t="n">
        <v>0</v>
      </c>
      <c r="O552" t="n">
        <v>0</v>
      </c>
      <c r="P552" t="n">
        <v>0</v>
      </c>
      <c r="Q552" t="n">
        <v>0</v>
      </c>
      <c r="R552" s="2" t="inlineStr"/>
    </row>
    <row r="553" ht="15" customHeight="1">
      <c r="A553" t="inlineStr">
        <is>
          <t>A 28095-2025</t>
        </is>
      </c>
      <c r="B553" s="1" t="n">
        <v>45817</v>
      </c>
      <c r="C553" s="1" t="n">
        <v>45911</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33938-2023</t>
        </is>
      </c>
      <c r="B554" s="1" t="n">
        <v>45124</v>
      </c>
      <c r="C554" s="1" t="n">
        <v>45911</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4579-2025</t>
        </is>
      </c>
      <c r="B555" s="1" t="n">
        <v>45687.5009375</v>
      </c>
      <c r="C555" s="1" t="n">
        <v>45911</v>
      </c>
      <c r="D555" t="inlineStr">
        <is>
          <t>SKÅNE LÄN</t>
        </is>
      </c>
      <c r="E555" t="inlineStr">
        <is>
          <t>HÄSSLEHOLM</t>
        </is>
      </c>
      <c r="G555" t="n">
        <v>2.8</v>
      </c>
      <c r="H555" t="n">
        <v>0</v>
      </c>
      <c r="I555" t="n">
        <v>0</v>
      </c>
      <c r="J555" t="n">
        <v>0</v>
      </c>
      <c r="K555" t="n">
        <v>0</v>
      </c>
      <c r="L555" t="n">
        <v>0</v>
      </c>
      <c r="M555" t="n">
        <v>0</v>
      </c>
      <c r="N555" t="n">
        <v>0</v>
      </c>
      <c r="O555" t="n">
        <v>0</v>
      </c>
      <c r="P555" t="n">
        <v>0</v>
      </c>
      <c r="Q555" t="n">
        <v>0</v>
      </c>
      <c r="R555" s="2" t="inlineStr"/>
    </row>
    <row r="556" ht="15" customHeight="1">
      <c r="A556" t="inlineStr">
        <is>
          <t>A 1344-2021</t>
        </is>
      </c>
      <c r="B556" s="1" t="n">
        <v>44208</v>
      </c>
      <c r="C556" s="1" t="n">
        <v>45911</v>
      </c>
      <c r="D556" t="inlineStr">
        <is>
          <t>SKÅNE LÄN</t>
        </is>
      </c>
      <c r="E556" t="inlineStr">
        <is>
          <t>HÄSSLEHOLM</t>
        </is>
      </c>
      <c r="G556" t="n">
        <v>1.3</v>
      </c>
      <c r="H556" t="n">
        <v>0</v>
      </c>
      <c r="I556" t="n">
        <v>0</v>
      </c>
      <c r="J556" t="n">
        <v>0</v>
      </c>
      <c r="K556" t="n">
        <v>0</v>
      </c>
      <c r="L556" t="n">
        <v>0</v>
      </c>
      <c r="M556" t="n">
        <v>0</v>
      </c>
      <c r="N556" t="n">
        <v>0</v>
      </c>
      <c r="O556" t="n">
        <v>0</v>
      </c>
      <c r="P556" t="n">
        <v>0</v>
      </c>
      <c r="Q556" t="n">
        <v>0</v>
      </c>
      <c r="R556" s="2" t="inlineStr"/>
    </row>
    <row r="557" ht="15" customHeight="1">
      <c r="A557" t="inlineStr">
        <is>
          <t>A 18623-2023</t>
        </is>
      </c>
      <c r="B557" s="1" t="n">
        <v>45043</v>
      </c>
      <c r="C557" s="1" t="n">
        <v>45911</v>
      </c>
      <c r="D557" t="inlineStr">
        <is>
          <t>SKÅNE LÄN</t>
        </is>
      </c>
      <c r="E557" t="inlineStr">
        <is>
          <t>HÄSSLEHOLM</t>
        </is>
      </c>
      <c r="G557" t="n">
        <v>3.2</v>
      </c>
      <c r="H557" t="n">
        <v>0</v>
      </c>
      <c r="I557" t="n">
        <v>0</v>
      </c>
      <c r="J557" t="n">
        <v>0</v>
      </c>
      <c r="K557" t="n">
        <v>0</v>
      </c>
      <c r="L557" t="n">
        <v>0</v>
      </c>
      <c r="M557" t="n">
        <v>0</v>
      </c>
      <c r="N557" t="n">
        <v>0</v>
      </c>
      <c r="O557" t="n">
        <v>0</v>
      </c>
      <c r="P557" t="n">
        <v>0</v>
      </c>
      <c r="Q557" t="n">
        <v>0</v>
      </c>
      <c r="R557" s="2" t="inlineStr"/>
    </row>
    <row r="558" ht="15" customHeight="1">
      <c r="A558" t="inlineStr">
        <is>
          <t>A 22693-2022</t>
        </is>
      </c>
      <c r="B558" s="1" t="n">
        <v>44714.54729166667</v>
      </c>
      <c r="C558" s="1" t="n">
        <v>45911</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35889-2023</t>
        </is>
      </c>
      <c r="B559" s="1" t="n">
        <v>45148</v>
      </c>
      <c r="C559" s="1" t="n">
        <v>45911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35894-2023</t>
        </is>
      </c>
      <c r="B560" s="1" t="n">
        <v>45148</v>
      </c>
      <c r="C560" s="1" t="n">
        <v>45911</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10115-2024</t>
        </is>
      </c>
      <c r="B561" s="1" t="n">
        <v>45364.55339120371</v>
      </c>
      <c r="C561" s="1" t="n">
        <v>45911</v>
      </c>
      <c r="D561" t="inlineStr">
        <is>
          <t>SKÅNE LÄN</t>
        </is>
      </c>
      <c r="E561" t="inlineStr">
        <is>
          <t>HÄSSLEHOLM</t>
        </is>
      </c>
      <c r="G561" t="n">
        <v>7</v>
      </c>
      <c r="H561" t="n">
        <v>0</v>
      </c>
      <c r="I561" t="n">
        <v>0</v>
      </c>
      <c r="J561" t="n">
        <v>0</v>
      </c>
      <c r="K561" t="n">
        <v>0</v>
      </c>
      <c r="L561" t="n">
        <v>0</v>
      </c>
      <c r="M561" t="n">
        <v>0</v>
      </c>
      <c r="N561" t="n">
        <v>0</v>
      </c>
      <c r="O561" t="n">
        <v>0</v>
      </c>
      <c r="P561" t="n">
        <v>0</v>
      </c>
      <c r="Q561" t="n">
        <v>0</v>
      </c>
      <c r="R561" s="2" t="inlineStr"/>
    </row>
    <row r="562" ht="15" customHeight="1">
      <c r="A562" t="inlineStr">
        <is>
          <t>A 3663-2024</t>
        </is>
      </c>
      <c r="B562" s="1" t="n">
        <v>45321.34775462963</v>
      </c>
      <c r="C562" s="1" t="n">
        <v>45911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35974-2022</t>
        </is>
      </c>
      <c r="B563" s="1" t="n">
        <v>44802</v>
      </c>
      <c r="C563" s="1" t="n">
        <v>45911</v>
      </c>
      <c r="D563" t="inlineStr">
        <is>
          <t>SKÅNE LÄN</t>
        </is>
      </c>
      <c r="E563" t="inlineStr">
        <is>
          <t>HÄSSLEHOLM</t>
        </is>
      </c>
      <c r="G563" t="n">
        <v>3.8</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45911</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7771-2021</t>
        </is>
      </c>
      <c r="B565" s="1" t="n">
        <v>44242</v>
      </c>
      <c r="C565" s="1" t="n">
        <v>45911</v>
      </c>
      <c r="D565" t="inlineStr">
        <is>
          <t>SKÅNE LÄN</t>
        </is>
      </c>
      <c r="E565" t="inlineStr">
        <is>
          <t>HÄSSLEHOLM</t>
        </is>
      </c>
      <c r="G565" t="n">
        <v>4.2</v>
      </c>
      <c r="H565" t="n">
        <v>0</v>
      </c>
      <c r="I565" t="n">
        <v>0</v>
      </c>
      <c r="J565" t="n">
        <v>0</v>
      </c>
      <c r="K565" t="n">
        <v>0</v>
      </c>
      <c r="L565" t="n">
        <v>0</v>
      </c>
      <c r="M565" t="n">
        <v>0</v>
      </c>
      <c r="N565" t="n">
        <v>0</v>
      </c>
      <c r="O565" t="n">
        <v>0</v>
      </c>
      <c r="P565" t="n">
        <v>0</v>
      </c>
      <c r="Q565" t="n">
        <v>0</v>
      </c>
      <c r="R565" s="2" t="inlineStr"/>
    </row>
    <row r="566" ht="15" customHeight="1">
      <c r="A566" t="inlineStr">
        <is>
          <t>A 24906-2022</t>
        </is>
      </c>
      <c r="B566" s="1" t="n">
        <v>44728</v>
      </c>
      <c r="C566" s="1" t="n">
        <v>45911</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45398-2024</t>
        </is>
      </c>
      <c r="B567" s="1" t="n">
        <v>45576.56260416667</v>
      </c>
      <c r="C567" s="1" t="n">
        <v>45911</v>
      </c>
      <c r="D567" t="inlineStr">
        <is>
          <t>SKÅNE LÄN</t>
        </is>
      </c>
      <c r="E567" t="inlineStr">
        <is>
          <t>HÄSSLEHOLM</t>
        </is>
      </c>
      <c r="G567" t="n">
        <v>4.2</v>
      </c>
      <c r="H567" t="n">
        <v>0</v>
      </c>
      <c r="I567" t="n">
        <v>0</v>
      </c>
      <c r="J567" t="n">
        <v>0</v>
      </c>
      <c r="K567" t="n">
        <v>0</v>
      </c>
      <c r="L567" t="n">
        <v>0</v>
      </c>
      <c r="M567" t="n">
        <v>0</v>
      </c>
      <c r="N567" t="n">
        <v>0</v>
      </c>
      <c r="O567" t="n">
        <v>0</v>
      </c>
      <c r="P567" t="n">
        <v>0</v>
      </c>
      <c r="Q567" t="n">
        <v>0</v>
      </c>
      <c r="R567" s="2" t="inlineStr"/>
    </row>
    <row r="568" ht="15" customHeight="1">
      <c r="A568" t="inlineStr">
        <is>
          <t>A 27940-2025</t>
        </is>
      </c>
      <c r="B568" s="1" t="n">
        <v>45817.50439814815</v>
      </c>
      <c r="C568" s="1" t="n">
        <v>45911</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4809-2025</t>
        </is>
      </c>
      <c r="B569" s="1" t="n">
        <v>45688.60148148148</v>
      </c>
      <c r="C569" s="1" t="n">
        <v>45911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27887-2025</t>
        </is>
      </c>
      <c r="B570" s="1" t="n">
        <v>45817.45994212963</v>
      </c>
      <c r="C570" s="1" t="n">
        <v>45911</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7150-2025</t>
        </is>
      </c>
      <c r="B571" s="1" t="n">
        <v>45702.38239583333</v>
      </c>
      <c r="C571" s="1" t="n">
        <v>45911</v>
      </c>
      <c r="D571" t="inlineStr">
        <is>
          <t>SKÅNE LÄN</t>
        </is>
      </c>
      <c r="E571" t="inlineStr">
        <is>
          <t>HÄSSLEHOLM</t>
        </is>
      </c>
      <c r="G571" t="n">
        <v>2.3</v>
      </c>
      <c r="H571" t="n">
        <v>0</v>
      </c>
      <c r="I571" t="n">
        <v>0</v>
      </c>
      <c r="J571" t="n">
        <v>0</v>
      </c>
      <c r="K571" t="n">
        <v>0</v>
      </c>
      <c r="L571" t="n">
        <v>0</v>
      </c>
      <c r="M571" t="n">
        <v>0</v>
      </c>
      <c r="N571" t="n">
        <v>0</v>
      </c>
      <c r="O571" t="n">
        <v>0</v>
      </c>
      <c r="P571" t="n">
        <v>0</v>
      </c>
      <c r="Q571" t="n">
        <v>0</v>
      </c>
      <c r="R571" s="2" t="inlineStr"/>
    </row>
    <row r="572" ht="15" customHeight="1">
      <c r="A572" t="inlineStr">
        <is>
          <t>A 49827-2022</t>
        </is>
      </c>
      <c r="B572" s="1" t="n">
        <v>44859</v>
      </c>
      <c r="C572" s="1" t="n">
        <v>45911</v>
      </c>
      <c r="D572" t="inlineStr">
        <is>
          <t>SKÅNE LÄN</t>
        </is>
      </c>
      <c r="E572" t="inlineStr">
        <is>
          <t>HÄSSLEHOLM</t>
        </is>
      </c>
      <c r="G572" t="n">
        <v>6.1</v>
      </c>
      <c r="H572" t="n">
        <v>0</v>
      </c>
      <c r="I572" t="n">
        <v>0</v>
      </c>
      <c r="J572" t="n">
        <v>0</v>
      </c>
      <c r="K572" t="n">
        <v>0</v>
      </c>
      <c r="L572" t="n">
        <v>0</v>
      </c>
      <c r="M572" t="n">
        <v>0</v>
      </c>
      <c r="N572" t="n">
        <v>0</v>
      </c>
      <c r="O572" t="n">
        <v>0</v>
      </c>
      <c r="P572" t="n">
        <v>0</v>
      </c>
      <c r="Q572" t="n">
        <v>0</v>
      </c>
      <c r="R572" s="2" t="inlineStr"/>
    </row>
    <row r="573" ht="15" customHeight="1">
      <c r="A573" t="inlineStr">
        <is>
          <t>A 59030-2024</t>
        </is>
      </c>
      <c r="B573" s="1" t="n">
        <v>45636.68916666666</v>
      </c>
      <c r="C573" s="1" t="n">
        <v>45911</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28251-2025</t>
        </is>
      </c>
      <c r="B574" s="1" t="n">
        <v>45817</v>
      </c>
      <c r="C574" s="1" t="n">
        <v>45911</v>
      </c>
      <c r="D574" t="inlineStr">
        <is>
          <t>SKÅNE LÄN</t>
        </is>
      </c>
      <c r="E574" t="inlineStr">
        <is>
          <t>HÄSSLEHOLM</t>
        </is>
      </c>
      <c r="G574" t="n">
        <v>7.2</v>
      </c>
      <c r="H574" t="n">
        <v>0</v>
      </c>
      <c r="I574" t="n">
        <v>0</v>
      </c>
      <c r="J574" t="n">
        <v>0</v>
      </c>
      <c r="K574" t="n">
        <v>0</v>
      </c>
      <c r="L574" t="n">
        <v>0</v>
      </c>
      <c r="M574" t="n">
        <v>0</v>
      </c>
      <c r="N574" t="n">
        <v>0</v>
      </c>
      <c r="O574" t="n">
        <v>0</v>
      </c>
      <c r="P574" t="n">
        <v>0</v>
      </c>
      <c r="Q574" t="n">
        <v>0</v>
      </c>
      <c r="R574" s="2" t="inlineStr"/>
    </row>
    <row r="575" ht="15" customHeight="1">
      <c r="A575" t="inlineStr">
        <is>
          <t>A 27934-2025</t>
        </is>
      </c>
      <c r="B575" s="1" t="n">
        <v>45817.49761574074</v>
      </c>
      <c r="C575" s="1" t="n">
        <v>45911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55303-2024</t>
        </is>
      </c>
      <c r="B576" s="1" t="n">
        <v>45621.6434837963</v>
      </c>
      <c r="C576" s="1" t="n">
        <v>45911</v>
      </c>
      <c r="D576" t="inlineStr">
        <is>
          <t>SKÅNE LÄN</t>
        </is>
      </c>
      <c r="E576" t="inlineStr">
        <is>
          <t>HÄSSLEHOLM</t>
        </is>
      </c>
      <c r="G576" t="n">
        <v>3.3</v>
      </c>
      <c r="H576" t="n">
        <v>0</v>
      </c>
      <c r="I576" t="n">
        <v>0</v>
      </c>
      <c r="J576" t="n">
        <v>0</v>
      </c>
      <c r="K576" t="n">
        <v>0</v>
      </c>
      <c r="L576" t="n">
        <v>0</v>
      </c>
      <c r="M576" t="n">
        <v>0</v>
      </c>
      <c r="N576" t="n">
        <v>0</v>
      </c>
      <c r="O576" t="n">
        <v>0</v>
      </c>
      <c r="P576" t="n">
        <v>0</v>
      </c>
      <c r="Q576" t="n">
        <v>0</v>
      </c>
      <c r="R576" s="2" t="inlineStr"/>
    </row>
    <row r="577" ht="15" customHeight="1">
      <c r="A577" t="inlineStr">
        <is>
          <t>A 16397-2022</t>
        </is>
      </c>
      <c r="B577" s="1" t="n">
        <v>44671</v>
      </c>
      <c r="C577" s="1" t="n">
        <v>45911</v>
      </c>
      <c r="D577" t="inlineStr">
        <is>
          <t>SKÅNE LÄN</t>
        </is>
      </c>
      <c r="E577" t="inlineStr">
        <is>
          <t>HÄSSLEHOLM</t>
        </is>
      </c>
      <c r="G577" t="n">
        <v>2.7</v>
      </c>
      <c r="H577" t="n">
        <v>0</v>
      </c>
      <c r="I577" t="n">
        <v>0</v>
      </c>
      <c r="J577" t="n">
        <v>0</v>
      </c>
      <c r="K577" t="n">
        <v>0</v>
      </c>
      <c r="L577" t="n">
        <v>0</v>
      </c>
      <c r="M577" t="n">
        <v>0</v>
      </c>
      <c r="N577" t="n">
        <v>0</v>
      </c>
      <c r="O577" t="n">
        <v>0</v>
      </c>
      <c r="P577" t="n">
        <v>0</v>
      </c>
      <c r="Q577" t="n">
        <v>0</v>
      </c>
      <c r="R577" s="2" t="inlineStr"/>
    </row>
    <row r="578" ht="15" customHeight="1">
      <c r="A578" t="inlineStr">
        <is>
          <t>A 16398-2022</t>
        </is>
      </c>
      <c r="B578" s="1" t="n">
        <v>44671</v>
      </c>
      <c r="C578" s="1" t="n">
        <v>45911</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28122-2025</t>
        </is>
      </c>
      <c r="B579" s="1" t="n">
        <v>45817</v>
      </c>
      <c r="C579" s="1" t="n">
        <v>45911</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7481-2023</t>
        </is>
      </c>
      <c r="B580" s="1" t="n">
        <v>44971</v>
      </c>
      <c r="C580" s="1" t="n">
        <v>45911</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35150-2023</t>
        </is>
      </c>
      <c r="B581" s="1" t="n">
        <v>45145</v>
      </c>
      <c r="C581" s="1" t="n">
        <v>45911</v>
      </c>
      <c r="D581" t="inlineStr">
        <is>
          <t>SKÅNE LÄN</t>
        </is>
      </c>
      <c r="E581" t="inlineStr">
        <is>
          <t>HÄSSLEHOLM</t>
        </is>
      </c>
      <c r="G581" t="n">
        <v>4.9</v>
      </c>
      <c r="H581" t="n">
        <v>0</v>
      </c>
      <c r="I581" t="n">
        <v>0</v>
      </c>
      <c r="J581" t="n">
        <v>0</v>
      </c>
      <c r="K581" t="n">
        <v>0</v>
      </c>
      <c r="L581" t="n">
        <v>0</v>
      </c>
      <c r="M581" t="n">
        <v>0</v>
      </c>
      <c r="N581" t="n">
        <v>0</v>
      </c>
      <c r="O581" t="n">
        <v>0</v>
      </c>
      <c r="P581" t="n">
        <v>0</v>
      </c>
      <c r="Q581" t="n">
        <v>0</v>
      </c>
      <c r="R581" s="2" t="inlineStr"/>
    </row>
    <row r="582" ht="15" customHeight="1">
      <c r="A582" t="inlineStr">
        <is>
          <t>A 59434-2023</t>
        </is>
      </c>
      <c r="B582" s="1" t="n">
        <v>45254.30440972222</v>
      </c>
      <c r="C582" s="1" t="n">
        <v>45911</v>
      </c>
      <c r="D582" t="inlineStr">
        <is>
          <t>SKÅNE LÄN</t>
        </is>
      </c>
      <c r="E582" t="inlineStr">
        <is>
          <t>HÄSSLEHOLM</t>
        </is>
      </c>
      <c r="G582" t="n">
        <v>3.6</v>
      </c>
      <c r="H582" t="n">
        <v>0</v>
      </c>
      <c r="I582" t="n">
        <v>0</v>
      </c>
      <c r="J582" t="n">
        <v>0</v>
      </c>
      <c r="K582" t="n">
        <v>0</v>
      </c>
      <c r="L582" t="n">
        <v>0</v>
      </c>
      <c r="M582" t="n">
        <v>0</v>
      </c>
      <c r="N582" t="n">
        <v>0</v>
      </c>
      <c r="O582" t="n">
        <v>0</v>
      </c>
      <c r="P582" t="n">
        <v>0</v>
      </c>
      <c r="Q582" t="n">
        <v>0</v>
      </c>
      <c r="R582" s="2" t="inlineStr"/>
    </row>
    <row r="583" ht="15" customHeight="1">
      <c r="A583" t="inlineStr">
        <is>
          <t>A 12507-2022</t>
        </is>
      </c>
      <c r="B583" s="1" t="n">
        <v>44638</v>
      </c>
      <c r="C583" s="1" t="n">
        <v>45911</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16862-2025</t>
        </is>
      </c>
      <c r="B584" s="1" t="n">
        <v>45751</v>
      </c>
      <c r="C584" s="1" t="n">
        <v>45911</v>
      </c>
      <c r="D584" t="inlineStr">
        <is>
          <t>SKÅNE LÄN</t>
        </is>
      </c>
      <c r="E584" t="inlineStr">
        <is>
          <t>HÄSSLEHOLM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10594-2025</t>
        </is>
      </c>
      <c r="B585" s="1" t="n">
        <v>45721</v>
      </c>
      <c r="C585" s="1" t="n">
        <v>45911</v>
      </c>
      <c r="D585" t="inlineStr">
        <is>
          <t>SKÅNE LÄN</t>
        </is>
      </c>
      <c r="E585" t="inlineStr">
        <is>
          <t>HÄSSLEHOLM</t>
        </is>
      </c>
      <c r="G585" t="n">
        <v>5.3</v>
      </c>
      <c r="H585" t="n">
        <v>0</v>
      </c>
      <c r="I585" t="n">
        <v>0</v>
      </c>
      <c r="J585" t="n">
        <v>0</v>
      </c>
      <c r="K585" t="n">
        <v>0</v>
      </c>
      <c r="L585" t="n">
        <v>0</v>
      </c>
      <c r="M585" t="n">
        <v>0</v>
      </c>
      <c r="N585" t="n">
        <v>0</v>
      </c>
      <c r="O585" t="n">
        <v>0</v>
      </c>
      <c r="P585" t="n">
        <v>0</v>
      </c>
      <c r="Q585" t="n">
        <v>0</v>
      </c>
      <c r="R585" s="2" t="inlineStr"/>
    </row>
    <row r="586" ht="15" customHeight="1">
      <c r="A586" t="inlineStr">
        <is>
          <t>A 22690-2022</t>
        </is>
      </c>
      <c r="B586" s="1" t="n">
        <v>44714.5421875</v>
      </c>
      <c r="C586" s="1" t="n">
        <v>45911</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57079-2022</t>
        </is>
      </c>
      <c r="B587" s="1" t="n">
        <v>44895</v>
      </c>
      <c r="C587" s="1" t="n">
        <v>45911</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55284-2023</t>
        </is>
      </c>
      <c r="B588" s="1" t="n">
        <v>45237.74259259259</v>
      </c>
      <c r="C588" s="1" t="n">
        <v>45911</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22384-2024</t>
        </is>
      </c>
      <c r="B589" s="1" t="n">
        <v>45446.65592592592</v>
      </c>
      <c r="C589" s="1" t="n">
        <v>45911</v>
      </c>
      <c r="D589" t="inlineStr">
        <is>
          <t>SKÅNE LÄN</t>
        </is>
      </c>
      <c r="E589" t="inlineStr">
        <is>
          <t>HÄSSLEHOLM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29170-2025</t>
        </is>
      </c>
      <c r="B590" s="1" t="n">
        <v>45821.69766203704</v>
      </c>
      <c r="C590" s="1" t="n">
        <v>45911</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61498-2022</t>
        </is>
      </c>
      <c r="B591" s="1" t="n">
        <v>44910</v>
      </c>
      <c r="C591" s="1" t="n">
        <v>45911</v>
      </c>
      <c r="D591" t="inlineStr">
        <is>
          <t>SKÅNE LÄN</t>
        </is>
      </c>
      <c r="E591" t="inlineStr">
        <is>
          <t>HÄSSLEHOLM</t>
        </is>
      </c>
      <c r="F591" t="inlineStr">
        <is>
          <t>Kyrkan</t>
        </is>
      </c>
      <c r="G591" t="n">
        <v>3.2</v>
      </c>
      <c r="H591" t="n">
        <v>0</v>
      </c>
      <c r="I591" t="n">
        <v>0</v>
      </c>
      <c r="J591" t="n">
        <v>0</v>
      </c>
      <c r="K591" t="n">
        <v>0</v>
      </c>
      <c r="L591" t="n">
        <v>0</v>
      </c>
      <c r="M591" t="n">
        <v>0</v>
      </c>
      <c r="N591" t="n">
        <v>0</v>
      </c>
      <c r="O591" t="n">
        <v>0</v>
      </c>
      <c r="P591" t="n">
        <v>0</v>
      </c>
      <c r="Q591" t="n">
        <v>0</v>
      </c>
      <c r="R591" s="2" t="inlineStr"/>
    </row>
    <row r="592" ht="15" customHeight="1">
      <c r="A592" t="inlineStr">
        <is>
          <t>A 15417-2022</t>
        </is>
      </c>
      <c r="B592" s="1" t="n">
        <v>44659</v>
      </c>
      <c r="C592" s="1" t="n">
        <v>45911</v>
      </c>
      <c r="D592" t="inlineStr">
        <is>
          <t>SKÅNE LÄN</t>
        </is>
      </c>
      <c r="E592" t="inlineStr">
        <is>
          <t>HÄSSLEHOLM</t>
        </is>
      </c>
      <c r="F592" t="inlineStr">
        <is>
          <t>Kyrkan</t>
        </is>
      </c>
      <c r="G592" t="n">
        <v>2.9</v>
      </c>
      <c r="H592" t="n">
        <v>0</v>
      </c>
      <c r="I592" t="n">
        <v>0</v>
      </c>
      <c r="J592" t="n">
        <v>0</v>
      </c>
      <c r="K592" t="n">
        <v>0</v>
      </c>
      <c r="L592" t="n">
        <v>0</v>
      </c>
      <c r="M592" t="n">
        <v>0</v>
      </c>
      <c r="N592" t="n">
        <v>0</v>
      </c>
      <c r="O592" t="n">
        <v>0</v>
      </c>
      <c r="P592" t="n">
        <v>0</v>
      </c>
      <c r="Q592" t="n">
        <v>0</v>
      </c>
      <c r="R592" s="2" t="inlineStr"/>
    </row>
    <row r="593" ht="15" customHeight="1">
      <c r="A593" t="inlineStr">
        <is>
          <t>A 36240-2023</t>
        </is>
      </c>
      <c r="B593" s="1" t="n">
        <v>45150.89295138889</v>
      </c>
      <c r="C593" s="1" t="n">
        <v>45911</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29168-2025</t>
        </is>
      </c>
      <c r="B594" s="1" t="n">
        <v>45821.69547453704</v>
      </c>
      <c r="C594" s="1" t="n">
        <v>45911</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20564-2023</t>
        </is>
      </c>
      <c r="B595" s="1" t="n">
        <v>45057</v>
      </c>
      <c r="C595" s="1" t="n">
        <v>45911</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29171-2025</t>
        </is>
      </c>
      <c r="B596" s="1" t="n">
        <v>45821.69863425926</v>
      </c>
      <c r="C596" s="1" t="n">
        <v>45911</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41694-2024</t>
        </is>
      </c>
      <c r="B597" s="1" t="n">
        <v>45560.68341435185</v>
      </c>
      <c r="C597" s="1" t="n">
        <v>45911</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46641-2023</t>
        </is>
      </c>
      <c r="B598" s="1" t="n">
        <v>45198.44523148148</v>
      </c>
      <c r="C598" s="1" t="n">
        <v>45911</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46645-2023</t>
        </is>
      </c>
      <c r="B599" s="1" t="n">
        <v>45198.44686342592</v>
      </c>
      <c r="C599" s="1" t="n">
        <v>45911</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67974-2020</t>
        </is>
      </c>
      <c r="B600" s="1" t="n">
        <v>44182</v>
      </c>
      <c r="C600" s="1" t="n">
        <v>45911</v>
      </c>
      <c r="D600" t="inlineStr">
        <is>
          <t>SKÅNE LÄN</t>
        </is>
      </c>
      <c r="E600" t="inlineStr">
        <is>
          <t>HÄSSLEHOLM</t>
        </is>
      </c>
      <c r="G600" t="n">
        <v>9</v>
      </c>
      <c r="H600" t="n">
        <v>0</v>
      </c>
      <c r="I600" t="n">
        <v>0</v>
      </c>
      <c r="J600" t="n">
        <v>0</v>
      </c>
      <c r="K600" t="n">
        <v>0</v>
      </c>
      <c r="L600" t="n">
        <v>0</v>
      </c>
      <c r="M600" t="n">
        <v>0</v>
      </c>
      <c r="N600" t="n">
        <v>0</v>
      </c>
      <c r="O600" t="n">
        <v>0</v>
      </c>
      <c r="P600" t="n">
        <v>0</v>
      </c>
      <c r="Q600" t="n">
        <v>0</v>
      </c>
      <c r="R600" s="2" t="inlineStr"/>
    </row>
    <row r="601" ht="15" customHeight="1">
      <c r="A601" t="inlineStr">
        <is>
          <t>A 59556-2023</t>
        </is>
      </c>
      <c r="B601" s="1" t="n">
        <v>45254.56313657408</v>
      </c>
      <c r="C601" s="1" t="n">
        <v>45911</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47757-2024</t>
        </is>
      </c>
      <c r="B602" s="1" t="n">
        <v>45588.55075231481</v>
      </c>
      <c r="C602" s="1" t="n">
        <v>45911</v>
      </c>
      <c r="D602" t="inlineStr">
        <is>
          <t>SKÅNE LÄN</t>
        </is>
      </c>
      <c r="E602" t="inlineStr">
        <is>
          <t>HÄSSLEHOLM</t>
        </is>
      </c>
      <c r="G602" t="n">
        <v>5.5</v>
      </c>
      <c r="H602" t="n">
        <v>0</v>
      </c>
      <c r="I602" t="n">
        <v>0</v>
      </c>
      <c r="J602" t="n">
        <v>0</v>
      </c>
      <c r="K602" t="n">
        <v>0</v>
      </c>
      <c r="L602" t="n">
        <v>0</v>
      </c>
      <c r="M602" t="n">
        <v>0</v>
      </c>
      <c r="N602" t="n">
        <v>0</v>
      </c>
      <c r="O602" t="n">
        <v>0</v>
      </c>
      <c r="P602" t="n">
        <v>0</v>
      </c>
      <c r="Q602" t="n">
        <v>0</v>
      </c>
      <c r="R602" s="2" t="inlineStr"/>
    </row>
    <row r="603" ht="15" customHeight="1">
      <c r="A603" t="inlineStr">
        <is>
          <t>A 2663-2023</t>
        </is>
      </c>
      <c r="B603" s="1" t="n">
        <v>44942</v>
      </c>
      <c r="C603" s="1" t="n">
        <v>45911</v>
      </c>
      <c r="D603" t="inlineStr">
        <is>
          <t>SKÅNE LÄN</t>
        </is>
      </c>
      <c r="E603" t="inlineStr">
        <is>
          <t>HÄSSLEHOLM</t>
        </is>
      </c>
      <c r="F603" t="inlineStr">
        <is>
          <t>Kyrkan</t>
        </is>
      </c>
      <c r="G603" t="n">
        <v>0.8</v>
      </c>
      <c r="H603" t="n">
        <v>0</v>
      </c>
      <c r="I603" t="n">
        <v>0</v>
      </c>
      <c r="J603" t="n">
        <v>0</v>
      </c>
      <c r="K603" t="n">
        <v>0</v>
      </c>
      <c r="L603" t="n">
        <v>0</v>
      </c>
      <c r="M603" t="n">
        <v>0</v>
      </c>
      <c r="N603" t="n">
        <v>0</v>
      </c>
      <c r="O603" t="n">
        <v>0</v>
      </c>
      <c r="P603" t="n">
        <v>0</v>
      </c>
      <c r="Q603" t="n">
        <v>0</v>
      </c>
      <c r="R603" s="2" t="inlineStr"/>
    </row>
    <row r="604" ht="15" customHeight="1">
      <c r="A604" t="inlineStr">
        <is>
          <t>A 3925-2021</t>
        </is>
      </c>
      <c r="B604" s="1" t="n">
        <v>44222</v>
      </c>
      <c r="C604" s="1" t="n">
        <v>45911</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9543-2025</t>
        </is>
      </c>
      <c r="B605" s="1" t="n">
        <v>45715</v>
      </c>
      <c r="C605" s="1" t="n">
        <v>45911</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7192-2025</t>
        </is>
      </c>
      <c r="B606" s="1" t="n">
        <v>45702.44746527778</v>
      </c>
      <c r="C606" s="1" t="n">
        <v>45911</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30010-2025</t>
        </is>
      </c>
      <c r="B607" s="1" t="n">
        <v>45826</v>
      </c>
      <c r="C607" s="1" t="n">
        <v>45911</v>
      </c>
      <c r="D607" t="inlineStr">
        <is>
          <t>SKÅNE LÄN</t>
        </is>
      </c>
      <c r="E607" t="inlineStr">
        <is>
          <t>HÄSSLEHOLM</t>
        </is>
      </c>
      <c r="G607" t="n">
        <v>4.5</v>
      </c>
      <c r="H607" t="n">
        <v>0</v>
      </c>
      <c r="I607" t="n">
        <v>0</v>
      </c>
      <c r="J607" t="n">
        <v>0</v>
      </c>
      <c r="K607" t="n">
        <v>0</v>
      </c>
      <c r="L607" t="n">
        <v>0</v>
      </c>
      <c r="M607" t="n">
        <v>0</v>
      </c>
      <c r="N607" t="n">
        <v>0</v>
      </c>
      <c r="O607" t="n">
        <v>0</v>
      </c>
      <c r="P607" t="n">
        <v>0</v>
      </c>
      <c r="Q607" t="n">
        <v>0</v>
      </c>
      <c r="R607" s="2" t="inlineStr"/>
    </row>
    <row r="608" ht="15" customHeight="1">
      <c r="A608" t="inlineStr">
        <is>
          <t>A 51571-2023</t>
        </is>
      </c>
      <c r="B608" s="1" t="n">
        <v>45222</v>
      </c>
      <c r="C608" s="1" t="n">
        <v>45911</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27954-2022</t>
        </is>
      </c>
      <c r="B609" s="1" t="n">
        <v>44743</v>
      </c>
      <c r="C609" s="1" t="n">
        <v>45911</v>
      </c>
      <c r="D609" t="inlineStr">
        <is>
          <t>SKÅNE LÄN</t>
        </is>
      </c>
      <c r="E609" t="inlineStr">
        <is>
          <t>HÄSSLEHOLM</t>
        </is>
      </c>
      <c r="G609" t="n">
        <v>9.4</v>
      </c>
      <c r="H609" t="n">
        <v>0</v>
      </c>
      <c r="I609" t="n">
        <v>0</v>
      </c>
      <c r="J609" t="n">
        <v>0</v>
      </c>
      <c r="K609" t="n">
        <v>0</v>
      </c>
      <c r="L609" t="n">
        <v>0</v>
      </c>
      <c r="M609" t="n">
        <v>0</v>
      </c>
      <c r="N609" t="n">
        <v>0</v>
      </c>
      <c r="O609" t="n">
        <v>0</v>
      </c>
      <c r="P609" t="n">
        <v>0</v>
      </c>
      <c r="Q609" t="n">
        <v>0</v>
      </c>
      <c r="R609" s="2" t="inlineStr"/>
    </row>
    <row r="610" ht="15" customHeight="1">
      <c r="A610" t="inlineStr">
        <is>
          <t>A 4734-2025</t>
        </is>
      </c>
      <c r="B610" s="1" t="n">
        <v>45688.44030092593</v>
      </c>
      <c r="C610" s="1" t="n">
        <v>45911</v>
      </c>
      <c r="D610" t="inlineStr">
        <is>
          <t>SKÅNE LÄN</t>
        </is>
      </c>
      <c r="E610" t="inlineStr">
        <is>
          <t>HÄSSLEHOLM</t>
        </is>
      </c>
      <c r="G610" t="n">
        <v>19.6</v>
      </c>
      <c r="H610" t="n">
        <v>0</v>
      </c>
      <c r="I610" t="n">
        <v>0</v>
      </c>
      <c r="J610" t="n">
        <v>0</v>
      </c>
      <c r="K610" t="n">
        <v>0</v>
      </c>
      <c r="L610" t="n">
        <v>0</v>
      </c>
      <c r="M610" t="n">
        <v>0</v>
      </c>
      <c r="N610" t="n">
        <v>0</v>
      </c>
      <c r="O610" t="n">
        <v>0</v>
      </c>
      <c r="P610" t="n">
        <v>0</v>
      </c>
      <c r="Q610" t="n">
        <v>0</v>
      </c>
      <c r="R610" s="2" t="inlineStr"/>
    </row>
    <row r="611" ht="15" customHeight="1">
      <c r="A611" t="inlineStr">
        <is>
          <t>A 27291-2023</t>
        </is>
      </c>
      <c r="B611" s="1" t="n">
        <v>45096</v>
      </c>
      <c r="C611" s="1" t="n">
        <v>45911</v>
      </c>
      <c r="D611" t="inlineStr">
        <is>
          <t>SKÅNE LÄN</t>
        </is>
      </c>
      <c r="E611" t="inlineStr">
        <is>
          <t>HÄSSLEHOLM</t>
        </is>
      </c>
      <c r="G611" t="n">
        <v>3.5</v>
      </c>
      <c r="H611" t="n">
        <v>0</v>
      </c>
      <c r="I611" t="n">
        <v>0</v>
      </c>
      <c r="J611" t="n">
        <v>0</v>
      </c>
      <c r="K611" t="n">
        <v>0</v>
      </c>
      <c r="L611" t="n">
        <v>0</v>
      </c>
      <c r="M611" t="n">
        <v>0</v>
      </c>
      <c r="N611" t="n">
        <v>0</v>
      </c>
      <c r="O611" t="n">
        <v>0</v>
      </c>
      <c r="P611" t="n">
        <v>0</v>
      </c>
      <c r="Q611" t="n">
        <v>0</v>
      </c>
      <c r="R611" s="2" t="inlineStr"/>
    </row>
    <row r="612" ht="15" customHeight="1">
      <c r="A612" t="inlineStr">
        <is>
          <t>A 56158-2020</t>
        </is>
      </c>
      <c r="B612" s="1" t="n">
        <v>44133</v>
      </c>
      <c r="C612" s="1" t="n">
        <v>45911</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58268-2024</t>
        </is>
      </c>
      <c r="B613" s="1" t="n">
        <v>45632.56893518518</v>
      </c>
      <c r="C613" s="1" t="n">
        <v>45911</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45984-2021</t>
        </is>
      </c>
      <c r="B614" s="1" t="n">
        <v>44441</v>
      </c>
      <c r="C614" s="1" t="n">
        <v>45911</v>
      </c>
      <c r="D614" t="inlineStr">
        <is>
          <t>SKÅNE LÄN</t>
        </is>
      </c>
      <c r="E614" t="inlineStr">
        <is>
          <t>HÄSSLEHOLM</t>
        </is>
      </c>
      <c r="G614" t="n">
        <v>2.1</v>
      </c>
      <c r="H614" t="n">
        <v>0</v>
      </c>
      <c r="I614" t="n">
        <v>0</v>
      </c>
      <c r="J614" t="n">
        <v>0</v>
      </c>
      <c r="K614" t="n">
        <v>0</v>
      </c>
      <c r="L614" t="n">
        <v>0</v>
      </c>
      <c r="M614" t="n">
        <v>0</v>
      </c>
      <c r="N614" t="n">
        <v>0</v>
      </c>
      <c r="O614" t="n">
        <v>0</v>
      </c>
      <c r="P614" t="n">
        <v>0</v>
      </c>
      <c r="Q614" t="n">
        <v>0</v>
      </c>
      <c r="R614" s="2" t="inlineStr"/>
    </row>
    <row r="615" ht="15" customHeight="1">
      <c r="A615" t="inlineStr">
        <is>
          <t>A 8209-2025</t>
        </is>
      </c>
      <c r="B615" s="1" t="n">
        <v>45708.44244212963</v>
      </c>
      <c r="C615" s="1" t="n">
        <v>45911</v>
      </c>
      <c r="D615" t="inlineStr">
        <is>
          <t>SKÅNE LÄN</t>
        </is>
      </c>
      <c r="E615" t="inlineStr">
        <is>
          <t>HÄSSLEHOLM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46813-2024</t>
        </is>
      </c>
      <c r="B616" s="1" t="n">
        <v>45583</v>
      </c>
      <c r="C616" s="1" t="n">
        <v>45911</v>
      </c>
      <c r="D616" t="inlineStr">
        <is>
          <t>SKÅNE LÄN</t>
        </is>
      </c>
      <c r="E616" t="inlineStr">
        <is>
          <t>HÄSSLEHOLM</t>
        </is>
      </c>
      <c r="G616" t="n">
        <v>14.9</v>
      </c>
      <c r="H616" t="n">
        <v>0</v>
      </c>
      <c r="I616" t="n">
        <v>0</v>
      </c>
      <c r="J616" t="n">
        <v>0</v>
      </c>
      <c r="K616" t="n">
        <v>0</v>
      </c>
      <c r="L616" t="n">
        <v>0</v>
      </c>
      <c r="M616" t="n">
        <v>0</v>
      </c>
      <c r="N616" t="n">
        <v>0</v>
      </c>
      <c r="O616" t="n">
        <v>0</v>
      </c>
      <c r="P616" t="n">
        <v>0</v>
      </c>
      <c r="Q616" t="n">
        <v>0</v>
      </c>
      <c r="R616" s="2" t="inlineStr"/>
    </row>
    <row r="617" ht="15" customHeight="1">
      <c r="A617" t="inlineStr">
        <is>
          <t>A 61170-2022</t>
        </is>
      </c>
      <c r="B617" s="1" t="n">
        <v>44915.48543981482</v>
      </c>
      <c r="C617" s="1" t="n">
        <v>45911</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48798-2023</t>
        </is>
      </c>
      <c r="B618" s="1" t="n">
        <v>45209.25318287037</v>
      </c>
      <c r="C618" s="1" t="n">
        <v>45911</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6835-2023</t>
        </is>
      </c>
      <c r="B619" s="1" t="n">
        <v>44967</v>
      </c>
      <c r="C619" s="1" t="n">
        <v>45911</v>
      </c>
      <c r="D619" t="inlineStr">
        <is>
          <t>SKÅNE LÄN</t>
        </is>
      </c>
      <c r="E619" t="inlineStr">
        <is>
          <t>HÄSSLEHOLM</t>
        </is>
      </c>
      <c r="G619" t="n">
        <v>4.8</v>
      </c>
      <c r="H619" t="n">
        <v>0</v>
      </c>
      <c r="I619" t="n">
        <v>0</v>
      </c>
      <c r="J619" t="n">
        <v>0</v>
      </c>
      <c r="K619" t="n">
        <v>0</v>
      </c>
      <c r="L619" t="n">
        <v>0</v>
      </c>
      <c r="M619" t="n">
        <v>0</v>
      </c>
      <c r="N619" t="n">
        <v>0</v>
      </c>
      <c r="O619" t="n">
        <v>0</v>
      </c>
      <c r="P619" t="n">
        <v>0</v>
      </c>
      <c r="Q619" t="n">
        <v>0</v>
      </c>
      <c r="R619" s="2" t="inlineStr"/>
    </row>
    <row r="620" ht="15" customHeight="1">
      <c r="A620" t="inlineStr">
        <is>
          <t>A 9885-2021</t>
        </is>
      </c>
      <c r="B620" s="1" t="n">
        <v>44253</v>
      </c>
      <c r="C620" s="1" t="n">
        <v>45911</v>
      </c>
      <c r="D620" t="inlineStr">
        <is>
          <t>SKÅNE LÄN</t>
        </is>
      </c>
      <c r="E620" t="inlineStr">
        <is>
          <t>HÄSSLEHOLM</t>
        </is>
      </c>
      <c r="G620" t="n">
        <v>2.4</v>
      </c>
      <c r="H620" t="n">
        <v>0</v>
      </c>
      <c r="I620" t="n">
        <v>0</v>
      </c>
      <c r="J620" t="n">
        <v>0</v>
      </c>
      <c r="K620" t="n">
        <v>0</v>
      </c>
      <c r="L620" t="n">
        <v>0</v>
      </c>
      <c r="M620" t="n">
        <v>0</v>
      </c>
      <c r="N620" t="n">
        <v>0</v>
      </c>
      <c r="O620" t="n">
        <v>0</v>
      </c>
      <c r="P620" t="n">
        <v>0</v>
      </c>
      <c r="Q620" t="n">
        <v>0</v>
      </c>
      <c r="R620" s="2" t="inlineStr"/>
    </row>
    <row r="621" ht="15" customHeight="1">
      <c r="A621" t="inlineStr">
        <is>
          <t>A 31933-2024</t>
        </is>
      </c>
      <c r="B621" s="1" t="n">
        <v>45510.41123842593</v>
      </c>
      <c r="C621" s="1" t="n">
        <v>45911</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9098-2022</t>
        </is>
      </c>
      <c r="B622" s="1" t="n">
        <v>44615</v>
      </c>
      <c r="C622" s="1" t="n">
        <v>45911</v>
      </c>
      <c r="D622" t="inlineStr">
        <is>
          <t>SKÅNE LÄN</t>
        </is>
      </c>
      <c r="E622" t="inlineStr">
        <is>
          <t>HÄSSLEHOLM</t>
        </is>
      </c>
      <c r="G622" t="n">
        <v>2.1</v>
      </c>
      <c r="H622" t="n">
        <v>0</v>
      </c>
      <c r="I622" t="n">
        <v>0</v>
      </c>
      <c r="J622" t="n">
        <v>0</v>
      </c>
      <c r="K622" t="n">
        <v>0</v>
      </c>
      <c r="L622" t="n">
        <v>0</v>
      </c>
      <c r="M622" t="n">
        <v>0</v>
      </c>
      <c r="N622" t="n">
        <v>0</v>
      </c>
      <c r="O622" t="n">
        <v>0</v>
      </c>
      <c r="P622" t="n">
        <v>0</v>
      </c>
      <c r="Q622" t="n">
        <v>0</v>
      </c>
      <c r="R622" s="2" t="inlineStr"/>
    </row>
    <row r="623" ht="15" customHeight="1">
      <c r="A623" t="inlineStr">
        <is>
          <t>A 12338-2024</t>
        </is>
      </c>
      <c r="B623" s="1" t="n">
        <v>45378.72869212963</v>
      </c>
      <c r="C623" s="1" t="n">
        <v>45911</v>
      </c>
      <c r="D623" t="inlineStr">
        <is>
          <t>SKÅNE LÄN</t>
        </is>
      </c>
      <c r="E623" t="inlineStr">
        <is>
          <t>HÄSSLEHOLM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48627-2023</t>
        </is>
      </c>
      <c r="B624" s="1" t="n">
        <v>45208.57371527778</v>
      </c>
      <c r="C624" s="1" t="n">
        <v>45911</v>
      </c>
      <c r="D624" t="inlineStr">
        <is>
          <t>SKÅNE LÄN</t>
        </is>
      </c>
      <c r="E624" t="inlineStr">
        <is>
          <t>HÄSSLEHOLM</t>
        </is>
      </c>
      <c r="G624" t="n">
        <v>1.9</v>
      </c>
      <c r="H624" t="n">
        <v>0</v>
      </c>
      <c r="I624" t="n">
        <v>0</v>
      </c>
      <c r="J624" t="n">
        <v>0</v>
      </c>
      <c r="K624" t="n">
        <v>0</v>
      </c>
      <c r="L624" t="n">
        <v>0</v>
      </c>
      <c r="M624" t="n">
        <v>0</v>
      </c>
      <c r="N624" t="n">
        <v>0</v>
      </c>
      <c r="O624" t="n">
        <v>0</v>
      </c>
      <c r="P624" t="n">
        <v>0</v>
      </c>
      <c r="Q624" t="n">
        <v>0</v>
      </c>
      <c r="R624" s="2" t="inlineStr"/>
    </row>
    <row r="625" ht="15" customHeight="1">
      <c r="A625" t="inlineStr">
        <is>
          <t>A 34883-2023</t>
        </is>
      </c>
      <c r="B625" s="1" t="n">
        <v>45142.37902777778</v>
      </c>
      <c r="C625" s="1" t="n">
        <v>45911</v>
      </c>
      <c r="D625" t="inlineStr">
        <is>
          <t>SKÅNE LÄN</t>
        </is>
      </c>
      <c r="E625" t="inlineStr">
        <is>
          <t>HÄSSLEHOLM</t>
        </is>
      </c>
      <c r="G625" t="n">
        <v>2.5</v>
      </c>
      <c r="H625" t="n">
        <v>0</v>
      </c>
      <c r="I625" t="n">
        <v>0</v>
      </c>
      <c r="J625" t="n">
        <v>0</v>
      </c>
      <c r="K625" t="n">
        <v>0</v>
      </c>
      <c r="L625" t="n">
        <v>0</v>
      </c>
      <c r="M625" t="n">
        <v>0</v>
      </c>
      <c r="N625" t="n">
        <v>0</v>
      </c>
      <c r="O625" t="n">
        <v>0</v>
      </c>
      <c r="P625" t="n">
        <v>0</v>
      </c>
      <c r="Q625" t="n">
        <v>0</v>
      </c>
      <c r="R625" s="2" t="inlineStr"/>
    </row>
    <row r="626" ht="15" customHeight="1">
      <c r="A626" t="inlineStr">
        <is>
          <t>A 34886-2023</t>
        </is>
      </c>
      <c r="B626" s="1" t="n">
        <v>45142.38450231482</v>
      </c>
      <c r="C626" s="1" t="n">
        <v>45911</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17152-2025</t>
        </is>
      </c>
      <c r="B627" s="1" t="n">
        <v>45756.33318287037</v>
      </c>
      <c r="C627" s="1" t="n">
        <v>45911</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7476-2025</t>
        </is>
      </c>
      <c r="B628" s="1" t="n">
        <v>45702</v>
      </c>
      <c r="C628" s="1" t="n">
        <v>45911</v>
      </c>
      <c r="D628" t="inlineStr">
        <is>
          <t>SKÅNE LÄN</t>
        </is>
      </c>
      <c r="E628" t="inlineStr">
        <is>
          <t>HÄSSLEHOLM</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48326-2023</t>
        </is>
      </c>
      <c r="B629" s="1" t="n">
        <v>45205</v>
      </c>
      <c r="C629" s="1" t="n">
        <v>45911</v>
      </c>
      <c r="D629" t="inlineStr">
        <is>
          <t>SKÅNE LÄN</t>
        </is>
      </c>
      <c r="E629" t="inlineStr">
        <is>
          <t>HÄSSLEHOLM</t>
        </is>
      </c>
      <c r="G629" t="n">
        <v>12.7</v>
      </c>
      <c r="H629" t="n">
        <v>0</v>
      </c>
      <c r="I629" t="n">
        <v>0</v>
      </c>
      <c r="J629" t="n">
        <v>0</v>
      </c>
      <c r="K629" t="n">
        <v>0</v>
      </c>
      <c r="L629" t="n">
        <v>0</v>
      </c>
      <c r="M629" t="n">
        <v>0</v>
      </c>
      <c r="N629" t="n">
        <v>0</v>
      </c>
      <c r="O629" t="n">
        <v>0</v>
      </c>
      <c r="P629" t="n">
        <v>0</v>
      </c>
      <c r="Q629" t="n">
        <v>0</v>
      </c>
      <c r="R629" s="2" t="inlineStr"/>
    </row>
    <row r="630" ht="15" customHeight="1">
      <c r="A630" t="inlineStr">
        <is>
          <t>A 10752-2025</t>
        </is>
      </c>
      <c r="B630" s="1" t="n">
        <v>45722</v>
      </c>
      <c r="C630" s="1" t="n">
        <v>45911</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54659-2023</t>
        </is>
      </c>
      <c r="B631" s="1" t="n">
        <v>45235</v>
      </c>
      <c r="C631" s="1" t="n">
        <v>45911</v>
      </c>
      <c r="D631" t="inlineStr">
        <is>
          <t>SKÅNE LÄN</t>
        </is>
      </c>
      <c r="E631" t="inlineStr">
        <is>
          <t>HÄSSLEHOLM</t>
        </is>
      </c>
      <c r="G631" t="n">
        <v>5</v>
      </c>
      <c r="H631" t="n">
        <v>0</v>
      </c>
      <c r="I631" t="n">
        <v>0</v>
      </c>
      <c r="J631" t="n">
        <v>0</v>
      </c>
      <c r="K631" t="n">
        <v>0</v>
      </c>
      <c r="L631" t="n">
        <v>0</v>
      </c>
      <c r="M631" t="n">
        <v>0</v>
      </c>
      <c r="N631" t="n">
        <v>0</v>
      </c>
      <c r="O631" t="n">
        <v>0</v>
      </c>
      <c r="P631" t="n">
        <v>0</v>
      </c>
      <c r="Q631" t="n">
        <v>0</v>
      </c>
      <c r="R631" s="2" t="inlineStr"/>
    </row>
    <row r="632" ht="15" customHeight="1">
      <c r="A632" t="inlineStr">
        <is>
          <t>A 54462-2022</t>
        </is>
      </c>
      <c r="B632" s="1" t="n">
        <v>44882</v>
      </c>
      <c r="C632" s="1" t="n">
        <v>45911</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3890-2024</t>
        </is>
      </c>
      <c r="B633" s="1" t="n">
        <v>45322.45366898148</v>
      </c>
      <c r="C633" s="1" t="n">
        <v>45911</v>
      </c>
      <c r="D633" t="inlineStr">
        <is>
          <t>SKÅNE LÄN</t>
        </is>
      </c>
      <c r="E633" t="inlineStr">
        <is>
          <t>HÄSSLEHOLM</t>
        </is>
      </c>
      <c r="G633" t="n">
        <v>3</v>
      </c>
      <c r="H633" t="n">
        <v>0</v>
      </c>
      <c r="I633" t="n">
        <v>0</v>
      </c>
      <c r="J633" t="n">
        <v>0</v>
      </c>
      <c r="K633" t="n">
        <v>0</v>
      </c>
      <c r="L633" t="n">
        <v>0</v>
      </c>
      <c r="M633" t="n">
        <v>0</v>
      </c>
      <c r="N633" t="n">
        <v>0</v>
      </c>
      <c r="O633" t="n">
        <v>0</v>
      </c>
      <c r="P633" t="n">
        <v>0</v>
      </c>
      <c r="Q633" t="n">
        <v>0</v>
      </c>
      <c r="R633" s="2" t="inlineStr"/>
    </row>
    <row r="634" ht="15" customHeight="1">
      <c r="A634" t="inlineStr">
        <is>
          <t>A 9239-2025</t>
        </is>
      </c>
      <c r="B634" s="1" t="n">
        <v>45714</v>
      </c>
      <c r="C634" s="1" t="n">
        <v>45911</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12558-2023</t>
        </is>
      </c>
      <c r="B635" s="1" t="n">
        <v>45000.36103009259</v>
      </c>
      <c r="C635" s="1" t="n">
        <v>45911</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13673-2023</t>
        </is>
      </c>
      <c r="B636" s="1" t="n">
        <v>45006.87957175926</v>
      </c>
      <c r="C636" s="1" t="n">
        <v>45911</v>
      </c>
      <c r="D636" t="inlineStr">
        <is>
          <t>SKÅNE LÄN</t>
        </is>
      </c>
      <c r="E636" t="inlineStr">
        <is>
          <t>HÄSSLEHOLM</t>
        </is>
      </c>
      <c r="G636" t="n">
        <v>3.2</v>
      </c>
      <c r="H636" t="n">
        <v>0</v>
      </c>
      <c r="I636" t="n">
        <v>0</v>
      </c>
      <c r="J636" t="n">
        <v>0</v>
      </c>
      <c r="K636" t="n">
        <v>0</v>
      </c>
      <c r="L636" t="n">
        <v>0</v>
      </c>
      <c r="M636" t="n">
        <v>0</v>
      </c>
      <c r="N636" t="n">
        <v>0</v>
      </c>
      <c r="O636" t="n">
        <v>0</v>
      </c>
      <c r="P636" t="n">
        <v>0</v>
      </c>
      <c r="Q636" t="n">
        <v>0</v>
      </c>
      <c r="R636" s="2" t="inlineStr"/>
    </row>
    <row r="637" ht="15" customHeight="1">
      <c r="A637" t="inlineStr">
        <is>
          <t>A 54471-2023</t>
        </is>
      </c>
      <c r="B637" s="1" t="n">
        <v>45233.4640162037</v>
      </c>
      <c r="C637" s="1" t="n">
        <v>45911</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48844-2023</t>
        </is>
      </c>
      <c r="B638" s="1" t="n">
        <v>45209</v>
      </c>
      <c r="C638" s="1" t="n">
        <v>45911</v>
      </c>
      <c r="D638" t="inlineStr">
        <is>
          <t>SKÅNE LÄN</t>
        </is>
      </c>
      <c r="E638" t="inlineStr">
        <is>
          <t>HÄSSLEHOLM</t>
        </is>
      </c>
      <c r="G638" t="n">
        <v>4</v>
      </c>
      <c r="H638" t="n">
        <v>0</v>
      </c>
      <c r="I638" t="n">
        <v>0</v>
      </c>
      <c r="J638" t="n">
        <v>0</v>
      </c>
      <c r="K638" t="n">
        <v>0</v>
      </c>
      <c r="L638" t="n">
        <v>0</v>
      </c>
      <c r="M638" t="n">
        <v>0</v>
      </c>
      <c r="N638" t="n">
        <v>0</v>
      </c>
      <c r="O638" t="n">
        <v>0</v>
      </c>
      <c r="P638" t="n">
        <v>0</v>
      </c>
      <c r="Q638" t="n">
        <v>0</v>
      </c>
      <c r="R638" s="2" t="inlineStr"/>
    </row>
    <row r="639" ht="15" customHeight="1">
      <c r="A639" t="inlineStr">
        <is>
          <t>A 2813-2021</t>
        </is>
      </c>
      <c r="B639" s="1" t="n">
        <v>44215</v>
      </c>
      <c r="C639" s="1" t="n">
        <v>45911</v>
      </c>
      <c r="D639" t="inlineStr">
        <is>
          <t>SKÅNE LÄN</t>
        </is>
      </c>
      <c r="E639" t="inlineStr">
        <is>
          <t>HÄSSLEHOLM</t>
        </is>
      </c>
      <c r="G639" t="n">
        <v>7.1</v>
      </c>
      <c r="H639" t="n">
        <v>0</v>
      </c>
      <c r="I639" t="n">
        <v>0</v>
      </c>
      <c r="J639" t="n">
        <v>0</v>
      </c>
      <c r="K639" t="n">
        <v>0</v>
      </c>
      <c r="L639" t="n">
        <v>0</v>
      </c>
      <c r="M639" t="n">
        <v>0</v>
      </c>
      <c r="N639" t="n">
        <v>0</v>
      </c>
      <c r="O639" t="n">
        <v>0</v>
      </c>
      <c r="P639" t="n">
        <v>0</v>
      </c>
      <c r="Q639" t="n">
        <v>0</v>
      </c>
      <c r="R639" s="2" t="inlineStr"/>
    </row>
    <row r="640" ht="15" customHeight="1">
      <c r="A640" t="inlineStr">
        <is>
          <t>A 57963-2023</t>
        </is>
      </c>
      <c r="B640" s="1" t="n">
        <v>45247.57732638889</v>
      </c>
      <c r="C640" s="1" t="n">
        <v>45911</v>
      </c>
      <c r="D640" t="inlineStr">
        <is>
          <t>SKÅNE LÄN</t>
        </is>
      </c>
      <c r="E640" t="inlineStr">
        <is>
          <t>HÄSSLEHOLM</t>
        </is>
      </c>
      <c r="G640" t="n">
        <v>4.6</v>
      </c>
      <c r="H640" t="n">
        <v>0</v>
      </c>
      <c r="I640" t="n">
        <v>0</v>
      </c>
      <c r="J640" t="n">
        <v>0</v>
      </c>
      <c r="K640" t="n">
        <v>0</v>
      </c>
      <c r="L640" t="n">
        <v>0</v>
      </c>
      <c r="M640" t="n">
        <v>0</v>
      </c>
      <c r="N640" t="n">
        <v>0</v>
      </c>
      <c r="O640" t="n">
        <v>0</v>
      </c>
      <c r="P640" t="n">
        <v>0</v>
      </c>
      <c r="Q640" t="n">
        <v>0</v>
      </c>
      <c r="R640" s="2" t="inlineStr"/>
    </row>
    <row r="641" ht="15" customHeight="1">
      <c r="A641" t="inlineStr">
        <is>
          <t>A 59028-2023</t>
        </is>
      </c>
      <c r="B641" s="1" t="n">
        <v>45252.67900462963</v>
      </c>
      <c r="C641" s="1" t="n">
        <v>45911</v>
      </c>
      <c r="D641" t="inlineStr">
        <is>
          <t>SKÅNE LÄN</t>
        </is>
      </c>
      <c r="E641" t="inlineStr">
        <is>
          <t>HÄSSLEHOLM</t>
        </is>
      </c>
      <c r="G641" t="n">
        <v>2.5</v>
      </c>
      <c r="H641" t="n">
        <v>0</v>
      </c>
      <c r="I641" t="n">
        <v>0</v>
      </c>
      <c r="J641" t="n">
        <v>0</v>
      </c>
      <c r="K641" t="n">
        <v>0</v>
      </c>
      <c r="L641" t="n">
        <v>0</v>
      </c>
      <c r="M641" t="n">
        <v>0</v>
      </c>
      <c r="N641" t="n">
        <v>0</v>
      </c>
      <c r="O641" t="n">
        <v>0</v>
      </c>
      <c r="P641" t="n">
        <v>0</v>
      </c>
      <c r="Q641" t="n">
        <v>0</v>
      </c>
      <c r="R641" s="2" t="inlineStr"/>
    </row>
    <row r="642" ht="15" customHeight="1">
      <c r="A642" t="inlineStr">
        <is>
          <t>A 13544-2025</t>
        </is>
      </c>
      <c r="B642" s="1" t="n">
        <v>45736</v>
      </c>
      <c r="C642" s="1" t="n">
        <v>45911</v>
      </c>
      <c r="D642" t="inlineStr">
        <is>
          <t>SKÅNE LÄN</t>
        </is>
      </c>
      <c r="E642" t="inlineStr">
        <is>
          <t>HÄSSLEHOLM</t>
        </is>
      </c>
      <c r="G642" t="n">
        <v>2.5</v>
      </c>
      <c r="H642" t="n">
        <v>0</v>
      </c>
      <c r="I642" t="n">
        <v>0</v>
      </c>
      <c r="J642" t="n">
        <v>0</v>
      </c>
      <c r="K642" t="n">
        <v>0</v>
      </c>
      <c r="L642" t="n">
        <v>0</v>
      </c>
      <c r="M642" t="n">
        <v>0</v>
      </c>
      <c r="N642" t="n">
        <v>0</v>
      </c>
      <c r="O642" t="n">
        <v>0</v>
      </c>
      <c r="P642" t="n">
        <v>0</v>
      </c>
      <c r="Q642" t="n">
        <v>0</v>
      </c>
      <c r="R642" s="2" t="inlineStr"/>
    </row>
    <row r="643" ht="15" customHeight="1">
      <c r="A643" t="inlineStr">
        <is>
          <t>A 2712-2024</t>
        </is>
      </c>
      <c r="B643" s="1" t="n">
        <v>45314</v>
      </c>
      <c r="C643" s="1" t="n">
        <v>45911</v>
      </c>
      <c r="D643" t="inlineStr">
        <is>
          <t>SKÅNE LÄN</t>
        </is>
      </c>
      <c r="E643" t="inlineStr">
        <is>
          <t>HÄSSLEHOLM</t>
        </is>
      </c>
      <c r="G643" t="n">
        <v>11.3</v>
      </c>
      <c r="H643" t="n">
        <v>0</v>
      </c>
      <c r="I643" t="n">
        <v>0</v>
      </c>
      <c r="J643" t="n">
        <v>0</v>
      </c>
      <c r="K643" t="n">
        <v>0</v>
      </c>
      <c r="L643" t="n">
        <v>0</v>
      </c>
      <c r="M643" t="n">
        <v>0</v>
      </c>
      <c r="N643" t="n">
        <v>0</v>
      </c>
      <c r="O643" t="n">
        <v>0</v>
      </c>
      <c r="P643" t="n">
        <v>0</v>
      </c>
      <c r="Q643" t="n">
        <v>0</v>
      </c>
      <c r="R643" s="2" t="inlineStr"/>
    </row>
    <row r="644" ht="15" customHeight="1">
      <c r="A644" t="inlineStr">
        <is>
          <t>A 21329-2023</t>
        </is>
      </c>
      <c r="B644" s="1" t="n">
        <v>45062</v>
      </c>
      <c r="C644" s="1" t="n">
        <v>45911</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31159-2025</t>
        </is>
      </c>
      <c r="B645" s="1" t="n">
        <v>45832.65322916667</v>
      </c>
      <c r="C645" s="1" t="n">
        <v>45911</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260-2024</t>
        </is>
      </c>
      <c r="B646" s="1" t="n">
        <v>45294</v>
      </c>
      <c r="C646" s="1" t="n">
        <v>45911</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8263-2025</t>
        </is>
      </c>
      <c r="B647" s="1" t="n">
        <v>45708.50398148148</v>
      </c>
      <c r="C647" s="1" t="n">
        <v>45911</v>
      </c>
      <c r="D647" t="inlineStr">
        <is>
          <t>SKÅNE LÄN</t>
        </is>
      </c>
      <c r="E647" t="inlineStr">
        <is>
          <t>HÄSSLEHOLM</t>
        </is>
      </c>
      <c r="G647" t="n">
        <v>2.9</v>
      </c>
      <c r="H647" t="n">
        <v>0</v>
      </c>
      <c r="I647" t="n">
        <v>0</v>
      </c>
      <c r="J647" t="n">
        <v>0</v>
      </c>
      <c r="K647" t="n">
        <v>0</v>
      </c>
      <c r="L647" t="n">
        <v>0</v>
      </c>
      <c r="M647" t="n">
        <v>0</v>
      </c>
      <c r="N647" t="n">
        <v>0</v>
      </c>
      <c r="O647" t="n">
        <v>0</v>
      </c>
      <c r="P647" t="n">
        <v>0</v>
      </c>
      <c r="Q647" t="n">
        <v>0</v>
      </c>
      <c r="R647" s="2" t="inlineStr"/>
    </row>
    <row r="648" ht="15" customHeight="1">
      <c r="A648" t="inlineStr">
        <is>
          <t>A 30006-2023</t>
        </is>
      </c>
      <c r="B648" s="1" t="n">
        <v>45109.79962962963</v>
      </c>
      <c r="C648" s="1" t="n">
        <v>45911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45222-2023</t>
        </is>
      </c>
      <c r="B649" s="1" t="n">
        <v>45191</v>
      </c>
      <c r="C649" s="1" t="n">
        <v>45911</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42364-2023</t>
        </is>
      </c>
      <c r="B650" s="1" t="n">
        <v>45180.54754629629</v>
      </c>
      <c r="C650" s="1" t="n">
        <v>45911</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61578-2023</t>
        </is>
      </c>
      <c r="B651" s="1" t="n">
        <v>45265.47399305556</v>
      </c>
      <c r="C651" s="1" t="n">
        <v>45911</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13310-2025</t>
        </is>
      </c>
      <c r="B652" s="1" t="n">
        <v>45735.58814814815</v>
      </c>
      <c r="C652" s="1" t="n">
        <v>45911</v>
      </c>
      <c r="D652" t="inlineStr">
        <is>
          <t>SKÅNE LÄN</t>
        </is>
      </c>
      <c r="E652" t="inlineStr">
        <is>
          <t>HÄSSLEHOLM</t>
        </is>
      </c>
      <c r="G652" t="n">
        <v>2</v>
      </c>
      <c r="H652" t="n">
        <v>0</v>
      </c>
      <c r="I652" t="n">
        <v>0</v>
      </c>
      <c r="J652" t="n">
        <v>0</v>
      </c>
      <c r="K652" t="n">
        <v>0</v>
      </c>
      <c r="L652" t="n">
        <v>0</v>
      </c>
      <c r="M652" t="n">
        <v>0</v>
      </c>
      <c r="N652" t="n">
        <v>0</v>
      </c>
      <c r="O652" t="n">
        <v>0</v>
      </c>
      <c r="P652" t="n">
        <v>0</v>
      </c>
      <c r="Q652" t="n">
        <v>0</v>
      </c>
      <c r="R652" s="2" t="inlineStr"/>
    </row>
    <row r="653" ht="15" customHeight="1">
      <c r="A653" t="inlineStr">
        <is>
          <t>A 25538-2024</t>
        </is>
      </c>
      <c r="B653" s="1" t="n">
        <v>45463</v>
      </c>
      <c r="C653" s="1" t="n">
        <v>45911</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2597-2024</t>
        </is>
      </c>
      <c r="B654" s="1" t="n">
        <v>45313</v>
      </c>
      <c r="C654" s="1" t="n">
        <v>45911</v>
      </c>
      <c r="D654" t="inlineStr">
        <is>
          <t>SKÅNE LÄN</t>
        </is>
      </c>
      <c r="E654" t="inlineStr">
        <is>
          <t>HÄSSLEHOLM</t>
        </is>
      </c>
      <c r="G654" t="n">
        <v>1</v>
      </c>
      <c r="H654" t="n">
        <v>0</v>
      </c>
      <c r="I654" t="n">
        <v>0</v>
      </c>
      <c r="J654" t="n">
        <v>0</v>
      </c>
      <c r="K654" t="n">
        <v>0</v>
      </c>
      <c r="L654" t="n">
        <v>0</v>
      </c>
      <c r="M654" t="n">
        <v>0</v>
      </c>
      <c r="N654" t="n">
        <v>0</v>
      </c>
      <c r="O654" t="n">
        <v>0</v>
      </c>
      <c r="P654" t="n">
        <v>0</v>
      </c>
      <c r="Q654" t="n">
        <v>0</v>
      </c>
      <c r="R654" s="2" t="inlineStr"/>
    </row>
    <row r="655" ht="15" customHeight="1">
      <c r="A655" t="inlineStr">
        <is>
          <t>A 15055-2023</t>
        </is>
      </c>
      <c r="B655" s="1" t="n">
        <v>45015</v>
      </c>
      <c r="C655" s="1" t="n">
        <v>45911</v>
      </c>
      <c r="D655" t="inlineStr">
        <is>
          <t>SKÅNE LÄN</t>
        </is>
      </c>
      <c r="E655" t="inlineStr">
        <is>
          <t>HÄSSLEHOLM</t>
        </is>
      </c>
      <c r="G655" t="n">
        <v>1.9</v>
      </c>
      <c r="H655" t="n">
        <v>0</v>
      </c>
      <c r="I655" t="n">
        <v>0</v>
      </c>
      <c r="J655" t="n">
        <v>0</v>
      </c>
      <c r="K655" t="n">
        <v>0</v>
      </c>
      <c r="L655" t="n">
        <v>0</v>
      </c>
      <c r="M655" t="n">
        <v>0</v>
      </c>
      <c r="N655" t="n">
        <v>0</v>
      </c>
      <c r="O655" t="n">
        <v>0</v>
      </c>
      <c r="P655" t="n">
        <v>0</v>
      </c>
      <c r="Q655" t="n">
        <v>0</v>
      </c>
      <c r="R655" s="2" t="inlineStr"/>
    </row>
    <row r="656" ht="15" customHeight="1">
      <c r="A656" t="inlineStr">
        <is>
          <t>A 25324-2024</t>
        </is>
      </c>
      <c r="B656" s="1" t="n">
        <v>45462.804375</v>
      </c>
      <c r="C656" s="1" t="n">
        <v>45911</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6327-2021</t>
        </is>
      </c>
      <c r="B657" s="1" t="n">
        <v>44235</v>
      </c>
      <c r="C657" s="1" t="n">
        <v>45911</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62277-2023</t>
        </is>
      </c>
      <c r="B658" s="1" t="n">
        <v>45266</v>
      </c>
      <c r="C658" s="1" t="n">
        <v>45911</v>
      </c>
      <c r="D658" t="inlineStr">
        <is>
          <t>SKÅNE LÄN</t>
        </is>
      </c>
      <c r="E658" t="inlineStr">
        <is>
          <t>HÄSSLEHOLM</t>
        </is>
      </c>
      <c r="G658" t="n">
        <v>1.2</v>
      </c>
      <c r="H658" t="n">
        <v>0</v>
      </c>
      <c r="I658" t="n">
        <v>0</v>
      </c>
      <c r="J658" t="n">
        <v>0</v>
      </c>
      <c r="K658" t="n">
        <v>0</v>
      </c>
      <c r="L658" t="n">
        <v>0</v>
      </c>
      <c r="M658" t="n">
        <v>0</v>
      </c>
      <c r="N658" t="n">
        <v>0</v>
      </c>
      <c r="O658" t="n">
        <v>0</v>
      </c>
      <c r="P658" t="n">
        <v>0</v>
      </c>
      <c r="Q658" t="n">
        <v>0</v>
      </c>
      <c r="R658" s="2" t="inlineStr"/>
    </row>
    <row r="659" ht="15" customHeight="1">
      <c r="A659" t="inlineStr">
        <is>
          <t>A 3888-2024</t>
        </is>
      </c>
      <c r="B659" s="1" t="n">
        <v>45322.45089120371</v>
      </c>
      <c r="C659" s="1" t="n">
        <v>45911</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3889-2024</t>
        </is>
      </c>
      <c r="B660" s="1" t="n">
        <v>45322.45234953704</v>
      </c>
      <c r="C660" s="1" t="n">
        <v>45911</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8249-2023</t>
        </is>
      </c>
      <c r="B661" s="1" t="n">
        <v>44974</v>
      </c>
      <c r="C661" s="1" t="n">
        <v>45911</v>
      </c>
      <c r="D661" t="inlineStr">
        <is>
          <t>SKÅNE LÄN</t>
        </is>
      </c>
      <c r="E661" t="inlineStr">
        <is>
          <t>HÄSSLEHOLM</t>
        </is>
      </c>
      <c r="G661" t="n">
        <v>5.8</v>
      </c>
      <c r="H661" t="n">
        <v>0</v>
      </c>
      <c r="I661" t="n">
        <v>0</v>
      </c>
      <c r="J661" t="n">
        <v>0</v>
      </c>
      <c r="K661" t="n">
        <v>0</v>
      </c>
      <c r="L661" t="n">
        <v>0</v>
      </c>
      <c r="M661" t="n">
        <v>0</v>
      </c>
      <c r="N661" t="n">
        <v>0</v>
      </c>
      <c r="O661" t="n">
        <v>0</v>
      </c>
      <c r="P661" t="n">
        <v>0</v>
      </c>
      <c r="Q661" t="n">
        <v>0</v>
      </c>
      <c r="R661" s="2" t="inlineStr"/>
    </row>
    <row r="662" ht="15" customHeight="1">
      <c r="A662" t="inlineStr">
        <is>
          <t>A 3480-2024</t>
        </is>
      </c>
      <c r="B662" s="1" t="n">
        <v>45320.43998842593</v>
      </c>
      <c r="C662" s="1" t="n">
        <v>45911</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5478-2021</t>
        </is>
      </c>
      <c r="B663" s="1" t="n">
        <v>44230</v>
      </c>
      <c r="C663" s="1" t="n">
        <v>45911</v>
      </c>
      <c r="D663" t="inlineStr">
        <is>
          <t>SKÅNE LÄN</t>
        </is>
      </c>
      <c r="E663" t="inlineStr">
        <is>
          <t>HÄSSLEHOLM</t>
        </is>
      </c>
      <c r="G663" t="n">
        <v>0.1</v>
      </c>
      <c r="H663" t="n">
        <v>0</v>
      </c>
      <c r="I663" t="n">
        <v>0</v>
      </c>
      <c r="J663" t="n">
        <v>0</v>
      </c>
      <c r="K663" t="n">
        <v>0</v>
      </c>
      <c r="L663" t="n">
        <v>0</v>
      </c>
      <c r="M663" t="n">
        <v>0</v>
      </c>
      <c r="N663" t="n">
        <v>0</v>
      </c>
      <c r="O663" t="n">
        <v>0</v>
      </c>
      <c r="P663" t="n">
        <v>0</v>
      </c>
      <c r="Q663" t="n">
        <v>0</v>
      </c>
      <c r="R663" s="2" t="inlineStr"/>
    </row>
    <row r="664" ht="15" customHeight="1">
      <c r="A664" t="inlineStr">
        <is>
          <t>A 2290-2024</t>
        </is>
      </c>
      <c r="B664" s="1" t="n">
        <v>45310</v>
      </c>
      <c r="C664" s="1" t="n">
        <v>45911</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13316-2023</t>
        </is>
      </c>
      <c r="B665" s="1" t="n">
        <v>45005.39013888889</v>
      </c>
      <c r="C665" s="1" t="n">
        <v>45911</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55218-2023</t>
        </is>
      </c>
      <c r="B666" s="1" t="n">
        <v>45237</v>
      </c>
      <c r="C666" s="1" t="n">
        <v>45911</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65235-2021</t>
        </is>
      </c>
      <c r="B667" s="1" t="n">
        <v>44515</v>
      </c>
      <c r="C667" s="1" t="n">
        <v>45911</v>
      </c>
      <c r="D667" t="inlineStr">
        <is>
          <t>SKÅNE LÄN</t>
        </is>
      </c>
      <c r="E667" t="inlineStr">
        <is>
          <t>HÄSSLEHOLM</t>
        </is>
      </c>
      <c r="G667" t="n">
        <v>2.5</v>
      </c>
      <c r="H667" t="n">
        <v>0</v>
      </c>
      <c r="I667" t="n">
        <v>0</v>
      </c>
      <c r="J667" t="n">
        <v>0</v>
      </c>
      <c r="K667" t="n">
        <v>0</v>
      </c>
      <c r="L667" t="n">
        <v>0</v>
      </c>
      <c r="M667" t="n">
        <v>0</v>
      </c>
      <c r="N667" t="n">
        <v>0</v>
      </c>
      <c r="O667" t="n">
        <v>0</v>
      </c>
      <c r="P667" t="n">
        <v>0</v>
      </c>
      <c r="Q667" t="n">
        <v>0</v>
      </c>
      <c r="R667" s="2" t="inlineStr"/>
    </row>
    <row r="668" ht="15" customHeight="1">
      <c r="A668" t="inlineStr">
        <is>
          <t>A 13358-2023</t>
        </is>
      </c>
      <c r="B668" s="1" t="n">
        <v>45005</v>
      </c>
      <c r="C668" s="1" t="n">
        <v>45911</v>
      </c>
      <c r="D668" t="inlineStr">
        <is>
          <t>SKÅNE LÄN</t>
        </is>
      </c>
      <c r="E668" t="inlineStr">
        <is>
          <t>HÄSSLEHOLM</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5316-2023</t>
        </is>
      </c>
      <c r="B669" s="1" t="n">
        <v>44959</v>
      </c>
      <c r="C669" s="1" t="n">
        <v>45911</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32794-2023</t>
        </is>
      </c>
      <c r="B670" s="1" t="n">
        <v>45124.40446759259</v>
      </c>
      <c r="C670" s="1" t="n">
        <v>45911</v>
      </c>
      <c r="D670" t="inlineStr">
        <is>
          <t>SKÅNE LÄN</t>
        </is>
      </c>
      <c r="E670" t="inlineStr">
        <is>
          <t>HÄSSLEHOLM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1119-2024</t>
        </is>
      </c>
      <c r="B671" s="1" t="n">
        <v>45302</v>
      </c>
      <c r="C671" s="1" t="n">
        <v>45911</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9393-2025</t>
        </is>
      </c>
      <c r="B672" s="1" t="n">
        <v>45715.36230324074</v>
      </c>
      <c r="C672" s="1" t="n">
        <v>45911</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45911</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12162-2023</t>
        </is>
      </c>
      <c r="B674" s="1" t="n">
        <v>44998.49619212963</v>
      </c>
      <c r="C674" s="1" t="n">
        <v>45911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37271-2025</t>
        </is>
      </c>
      <c r="B675" s="1" t="n">
        <v>45876.47828703704</v>
      </c>
      <c r="C675" s="1" t="n">
        <v>45911</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11422-2025</t>
        </is>
      </c>
      <c r="B676" s="1" t="n">
        <v>45726</v>
      </c>
      <c r="C676" s="1" t="n">
        <v>45911</v>
      </c>
      <c r="D676" t="inlineStr">
        <is>
          <t>SKÅNE LÄN</t>
        </is>
      </c>
      <c r="E676" t="inlineStr">
        <is>
          <t>HÄSSLEHOLM</t>
        </is>
      </c>
      <c r="G676" t="n">
        <v>14.9</v>
      </c>
      <c r="H676" t="n">
        <v>0</v>
      </c>
      <c r="I676" t="n">
        <v>0</v>
      </c>
      <c r="J676" t="n">
        <v>0</v>
      </c>
      <c r="K676" t="n">
        <v>0</v>
      </c>
      <c r="L676" t="n">
        <v>0</v>
      </c>
      <c r="M676" t="n">
        <v>0</v>
      </c>
      <c r="N676" t="n">
        <v>0</v>
      </c>
      <c r="O676" t="n">
        <v>0</v>
      </c>
      <c r="P676" t="n">
        <v>0</v>
      </c>
      <c r="Q676" t="n">
        <v>0</v>
      </c>
      <c r="R676" s="2" t="inlineStr"/>
    </row>
    <row r="677" ht="15" customHeight="1">
      <c r="A677" t="inlineStr">
        <is>
          <t>A 57277-2023</t>
        </is>
      </c>
      <c r="B677" s="1" t="n">
        <v>45245.59104166667</v>
      </c>
      <c r="C677" s="1" t="n">
        <v>45911</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14702-2025</t>
        </is>
      </c>
      <c r="B678" s="1" t="n">
        <v>45742.60403935185</v>
      </c>
      <c r="C678" s="1" t="n">
        <v>45911</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9669-2025</t>
        </is>
      </c>
      <c r="B679" s="1" t="n">
        <v>45716.32921296296</v>
      </c>
      <c r="C679" s="1" t="n">
        <v>45911</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59109-2023</t>
        </is>
      </c>
      <c r="B680" s="1" t="n">
        <v>45253.30819444444</v>
      </c>
      <c r="C680" s="1" t="n">
        <v>45911</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9611-2025</t>
        </is>
      </c>
      <c r="B681" s="1" t="n">
        <v>45715</v>
      </c>
      <c r="C681" s="1" t="n">
        <v>45911</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5284-2023</t>
        </is>
      </c>
      <c r="B682" s="1" t="n">
        <v>44959.50608796296</v>
      </c>
      <c r="C682" s="1" t="n">
        <v>45911</v>
      </c>
      <c r="D682" t="inlineStr">
        <is>
          <t>SKÅNE LÄN</t>
        </is>
      </c>
      <c r="E682" t="inlineStr">
        <is>
          <t>HÄSSLEHOLM</t>
        </is>
      </c>
      <c r="G682" t="n">
        <v>0.4</v>
      </c>
      <c r="H682" t="n">
        <v>0</v>
      </c>
      <c r="I682" t="n">
        <v>0</v>
      </c>
      <c r="J682" t="n">
        <v>0</v>
      </c>
      <c r="K682" t="n">
        <v>0</v>
      </c>
      <c r="L682" t="n">
        <v>0</v>
      </c>
      <c r="M682" t="n">
        <v>0</v>
      </c>
      <c r="N682" t="n">
        <v>0</v>
      </c>
      <c r="O682" t="n">
        <v>0</v>
      </c>
      <c r="P682" t="n">
        <v>0</v>
      </c>
      <c r="Q682" t="n">
        <v>0</v>
      </c>
      <c r="R682" s="2" t="inlineStr"/>
    </row>
    <row r="683" ht="15" customHeight="1">
      <c r="A683" t="inlineStr">
        <is>
          <t>A 5285-2023</t>
        </is>
      </c>
      <c r="B683" s="1" t="n">
        <v>44959.50783564815</v>
      </c>
      <c r="C683" s="1" t="n">
        <v>45911</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36938-2025</t>
        </is>
      </c>
      <c r="B684" s="1" t="n">
        <v>45874.58476851852</v>
      </c>
      <c r="C684" s="1" t="n">
        <v>45911</v>
      </c>
      <c r="D684" t="inlineStr">
        <is>
          <t>SKÅNE LÄN</t>
        </is>
      </c>
      <c r="E684" t="inlineStr">
        <is>
          <t>HÄSSLEHOLM</t>
        </is>
      </c>
      <c r="G684" t="n">
        <v>3.7</v>
      </c>
      <c r="H684" t="n">
        <v>0</v>
      </c>
      <c r="I684" t="n">
        <v>0</v>
      </c>
      <c r="J684" t="n">
        <v>0</v>
      </c>
      <c r="K684" t="n">
        <v>0</v>
      </c>
      <c r="L684" t="n">
        <v>0</v>
      </c>
      <c r="M684" t="n">
        <v>0</v>
      </c>
      <c r="N684" t="n">
        <v>0</v>
      </c>
      <c r="O684" t="n">
        <v>0</v>
      </c>
      <c r="P684" t="n">
        <v>0</v>
      </c>
      <c r="Q684" t="n">
        <v>0</v>
      </c>
      <c r="R684" s="2" t="inlineStr"/>
    </row>
    <row r="685" ht="15" customHeight="1">
      <c r="A685" t="inlineStr">
        <is>
          <t>A 57272-2023</t>
        </is>
      </c>
      <c r="B685" s="1" t="n">
        <v>45245</v>
      </c>
      <c r="C685" s="1" t="n">
        <v>45911</v>
      </c>
      <c r="D685" t="inlineStr">
        <is>
          <t>SKÅNE LÄN</t>
        </is>
      </c>
      <c r="E685" t="inlineStr">
        <is>
          <t>HÄSSLEHOLM</t>
        </is>
      </c>
      <c r="G685" t="n">
        <v>2.3</v>
      </c>
      <c r="H685" t="n">
        <v>0</v>
      </c>
      <c r="I685" t="n">
        <v>0</v>
      </c>
      <c r="J685" t="n">
        <v>0</v>
      </c>
      <c r="K685" t="n">
        <v>0</v>
      </c>
      <c r="L685" t="n">
        <v>0</v>
      </c>
      <c r="M685" t="n">
        <v>0</v>
      </c>
      <c r="N685" t="n">
        <v>0</v>
      </c>
      <c r="O685" t="n">
        <v>0</v>
      </c>
      <c r="P685" t="n">
        <v>0</v>
      </c>
      <c r="Q685" t="n">
        <v>0</v>
      </c>
      <c r="R685" s="2" t="inlineStr"/>
    </row>
    <row r="686" ht="15" customHeight="1">
      <c r="A686" t="inlineStr">
        <is>
          <t>A 2479-2024</t>
        </is>
      </c>
      <c r="B686" s="1" t="n">
        <v>45313.40148148148</v>
      </c>
      <c r="C686" s="1" t="n">
        <v>45911</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31160-2024</t>
        </is>
      </c>
      <c r="B687" s="1" t="n">
        <v>45503</v>
      </c>
      <c r="C687" s="1" t="n">
        <v>45911</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58888-2024</t>
        </is>
      </c>
      <c r="B688" s="1" t="n">
        <v>45636.45962962963</v>
      </c>
      <c r="C688" s="1" t="n">
        <v>45911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50664-2023</t>
        </is>
      </c>
      <c r="B689" s="1" t="n">
        <v>45217</v>
      </c>
      <c r="C689" s="1" t="n">
        <v>45911</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56490-2021</t>
        </is>
      </c>
      <c r="B690" s="1" t="n">
        <v>44480</v>
      </c>
      <c r="C690" s="1" t="n">
        <v>45911</v>
      </c>
      <c r="D690" t="inlineStr">
        <is>
          <t>SKÅNE LÄN</t>
        </is>
      </c>
      <c r="E690" t="inlineStr">
        <is>
          <t>HÄSSLEHOLM</t>
        </is>
      </c>
      <c r="F690" t="inlineStr">
        <is>
          <t>Kyrkan</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21028-2021</t>
        </is>
      </c>
      <c r="B691" s="1" t="n">
        <v>44319</v>
      </c>
      <c r="C691" s="1" t="n">
        <v>45911</v>
      </c>
      <c r="D691" t="inlineStr">
        <is>
          <t>SKÅNE LÄN</t>
        </is>
      </c>
      <c r="E691" t="inlineStr">
        <is>
          <t>HÄSSLEHOLM</t>
        </is>
      </c>
      <c r="G691" t="n">
        <v>3.1</v>
      </c>
      <c r="H691" t="n">
        <v>0</v>
      </c>
      <c r="I691" t="n">
        <v>0</v>
      </c>
      <c r="J691" t="n">
        <v>0</v>
      </c>
      <c r="K691" t="n">
        <v>0</v>
      </c>
      <c r="L691" t="n">
        <v>0</v>
      </c>
      <c r="M691" t="n">
        <v>0</v>
      </c>
      <c r="N691" t="n">
        <v>0</v>
      </c>
      <c r="O691" t="n">
        <v>0</v>
      </c>
      <c r="P691" t="n">
        <v>0</v>
      </c>
      <c r="Q691" t="n">
        <v>0</v>
      </c>
      <c r="R691" s="2" t="inlineStr"/>
    </row>
    <row r="692" ht="15" customHeight="1">
      <c r="A692" t="inlineStr">
        <is>
          <t>A 417-2022</t>
        </is>
      </c>
      <c r="B692" s="1" t="n">
        <v>44565.84615740741</v>
      </c>
      <c r="C692" s="1" t="n">
        <v>45911</v>
      </c>
      <c r="D692" t="inlineStr">
        <is>
          <t>SKÅNE LÄN</t>
        </is>
      </c>
      <c r="E692" t="inlineStr">
        <is>
          <t>HÄSSLEHOLM</t>
        </is>
      </c>
      <c r="G692" t="n">
        <v>0</v>
      </c>
      <c r="H692" t="n">
        <v>0</v>
      </c>
      <c r="I692" t="n">
        <v>0</v>
      </c>
      <c r="J692" t="n">
        <v>0</v>
      </c>
      <c r="K692" t="n">
        <v>0</v>
      </c>
      <c r="L692" t="n">
        <v>0</v>
      </c>
      <c r="M692" t="n">
        <v>0</v>
      </c>
      <c r="N692" t="n">
        <v>0</v>
      </c>
      <c r="O692" t="n">
        <v>0</v>
      </c>
      <c r="P692" t="n">
        <v>0</v>
      </c>
      <c r="Q692" t="n">
        <v>0</v>
      </c>
      <c r="R692" s="2" t="inlineStr"/>
    </row>
    <row r="693" ht="15" customHeight="1">
      <c r="A693" t="inlineStr">
        <is>
          <t>A 61934-2023</t>
        </is>
      </c>
      <c r="B693" s="1" t="n">
        <v>45266.54125</v>
      </c>
      <c r="C693" s="1" t="n">
        <v>45911</v>
      </c>
      <c r="D693" t="inlineStr">
        <is>
          <t>SKÅNE LÄN</t>
        </is>
      </c>
      <c r="E693" t="inlineStr">
        <is>
          <t>HÄSSLEHOLM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44826.93372685185</v>
      </c>
      <c r="C694" s="1" t="n">
        <v>45911</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19151-2023</t>
        </is>
      </c>
      <c r="B695" s="1" t="n">
        <v>45044</v>
      </c>
      <c r="C695" s="1" t="n">
        <v>45911</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54658-2023</t>
        </is>
      </c>
      <c r="B696" s="1" t="n">
        <v>45235</v>
      </c>
      <c r="C696" s="1" t="n">
        <v>45911</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32585-2025</t>
        </is>
      </c>
      <c r="B697" s="1" t="n">
        <v>45838.60021990741</v>
      </c>
      <c r="C697" s="1" t="n">
        <v>45911</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6165-2023</t>
        </is>
      </c>
      <c r="B698" s="1" t="n">
        <v>44964.67114583333</v>
      </c>
      <c r="C698" s="1" t="n">
        <v>45911</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42370-2023</t>
        </is>
      </c>
      <c r="B699" s="1" t="n">
        <v>45180</v>
      </c>
      <c r="C699" s="1" t="n">
        <v>45911</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16017-2023</t>
        </is>
      </c>
      <c r="B700" s="1" t="n">
        <v>45026</v>
      </c>
      <c r="C700" s="1" t="n">
        <v>45911</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31989-2024</t>
        </is>
      </c>
      <c r="B701" s="1" t="n">
        <v>45510.58085648148</v>
      </c>
      <c r="C701" s="1" t="n">
        <v>45911</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35640-2023</t>
        </is>
      </c>
      <c r="B702" s="1" t="n">
        <v>45147</v>
      </c>
      <c r="C702" s="1" t="n">
        <v>45911</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16951-2025</t>
        </is>
      </c>
      <c r="B703" s="1" t="n">
        <v>45755</v>
      </c>
      <c r="C703" s="1" t="n">
        <v>45911</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48771-2024</t>
        </is>
      </c>
      <c r="B704" s="1" t="n">
        <v>45593.61284722222</v>
      </c>
      <c r="C704" s="1" t="n">
        <v>45911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32592-2025</t>
        </is>
      </c>
      <c r="B705" s="1" t="n">
        <v>45838.61020833333</v>
      </c>
      <c r="C705" s="1" t="n">
        <v>45911</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24241-2023</t>
        </is>
      </c>
      <c r="B706" s="1" t="n">
        <v>45079.61476851852</v>
      </c>
      <c r="C706" s="1" t="n">
        <v>45911</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23987-2024</t>
        </is>
      </c>
      <c r="B707" s="1" t="n">
        <v>45456</v>
      </c>
      <c r="C707" s="1" t="n">
        <v>45911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19739-2023</t>
        </is>
      </c>
      <c r="B708" s="1" t="n">
        <v>45051</v>
      </c>
      <c r="C708" s="1" t="n">
        <v>45911</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1886-2025</t>
        </is>
      </c>
      <c r="B709" s="1" t="n">
        <v>45671</v>
      </c>
      <c r="C709" s="1" t="n">
        <v>45911</v>
      </c>
      <c r="D709" t="inlineStr">
        <is>
          <t>SKÅNE LÄN</t>
        </is>
      </c>
      <c r="E709" t="inlineStr">
        <is>
          <t>HÄSSLEHOLM</t>
        </is>
      </c>
      <c r="G709" t="n">
        <v>1.1</v>
      </c>
      <c r="H709" t="n">
        <v>0</v>
      </c>
      <c r="I709" t="n">
        <v>0</v>
      </c>
      <c r="J709" t="n">
        <v>0</v>
      </c>
      <c r="K709" t="n">
        <v>0</v>
      </c>
      <c r="L709" t="n">
        <v>0</v>
      </c>
      <c r="M709" t="n">
        <v>0</v>
      </c>
      <c r="N709" t="n">
        <v>0</v>
      </c>
      <c r="O709" t="n">
        <v>0</v>
      </c>
      <c r="P709" t="n">
        <v>0</v>
      </c>
      <c r="Q709" t="n">
        <v>0</v>
      </c>
      <c r="R709" s="2" t="inlineStr"/>
    </row>
    <row r="710" ht="15" customHeight="1">
      <c r="A710" t="inlineStr">
        <is>
          <t>A 59246-2024</t>
        </is>
      </c>
      <c r="B710" s="1" t="n">
        <v>45636</v>
      </c>
      <c r="C710" s="1" t="n">
        <v>45911</v>
      </c>
      <c r="D710" t="inlineStr">
        <is>
          <t>SKÅNE LÄN</t>
        </is>
      </c>
      <c r="E710" t="inlineStr">
        <is>
          <t>HÄSSLEHOLM</t>
        </is>
      </c>
      <c r="G710" t="n">
        <v>2.6</v>
      </c>
      <c r="H710" t="n">
        <v>0</v>
      </c>
      <c r="I710" t="n">
        <v>0</v>
      </c>
      <c r="J710" t="n">
        <v>0</v>
      </c>
      <c r="K710" t="n">
        <v>0</v>
      </c>
      <c r="L710" t="n">
        <v>0</v>
      </c>
      <c r="M710" t="n">
        <v>0</v>
      </c>
      <c r="N710" t="n">
        <v>0</v>
      </c>
      <c r="O710" t="n">
        <v>0</v>
      </c>
      <c r="P710" t="n">
        <v>0</v>
      </c>
      <c r="Q710" t="n">
        <v>0</v>
      </c>
      <c r="R710" s="2" t="inlineStr"/>
    </row>
    <row r="711" ht="15" customHeight="1">
      <c r="A711" t="inlineStr">
        <is>
          <t>A 18063-2023</t>
        </is>
      </c>
      <c r="B711" s="1" t="n">
        <v>45040.62850694444</v>
      </c>
      <c r="C711" s="1" t="n">
        <v>45911</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23666-2023</t>
        </is>
      </c>
      <c r="B712" s="1" t="n">
        <v>45077</v>
      </c>
      <c r="C712" s="1" t="n">
        <v>45911</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35237-2023</t>
        </is>
      </c>
      <c r="B713" s="1" t="n">
        <v>45145.74532407407</v>
      </c>
      <c r="C713" s="1" t="n">
        <v>45911</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14674-2025</t>
        </is>
      </c>
      <c r="B714" s="1" t="n">
        <v>45742.55548611111</v>
      </c>
      <c r="C714" s="1" t="n">
        <v>45911</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5476-2021</t>
        </is>
      </c>
      <c r="B715" s="1" t="n">
        <v>44230</v>
      </c>
      <c r="C715" s="1" t="n">
        <v>45911</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54777-2022</t>
        </is>
      </c>
      <c r="B716" s="1" t="n">
        <v>44883</v>
      </c>
      <c r="C716" s="1" t="n">
        <v>45911</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260-2024</t>
        </is>
      </c>
      <c r="B717" s="1" t="n">
        <v>45294</v>
      </c>
      <c r="C717" s="1" t="n">
        <v>45911</v>
      </c>
      <c r="D717" t="inlineStr">
        <is>
          <t>SKÅNE LÄN</t>
        </is>
      </c>
      <c r="E717" t="inlineStr">
        <is>
          <t>HÄSSLEHOLM</t>
        </is>
      </c>
      <c r="G717" t="n">
        <v>0.2</v>
      </c>
      <c r="H717" t="n">
        <v>0</v>
      </c>
      <c r="I717" t="n">
        <v>0</v>
      </c>
      <c r="J717" t="n">
        <v>0</v>
      </c>
      <c r="K717" t="n">
        <v>0</v>
      </c>
      <c r="L717" t="n">
        <v>0</v>
      </c>
      <c r="M717" t="n">
        <v>0</v>
      </c>
      <c r="N717" t="n">
        <v>0</v>
      </c>
      <c r="O717" t="n">
        <v>0</v>
      </c>
      <c r="P717" t="n">
        <v>0</v>
      </c>
      <c r="Q717" t="n">
        <v>0</v>
      </c>
      <c r="R717" s="2" t="inlineStr"/>
    </row>
    <row r="718" ht="15" customHeight="1">
      <c r="A718" t="inlineStr">
        <is>
          <t>A 57275-2023</t>
        </is>
      </c>
      <c r="B718" s="1" t="n">
        <v>45245.58886574074</v>
      </c>
      <c r="C718" s="1" t="n">
        <v>45911</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23683-2023</t>
        </is>
      </c>
      <c r="B719" s="1" t="n">
        <v>45077</v>
      </c>
      <c r="C719" s="1" t="n">
        <v>45911</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23955-2023</t>
        </is>
      </c>
      <c r="B720" s="1" t="n">
        <v>45078.62217592593</v>
      </c>
      <c r="C720" s="1" t="n">
        <v>45911</v>
      </c>
      <c r="D720" t="inlineStr">
        <is>
          <t>SKÅNE LÄN</t>
        </is>
      </c>
      <c r="E720" t="inlineStr">
        <is>
          <t>HÄSSLEHOLM</t>
        </is>
      </c>
      <c r="G720" t="n">
        <v>1.4</v>
      </c>
      <c r="H720" t="n">
        <v>0</v>
      </c>
      <c r="I720" t="n">
        <v>0</v>
      </c>
      <c r="J720" t="n">
        <v>0</v>
      </c>
      <c r="K720" t="n">
        <v>0</v>
      </c>
      <c r="L720" t="n">
        <v>0</v>
      </c>
      <c r="M720" t="n">
        <v>0</v>
      </c>
      <c r="N720" t="n">
        <v>0</v>
      </c>
      <c r="O720" t="n">
        <v>0</v>
      </c>
      <c r="P720" t="n">
        <v>0</v>
      </c>
      <c r="Q720" t="n">
        <v>0</v>
      </c>
      <c r="R720" s="2" t="inlineStr"/>
    </row>
    <row r="721" ht="15" customHeight="1">
      <c r="A721" t="inlineStr">
        <is>
          <t>A 32981-2025</t>
        </is>
      </c>
      <c r="B721" s="1" t="n">
        <v>45839.86820601852</v>
      </c>
      <c r="C721" s="1" t="n">
        <v>45911</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23860-2024</t>
        </is>
      </c>
      <c r="B722" s="1" t="n">
        <v>45455</v>
      </c>
      <c r="C722" s="1" t="n">
        <v>45911</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524-2024</t>
        </is>
      </c>
      <c r="B723" s="1" t="n">
        <v>45299</v>
      </c>
      <c r="C723" s="1" t="n">
        <v>45911</v>
      </c>
      <c r="D723" t="inlineStr">
        <is>
          <t>SKÅNE LÄN</t>
        </is>
      </c>
      <c r="E723" t="inlineStr">
        <is>
          <t>HÄSSLEHOLM</t>
        </is>
      </c>
      <c r="G723" t="n">
        <v>29.4</v>
      </c>
      <c r="H723" t="n">
        <v>0</v>
      </c>
      <c r="I723" t="n">
        <v>0</v>
      </c>
      <c r="J723" t="n">
        <v>0</v>
      </c>
      <c r="K723" t="n">
        <v>0</v>
      </c>
      <c r="L723" t="n">
        <v>0</v>
      </c>
      <c r="M723" t="n">
        <v>0</v>
      </c>
      <c r="N723" t="n">
        <v>0</v>
      </c>
      <c r="O723" t="n">
        <v>0</v>
      </c>
      <c r="P723" t="n">
        <v>0</v>
      </c>
      <c r="Q723" t="n">
        <v>0</v>
      </c>
      <c r="R723" s="2" t="inlineStr"/>
    </row>
    <row r="724" ht="15" customHeight="1">
      <c r="A724" t="inlineStr">
        <is>
          <t>A 54518-2022</t>
        </is>
      </c>
      <c r="B724" s="1" t="n">
        <v>44882</v>
      </c>
      <c r="C724" s="1" t="n">
        <v>45911</v>
      </c>
      <c r="D724" t="inlineStr">
        <is>
          <t>SKÅNE LÄN</t>
        </is>
      </c>
      <c r="E724" t="inlineStr">
        <is>
          <t>HÄSSLEHOLM</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7094-2023</t>
        </is>
      </c>
      <c r="B725" s="1" t="n">
        <v>44970.36958333333</v>
      </c>
      <c r="C725" s="1" t="n">
        <v>45911</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3500-2024</t>
        </is>
      </c>
      <c r="B726" s="1" t="n">
        <v>45320</v>
      </c>
      <c r="C726" s="1" t="n">
        <v>45911</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11266-2025</t>
        </is>
      </c>
      <c r="B727" s="1" t="n">
        <v>45726</v>
      </c>
      <c r="C727" s="1" t="n">
        <v>45911</v>
      </c>
      <c r="D727" t="inlineStr">
        <is>
          <t>SKÅNE LÄN</t>
        </is>
      </c>
      <c r="E727" t="inlineStr">
        <is>
          <t>HÄSSLEHOLM</t>
        </is>
      </c>
      <c r="G727" t="n">
        <v>0.3</v>
      </c>
      <c r="H727" t="n">
        <v>0</v>
      </c>
      <c r="I727" t="n">
        <v>0</v>
      </c>
      <c r="J727" t="n">
        <v>0</v>
      </c>
      <c r="K727" t="n">
        <v>0</v>
      </c>
      <c r="L727" t="n">
        <v>0</v>
      </c>
      <c r="M727" t="n">
        <v>0</v>
      </c>
      <c r="N727" t="n">
        <v>0</v>
      </c>
      <c r="O727" t="n">
        <v>0</v>
      </c>
      <c r="P727" t="n">
        <v>0</v>
      </c>
      <c r="Q727" t="n">
        <v>0</v>
      </c>
      <c r="R727" s="2" t="inlineStr"/>
    </row>
    <row r="728" ht="15" customHeight="1">
      <c r="A728" t="inlineStr">
        <is>
          <t>A 49950-2023</t>
        </is>
      </c>
      <c r="B728" s="1" t="n">
        <v>45215</v>
      </c>
      <c r="C728" s="1" t="n">
        <v>45911</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27304-2023</t>
        </is>
      </c>
      <c r="B729" s="1" t="n">
        <v>45096.65199074074</v>
      </c>
      <c r="C729" s="1" t="n">
        <v>45911</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29853-2024</t>
        </is>
      </c>
      <c r="B730" s="1" t="n">
        <v>45485.65844907407</v>
      </c>
      <c r="C730" s="1" t="n">
        <v>45911</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29649-2025</t>
        </is>
      </c>
      <c r="B731" s="1" t="n">
        <v>45825.47446759259</v>
      </c>
      <c r="C731" s="1" t="n">
        <v>45911</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57695-2023</t>
        </is>
      </c>
      <c r="B732" s="1" t="n">
        <v>45246</v>
      </c>
      <c r="C732" s="1" t="n">
        <v>45911</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48191-2021</t>
        </is>
      </c>
      <c r="B733" s="1" t="n">
        <v>44449</v>
      </c>
      <c r="C733" s="1" t="n">
        <v>45911</v>
      </c>
      <c r="D733" t="inlineStr">
        <is>
          <t>SKÅNE LÄN</t>
        </is>
      </c>
      <c r="E733" t="inlineStr">
        <is>
          <t>HÄSSLEHOLM</t>
        </is>
      </c>
      <c r="G733" t="n">
        <v>6</v>
      </c>
      <c r="H733" t="n">
        <v>0</v>
      </c>
      <c r="I733" t="n">
        <v>0</v>
      </c>
      <c r="J733" t="n">
        <v>0</v>
      </c>
      <c r="K733" t="n">
        <v>0</v>
      </c>
      <c r="L733" t="n">
        <v>0</v>
      </c>
      <c r="M733" t="n">
        <v>0</v>
      </c>
      <c r="N733" t="n">
        <v>0</v>
      </c>
      <c r="O733" t="n">
        <v>0</v>
      </c>
      <c r="P733" t="n">
        <v>0</v>
      </c>
      <c r="Q733" t="n">
        <v>0</v>
      </c>
      <c r="R733" s="2" t="inlineStr"/>
    </row>
    <row r="734" ht="15" customHeight="1">
      <c r="A734" t="inlineStr">
        <is>
          <t>A 9615-2025</t>
        </is>
      </c>
      <c r="B734" s="1" t="n">
        <v>45715</v>
      </c>
      <c r="C734" s="1" t="n">
        <v>45911</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6845-2023</t>
        </is>
      </c>
      <c r="B735" s="1" t="n">
        <v>44967</v>
      </c>
      <c r="C735" s="1" t="n">
        <v>45911</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42232-2022</t>
        </is>
      </c>
      <c r="B736" s="1" t="n">
        <v>44830.77591435185</v>
      </c>
      <c r="C736" s="1" t="n">
        <v>45911</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32834-2024</t>
        </is>
      </c>
      <c r="B737" s="1" t="n">
        <v>45516.6025</v>
      </c>
      <c r="C737" s="1" t="n">
        <v>45911</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38829-2024</t>
        </is>
      </c>
      <c r="B738" s="1" t="n">
        <v>45547.57247685185</v>
      </c>
      <c r="C738" s="1" t="n">
        <v>45911</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49199-2024</t>
        </is>
      </c>
      <c r="B739" s="1" t="n">
        <v>45595</v>
      </c>
      <c r="C739" s="1" t="n">
        <v>45911</v>
      </c>
      <c r="D739" t="inlineStr">
        <is>
          <t>SKÅNE LÄN</t>
        </is>
      </c>
      <c r="E739" t="inlineStr">
        <is>
          <t>HÄSSLEHOLM</t>
        </is>
      </c>
      <c r="G739" t="n">
        <v>5.2</v>
      </c>
      <c r="H739" t="n">
        <v>0</v>
      </c>
      <c r="I739" t="n">
        <v>0</v>
      </c>
      <c r="J739" t="n">
        <v>0</v>
      </c>
      <c r="K739" t="n">
        <v>0</v>
      </c>
      <c r="L739" t="n">
        <v>0</v>
      </c>
      <c r="M739" t="n">
        <v>0</v>
      </c>
      <c r="N739" t="n">
        <v>0</v>
      </c>
      <c r="O739" t="n">
        <v>0</v>
      </c>
      <c r="P739" t="n">
        <v>0</v>
      </c>
      <c r="Q739" t="n">
        <v>0</v>
      </c>
      <c r="R739" s="2" t="inlineStr"/>
    </row>
    <row r="740" ht="15" customHeight="1">
      <c r="A740" t="inlineStr">
        <is>
          <t>A 25542-2024</t>
        </is>
      </c>
      <c r="B740" s="1" t="n">
        <v>45463</v>
      </c>
      <c r="C740" s="1" t="n">
        <v>45911</v>
      </c>
      <c r="D740" t="inlineStr">
        <is>
          <t>SKÅNE LÄN</t>
        </is>
      </c>
      <c r="E740" t="inlineStr">
        <is>
          <t>HÄSSLEHOLM</t>
        </is>
      </c>
      <c r="G740" t="n">
        <v>6.9</v>
      </c>
      <c r="H740" t="n">
        <v>0</v>
      </c>
      <c r="I740" t="n">
        <v>0</v>
      </c>
      <c r="J740" t="n">
        <v>0</v>
      </c>
      <c r="K740" t="n">
        <v>0</v>
      </c>
      <c r="L740" t="n">
        <v>0</v>
      </c>
      <c r="M740" t="n">
        <v>0</v>
      </c>
      <c r="N740" t="n">
        <v>0</v>
      </c>
      <c r="O740" t="n">
        <v>0</v>
      </c>
      <c r="P740" t="n">
        <v>0</v>
      </c>
      <c r="Q740" t="n">
        <v>0</v>
      </c>
      <c r="R740" s="2" t="inlineStr"/>
    </row>
    <row r="741" ht="15" customHeight="1">
      <c r="A741" t="inlineStr">
        <is>
          <t>A 14670-2025</t>
        </is>
      </c>
      <c r="B741" s="1" t="n">
        <v>45742.55079861111</v>
      </c>
      <c r="C741" s="1" t="n">
        <v>45911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58886-2024</t>
        </is>
      </c>
      <c r="B742" s="1" t="n">
        <v>45636.45380787037</v>
      </c>
      <c r="C742" s="1" t="n">
        <v>45911</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33948-2025</t>
        </is>
      </c>
      <c r="B743" s="1" t="n">
        <v>45842.65945601852</v>
      </c>
      <c r="C743" s="1" t="n">
        <v>45911</v>
      </c>
      <c r="D743" t="inlineStr">
        <is>
          <t>SKÅNE LÄN</t>
        </is>
      </c>
      <c r="E743" t="inlineStr">
        <is>
          <t>HÄSSLEHOLM</t>
        </is>
      </c>
      <c r="G743" t="n">
        <v>8.5</v>
      </c>
      <c r="H743" t="n">
        <v>0</v>
      </c>
      <c r="I743" t="n">
        <v>0</v>
      </c>
      <c r="J743" t="n">
        <v>0</v>
      </c>
      <c r="K743" t="n">
        <v>0</v>
      </c>
      <c r="L743" t="n">
        <v>0</v>
      </c>
      <c r="M743" t="n">
        <v>0</v>
      </c>
      <c r="N743" t="n">
        <v>0</v>
      </c>
      <c r="O743" t="n">
        <v>0</v>
      </c>
      <c r="P743" t="n">
        <v>0</v>
      </c>
      <c r="Q743" t="n">
        <v>0</v>
      </c>
      <c r="R743" s="2" t="inlineStr"/>
    </row>
    <row r="744" ht="15" customHeight="1">
      <c r="A744" t="inlineStr">
        <is>
          <t>A 55454-2021</t>
        </is>
      </c>
      <c r="B744" s="1" t="n">
        <v>44475</v>
      </c>
      <c r="C744" s="1" t="n">
        <v>45911</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13345-2025</t>
        </is>
      </c>
      <c r="B745" s="1" t="n">
        <v>45735.63017361111</v>
      </c>
      <c r="C745" s="1" t="n">
        <v>45911</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61489-2024</t>
        </is>
      </c>
      <c r="B746" s="1" t="n">
        <v>45646.54875</v>
      </c>
      <c r="C746" s="1" t="n">
        <v>45911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26879-2024</t>
        </is>
      </c>
      <c r="B747" s="1" t="n">
        <v>45470</v>
      </c>
      <c r="C747" s="1" t="n">
        <v>45911</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33875-2025</t>
        </is>
      </c>
      <c r="B748" s="1" t="n">
        <v>45842.55300925926</v>
      </c>
      <c r="C748" s="1" t="n">
        <v>45911</v>
      </c>
      <c r="D748" t="inlineStr">
        <is>
          <t>SKÅNE LÄN</t>
        </is>
      </c>
      <c r="E748" t="inlineStr">
        <is>
          <t>HÄSSLEHOLM</t>
        </is>
      </c>
      <c r="G748" t="n">
        <v>1.9</v>
      </c>
      <c r="H748" t="n">
        <v>0</v>
      </c>
      <c r="I748" t="n">
        <v>0</v>
      </c>
      <c r="J748" t="n">
        <v>0</v>
      </c>
      <c r="K748" t="n">
        <v>0</v>
      </c>
      <c r="L748" t="n">
        <v>0</v>
      </c>
      <c r="M748" t="n">
        <v>0</v>
      </c>
      <c r="N748" t="n">
        <v>0</v>
      </c>
      <c r="O748" t="n">
        <v>0</v>
      </c>
      <c r="P748" t="n">
        <v>0</v>
      </c>
      <c r="Q748" t="n">
        <v>0</v>
      </c>
      <c r="R748" s="2" t="inlineStr"/>
    </row>
    <row r="749" ht="15" customHeight="1">
      <c r="A749" t="inlineStr">
        <is>
          <t>A 12469-2023</t>
        </is>
      </c>
      <c r="B749" s="1" t="n">
        <v>44999.62109953703</v>
      </c>
      <c r="C749" s="1" t="n">
        <v>45911</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59728-2022</t>
        </is>
      </c>
      <c r="B750" s="1" t="n">
        <v>44900</v>
      </c>
      <c r="C750" s="1" t="n">
        <v>45911</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48663-2024</t>
        </is>
      </c>
      <c r="B751" s="1" t="n">
        <v>45593.48892361111</v>
      </c>
      <c r="C751" s="1" t="n">
        <v>45911</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50659-2023</t>
        </is>
      </c>
      <c r="B752" s="1" t="n">
        <v>45217</v>
      </c>
      <c r="C752" s="1" t="n">
        <v>45911</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33877-2025</t>
        </is>
      </c>
      <c r="B753" s="1" t="n">
        <v>45842.55564814815</v>
      </c>
      <c r="C753" s="1" t="n">
        <v>45911</v>
      </c>
      <c r="D753" t="inlineStr">
        <is>
          <t>SKÅNE LÄN</t>
        </is>
      </c>
      <c r="E753" t="inlineStr">
        <is>
          <t>HÄSSLEHOLM</t>
        </is>
      </c>
      <c r="G753" t="n">
        <v>3.9</v>
      </c>
      <c r="H753" t="n">
        <v>0</v>
      </c>
      <c r="I753" t="n">
        <v>0</v>
      </c>
      <c r="J753" t="n">
        <v>0</v>
      </c>
      <c r="K753" t="n">
        <v>0</v>
      </c>
      <c r="L753" t="n">
        <v>0</v>
      </c>
      <c r="M753" t="n">
        <v>0</v>
      </c>
      <c r="N753" t="n">
        <v>0</v>
      </c>
      <c r="O753" t="n">
        <v>0</v>
      </c>
      <c r="P753" t="n">
        <v>0</v>
      </c>
      <c r="Q753" t="n">
        <v>0</v>
      </c>
      <c r="R753" s="2" t="inlineStr"/>
    </row>
    <row r="754" ht="15" customHeight="1">
      <c r="A754" t="inlineStr">
        <is>
          <t>A 33879-2025</t>
        </is>
      </c>
      <c r="B754" s="1" t="n">
        <v>45842.55766203703</v>
      </c>
      <c r="C754" s="1" t="n">
        <v>45911</v>
      </c>
      <c r="D754" t="inlineStr">
        <is>
          <t>SKÅNE LÄN</t>
        </is>
      </c>
      <c r="E754" t="inlineStr">
        <is>
          <t>HÄSSLEHOLM</t>
        </is>
      </c>
      <c r="G754" t="n">
        <v>6.1</v>
      </c>
      <c r="H754" t="n">
        <v>0</v>
      </c>
      <c r="I754" t="n">
        <v>0</v>
      </c>
      <c r="J754" t="n">
        <v>0</v>
      </c>
      <c r="K754" t="n">
        <v>0</v>
      </c>
      <c r="L754" t="n">
        <v>0</v>
      </c>
      <c r="M754" t="n">
        <v>0</v>
      </c>
      <c r="N754" t="n">
        <v>0</v>
      </c>
      <c r="O754" t="n">
        <v>0</v>
      </c>
      <c r="P754" t="n">
        <v>0</v>
      </c>
      <c r="Q754" t="n">
        <v>0</v>
      </c>
      <c r="R754" s="2" t="inlineStr"/>
    </row>
    <row r="755" ht="15" customHeight="1">
      <c r="A755" t="inlineStr">
        <is>
          <t>A 27464-2022</t>
        </is>
      </c>
      <c r="B755" s="1" t="n">
        <v>44742.58704861111</v>
      </c>
      <c r="C755" s="1" t="n">
        <v>45911</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3294-2025</t>
        </is>
      </c>
      <c r="B756" s="1" t="n">
        <v>45679.64125</v>
      </c>
      <c r="C756" s="1" t="n">
        <v>45911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33562-2025</t>
        </is>
      </c>
      <c r="B757" s="1" t="n">
        <v>45841.57803240741</v>
      </c>
      <c r="C757" s="1" t="n">
        <v>45911</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33950-2025</t>
        </is>
      </c>
      <c r="B758" s="1" t="n">
        <v>45842</v>
      </c>
      <c r="C758" s="1" t="n">
        <v>45911</v>
      </c>
      <c r="D758" t="inlineStr">
        <is>
          <t>SKÅNE LÄN</t>
        </is>
      </c>
      <c r="E758" t="inlineStr">
        <is>
          <t>HÄSSLEHOLM</t>
        </is>
      </c>
      <c r="G758" t="n">
        <v>5.7</v>
      </c>
      <c r="H758" t="n">
        <v>0</v>
      </c>
      <c r="I758" t="n">
        <v>0</v>
      </c>
      <c r="J758" t="n">
        <v>0</v>
      </c>
      <c r="K758" t="n">
        <v>0</v>
      </c>
      <c r="L758" t="n">
        <v>0</v>
      </c>
      <c r="M758" t="n">
        <v>0</v>
      </c>
      <c r="N758" t="n">
        <v>0</v>
      </c>
      <c r="O758" t="n">
        <v>0</v>
      </c>
      <c r="P758" t="n">
        <v>0</v>
      </c>
      <c r="Q758" t="n">
        <v>0</v>
      </c>
      <c r="R758" s="2" t="inlineStr"/>
    </row>
    <row r="759" ht="15" customHeight="1">
      <c r="A759" t="inlineStr">
        <is>
          <t>A 13897-2024</t>
        </is>
      </c>
      <c r="B759" s="1" t="n">
        <v>45391</v>
      </c>
      <c r="C759" s="1" t="n">
        <v>45911</v>
      </c>
      <c r="D759" t="inlineStr">
        <is>
          <t>SKÅNE LÄN</t>
        </is>
      </c>
      <c r="E759" t="inlineStr">
        <is>
          <t>HÄSSLEHOLM</t>
        </is>
      </c>
      <c r="F759" t="inlineStr">
        <is>
          <t>Kommuner</t>
        </is>
      </c>
      <c r="G759" t="n">
        <v>4</v>
      </c>
      <c r="H759" t="n">
        <v>0</v>
      </c>
      <c r="I759" t="n">
        <v>0</v>
      </c>
      <c r="J759" t="n">
        <v>0</v>
      </c>
      <c r="K759" t="n">
        <v>0</v>
      </c>
      <c r="L759" t="n">
        <v>0</v>
      </c>
      <c r="M759" t="n">
        <v>0</v>
      </c>
      <c r="N759" t="n">
        <v>0</v>
      </c>
      <c r="O759" t="n">
        <v>0</v>
      </c>
      <c r="P759" t="n">
        <v>0</v>
      </c>
      <c r="Q759" t="n">
        <v>0</v>
      </c>
      <c r="R759" s="2" t="inlineStr"/>
    </row>
    <row r="760" ht="15" customHeight="1">
      <c r="A760" t="inlineStr">
        <is>
          <t>A 69500-2020</t>
        </is>
      </c>
      <c r="B760" s="1" t="n">
        <v>44194</v>
      </c>
      <c r="C760" s="1" t="n">
        <v>45911</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50525-2024</t>
        </is>
      </c>
      <c r="B761" s="1" t="n">
        <v>45601</v>
      </c>
      <c r="C761" s="1" t="n">
        <v>45911</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7604-2024</t>
        </is>
      </c>
      <c r="B762" s="1" t="n">
        <v>45348</v>
      </c>
      <c r="C762" s="1" t="n">
        <v>45911</v>
      </c>
      <c r="D762" t="inlineStr">
        <is>
          <t>SKÅNE LÄN</t>
        </is>
      </c>
      <c r="E762" t="inlineStr">
        <is>
          <t>HÄSSLEHOLM</t>
        </is>
      </c>
      <c r="G762" t="n">
        <v>11.1</v>
      </c>
      <c r="H762" t="n">
        <v>0</v>
      </c>
      <c r="I762" t="n">
        <v>0</v>
      </c>
      <c r="J762" t="n">
        <v>0</v>
      </c>
      <c r="K762" t="n">
        <v>0</v>
      </c>
      <c r="L762" t="n">
        <v>0</v>
      </c>
      <c r="M762" t="n">
        <v>0</v>
      </c>
      <c r="N762" t="n">
        <v>0</v>
      </c>
      <c r="O762" t="n">
        <v>0</v>
      </c>
      <c r="P762" t="n">
        <v>0</v>
      </c>
      <c r="Q762" t="n">
        <v>0</v>
      </c>
      <c r="R762" s="2" t="inlineStr"/>
    </row>
    <row r="763" ht="15" customHeight="1">
      <c r="A763" t="inlineStr">
        <is>
          <t>A 27242-2022</t>
        </is>
      </c>
      <c r="B763" s="1" t="n">
        <v>44741</v>
      </c>
      <c r="C763" s="1" t="n">
        <v>45911</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27197-2021</t>
        </is>
      </c>
      <c r="B764" s="1" t="n">
        <v>44350</v>
      </c>
      <c r="C764" s="1" t="n">
        <v>45911</v>
      </c>
      <c r="D764" t="inlineStr">
        <is>
          <t>SKÅNE LÄN</t>
        </is>
      </c>
      <c r="E764" t="inlineStr">
        <is>
          <t>HÄSSLEHOLM</t>
        </is>
      </c>
      <c r="G764" t="n">
        <v>1.8</v>
      </c>
      <c r="H764" t="n">
        <v>0</v>
      </c>
      <c r="I764" t="n">
        <v>0</v>
      </c>
      <c r="J764" t="n">
        <v>0</v>
      </c>
      <c r="K764" t="n">
        <v>0</v>
      </c>
      <c r="L764" t="n">
        <v>0</v>
      </c>
      <c r="M764" t="n">
        <v>0</v>
      </c>
      <c r="N764" t="n">
        <v>0</v>
      </c>
      <c r="O764" t="n">
        <v>0</v>
      </c>
      <c r="P764" t="n">
        <v>0</v>
      </c>
      <c r="Q764" t="n">
        <v>0</v>
      </c>
      <c r="R764" s="2" t="inlineStr"/>
    </row>
    <row r="765" ht="15" customHeight="1">
      <c r="A765" t="inlineStr">
        <is>
          <t>A 32154-2024</t>
        </is>
      </c>
      <c r="B765" s="1" t="n">
        <v>45511</v>
      </c>
      <c r="C765" s="1" t="n">
        <v>45911</v>
      </c>
      <c r="D765" t="inlineStr">
        <is>
          <t>SKÅNE LÄN</t>
        </is>
      </c>
      <c r="E765" t="inlineStr">
        <is>
          <t>HÄSSLEHOLM</t>
        </is>
      </c>
      <c r="G765" t="n">
        <v>6.4</v>
      </c>
      <c r="H765" t="n">
        <v>0</v>
      </c>
      <c r="I765" t="n">
        <v>0</v>
      </c>
      <c r="J765" t="n">
        <v>0</v>
      </c>
      <c r="K765" t="n">
        <v>0</v>
      </c>
      <c r="L765" t="n">
        <v>0</v>
      </c>
      <c r="M765" t="n">
        <v>0</v>
      </c>
      <c r="N765" t="n">
        <v>0</v>
      </c>
      <c r="O765" t="n">
        <v>0</v>
      </c>
      <c r="P765" t="n">
        <v>0</v>
      </c>
      <c r="Q765" t="n">
        <v>0</v>
      </c>
      <c r="R765" s="2" t="inlineStr"/>
    </row>
    <row r="766" ht="15" customHeight="1">
      <c r="A766" t="inlineStr">
        <is>
          <t>A 53055-2021</t>
        </is>
      </c>
      <c r="B766" s="1" t="n">
        <v>44467</v>
      </c>
      <c r="C766" s="1" t="n">
        <v>45911</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34174-2025</t>
        </is>
      </c>
      <c r="B767" s="1" t="n">
        <v>45844</v>
      </c>
      <c r="C767" s="1" t="n">
        <v>45911</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36706-2022</t>
        </is>
      </c>
      <c r="B768" s="1" t="n">
        <v>44805.32891203704</v>
      </c>
      <c r="C768" s="1" t="n">
        <v>45911</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441-2022</t>
        </is>
      </c>
      <c r="B769" s="1" t="n">
        <v>44565.97125</v>
      </c>
      <c r="C769" s="1" t="n">
        <v>45911</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33465-2024</t>
        </is>
      </c>
      <c r="B770" s="1" t="n">
        <v>45519.59619212963</v>
      </c>
      <c r="C770" s="1" t="n">
        <v>45911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34177-2025</t>
        </is>
      </c>
      <c r="B771" s="1" t="n">
        <v>45844</v>
      </c>
      <c r="C771" s="1" t="n">
        <v>45911</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22678-2025</t>
        </is>
      </c>
      <c r="B772" s="1" t="n">
        <v>45789.49725694444</v>
      </c>
      <c r="C772" s="1" t="n">
        <v>45911</v>
      </c>
      <c r="D772" t="inlineStr">
        <is>
          <t>SKÅNE LÄN</t>
        </is>
      </c>
      <c r="E772" t="inlineStr">
        <is>
          <t>HÄSSLEHOLM</t>
        </is>
      </c>
      <c r="G772" t="n">
        <v>2.2</v>
      </c>
      <c r="H772" t="n">
        <v>0</v>
      </c>
      <c r="I772" t="n">
        <v>0</v>
      </c>
      <c r="J772" t="n">
        <v>0</v>
      </c>
      <c r="K772" t="n">
        <v>0</v>
      </c>
      <c r="L772" t="n">
        <v>0</v>
      </c>
      <c r="M772" t="n">
        <v>0</v>
      </c>
      <c r="N772" t="n">
        <v>0</v>
      </c>
      <c r="O772" t="n">
        <v>0</v>
      </c>
      <c r="P772" t="n">
        <v>0</v>
      </c>
      <c r="Q772" t="n">
        <v>0</v>
      </c>
      <c r="R772" s="2" t="inlineStr"/>
    </row>
    <row r="773" ht="15" customHeight="1">
      <c r="A773" t="inlineStr">
        <is>
          <t>A 31986-2023</t>
        </is>
      </c>
      <c r="B773" s="1" t="n">
        <v>45119</v>
      </c>
      <c r="C773" s="1" t="n">
        <v>45911</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32958-2023</t>
        </is>
      </c>
      <c r="B774" s="1" t="n">
        <v>45125.52142361111</v>
      </c>
      <c r="C774" s="1" t="n">
        <v>45911</v>
      </c>
      <c r="D774" t="inlineStr">
        <is>
          <t>SKÅNE LÄN</t>
        </is>
      </c>
      <c r="E774" t="inlineStr">
        <is>
          <t>HÄSSLEHOLM</t>
        </is>
      </c>
      <c r="G774" t="n">
        <v>7.9</v>
      </c>
      <c r="H774" t="n">
        <v>0</v>
      </c>
      <c r="I774" t="n">
        <v>0</v>
      </c>
      <c r="J774" t="n">
        <v>0</v>
      </c>
      <c r="K774" t="n">
        <v>0</v>
      </c>
      <c r="L774" t="n">
        <v>0</v>
      </c>
      <c r="M774" t="n">
        <v>0</v>
      </c>
      <c r="N774" t="n">
        <v>0</v>
      </c>
      <c r="O774" t="n">
        <v>0</v>
      </c>
      <c r="P774" t="n">
        <v>0</v>
      </c>
      <c r="Q774" t="n">
        <v>0</v>
      </c>
      <c r="R774" s="2" t="inlineStr"/>
    </row>
    <row r="775" ht="15" customHeight="1">
      <c r="A775" t="inlineStr">
        <is>
          <t>A 3364-2023</t>
        </is>
      </c>
      <c r="B775" s="1" t="n">
        <v>44949</v>
      </c>
      <c r="C775" s="1" t="n">
        <v>45911</v>
      </c>
      <c r="D775" t="inlineStr">
        <is>
          <t>SKÅNE LÄN</t>
        </is>
      </c>
      <c r="E775" t="inlineStr">
        <is>
          <t>HÄSSLEHOLM</t>
        </is>
      </c>
      <c r="G775" t="n">
        <v>5.1</v>
      </c>
      <c r="H775" t="n">
        <v>0</v>
      </c>
      <c r="I775" t="n">
        <v>0</v>
      </c>
      <c r="J775" t="n">
        <v>0</v>
      </c>
      <c r="K775" t="n">
        <v>0</v>
      </c>
      <c r="L775" t="n">
        <v>0</v>
      </c>
      <c r="M775" t="n">
        <v>0</v>
      </c>
      <c r="N775" t="n">
        <v>0</v>
      </c>
      <c r="O775" t="n">
        <v>0</v>
      </c>
      <c r="P775" t="n">
        <v>0</v>
      </c>
      <c r="Q775" t="n">
        <v>0</v>
      </c>
      <c r="R775" s="2" t="inlineStr"/>
    </row>
    <row r="776" ht="15" customHeight="1">
      <c r="A776" t="inlineStr">
        <is>
          <t>A 41209-2023</t>
        </is>
      </c>
      <c r="B776" s="1" t="n">
        <v>45174.43481481481</v>
      </c>
      <c r="C776" s="1" t="n">
        <v>45911</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61197-2024</t>
        </is>
      </c>
      <c r="B777" s="1" t="n">
        <v>45645.63184027778</v>
      </c>
      <c r="C777" s="1" t="n">
        <v>45911</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13549-2025</t>
        </is>
      </c>
      <c r="B778" s="1" t="n">
        <v>45736</v>
      </c>
      <c r="C778" s="1" t="n">
        <v>45911</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35833-2023</t>
        </is>
      </c>
      <c r="B779" s="1" t="n">
        <v>45148</v>
      </c>
      <c r="C779" s="1" t="n">
        <v>45911</v>
      </c>
      <c r="D779" t="inlineStr">
        <is>
          <t>SKÅNE LÄN</t>
        </is>
      </c>
      <c r="E779" t="inlineStr">
        <is>
          <t>HÄSSLEHOLM</t>
        </is>
      </c>
      <c r="F779" t="inlineStr">
        <is>
          <t>Kommuner</t>
        </is>
      </c>
      <c r="G779" t="n">
        <v>2</v>
      </c>
      <c r="H779" t="n">
        <v>0</v>
      </c>
      <c r="I779" t="n">
        <v>0</v>
      </c>
      <c r="J779" t="n">
        <v>0</v>
      </c>
      <c r="K779" t="n">
        <v>0</v>
      </c>
      <c r="L779" t="n">
        <v>0</v>
      </c>
      <c r="M779" t="n">
        <v>0</v>
      </c>
      <c r="N779" t="n">
        <v>0</v>
      </c>
      <c r="O779" t="n">
        <v>0</v>
      </c>
      <c r="P779" t="n">
        <v>0</v>
      </c>
      <c r="Q779" t="n">
        <v>0</v>
      </c>
      <c r="R779" s="2" t="inlineStr"/>
    </row>
    <row r="780" ht="15" customHeight="1">
      <c r="A780" t="inlineStr">
        <is>
          <t>A 57491-2024</t>
        </is>
      </c>
      <c r="B780" s="1" t="n">
        <v>45629</v>
      </c>
      <c r="C780" s="1" t="n">
        <v>45911</v>
      </c>
      <c r="D780" t="inlineStr">
        <is>
          <t>SKÅNE LÄN</t>
        </is>
      </c>
      <c r="E780" t="inlineStr">
        <is>
          <t>HÄSSLEHOLM</t>
        </is>
      </c>
      <c r="G780" t="n">
        <v>3.2</v>
      </c>
      <c r="H780" t="n">
        <v>0</v>
      </c>
      <c r="I780" t="n">
        <v>0</v>
      </c>
      <c r="J780" t="n">
        <v>0</v>
      </c>
      <c r="K780" t="n">
        <v>0</v>
      </c>
      <c r="L780" t="n">
        <v>0</v>
      </c>
      <c r="M780" t="n">
        <v>0</v>
      </c>
      <c r="N780" t="n">
        <v>0</v>
      </c>
      <c r="O780" t="n">
        <v>0</v>
      </c>
      <c r="P780" t="n">
        <v>0</v>
      </c>
      <c r="Q780" t="n">
        <v>0</v>
      </c>
      <c r="R780" s="2" t="inlineStr"/>
    </row>
    <row r="781" ht="15" customHeight="1">
      <c r="A781" t="inlineStr">
        <is>
          <t>A 43629-2023</t>
        </is>
      </c>
      <c r="B781" s="1" t="n">
        <v>45184</v>
      </c>
      <c r="C781" s="1" t="n">
        <v>45911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58250-2024</t>
        </is>
      </c>
      <c r="B782" s="1" t="n">
        <v>45632.55643518519</v>
      </c>
      <c r="C782" s="1" t="n">
        <v>45911</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57656-2022</t>
        </is>
      </c>
      <c r="B783" s="1" t="n">
        <v>44897.4325925926</v>
      </c>
      <c r="C783" s="1" t="n">
        <v>45911</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26207-2021</t>
        </is>
      </c>
      <c r="B784" s="1" t="n">
        <v>44347</v>
      </c>
      <c r="C784" s="1" t="n">
        <v>45911</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8250-2023</t>
        </is>
      </c>
      <c r="B785" s="1" t="n">
        <v>44974</v>
      </c>
      <c r="C785" s="1" t="n">
        <v>45911</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6101-2022</t>
        </is>
      </c>
      <c r="B786" s="1" t="n">
        <v>44599.63016203704</v>
      </c>
      <c r="C786" s="1" t="n">
        <v>45911</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6842-2023</t>
        </is>
      </c>
      <c r="B787" s="1" t="n">
        <v>44967</v>
      </c>
      <c r="C787" s="1" t="n">
        <v>45911</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39453-2025</t>
        </is>
      </c>
      <c r="B788" s="1" t="n">
        <v>45889</v>
      </c>
      <c r="C788" s="1" t="n">
        <v>45911</v>
      </c>
      <c r="D788" t="inlineStr">
        <is>
          <t>SKÅNE LÄN</t>
        </is>
      </c>
      <c r="E788" t="inlineStr">
        <is>
          <t>HÄSSLEHOLM</t>
        </is>
      </c>
      <c r="G788" t="n">
        <v>2.5</v>
      </c>
      <c r="H788" t="n">
        <v>0</v>
      </c>
      <c r="I788" t="n">
        <v>0</v>
      </c>
      <c r="J788" t="n">
        <v>0</v>
      </c>
      <c r="K788" t="n">
        <v>0</v>
      </c>
      <c r="L788" t="n">
        <v>0</v>
      </c>
      <c r="M788" t="n">
        <v>0</v>
      </c>
      <c r="N788" t="n">
        <v>0</v>
      </c>
      <c r="O788" t="n">
        <v>0</v>
      </c>
      <c r="P788" t="n">
        <v>0</v>
      </c>
      <c r="Q788" t="n">
        <v>0</v>
      </c>
      <c r="R788" s="2" t="inlineStr"/>
    </row>
    <row r="789" ht="15" customHeight="1">
      <c r="A789" t="inlineStr">
        <is>
          <t>A 6798-2025</t>
        </is>
      </c>
      <c r="B789" s="1" t="n">
        <v>45700.668125</v>
      </c>
      <c r="C789" s="1" t="n">
        <v>45911</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7202-2022</t>
        </is>
      </c>
      <c r="B790" s="1" t="n">
        <v>44606</v>
      </c>
      <c r="C790" s="1" t="n">
        <v>45911</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69357-2021</t>
        </is>
      </c>
      <c r="B791" s="1" t="n">
        <v>44531</v>
      </c>
      <c r="C791" s="1" t="n">
        <v>45911</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39366-2025</t>
        </is>
      </c>
      <c r="B792" s="1" t="n">
        <v>45889</v>
      </c>
      <c r="C792" s="1" t="n">
        <v>45911</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39457-2025</t>
        </is>
      </c>
      <c r="B793" s="1" t="n">
        <v>45889.76887731482</v>
      </c>
      <c r="C793" s="1" t="n">
        <v>45911</v>
      </c>
      <c r="D793" t="inlineStr">
        <is>
          <t>SKÅNE LÄN</t>
        </is>
      </c>
      <c r="E793" t="inlineStr">
        <is>
          <t>HÄSSLEHOLM</t>
        </is>
      </c>
      <c r="G793" t="n">
        <v>6.6</v>
      </c>
      <c r="H793" t="n">
        <v>0</v>
      </c>
      <c r="I793" t="n">
        <v>0</v>
      </c>
      <c r="J793" t="n">
        <v>0</v>
      </c>
      <c r="K793" t="n">
        <v>0</v>
      </c>
      <c r="L793" t="n">
        <v>0</v>
      </c>
      <c r="M793" t="n">
        <v>0</v>
      </c>
      <c r="N793" t="n">
        <v>0</v>
      </c>
      <c r="O793" t="n">
        <v>0</v>
      </c>
      <c r="P793" t="n">
        <v>0</v>
      </c>
      <c r="Q793" t="n">
        <v>0</v>
      </c>
      <c r="R793" s="2" t="inlineStr"/>
    </row>
    <row r="794" ht="15" customHeight="1">
      <c r="A794" t="inlineStr">
        <is>
          <t>A 37898-2021</t>
        </is>
      </c>
      <c r="B794" s="1" t="n">
        <v>44403</v>
      </c>
      <c r="C794" s="1" t="n">
        <v>45911</v>
      </c>
      <c r="D794" t="inlineStr">
        <is>
          <t>SKÅNE LÄN</t>
        </is>
      </c>
      <c r="E794" t="inlineStr">
        <is>
          <t>HÄSSLEHOLM</t>
        </is>
      </c>
      <c r="F794" t="inlineStr">
        <is>
          <t>Kommuner</t>
        </is>
      </c>
      <c r="G794" t="n">
        <v>8.4</v>
      </c>
      <c r="H794" t="n">
        <v>0</v>
      </c>
      <c r="I794" t="n">
        <v>0</v>
      </c>
      <c r="J794" t="n">
        <v>0</v>
      </c>
      <c r="K794" t="n">
        <v>0</v>
      </c>
      <c r="L794" t="n">
        <v>0</v>
      </c>
      <c r="M794" t="n">
        <v>0</v>
      </c>
      <c r="N794" t="n">
        <v>0</v>
      </c>
      <c r="O794" t="n">
        <v>0</v>
      </c>
      <c r="P794" t="n">
        <v>0</v>
      </c>
      <c r="Q794" t="n">
        <v>0</v>
      </c>
      <c r="R794" s="2" t="inlineStr"/>
    </row>
    <row r="795" ht="15" customHeight="1">
      <c r="A795" t="inlineStr">
        <is>
          <t>A 35810-2023</t>
        </is>
      </c>
      <c r="B795" s="1" t="n">
        <v>45148.44046296296</v>
      </c>
      <c r="C795" s="1" t="n">
        <v>45911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5054-2022</t>
        </is>
      </c>
      <c r="B796" s="1" t="n">
        <v>44593.69065972222</v>
      </c>
      <c r="C796" s="1" t="n">
        <v>45911</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49181-2024</t>
        </is>
      </c>
      <c r="B797" s="1" t="n">
        <v>45595</v>
      </c>
      <c r="C797" s="1" t="n">
        <v>45911</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39937-2025</t>
        </is>
      </c>
      <c r="B798" s="1" t="n">
        <v>45891.73162037037</v>
      </c>
      <c r="C798" s="1" t="n">
        <v>45911</v>
      </c>
      <c r="D798" t="inlineStr">
        <is>
          <t>SKÅNE LÄN</t>
        </is>
      </c>
      <c r="E798" t="inlineStr">
        <is>
          <t>HÄSSLEHOLM</t>
        </is>
      </c>
      <c r="G798" t="n">
        <v>4.5</v>
      </c>
      <c r="H798" t="n">
        <v>0</v>
      </c>
      <c r="I798" t="n">
        <v>0</v>
      </c>
      <c r="J798" t="n">
        <v>0</v>
      </c>
      <c r="K798" t="n">
        <v>0</v>
      </c>
      <c r="L798" t="n">
        <v>0</v>
      </c>
      <c r="M798" t="n">
        <v>0</v>
      </c>
      <c r="N798" t="n">
        <v>0</v>
      </c>
      <c r="O798" t="n">
        <v>0</v>
      </c>
      <c r="P798" t="n">
        <v>0</v>
      </c>
      <c r="Q798" t="n">
        <v>0</v>
      </c>
      <c r="R798" s="2" t="inlineStr"/>
    </row>
    <row r="799" ht="15" customHeight="1">
      <c r="A799" t="inlineStr">
        <is>
          <t>A 3349-2023</t>
        </is>
      </c>
      <c r="B799" s="1" t="n">
        <v>44949</v>
      </c>
      <c r="C799" s="1" t="n">
        <v>45911</v>
      </c>
      <c r="D799" t="inlineStr">
        <is>
          <t>SKÅNE LÄN</t>
        </is>
      </c>
      <c r="E799" t="inlineStr">
        <is>
          <t>HÄSSLEHOLM</t>
        </is>
      </c>
      <c r="G799" t="n">
        <v>2.3</v>
      </c>
      <c r="H799" t="n">
        <v>0</v>
      </c>
      <c r="I799" t="n">
        <v>0</v>
      </c>
      <c r="J799" t="n">
        <v>0</v>
      </c>
      <c r="K799" t="n">
        <v>0</v>
      </c>
      <c r="L799" t="n">
        <v>0</v>
      </c>
      <c r="M799" t="n">
        <v>0</v>
      </c>
      <c r="N799" t="n">
        <v>0</v>
      </c>
      <c r="O799" t="n">
        <v>0</v>
      </c>
      <c r="P799" t="n">
        <v>0</v>
      </c>
      <c r="Q799" t="n">
        <v>0</v>
      </c>
      <c r="R799" s="2" t="inlineStr"/>
    </row>
    <row r="800" ht="15" customHeight="1">
      <c r="A800" t="inlineStr">
        <is>
          <t>A 23172-2022</t>
        </is>
      </c>
      <c r="B800" s="1" t="n">
        <v>44719</v>
      </c>
      <c r="C800" s="1" t="n">
        <v>45911</v>
      </c>
      <c r="D800" t="inlineStr">
        <is>
          <t>SKÅNE LÄN</t>
        </is>
      </c>
      <c r="E800" t="inlineStr">
        <is>
          <t>HÄSSLEHOLM</t>
        </is>
      </c>
      <c r="F800" t="inlineStr">
        <is>
          <t>Övriga Aktiebolag</t>
        </is>
      </c>
      <c r="G800" t="n">
        <v>0.9</v>
      </c>
      <c r="H800" t="n">
        <v>0</v>
      </c>
      <c r="I800" t="n">
        <v>0</v>
      </c>
      <c r="J800" t="n">
        <v>0</v>
      </c>
      <c r="K800" t="n">
        <v>0</v>
      </c>
      <c r="L800" t="n">
        <v>0</v>
      </c>
      <c r="M800" t="n">
        <v>0</v>
      </c>
      <c r="N800" t="n">
        <v>0</v>
      </c>
      <c r="O800" t="n">
        <v>0</v>
      </c>
      <c r="P800" t="n">
        <v>0</v>
      </c>
      <c r="Q800" t="n">
        <v>0</v>
      </c>
      <c r="R800" s="2" t="inlineStr"/>
    </row>
    <row r="801" ht="15" customHeight="1">
      <c r="A801" t="inlineStr">
        <is>
          <t>A 23173-2022</t>
        </is>
      </c>
      <c r="B801" s="1" t="n">
        <v>44719.72155092593</v>
      </c>
      <c r="C801" s="1" t="n">
        <v>45911</v>
      </c>
      <c r="D801" t="inlineStr">
        <is>
          <t>SKÅNE LÄN</t>
        </is>
      </c>
      <c r="E801" t="inlineStr">
        <is>
          <t>HÄSSLEHOLM</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52608-2023</t>
        </is>
      </c>
      <c r="B802" s="1" t="n">
        <v>45219</v>
      </c>
      <c r="C802" s="1" t="n">
        <v>45911</v>
      </c>
      <c r="D802" t="inlineStr">
        <is>
          <t>SKÅNE LÄN</t>
        </is>
      </c>
      <c r="E802" t="inlineStr">
        <is>
          <t>HÄSSLEHOLM</t>
        </is>
      </c>
      <c r="F802" t="inlineStr">
        <is>
          <t>Övriga Aktiebolag</t>
        </is>
      </c>
      <c r="G802" t="n">
        <v>2.1</v>
      </c>
      <c r="H802" t="n">
        <v>0</v>
      </c>
      <c r="I802" t="n">
        <v>0</v>
      </c>
      <c r="J802" t="n">
        <v>0</v>
      </c>
      <c r="K802" t="n">
        <v>0</v>
      </c>
      <c r="L802" t="n">
        <v>0</v>
      </c>
      <c r="M802" t="n">
        <v>0</v>
      </c>
      <c r="N802" t="n">
        <v>0</v>
      </c>
      <c r="O802" t="n">
        <v>0</v>
      </c>
      <c r="P802" t="n">
        <v>0</v>
      </c>
      <c r="Q802" t="n">
        <v>0</v>
      </c>
      <c r="R802" s="2" t="inlineStr"/>
    </row>
    <row r="803" ht="15" customHeight="1">
      <c r="A803" t="inlineStr">
        <is>
          <t>A 34869-2025</t>
        </is>
      </c>
      <c r="B803" s="1" t="n">
        <v>45849</v>
      </c>
      <c r="C803" s="1" t="n">
        <v>45911</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8239-2025</t>
        </is>
      </c>
      <c r="B804" s="1" t="n">
        <v>45708.47984953703</v>
      </c>
      <c r="C804" s="1" t="n">
        <v>45911</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56355-2023</t>
        </is>
      </c>
      <c r="B805" s="1" t="n">
        <v>45243.3702662037</v>
      </c>
      <c r="C805" s="1" t="n">
        <v>45911</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49384-2021</t>
        </is>
      </c>
      <c r="B806" s="1" t="n">
        <v>44454</v>
      </c>
      <c r="C806" s="1" t="n">
        <v>45911</v>
      </c>
      <c r="D806" t="inlineStr">
        <is>
          <t>SKÅNE LÄN</t>
        </is>
      </c>
      <c r="E806" t="inlineStr">
        <is>
          <t>HÄSSLEHOLM</t>
        </is>
      </c>
      <c r="G806" t="n">
        <v>2.6</v>
      </c>
      <c r="H806" t="n">
        <v>0</v>
      </c>
      <c r="I806" t="n">
        <v>0</v>
      </c>
      <c r="J806" t="n">
        <v>0</v>
      </c>
      <c r="K806" t="n">
        <v>0</v>
      </c>
      <c r="L806" t="n">
        <v>0</v>
      </c>
      <c r="M806" t="n">
        <v>0</v>
      </c>
      <c r="N806" t="n">
        <v>0</v>
      </c>
      <c r="O806" t="n">
        <v>0</v>
      </c>
      <c r="P806" t="n">
        <v>0</v>
      </c>
      <c r="Q806" t="n">
        <v>0</v>
      </c>
      <c r="R806" s="2" t="inlineStr"/>
    </row>
    <row r="807" ht="15" customHeight="1">
      <c r="A807" t="inlineStr">
        <is>
          <t>A 9394-2025</t>
        </is>
      </c>
      <c r="B807" s="1" t="n">
        <v>45715.36387731481</v>
      </c>
      <c r="C807" s="1" t="n">
        <v>45911</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7305-2025</t>
        </is>
      </c>
      <c r="B808" s="1" t="n">
        <v>45702</v>
      </c>
      <c r="C808" s="1" t="n">
        <v>45911</v>
      </c>
      <c r="D808" t="inlineStr">
        <is>
          <t>SKÅNE LÄN</t>
        </is>
      </c>
      <c r="E808" t="inlineStr">
        <is>
          <t>HÄSSLEHOLM</t>
        </is>
      </c>
      <c r="F808" t="inlineStr">
        <is>
          <t>Övriga Aktiebolag</t>
        </is>
      </c>
      <c r="G808" t="n">
        <v>2.2</v>
      </c>
      <c r="H808" t="n">
        <v>0</v>
      </c>
      <c r="I808" t="n">
        <v>0</v>
      </c>
      <c r="J808" t="n">
        <v>0</v>
      </c>
      <c r="K808" t="n">
        <v>0</v>
      </c>
      <c r="L808" t="n">
        <v>0</v>
      </c>
      <c r="M808" t="n">
        <v>0</v>
      </c>
      <c r="N808" t="n">
        <v>0</v>
      </c>
      <c r="O808" t="n">
        <v>0</v>
      </c>
      <c r="P808" t="n">
        <v>0</v>
      </c>
      <c r="Q808" t="n">
        <v>0</v>
      </c>
      <c r="R808" s="2" t="inlineStr"/>
    </row>
    <row r="809" ht="15" customHeight="1">
      <c r="A809" t="inlineStr">
        <is>
          <t>A 60959-2022</t>
        </is>
      </c>
      <c r="B809" s="1" t="n">
        <v>44914.64777777778</v>
      </c>
      <c r="C809" s="1" t="n">
        <v>45911</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52341-2023</t>
        </is>
      </c>
      <c r="B810" s="1" t="n">
        <v>45224.67006944444</v>
      </c>
      <c r="C810" s="1" t="n">
        <v>45911</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27173-2024</t>
        </is>
      </c>
      <c r="B811" s="1" t="n">
        <v>45471.57048611111</v>
      </c>
      <c r="C811" s="1" t="n">
        <v>45911</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3746-2024</t>
        </is>
      </c>
      <c r="B812" s="1" t="n">
        <v>45321.50745370371</v>
      </c>
      <c r="C812" s="1" t="n">
        <v>45911</v>
      </c>
      <c r="D812" t="inlineStr">
        <is>
          <t>SKÅNE LÄN</t>
        </is>
      </c>
      <c r="E812" t="inlineStr">
        <is>
          <t>HÄSSLEHOLM</t>
        </is>
      </c>
      <c r="G812" t="n">
        <v>3.4</v>
      </c>
      <c r="H812" t="n">
        <v>0</v>
      </c>
      <c r="I812" t="n">
        <v>0</v>
      </c>
      <c r="J812" t="n">
        <v>0</v>
      </c>
      <c r="K812" t="n">
        <v>0</v>
      </c>
      <c r="L812" t="n">
        <v>0</v>
      </c>
      <c r="M812" t="n">
        <v>0</v>
      </c>
      <c r="N812" t="n">
        <v>0</v>
      </c>
      <c r="O812" t="n">
        <v>0</v>
      </c>
      <c r="P812" t="n">
        <v>0</v>
      </c>
      <c r="Q812" t="n">
        <v>0</v>
      </c>
      <c r="R812" s="2" t="inlineStr"/>
    </row>
    <row r="813" ht="15" customHeight="1">
      <c r="A813" t="inlineStr">
        <is>
          <t>A 39934-2025</t>
        </is>
      </c>
      <c r="B813" s="1" t="n">
        <v>45891.71465277778</v>
      </c>
      <c r="C813" s="1" t="n">
        <v>45911</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6638-2021</t>
        </is>
      </c>
      <c r="B814" s="1" t="n">
        <v>44235</v>
      </c>
      <c r="C814" s="1" t="n">
        <v>45911</v>
      </c>
      <c r="D814" t="inlineStr">
        <is>
          <t>SKÅNE LÄN</t>
        </is>
      </c>
      <c r="E814" t="inlineStr">
        <is>
          <t>HÄSSLEHOLM</t>
        </is>
      </c>
      <c r="G814" t="n">
        <v>112.4</v>
      </c>
      <c r="H814" t="n">
        <v>0</v>
      </c>
      <c r="I814" t="n">
        <v>0</v>
      </c>
      <c r="J814" t="n">
        <v>0</v>
      </c>
      <c r="K814" t="n">
        <v>0</v>
      </c>
      <c r="L814" t="n">
        <v>0</v>
      </c>
      <c r="M814" t="n">
        <v>0</v>
      </c>
      <c r="N814" t="n">
        <v>0</v>
      </c>
      <c r="O814" t="n">
        <v>0</v>
      </c>
      <c r="P814" t="n">
        <v>0</v>
      </c>
      <c r="Q814" t="n">
        <v>0</v>
      </c>
      <c r="R814" s="2" t="inlineStr"/>
    </row>
    <row r="815" ht="15" customHeight="1">
      <c r="A815" t="inlineStr">
        <is>
          <t>A 44262-2021</t>
        </is>
      </c>
      <c r="B815" s="1" t="n">
        <v>44434</v>
      </c>
      <c r="C815" s="1" t="n">
        <v>45911</v>
      </c>
      <c r="D815" t="inlineStr">
        <is>
          <t>SKÅNE LÄN</t>
        </is>
      </c>
      <c r="E815" t="inlineStr">
        <is>
          <t>HÄSSLEHOLM</t>
        </is>
      </c>
      <c r="G815" t="n">
        <v>4.7</v>
      </c>
      <c r="H815" t="n">
        <v>0</v>
      </c>
      <c r="I815" t="n">
        <v>0</v>
      </c>
      <c r="J815" t="n">
        <v>0</v>
      </c>
      <c r="K815" t="n">
        <v>0</v>
      </c>
      <c r="L815" t="n">
        <v>0</v>
      </c>
      <c r="M815" t="n">
        <v>0</v>
      </c>
      <c r="N815" t="n">
        <v>0</v>
      </c>
      <c r="O815" t="n">
        <v>0</v>
      </c>
      <c r="P815" t="n">
        <v>0</v>
      </c>
      <c r="Q815" t="n">
        <v>0</v>
      </c>
      <c r="R815" s="2" t="inlineStr"/>
    </row>
    <row r="816" ht="15" customHeight="1">
      <c r="A816" t="inlineStr">
        <is>
          <t>A 40241-2025</t>
        </is>
      </c>
      <c r="B816" s="1" t="n">
        <v>45894.87251157407</v>
      </c>
      <c r="C816" s="1" t="n">
        <v>45911</v>
      </c>
      <c r="D816" t="inlineStr">
        <is>
          <t>SKÅNE LÄN</t>
        </is>
      </c>
      <c r="E816" t="inlineStr">
        <is>
          <t>HÄSSLEHOLM</t>
        </is>
      </c>
      <c r="G816" t="n">
        <v>3.8</v>
      </c>
      <c r="H816" t="n">
        <v>0</v>
      </c>
      <c r="I816" t="n">
        <v>0</v>
      </c>
      <c r="J816" t="n">
        <v>0</v>
      </c>
      <c r="K816" t="n">
        <v>0</v>
      </c>
      <c r="L816" t="n">
        <v>0</v>
      </c>
      <c r="M816" t="n">
        <v>0</v>
      </c>
      <c r="N816" t="n">
        <v>0</v>
      </c>
      <c r="O816" t="n">
        <v>0</v>
      </c>
      <c r="P816" t="n">
        <v>0</v>
      </c>
      <c r="Q816" t="n">
        <v>0</v>
      </c>
      <c r="R816" s="2" t="inlineStr"/>
    </row>
    <row r="817" ht="15" customHeight="1">
      <c r="A817" t="inlineStr">
        <is>
          <t>A 15800-2025</t>
        </is>
      </c>
      <c r="B817" s="1" t="n">
        <v>45748.64831018518</v>
      </c>
      <c r="C817" s="1" t="n">
        <v>45911</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40780-2022</t>
        </is>
      </c>
      <c r="B818" s="1" t="n">
        <v>44820</v>
      </c>
      <c r="C818" s="1" t="n">
        <v>45911</v>
      </c>
      <c r="D818" t="inlineStr">
        <is>
          <t>SKÅNE LÄN</t>
        </is>
      </c>
      <c r="E818" t="inlineStr">
        <is>
          <t>HÄSSLEHOLM</t>
        </is>
      </c>
      <c r="G818" t="n">
        <v>7.4</v>
      </c>
      <c r="H818" t="n">
        <v>0</v>
      </c>
      <c r="I818" t="n">
        <v>0</v>
      </c>
      <c r="J818" t="n">
        <v>0</v>
      </c>
      <c r="K818" t="n">
        <v>0</v>
      </c>
      <c r="L818" t="n">
        <v>0</v>
      </c>
      <c r="M818" t="n">
        <v>0</v>
      </c>
      <c r="N818" t="n">
        <v>0</v>
      </c>
      <c r="O818" t="n">
        <v>0</v>
      </c>
      <c r="P818" t="n">
        <v>0</v>
      </c>
      <c r="Q818" t="n">
        <v>0</v>
      </c>
      <c r="R818" s="2" t="inlineStr"/>
    </row>
    <row r="819" ht="15" customHeight="1">
      <c r="A819" t="inlineStr">
        <is>
          <t>A 51245-2023</t>
        </is>
      </c>
      <c r="B819" s="1" t="n">
        <v>45212</v>
      </c>
      <c r="C819" s="1" t="n">
        <v>45911</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25726-2025</t>
        </is>
      </c>
      <c r="B820" s="1" t="n">
        <v>45803</v>
      </c>
      <c r="C820" s="1" t="n">
        <v>45911</v>
      </c>
      <c r="D820" t="inlineStr">
        <is>
          <t>SKÅNE LÄN</t>
        </is>
      </c>
      <c r="E820" t="inlineStr">
        <is>
          <t>HÄSSLEHOLM</t>
        </is>
      </c>
      <c r="G820" t="n">
        <v>5.5</v>
      </c>
      <c r="H820" t="n">
        <v>0</v>
      </c>
      <c r="I820" t="n">
        <v>0</v>
      </c>
      <c r="J820" t="n">
        <v>0</v>
      </c>
      <c r="K820" t="n">
        <v>0</v>
      </c>
      <c r="L820" t="n">
        <v>0</v>
      </c>
      <c r="M820" t="n">
        <v>0</v>
      </c>
      <c r="N820" t="n">
        <v>0</v>
      </c>
      <c r="O820" t="n">
        <v>0</v>
      </c>
      <c r="P820" t="n">
        <v>0</v>
      </c>
      <c r="Q820" t="n">
        <v>0</v>
      </c>
      <c r="R820" s="2" t="inlineStr"/>
    </row>
    <row r="821" ht="15" customHeight="1">
      <c r="A821" t="inlineStr">
        <is>
          <t>A 1553-2023</t>
        </is>
      </c>
      <c r="B821" s="1" t="n">
        <v>44937</v>
      </c>
      <c r="C821" s="1" t="n">
        <v>45911</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1562-2023</t>
        </is>
      </c>
      <c r="B822" s="1" t="n">
        <v>44937.60450231482</v>
      </c>
      <c r="C822" s="1" t="n">
        <v>45911</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35259-2025</t>
        </is>
      </c>
      <c r="B823" s="1" t="n">
        <v>45853.76912037037</v>
      </c>
      <c r="C823" s="1" t="n">
        <v>45911</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20970-2025</t>
        </is>
      </c>
      <c r="B824" s="1" t="n">
        <v>45777.45417824074</v>
      </c>
      <c r="C824" s="1" t="n">
        <v>45911</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3452-2023</t>
        </is>
      </c>
      <c r="B825" s="1" t="n">
        <v>44949</v>
      </c>
      <c r="C825" s="1" t="n">
        <v>45911</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2596-2024</t>
        </is>
      </c>
      <c r="B826" s="1" t="n">
        <v>45313.69969907407</v>
      </c>
      <c r="C826" s="1" t="n">
        <v>45911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2681-2024</t>
        </is>
      </c>
      <c r="B827" s="1" t="n">
        <v>45314</v>
      </c>
      <c r="C827" s="1" t="n">
        <v>45911</v>
      </c>
      <c r="D827" t="inlineStr">
        <is>
          <t>SKÅNE LÄN</t>
        </is>
      </c>
      <c r="E827" t="inlineStr">
        <is>
          <t>HÄSSLEHOLM</t>
        </is>
      </c>
      <c r="F827" t="inlineStr">
        <is>
          <t>Övriga Aktiebolag</t>
        </is>
      </c>
      <c r="G827" t="n">
        <v>1.4</v>
      </c>
      <c r="H827" t="n">
        <v>0</v>
      </c>
      <c r="I827" t="n">
        <v>0</v>
      </c>
      <c r="J827" t="n">
        <v>0</v>
      </c>
      <c r="K827" t="n">
        <v>0</v>
      </c>
      <c r="L827" t="n">
        <v>0</v>
      </c>
      <c r="M827" t="n">
        <v>0</v>
      </c>
      <c r="N827" t="n">
        <v>0</v>
      </c>
      <c r="O827" t="n">
        <v>0</v>
      </c>
      <c r="P827" t="n">
        <v>0</v>
      </c>
      <c r="Q827" t="n">
        <v>0</v>
      </c>
      <c r="R827" s="2" t="inlineStr"/>
    </row>
    <row r="828" ht="15" customHeight="1">
      <c r="A828" t="inlineStr">
        <is>
          <t>A 17413-2025</t>
        </is>
      </c>
      <c r="B828" s="1" t="n">
        <v>45757.37480324074</v>
      </c>
      <c r="C828" s="1" t="n">
        <v>45911</v>
      </c>
      <c r="D828" t="inlineStr">
        <is>
          <t>SKÅNE LÄN</t>
        </is>
      </c>
      <c r="E828" t="inlineStr">
        <is>
          <t>HÄSSLEHOLM</t>
        </is>
      </c>
      <c r="G828" t="n">
        <v>0.8</v>
      </c>
      <c r="H828" t="n">
        <v>0</v>
      </c>
      <c r="I828" t="n">
        <v>0</v>
      </c>
      <c r="J828" t="n">
        <v>0</v>
      </c>
      <c r="K828" t="n">
        <v>0</v>
      </c>
      <c r="L828" t="n">
        <v>0</v>
      </c>
      <c r="M828" t="n">
        <v>0</v>
      </c>
      <c r="N828" t="n">
        <v>0</v>
      </c>
      <c r="O828" t="n">
        <v>0</v>
      </c>
      <c r="P828" t="n">
        <v>0</v>
      </c>
      <c r="Q828" t="n">
        <v>0</v>
      </c>
      <c r="R828" s="2" t="inlineStr"/>
    </row>
    <row r="829" ht="15" customHeight="1">
      <c r="A829" t="inlineStr">
        <is>
          <t>A 4187-2023</t>
        </is>
      </c>
      <c r="B829" s="1" t="n">
        <v>44953</v>
      </c>
      <c r="C829" s="1" t="n">
        <v>45911</v>
      </c>
      <c r="D829" t="inlineStr">
        <is>
          <t>SKÅNE LÄN</t>
        </is>
      </c>
      <c r="E829" t="inlineStr">
        <is>
          <t>HÄSSLEHOLM</t>
        </is>
      </c>
      <c r="G829" t="n">
        <v>3.2</v>
      </c>
      <c r="H829" t="n">
        <v>0</v>
      </c>
      <c r="I829" t="n">
        <v>0</v>
      </c>
      <c r="J829" t="n">
        <v>0</v>
      </c>
      <c r="K829" t="n">
        <v>0</v>
      </c>
      <c r="L829" t="n">
        <v>0</v>
      </c>
      <c r="M829" t="n">
        <v>0</v>
      </c>
      <c r="N829" t="n">
        <v>0</v>
      </c>
      <c r="O829" t="n">
        <v>0</v>
      </c>
      <c r="P829" t="n">
        <v>0</v>
      </c>
      <c r="Q829" t="n">
        <v>0</v>
      </c>
      <c r="R829" s="2" t="inlineStr"/>
    </row>
    <row r="830" ht="15" customHeight="1">
      <c r="A830" t="inlineStr">
        <is>
          <t>A 4382-2023</t>
        </is>
      </c>
      <c r="B830" s="1" t="n">
        <v>44955.61152777778</v>
      </c>
      <c r="C830" s="1" t="n">
        <v>45911</v>
      </c>
      <c r="D830" t="inlineStr">
        <is>
          <t>SKÅNE LÄN</t>
        </is>
      </c>
      <c r="E830" t="inlineStr">
        <is>
          <t>HÄSSLEHOLM</t>
        </is>
      </c>
      <c r="G830" t="n">
        <v>0.3</v>
      </c>
      <c r="H830" t="n">
        <v>0</v>
      </c>
      <c r="I830" t="n">
        <v>0</v>
      </c>
      <c r="J830" t="n">
        <v>0</v>
      </c>
      <c r="K830" t="n">
        <v>0</v>
      </c>
      <c r="L830" t="n">
        <v>0</v>
      </c>
      <c r="M830" t="n">
        <v>0</v>
      </c>
      <c r="N830" t="n">
        <v>0</v>
      </c>
      <c r="O830" t="n">
        <v>0</v>
      </c>
      <c r="P830" t="n">
        <v>0</v>
      </c>
      <c r="Q830" t="n">
        <v>0</v>
      </c>
      <c r="R830" s="2" t="inlineStr"/>
    </row>
    <row r="831" ht="15" customHeight="1">
      <c r="A831" t="inlineStr">
        <is>
          <t>A 37286-2025</t>
        </is>
      </c>
      <c r="B831" s="1" t="n">
        <v>45876.50116898148</v>
      </c>
      <c r="C831" s="1" t="n">
        <v>45911</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49107-2023</t>
        </is>
      </c>
      <c r="B832" s="1" t="n">
        <v>45210.44337962963</v>
      </c>
      <c r="C832" s="1" t="n">
        <v>45911</v>
      </c>
      <c r="D832" t="inlineStr">
        <is>
          <t>SKÅNE LÄN</t>
        </is>
      </c>
      <c r="E832" t="inlineStr">
        <is>
          <t>HÄSSLEHOLM</t>
        </is>
      </c>
      <c r="G832" t="n">
        <v>0.3</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44959.50471064815</v>
      </c>
      <c r="C833" s="1" t="n">
        <v>45911</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6180-2021</t>
        </is>
      </c>
      <c r="B834" s="1" t="n">
        <v>44232</v>
      </c>
      <c r="C834" s="1" t="n">
        <v>45911</v>
      </c>
      <c r="D834" t="inlineStr">
        <is>
          <t>SKÅNE LÄN</t>
        </is>
      </c>
      <c r="E834" t="inlineStr">
        <is>
          <t>HÄSSLEHOLM</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53897-2023</t>
        </is>
      </c>
      <c r="B835" s="1" t="n">
        <v>45231.53934027778</v>
      </c>
      <c r="C835" s="1" t="n">
        <v>45911</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48747-2022</t>
        </is>
      </c>
      <c r="B836" s="1" t="n">
        <v>44859</v>
      </c>
      <c r="C836" s="1" t="n">
        <v>45911</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7153-2025</t>
        </is>
      </c>
      <c r="B837" s="1" t="n">
        <v>45702.38512731482</v>
      </c>
      <c r="C837" s="1" t="n">
        <v>45911</v>
      </c>
      <c r="D837" t="inlineStr">
        <is>
          <t>SKÅNE LÄN</t>
        </is>
      </c>
      <c r="E837" t="inlineStr">
        <is>
          <t>HÄSSLEHOLM</t>
        </is>
      </c>
      <c r="G837" t="n">
        <v>2.7</v>
      </c>
      <c r="H837" t="n">
        <v>0</v>
      </c>
      <c r="I837" t="n">
        <v>0</v>
      </c>
      <c r="J837" t="n">
        <v>0</v>
      </c>
      <c r="K837" t="n">
        <v>0</v>
      </c>
      <c r="L837" t="n">
        <v>0</v>
      </c>
      <c r="M837" t="n">
        <v>0</v>
      </c>
      <c r="N837" t="n">
        <v>0</v>
      </c>
      <c r="O837" t="n">
        <v>0</v>
      </c>
      <c r="P837" t="n">
        <v>0</v>
      </c>
      <c r="Q837" t="n">
        <v>0</v>
      </c>
      <c r="R837" s="2" t="inlineStr"/>
    </row>
    <row r="838" ht="15" customHeight="1">
      <c r="A838" t="inlineStr">
        <is>
          <t>A 20990-2023</t>
        </is>
      </c>
      <c r="B838" s="1" t="n">
        <v>45061.46186342592</v>
      </c>
      <c r="C838" s="1" t="n">
        <v>45911</v>
      </c>
      <c r="D838" t="inlineStr">
        <is>
          <t>SKÅNE LÄN</t>
        </is>
      </c>
      <c r="E838" t="inlineStr">
        <is>
          <t>HÄSSLEHOLM</t>
        </is>
      </c>
      <c r="G838" t="n">
        <v>2.8</v>
      </c>
      <c r="H838" t="n">
        <v>0</v>
      </c>
      <c r="I838" t="n">
        <v>0</v>
      </c>
      <c r="J838" t="n">
        <v>0</v>
      </c>
      <c r="K838" t="n">
        <v>0</v>
      </c>
      <c r="L838" t="n">
        <v>0</v>
      </c>
      <c r="M838" t="n">
        <v>0</v>
      </c>
      <c r="N838" t="n">
        <v>0</v>
      </c>
      <c r="O838" t="n">
        <v>0</v>
      </c>
      <c r="P838" t="n">
        <v>0</v>
      </c>
      <c r="Q838" t="n">
        <v>0</v>
      </c>
      <c r="R838" s="2" t="inlineStr"/>
    </row>
    <row r="839" ht="15" customHeight="1">
      <c r="A839" t="inlineStr">
        <is>
          <t>A 7581-2023</t>
        </is>
      </c>
      <c r="B839" s="1" t="n">
        <v>44972.39556712963</v>
      </c>
      <c r="C839" s="1" t="n">
        <v>45911</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21141-2024</t>
        </is>
      </c>
      <c r="B840" s="1" t="n">
        <v>45440.39012731481</v>
      </c>
      <c r="C840" s="1" t="n">
        <v>45911</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11603-2025</t>
        </is>
      </c>
      <c r="B841" s="1" t="n">
        <v>45727</v>
      </c>
      <c r="C841" s="1" t="n">
        <v>45911</v>
      </c>
      <c r="D841" t="inlineStr">
        <is>
          <t>SKÅNE LÄN</t>
        </is>
      </c>
      <c r="E841" t="inlineStr">
        <is>
          <t>HÄSSLEHOLM</t>
        </is>
      </c>
      <c r="G841" t="n">
        <v>5.6</v>
      </c>
      <c r="H841" t="n">
        <v>0</v>
      </c>
      <c r="I841" t="n">
        <v>0</v>
      </c>
      <c r="J841" t="n">
        <v>0</v>
      </c>
      <c r="K841" t="n">
        <v>0</v>
      </c>
      <c r="L841" t="n">
        <v>0</v>
      </c>
      <c r="M841" t="n">
        <v>0</v>
      </c>
      <c r="N841" t="n">
        <v>0</v>
      </c>
      <c r="O841" t="n">
        <v>0</v>
      </c>
      <c r="P841" t="n">
        <v>0</v>
      </c>
      <c r="Q841" t="n">
        <v>0</v>
      </c>
      <c r="R841" s="2" t="inlineStr"/>
    </row>
    <row r="842" ht="15" customHeight="1">
      <c r="A842" t="inlineStr">
        <is>
          <t>A 22696-2023</t>
        </is>
      </c>
      <c r="B842" s="1" t="n">
        <v>45071.69464120371</v>
      </c>
      <c r="C842" s="1" t="n">
        <v>45911</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13712-2025</t>
        </is>
      </c>
      <c r="B843" s="1" t="n">
        <v>45737</v>
      </c>
      <c r="C843" s="1" t="n">
        <v>45911</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9556-2025</t>
        </is>
      </c>
      <c r="B844" s="1" t="n">
        <v>45714</v>
      </c>
      <c r="C844" s="1" t="n">
        <v>45911</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46288-2023</t>
        </is>
      </c>
      <c r="B845" s="1" t="n">
        <v>45197.30221064815</v>
      </c>
      <c r="C845" s="1" t="n">
        <v>45911</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33873-2021</t>
        </is>
      </c>
      <c r="B846" s="1" t="n">
        <v>44378</v>
      </c>
      <c r="C846" s="1" t="n">
        <v>45911</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11116-2023</t>
        </is>
      </c>
      <c r="B847" s="1" t="n">
        <v>44986</v>
      </c>
      <c r="C847" s="1" t="n">
        <v>45911</v>
      </c>
      <c r="D847" t="inlineStr">
        <is>
          <t>SKÅNE LÄN</t>
        </is>
      </c>
      <c r="E847" t="inlineStr">
        <is>
          <t>HÄSSLEHOLM</t>
        </is>
      </c>
      <c r="F847" t="inlineStr">
        <is>
          <t>Kommuner</t>
        </is>
      </c>
      <c r="G847" t="n">
        <v>15.1</v>
      </c>
      <c r="H847" t="n">
        <v>0</v>
      </c>
      <c r="I847" t="n">
        <v>0</v>
      </c>
      <c r="J847" t="n">
        <v>0</v>
      </c>
      <c r="K847" t="n">
        <v>0</v>
      </c>
      <c r="L847" t="n">
        <v>0</v>
      </c>
      <c r="M847" t="n">
        <v>0</v>
      </c>
      <c r="N847" t="n">
        <v>0</v>
      </c>
      <c r="O847" t="n">
        <v>0</v>
      </c>
      <c r="P847" t="n">
        <v>0</v>
      </c>
      <c r="Q847" t="n">
        <v>0</v>
      </c>
      <c r="R847" s="2" t="inlineStr"/>
    </row>
    <row r="848" ht="15" customHeight="1">
      <c r="A848" t="inlineStr">
        <is>
          <t>A 11121-2023</t>
        </is>
      </c>
      <c r="B848" s="1" t="n">
        <v>44986</v>
      </c>
      <c r="C848" s="1" t="n">
        <v>45911</v>
      </c>
      <c r="D848" t="inlineStr">
        <is>
          <t>SKÅNE LÄN</t>
        </is>
      </c>
      <c r="E848" t="inlineStr">
        <is>
          <t>HÄSSLEHOLM</t>
        </is>
      </c>
      <c r="F848" t="inlineStr">
        <is>
          <t>Kommuner</t>
        </is>
      </c>
      <c r="G848" t="n">
        <v>5.8</v>
      </c>
      <c r="H848" t="n">
        <v>0</v>
      </c>
      <c r="I848" t="n">
        <v>0</v>
      </c>
      <c r="J848" t="n">
        <v>0</v>
      </c>
      <c r="K848" t="n">
        <v>0</v>
      </c>
      <c r="L848" t="n">
        <v>0</v>
      </c>
      <c r="M848" t="n">
        <v>0</v>
      </c>
      <c r="N848" t="n">
        <v>0</v>
      </c>
      <c r="O848" t="n">
        <v>0</v>
      </c>
      <c r="P848" t="n">
        <v>0</v>
      </c>
      <c r="Q848" t="n">
        <v>0</v>
      </c>
      <c r="R848" s="2" t="inlineStr"/>
    </row>
    <row r="849" ht="15" customHeight="1">
      <c r="A849" t="inlineStr">
        <is>
          <t>A 34348-2022</t>
        </is>
      </c>
      <c r="B849" s="1" t="n">
        <v>44792</v>
      </c>
      <c r="C849" s="1" t="n">
        <v>45911</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57967-2023</t>
        </is>
      </c>
      <c r="B850" s="1" t="n">
        <v>45247.57984953704</v>
      </c>
      <c r="C850" s="1" t="n">
        <v>45911</v>
      </c>
      <c r="D850" t="inlineStr">
        <is>
          <t>SKÅNE LÄN</t>
        </is>
      </c>
      <c r="E850" t="inlineStr">
        <is>
          <t>HÄSSLEHOLM</t>
        </is>
      </c>
      <c r="G850" t="n">
        <v>8.6</v>
      </c>
      <c r="H850" t="n">
        <v>0</v>
      </c>
      <c r="I850" t="n">
        <v>0</v>
      </c>
      <c r="J850" t="n">
        <v>0</v>
      </c>
      <c r="K850" t="n">
        <v>0</v>
      </c>
      <c r="L850" t="n">
        <v>0</v>
      </c>
      <c r="M850" t="n">
        <v>0</v>
      </c>
      <c r="N850" t="n">
        <v>0</v>
      </c>
      <c r="O850" t="n">
        <v>0</v>
      </c>
      <c r="P850" t="n">
        <v>0</v>
      </c>
      <c r="Q850" t="n">
        <v>0</v>
      </c>
      <c r="R850" s="2" t="inlineStr"/>
    </row>
    <row r="851" ht="15" customHeight="1">
      <c r="A851" t="inlineStr">
        <is>
          <t>A 6836-2023</t>
        </is>
      </c>
      <c r="B851" s="1" t="n">
        <v>44967</v>
      </c>
      <c r="C851" s="1" t="n">
        <v>45911</v>
      </c>
      <c r="D851" t="inlineStr">
        <is>
          <t>SKÅNE LÄN</t>
        </is>
      </c>
      <c r="E851" t="inlineStr">
        <is>
          <t>HÄSSLEHOLM</t>
        </is>
      </c>
      <c r="G851" t="n">
        <v>3.5</v>
      </c>
      <c r="H851" t="n">
        <v>0</v>
      </c>
      <c r="I851" t="n">
        <v>0</v>
      </c>
      <c r="J851" t="n">
        <v>0</v>
      </c>
      <c r="K851" t="n">
        <v>0</v>
      </c>
      <c r="L851" t="n">
        <v>0</v>
      </c>
      <c r="M851" t="n">
        <v>0</v>
      </c>
      <c r="N851" t="n">
        <v>0</v>
      </c>
      <c r="O851" t="n">
        <v>0</v>
      </c>
      <c r="P851" t="n">
        <v>0</v>
      </c>
      <c r="Q851" t="n">
        <v>0</v>
      </c>
      <c r="R851" s="2" t="inlineStr"/>
    </row>
    <row r="852" ht="15" customHeight="1">
      <c r="A852" t="inlineStr">
        <is>
          <t>A 31931-2024</t>
        </is>
      </c>
      <c r="B852" s="1" t="n">
        <v>45510.40878472223</v>
      </c>
      <c r="C852" s="1" t="n">
        <v>45911</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8803-2023</t>
        </is>
      </c>
      <c r="B853" s="1" t="n">
        <v>44978.61712962963</v>
      </c>
      <c r="C853" s="1" t="n">
        <v>45911</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11681-2023</t>
        </is>
      </c>
      <c r="B854" s="1" t="n">
        <v>44992</v>
      </c>
      <c r="C854" s="1" t="n">
        <v>45911</v>
      </c>
      <c r="D854" t="inlineStr">
        <is>
          <t>SKÅNE LÄN</t>
        </is>
      </c>
      <c r="E854" t="inlineStr">
        <is>
          <t>HÄSSLEHOLM</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46222-2022</t>
        </is>
      </c>
      <c r="B855" s="1" t="n">
        <v>44847.58725694445</v>
      </c>
      <c r="C855" s="1" t="n">
        <v>45911</v>
      </c>
      <c r="D855" t="inlineStr">
        <is>
          <t>SKÅNE LÄN</t>
        </is>
      </c>
      <c r="E855" t="inlineStr">
        <is>
          <t>HÄSSLEHOLM</t>
        </is>
      </c>
      <c r="G855" t="n">
        <v>6.3</v>
      </c>
      <c r="H855" t="n">
        <v>0</v>
      </c>
      <c r="I855" t="n">
        <v>0</v>
      </c>
      <c r="J855" t="n">
        <v>0</v>
      </c>
      <c r="K855" t="n">
        <v>0</v>
      </c>
      <c r="L855" t="n">
        <v>0</v>
      </c>
      <c r="M855" t="n">
        <v>0</v>
      </c>
      <c r="N855" t="n">
        <v>0</v>
      </c>
      <c r="O855" t="n">
        <v>0</v>
      </c>
      <c r="P855" t="n">
        <v>0</v>
      </c>
      <c r="Q855" t="n">
        <v>0</v>
      </c>
      <c r="R855" s="2" t="inlineStr"/>
    </row>
    <row r="856" ht="15" customHeight="1">
      <c r="A856" t="inlineStr">
        <is>
          <t>A 19744-2023</t>
        </is>
      </c>
      <c r="B856" s="1" t="n">
        <v>45051</v>
      </c>
      <c r="C856" s="1" t="n">
        <v>45911</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15990-2023</t>
        </is>
      </c>
      <c r="B857" s="1" t="n">
        <v>45023.39584490741</v>
      </c>
      <c r="C857" s="1" t="n">
        <v>45911</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47907-2021</t>
        </is>
      </c>
      <c r="B858" s="1" t="n">
        <v>44448</v>
      </c>
      <c r="C858" s="1" t="n">
        <v>45911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50046-2020</t>
        </is>
      </c>
      <c r="B859" s="1" t="n">
        <v>44109</v>
      </c>
      <c r="C859" s="1" t="n">
        <v>45911</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7513-2025</t>
        </is>
      </c>
      <c r="B860" s="1" t="n">
        <v>45702</v>
      </c>
      <c r="C860" s="1" t="n">
        <v>45911</v>
      </c>
      <c r="D860" t="inlineStr">
        <is>
          <t>SKÅNE LÄN</t>
        </is>
      </c>
      <c r="E860" t="inlineStr">
        <is>
          <t>HÄSSLEHOLM</t>
        </is>
      </c>
      <c r="F860" t="inlineStr">
        <is>
          <t>Övriga Aktiebolag</t>
        </is>
      </c>
      <c r="G860" t="n">
        <v>2.4</v>
      </c>
      <c r="H860" t="n">
        <v>0</v>
      </c>
      <c r="I860" t="n">
        <v>0</v>
      </c>
      <c r="J860" t="n">
        <v>0</v>
      </c>
      <c r="K860" t="n">
        <v>0</v>
      </c>
      <c r="L860" t="n">
        <v>0</v>
      </c>
      <c r="M860" t="n">
        <v>0</v>
      </c>
      <c r="N860" t="n">
        <v>0</v>
      </c>
      <c r="O860" t="n">
        <v>0</v>
      </c>
      <c r="P860" t="n">
        <v>0</v>
      </c>
      <c r="Q860" t="n">
        <v>0</v>
      </c>
      <c r="R860" s="2" t="inlineStr"/>
    </row>
    <row r="861" ht="15" customHeight="1">
      <c r="A861" t="inlineStr">
        <is>
          <t>A 45400-2022</t>
        </is>
      </c>
      <c r="B861" s="1" t="n">
        <v>44844.713125</v>
      </c>
      <c r="C861" s="1" t="n">
        <v>45911</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50249-2024</t>
        </is>
      </c>
      <c r="B862" s="1" t="n">
        <v>45600.56866898148</v>
      </c>
      <c r="C862" s="1" t="n">
        <v>45911</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60843-2022</t>
        </is>
      </c>
      <c r="B863" s="1" t="n">
        <v>44914</v>
      </c>
      <c r="C863" s="1" t="n">
        <v>45911</v>
      </c>
      <c r="D863" t="inlineStr">
        <is>
          <t>SKÅNE LÄN</t>
        </is>
      </c>
      <c r="E863" t="inlineStr">
        <is>
          <t>HÄSSLEHOLM</t>
        </is>
      </c>
      <c r="G863" t="n">
        <v>2.2</v>
      </c>
      <c r="H863" t="n">
        <v>0</v>
      </c>
      <c r="I863" t="n">
        <v>0</v>
      </c>
      <c r="J863" t="n">
        <v>0</v>
      </c>
      <c r="K863" t="n">
        <v>0</v>
      </c>
      <c r="L863" t="n">
        <v>0</v>
      </c>
      <c r="M863" t="n">
        <v>0</v>
      </c>
      <c r="N863" t="n">
        <v>0</v>
      </c>
      <c r="O863" t="n">
        <v>0</v>
      </c>
      <c r="P863" t="n">
        <v>0</v>
      </c>
      <c r="Q863" t="n">
        <v>0</v>
      </c>
      <c r="R863" s="2" t="inlineStr"/>
    </row>
    <row r="864" ht="15" customHeight="1">
      <c r="A864" t="inlineStr">
        <is>
          <t>A 51040-2024</t>
        </is>
      </c>
      <c r="B864" s="1" t="n">
        <v>45603.43222222223</v>
      </c>
      <c r="C864" s="1" t="n">
        <v>45911</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56881-2021</t>
        </is>
      </c>
      <c r="B865" s="1" t="n">
        <v>44481</v>
      </c>
      <c r="C865" s="1" t="n">
        <v>45911</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45653-2024</t>
        </is>
      </c>
      <c r="B866" s="1" t="n">
        <v>45579.48872685185</v>
      </c>
      <c r="C866" s="1" t="n">
        <v>45911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56956-2024</t>
        </is>
      </c>
      <c r="B867" s="1" t="n">
        <v>45626</v>
      </c>
      <c r="C867" s="1" t="n">
        <v>45911</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58883-2024</t>
        </is>
      </c>
      <c r="B868" s="1" t="n">
        <v>45636.44962962963</v>
      </c>
      <c r="C868" s="1" t="n">
        <v>45911</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54874-2022</t>
        </is>
      </c>
      <c r="B869" s="1" t="n">
        <v>44881</v>
      </c>
      <c r="C869" s="1" t="n">
        <v>45911</v>
      </c>
      <c r="D869" t="inlineStr">
        <is>
          <t>SKÅNE LÄN</t>
        </is>
      </c>
      <c r="E869" t="inlineStr">
        <is>
          <t>HÄSSLEHOLM</t>
        </is>
      </c>
      <c r="G869" t="n">
        <v>8.1</v>
      </c>
      <c r="H869" t="n">
        <v>0</v>
      </c>
      <c r="I869" t="n">
        <v>0</v>
      </c>
      <c r="J869" t="n">
        <v>0</v>
      </c>
      <c r="K869" t="n">
        <v>0</v>
      </c>
      <c r="L869" t="n">
        <v>0</v>
      </c>
      <c r="M869" t="n">
        <v>0</v>
      </c>
      <c r="N869" t="n">
        <v>0</v>
      </c>
      <c r="O869" t="n">
        <v>0</v>
      </c>
      <c r="P869" t="n">
        <v>0</v>
      </c>
      <c r="Q869" t="n">
        <v>0</v>
      </c>
      <c r="R869" s="2" t="inlineStr"/>
    </row>
    <row r="870" ht="15" customHeight="1">
      <c r="A870" t="inlineStr">
        <is>
          <t>A 44527-2020</t>
        </is>
      </c>
      <c r="B870" s="1" t="n">
        <v>44085</v>
      </c>
      <c r="C870" s="1" t="n">
        <v>45911</v>
      </c>
      <c r="D870" t="inlineStr">
        <is>
          <t>SKÅNE LÄN</t>
        </is>
      </c>
      <c r="E870" t="inlineStr">
        <is>
          <t>HÄSSLEHOLM</t>
        </is>
      </c>
      <c r="F870" t="inlineStr">
        <is>
          <t>Kommuner</t>
        </is>
      </c>
      <c r="G870" t="n">
        <v>7.7</v>
      </c>
      <c r="H870" t="n">
        <v>0</v>
      </c>
      <c r="I870" t="n">
        <v>0</v>
      </c>
      <c r="J870" t="n">
        <v>0</v>
      </c>
      <c r="K870" t="n">
        <v>0</v>
      </c>
      <c r="L870" t="n">
        <v>0</v>
      </c>
      <c r="M870" t="n">
        <v>0</v>
      </c>
      <c r="N870" t="n">
        <v>0</v>
      </c>
      <c r="O870" t="n">
        <v>0</v>
      </c>
      <c r="P870" t="n">
        <v>0</v>
      </c>
      <c r="Q870" t="n">
        <v>0</v>
      </c>
      <c r="R870" s="2" t="inlineStr"/>
    </row>
    <row r="871" ht="15" customHeight="1">
      <c r="A871" t="inlineStr">
        <is>
          <t>A 45392-2024</t>
        </is>
      </c>
      <c r="B871" s="1" t="n">
        <v>45576.55008101852</v>
      </c>
      <c r="C871" s="1" t="n">
        <v>45911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20187-2023</t>
        </is>
      </c>
      <c r="B872" s="1" t="n">
        <v>45055.57027777778</v>
      </c>
      <c r="C872" s="1" t="n">
        <v>45911</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9555-2025</t>
        </is>
      </c>
      <c r="B873" s="1" t="n">
        <v>45714</v>
      </c>
      <c r="C873" s="1" t="n">
        <v>45911</v>
      </c>
      <c r="D873" t="inlineStr">
        <is>
          <t>SKÅNE LÄN</t>
        </is>
      </c>
      <c r="E873" t="inlineStr">
        <is>
          <t>HÄSSLEHOLM</t>
        </is>
      </c>
      <c r="G873" t="n">
        <v>5.4</v>
      </c>
      <c r="H873" t="n">
        <v>0</v>
      </c>
      <c r="I873" t="n">
        <v>0</v>
      </c>
      <c r="J873" t="n">
        <v>0</v>
      </c>
      <c r="K873" t="n">
        <v>0</v>
      </c>
      <c r="L873" t="n">
        <v>0</v>
      </c>
      <c r="M873" t="n">
        <v>0</v>
      </c>
      <c r="N873" t="n">
        <v>0</v>
      </c>
      <c r="O873" t="n">
        <v>0</v>
      </c>
      <c r="P873" t="n">
        <v>0</v>
      </c>
      <c r="Q873" t="n">
        <v>0</v>
      </c>
      <c r="R873" s="2" t="inlineStr"/>
    </row>
    <row r="874" ht="15" customHeight="1">
      <c r="A874" t="inlineStr">
        <is>
          <t>A 1543-2024</t>
        </is>
      </c>
      <c r="B874" s="1" t="n">
        <v>45306</v>
      </c>
      <c r="C874" s="1" t="n">
        <v>45911</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1706-2025</t>
        </is>
      </c>
      <c r="B875" s="1" t="n">
        <v>45670</v>
      </c>
      <c r="C875" s="1" t="n">
        <v>45911</v>
      </c>
      <c r="D875" t="inlineStr">
        <is>
          <t>SKÅNE LÄN</t>
        </is>
      </c>
      <c r="E875" t="inlineStr">
        <is>
          <t>HÄSSLEHOLM</t>
        </is>
      </c>
      <c r="G875" t="n">
        <v>5</v>
      </c>
      <c r="H875" t="n">
        <v>0</v>
      </c>
      <c r="I875" t="n">
        <v>0</v>
      </c>
      <c r="J875" t="n">
        <v>0</v>
      </c>
      <c r="K875" t="n">
        <v>0</v>
      </c>
      <c r="L875" t="n">
        <v>0</v>
      </c>
      <c r="M875" t="n">
        <v>0</v>
      </c>
      <c r="N875" t="n">
        <v>0</v>
      </c>
      <c r="O875" t="n">
        <v>0</v>
      </c>
      <c r="P875" t="n">
        <v>0</v>
      </c>
      <c r="Q875" t="n">
        <v>0</v>
      </c>
      <c r="R875" s="2" t="inlineStr"/>
    </row>
    <row r="876" ht="15" customHeight="1">
      <c r="A876" t="inlineStr">
        <is>
          <t>A 41680-2024</t>
        </is>
      </c>
      <c r="B876" s="1" t="n">
        <v>45560</v>
      </c>
      <c r="C876" s="1" t="n">
        <v>45911</v>
      </c>
      <c r="D876" t="inlineStr">
        <is>
          <t>SKÅNE LÄN</t>
        </is>
      </c>
      <c r="E876" t="inlineStr">
        <is>
          <t>HÄSSLEHOLM</t>
        </is>
      </c>
      <c r="G876" t="n">
        <v>0.2</v>
      </c>
      <c r="H876" t="n">
        <v>0</v>
      </c>
      <c r="I876" t="n">
        <v>0</v>
      </c>
      <c r="J876" t="n">
        <v>0</v>
      </c>
      <c r="K876" t="n">
        <v>0</v>
      </c>
      <c r="L876" t="n">
        <v>0</v>
      </c>
      <c r="M876" t="n">
        <v>0</v>
      </c>
      <c r="N876" t="n">
        <v>0</v>
      </c>
      <c r="O876" t="n">
        <v>0</v>
      </c>
      <c r="P876" t="n">
        <v>0</v>
      </c>
      <c r="Q876" t="n">
        <v>0</v>
      </c>
      <c r="R876" s="2" t="inlineStr"/>
    </row>
    <row r="877" ht="15" customHeight="1">
      <c r="A877" t="inlineStr">
        <is>
          <t>A 61625-2022</t>
        </is>
      </c>
      <c r="B877" s="1" t="n">
        <v>44916</v>
      </c>
      <c r="C877" s="1" t="n">
        <v>45911</v>
      </c>
      <c r="D877" t="inlineStr">
        <is>
          <t>SKÅNE LÄN</t>
        </is>
      </c>
      <c r="E877" t="inlineStr">
        <is>
          <t>HÄSSLEHOLM</t>
        </is>
      </c>
      <c r="G877" t="n">
        <v>2.4</v>
      </c>
      <c r="H877" t="n">
        <v>0</v>
      </c>
      <c r="I877" t="n">
        <v>0</v>
      </c>
      <c r="J877" t="n">
        <v>0</v>
      </c>
      <c r="K877" t="n">
        <v>0</v>
      </c>
      <c r="L877" t="n">
        <v>0</v>
      </c>
      <c r="M877" t="n">
        <v>0</v>
      </c>
      <c r="N877" t="n">
        <v>0</v>
      </c>
      <c r="O877" t="n">
        <v>0</v>
      </c>
      <c r="P877" t="n">
        <v>0</v>
      </c>
      <c r="Q877" t="n">
        <v>0</v>
      </c>
      <c r="R877" s="2" t="inlineStr"/>
    </row>
    <row r="878" ht="15" customHeight="1">
      <c r="A878" t="inlineStr">
        <is>
          <t>A 9541-2025</t>
        </is>
      </c>
      <c r="B878" s="1" t="n">
        <v>45714</v>
      </c>
      <c r="C878" s="1" t="n">
        <v>45911</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41400-2025</t>
        </is>
      </c>
      <c r="B879" s="1" t="n">
        <v>45901</v>
      </c>
      <c r="C879" s="1" t="n">
        <v>45911</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41401-2025</t>
        </is>
      </c>
      <c r="B880" s="1" t="n">
        <v>45901</v>
      </c>
      <c r="C880" s="1" t="n">
        <v>45911</v>
      </c>
      <c r="D880" t="inlineStr">
        <is>
          <t>SKÅNE LÄN</t>
        </is>
      </c>
      <c r="E880" t="inlineStr">
        <is>
          <t>HÄSSLEHOLM</t>
        </is>
      </c>
      <c r="G880" t="n">
        <v>0.4</v>
      </c>
      <c r="H880" t="n">
        <v>0</v>
      </c>
      <c r="I880" t="n">
        <v>0</v>
      </c>
      <c r="J880" t="n">
        <v>0</v>
      </c>
      <c r="K880" t="n">
        <v>0</v>
      </c>
      <c r="L880" t="n">
        <v>0</v>
      </c>
      <c r="M880" t="n">
        <v>0</v>
      </c>
      <c r="N880" t="n">
        <v>0</v>
      </c>
      <c r="O880" t="n">
        <v>0</v>
      </c>
      <c r="P880" t="n">
        <v>0</v>
      </c>
      <c r="Q880" t="n">
        <v>0</v>
      </c>
      <c r="R880" s="2" t="inlineStr"/>
    </row>
    <row r="881" ht="15" customHeight="1">
      <c r="A881" t="inlineStr">
        <is>
          <t>A 37038-2022</t>
        </is>
      </c>
      <c r="B881" s="1" t="n">
        <v>44806.44232638889</v>
      </c>
      <c r="C881" s="1" t="n">
        <v>45911</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31268-2024</t>
        </is>
      </c>
      <c r="B882" s="1" t="n">
        <v>45504</v>
      </c>
      <c r="C882" s="1" t="n">
        <v>45911</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13856-2025</t>
        </is>
      </c>
      <c r="B883" s="1" t="n">
        <v>45737.57289351852</v>
      </c>
      <c r="C883" s="1" t="n">
        <v>45911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36568-2024</t>
        </is>
      </c>
      <c r="B884" s="1" t="n">
        <v>45537</v>
      </c>
      <c r="C884" s="1" t="n">
        <v>45911</v>
      </c>
      <c r="D884" t="inlineStr">
        <is>
          <t>SKÅNE LÄN</t>
        </is>
      </c>
      <c r="E884" t="inlineStr">
        <is>
          <t>HÄSSLEHOLM</t>
        </is>
      </c>
      <c r="G884" t="n">
        <v>4.3</v>
      </c>
      <c r="H884" t="n">
        <v>0</v>
      </c>
      <c r="I884" t="n">
        <v>0</v>
      </c>
      <c r="J884" t="n">
        <v>0</v>
      </c>
      <c r="K884" t="n">
        <v>0</v>
      </c>
      <c r="L884" t="n">
        <v>0</v>
      </c>
      <c r="M884" t="n">
        <v>0</v>
      </c>
      <c r="N884" t="n">
        <v>0</v>
      </c>
      <c r="O884" t="n">
        <v>0</v>
      </c>
      <c r="P884" t="n">
        <v>0</v>
      </c>
      <c r="Q884" t="n">
        <v>0</v>
      </c>
      <c r="R884" s="2" t="inlineStr"/>
    </row>
    <row r="885" ht="15" customHeight="1">
      <c r="A885" t="inlineStr">
        <is>
          <t>A 32794-2021</t>
        </is>
      </c>
      <c r="B885" s="1" t="n">
        <v>44375</v>
      </c>
      <c r="C885" s="1" t="n">
        <v>45911</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16454-2023</t>
        </is>
      </c>
      <c r="B886" s="1" t="n">
        <v>45029.48425925926</v>
      </c>
      <c r="C886" s="1" t="n">
        <v>45911</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31572-2022</t>
        </is>
      </c>
      <c r="B887" s="1" t="n">
        <v>44775</v>
      </c>
      <c r="C887" s="1" t="n">
        <v>45911</v>
      </c>
      <c r="D887" t="inlineStr">
        <is>
          <t>SKÅNE LÄN</t>
        </is>
      </c>
      <c r="E887" t="inlineStr">
        <is>
          <t>HÄSSLEHOLM</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13961-2023</t>
        </is>
      </c>
      <c r="B888" s="1" t="n">
        <v>45008</v>
      </c>
      <c r="C888" s="1" t="n">
        <v>45911</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70087-2021</t>
        </is>
      </c>
      <c r="B889" s="1" t="n">
        <v>44533</v>
      </c>
      <c r="C889" s="1" t="n">
        <v>45911</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9375-2023</t>
        </is>
      </c>
      <c r="B890" s="1" t="n">
        <v>44981</v>
      </c>
      <c r="C890" s="1" t="n">
        <v>45911</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3855-2023</t>
        </is>
      </c>
      <c r="B891" s="1" t="n">
        <v>44951.69708333333</v>
      </c>
      <c r="C891" s="1" t="n">
        <v>45911</v>
      </c>
      <c r="D891" t="inlineStr">
        <is>
          <t>SKÅNE LÄN</t>
        </is>
      </c>
      <c r="E891" t="inlineStr">
        <is>
          <t>HÄSSLEHOLM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29287-2023</t>
        </is>
      </c>
      <c r="B892" s="1" t="n">
        <v>45098</v>
      </c>
      <c r="C892" s="1" t="n">
        <v>45911</v>
      </c>
      <c r="D892" t="inlineStr">
        <is>
          <t>SKÅNE LÄN</t>
        </is>
      </c>
      <c r="E892" t="inlineStr">
        <is>
          <t>HÄSSLEHOLM</t>
        </is>
      </c>
      <c r="G892" t="n">
        <v>5.7</v>
      </c>
      <c r="H892" t="n">
        <v>0</v>
      </c>
      <c r="I892" t="n">
        <v>0</v>
      </c>
      <c r="J892" t="n">
        <v>0</v>
      </c>
      <c r="K892" t="n">
        <v>0</v>
      </c>
      <c r="L892" t="n">
        <v>0</v>
      </c>
      <c r="M892" t="n">
        <v>0</v>
      </c>
      <c r="N892" t="n">
        <v>0</v>
      </c>
      <c r="O892" t="n">
        <v>0</v>
      </c>
      <c r="P892" t="n">
        <v>0</v>
      </c>
      <c r="Q892" t="n">
        <v>0</v>
      </c>
      <c r="R892" s="2" t="inlineStr"/>
    </row>
    <row r="893" ht="15" customHeight="1">
      <c r="A893" t="inlineStr">
        <is>
          <t>A 34301-2024</t>
        </is>
      </c>
      <c r="B893" s="1" t="n">
        <v>45524</v>
      </c>
      <c r="C893" s="1" t="n">
        <v>45911</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15060-2023</t>
        </is>
      </c>
      <c r="B894" s="1" t="n">
        <v>45015.69832175926</v>
      </c>
      <c r="C894" s="1" t="n">
        <v>45911</v>
      </c>
      <c r="D894" t="inlineStr">
        <is>
          <t>SKÅNE LÄN</t>
        </is>
      </c>
      <c r="E894" t="inlineStr">
        <is>
          <t>HÄSSLEHOLM</t>
        </is>
      </c>
      <c r="G894" t="n">
        <v>1.7</v>
      </c>
      <c r="H894" t="n">
        <v>0</v>
      </c>
      <c r="I894" t="n">
        <v>0</v>
      </c>
      <c r="J894" t="n">
        <v>0</v>
      </c>
      <c r="K894" t="n">
        <v>0</v>
      </c>
      <c r="L894" t="n">
        <v>0</v>
      </c>
      <c r="M894" t="n">
        <v>0</v>
      </c>
      <c r="N894" t="n">
        <v>0</v>
      </c>
      <c r="O894" t="n">
        <v>0</v>
      </c>
      <c r="P894" t="n">
        <v>0</v>
      </c>
      <c r="Q894" t="n">
        <v>0</v>
      </c>
      <c r="R894" s="2" t="inlineStr"/>
    </row>
    <row r="895" ht="15" customHeight="1">
      <c r="A895" t="inlineStr">
        <is>
          <t>A 54171-2021</t>
        </is>
      </c>
      <c r="B895" s="1" t="n">
        <v>44470</v>
      </c>
      <c r="C895" s="1" t="n">
        <v>45911</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55416-2021</t>
        </is>
      </c>
      <c r="B896" s="1" t="n">
        <v>44475</v>
      </c>
      <c r="C896" s="1" t="n">
        <v>45911</v>
      </c>
      <c r="D896" t="inlineStr">
        <is>
          <t>SKÅNE LÄN</t>
        </is>
      </c>
      <c r="E896" t="inlineStr">
        <is>
          <t>HÄSSLEHOLM</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60509-2023</t>
        </is>
      </c>
      <c r="B897" s="1" t="n">
        <v>45259</v>
      </c>
      <c r="C897" s="1" t="n">
        <v>45911</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21310-2022</t>
        </is>
      </c>
      <c r="B898" s="1" t="n">
        <v>44705</v>
      </c>
      <c r="C898" s="1" t="n">
        <v>45911</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13347-2025</t>
        </is>
      </c>
      <c r="B899" s="1" t="n">
        <v>45735.63175925926</v>
      </c>
      <c r="C899" s="1" t="n">
        <v>45911</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9485-2023</t>
        </is>
      </c>
      <c r="B900" s="1" t="n">
        <v>44981.60901620371</v>
      </c>
      <c r="C900" s="1" t="n">
        <v>45911</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9502-2023</t>
        </is>
      </c>
      <c r="B901" s="1" t="n">
        <v>44981.63278935185</v>
      </c>
      <c r="C901" s="1" t="n">
        <v>45911</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10928-2024</t>
        </is>
      </c>
      <c r="B902" s="1" t="n">
        <v>45370</v>
      </c>
      <c r="C902" s="1" t="n">
        <v>45911</v>
      </c>
      <c r="D902" t="inlineStr">
        <is>
          <t>SKÅNE LÄN</t>
        </is>
      </c>
      <c r="E902" t="inlineStr">
        <is>
          <t>HÄSSLEHOLM</t>
        </is>
      </c>
      <c r="F902" t="inlineStr">
        <is>
          <t>Övriga Aktiebolag</t>
        </is>
      </c>
      <c r="G902" t="n">
        <v>0.5</v>
      </c>
      <c r="H902" t="n">
        <v>0</v>
      </c>
      <c r="I902" t="n">
        <v>0</v>
      </c>
      <c r="J902" t="n">
        <v>0</v>
      </c>
      <c r="K902" t="n">
        <v>0</v>
      </c>
      <c r="L902" t="n">
        <v>0</v>
      </c>
      <c r="M902" t="n">
        <v>0</v>
      </c>
      <c r="N902" t="n">
        <v>0</v>
      </c>
      <c r="O902" t="n">
        <v>0</v>
      </c>
      <c r="P902" t="n">
        <v>0</v>
      </c>
      <c r="Q902" t="n">
        <v>0</v>
      </c>
      <c r="R902" s="2" t="inlineStr"/>
    </row>
    <row r="903" ht="15" customHeight="1">
      <c r="A903" t="inlineStr">
        <is>
          <t>A 11260-2021</t>
        </is>
      </c>
      <c r="B903" s="1" t="n">
        <v>44263</v>
      </c>
      <c r="C903" s="1" t="n">
        <v>45911</v>
      </c>
      <c r="D903" t="inlineStr">
        <is>
          <t>SKÅNE LÄN</t>
        </is>
      </c>
      <c r="E903" t="inlineStr">
        <is>
          <t>HÄSSLEHOLM</t>
        </is>
      </c>
      <c r="G903" t="n">
        <v>5.4</v>
      </c>
      <c r="H903" t="n">
        <v>0</v>
      </c>
      <c r="I903" t="n">
        <v>0</v>
      </c>
      <c r="J903" t="n">
        <v>0</v>
      </c>
      <c r="K903" t="n">
        <v>0</v>
      </c>
      <c r="L903" t="n">
        <v>0</v>
      </c>
      <c r="M903" t="n">
        <v>0</v>
      </c>
      <c r="N903" t="n">
        <v>0</v>
      </c>
      <c r="O903" t="n">
        <v>0</v>
      </c>
      <c r="P903" t="n">
        <v>0</v>
      </c>
      <c r="Q903" t="n">
        <v>0</v>
      </c>
      <c r="R903" s="2" t="inlineStr"/>
    </row>
    <row r="904" ht="15" customHeight="1">
      <c r="A904" t="inlineStr">
        <is>
          <t>A 5890-2023</t>
        </is>
      </c>
      <c r="B904" s="1" t="n">
        <v>44963.64527777778</v>
      </c>
      <c r="C904" s="1" t="n">
        <v>45911</v>
      </c>
      <c r="D904" t="inlineStr">
        <is>
          <t>SKÅNE LÄN</t>
        </is>
      </c>
      <c r="E904" t="inlineStr">
        <is>
          <t>HÄSSLEHOLM</t>
        </is>
      </c>
      <c r="G904" t="n">
        <v>1.6</v>
      </c>
      <c r="H904" t="n">
        <v>0</v>
      </c>
      <c r="I904" t="n">
        <v>0</v>
      </c>
      <c r="J904" t="n">
        <v>0</v>
      </c>
      <c r="K904" t="n">
        <v>0</v>
      </c>
      <c r="L904" t="n">
        <v>0</v>
      </c>
      <c r="M904" t="n">
        <v>0</v>
      </c>
      <c r="N904" t="n">
        <v>0</v>
      </c>
      <c r="O904" t="n">
        <v>0</v>
      </c>
      <c r="P904" t="n">
        <v>0</v>
      </c>
      <c r="Q904" t="n">
        <v>0</v>
      </c>
      <c r="R904" s="2" t="inlineStr"/>
    </row>
    <row r="905" ht="15" customHeight="1">
      <c r="A905" t="inlineStr">
        <is>
          <t>A 5894-2023</t>
        </is>
      </c>
      <c r="B905" s="1" t="n">
        <v>44963.65148148148</v>
      </c>
      <c r="C905" s="1" t="n">
        <v>45911</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13198-2025</t>
        </is>
      </c>
      <c r="B906" s="1" t="n">
        <v>45735</v>
      </c>
      <c r="C906" s="1" t="n">
        <v>45911</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12843-2023</t>
        </is>
      </c>
      <c r="B907" s="1" t="n">
        <v>45001.48423611111</v>
      </c>
      <c r="C907" s="1" t="n">
        <v>45911</v>
      </c>
      <c r="D907" t="inlineStr">
        <is>
          <t>SKÅNE LÄN</t>
        </is>
      </c>
      <c r="E907" t="inlineStr">
        <is>
          <t>HÄSSLEHOLM</t>
        </is>
      </c>
      <c r="G907" t="n">
        <v>3.9</v>
      </c>
      <c r="H907" t="n">
        <v>0</v>
      </c>
      <c r="I907" t="n">
        <v>0</v>
      </c>
      <c r="J907" t="n">
        <v>0</v>
      </c>
      <c r="K907" t="n">
        <v>0</v>
      </c>
      <c r="L907" t="n">
        <v>0</v>
      </c>
      <c r="M907" t="n">
        <v>0</v>
      </c>
      <c r="N907" t="n">
        <v>0</v>
      </c>
      <c r="O907" t="n">
        <v>0</v>
      </c>
      <c r="P907" t="n">
        <v>0</v>
      </c>
      <c r="Q907" t="n">
        <v>0</v>
      </c>
      <c r="R907" s="2" t="inlineStr"/>
    </row>
    <row r="908" ht="15" customHeight="1">
      <c r="A908" t="inlineStr">
        <is>
          <t>A 36085-2025</t>
        </is>
      </c>
      <c r="B908" s="1" t="n">
        <v>45866.46190972222</v>
      </c>
      <c r="C908" s="1" t="n">
        <v>45911</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3135-2023</t>
        </is>
      </c>
      <c r="B909" s="1" t="n">
        <v>44946.51672453704</v>
      </c>
      <c r="C909" s="1" t="n">
        <v>45911</v>
      </c>
      <c r="D909" t="inlineStr">
        <is>
          <t>SKÅNE LÄN</t>
        </is>
      </c>
      <c r="E909" t="inlineStr">
        <is>
          <t>HÄSSLEHOLM</t>
        </is>
      </c>
      <c r="G909" t="n">
        <v>7.2</v>
      </c>
      <c r="H909" t="n">
        <v>0</v>
      </c>
      <c r="I909" t="n">
        <v>0</v>
      </c>
      <c r="J909" t="n">
        <v>0</v>
      </c>
      <c r="K909" t="n">
        <v>0</v>
      </c>
      <c r="L909" t="n">
        <v>0</v>
      </c>
      <c r="M909" t="n">
        <v>0</v>
      </c>
      <c r="N909" t="n">
        <v>0</v>
      </c>
      <c r="O909" t="n">
        <v>0</v>
      </c>
      <c r="P909" t="n">
        <v>0</v>
      </c>
      <c r="Q909" t="n">
        <v>0</v>
      </c>
      <c r="R909" s="2" t="inlineStr"/>
    </row>
    <row r="910" ht="15" customHeight="1">
      <c r="A910" t="inlineStr">
        <is>
          <t>A 10944-2024</t>
        </is>
      </c>
      <c r="B910" s="1" t="n">
        <v>45370</v>
      </c>
      <c r="C910" s="1" t="n">
        <v>45911</v>
      </c>
      <c r="D910" t="inlineStr">
        <is>
          <t>SKÅNE LÄN</t>
        </is>
      </c>
      <c r="E910" t="inlineStr">
        <is>
          <t>HÄSSLEHOLM</t>
        </is>
      </c>
      <c r="F910" t="inlineStr">
        <is>
          <t>Övriga Aktiebolag</t>
        </is>
      </c>
      <c r="G910" t="n">
        <v>2.6</v>
      </c>
      <c r="H910" t="n">
        <v>0</v>
      </c>
      <c r="I910" t="n">
        <v>0</v>
      </c>
      <c r="J910" t="n">
        <v>0</v>
      </c>
      <c r="K910" t="n">
        <v>0</v>
      </c>
      <c r="L910" t="n">
        <v>0</v>
      </c>
      <c r="M910" t="n">
        <v>0</v>
      </c>
      <c r="N910" t="n">
        <v>0</v>
      </c>
      <c r="O910" t="n">
        <v>0</v>
      </c>
      <c r="P910" t="n">
        <v>0</v>
      </c>
      <c r="Q910" t="n">
        <v>0</v>
      </c>
      <c r="R910" s="2" t="inlineStr"/>
    </row>
    <row r="911" ht="15" customHeight="1">
      <c r="A911" t="inlineStr">
        <is>
          <t>A 16121-2025</t>
        </is>
      </c>
      <c r="B911" s="1" t="n">
        <v>45750.40384259259</v>
      </c>
      <c r="C911" s="1" t="n">
        <v>45911</v>
      </c>
      <c r="D911" t="inlineStr">
        <is>
          <t>SKÅNE LÄN</t>
        </is>
      </c>
      <c r="E911" t="inlineStr">
        <is>
          <t>HÄSSLEHOLM</t>
        </is>
      </c>
      <c r="G911" t="n">
        <v>1.6</v>
      </c>
      <c r="H911" t="n">
        <v>0</v>
      </c>
      <c r="I911" t="n">
        <v>0</v>
      </c>
      <c r="J911" t="n">
        <v>0</v>
      </c>
      <c r="K911" t="n">
        <v>0</v>
      </c>
      <c r="L911" t="n">
        <v>0</v>
      </c>
      <c r="M911" t="n">
        <v>0</v>
      </c>
      <c r="N911" t="n">
        <v>0</v>
      </c>
      <c r="O911" t="n">
        <v>0</v>
      </c>
      <c r="P911" t="n">
        <v>0</v>
      </c>
      <c r="Q911" t="n">
        <v>0</v>
      </c>
      <c r="R911" s="2" t="inlineStr"/>
    </row>
    <row r="912" ht="15" customHeight="1">
      <c r="A912" t="inlineStr">
        <is>
          <t>A 59429-2023</t>
        </is>
      </c>
      <c r="B912" s="1" t="n">
        <v>45254.2875</v>
      </c>
      <c r="C912" s="1" t="n">
        <v>45911</v>
      </c>
      <c r="D912" t="inlineStr">
        <is>
          <t>SKÅNE LÄN</t>
        </is>
      </c>
      <c r="E912" t="inlineStr">
        <is>
          <t>HÄSSLEHOLM</t>
        </is>
      </c>
      <c r="G912" t="n">
        <v>0</v>
      </c>
      <c r="H912" t="n">
        <v>0</v>
      </c>
      <c r="I912" t="n">
        <v>0</v>
      </c>
      <c r="J912" t="n">
        <v>0</v>
      </c>
      <c r="K912" t="n">
        <v>0</v>
      </c>
      <c r="L912" t="n">
        <v>0</v>
      </c>
      <c r="M912" t="n">
        <v>0</v>
      </c>
      <c r="N912" t="n">
        <v>0</v>
      </c>
      <c r="O912" t="n">
        <v>0</v>
      </c>
      <c r="P912" t="n">
        <v>0</v>
      </c>
      <c r="Q912" t="n">
        <v>0</v>
      </c>
      <c r="R912" s="2" t="inlineStr"/>
    </row>
    <row r="913" ht="15" customHeight="1">
      <c r="A913" t="inlineStr">
        <is>
          <t>A 40202-2022</t>
        </is>
      </c>
      <c r="B913" s="1" t="n">
        <v>44820.60614583334</v>
      </c>
      <c r="C913" s="1" t="n">
        <v>45911</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54326-2022</t>
        </is>
      </c>
      <c r="B914" s="1" t="n">
        <v>44882.42965277778</v>
      </c>
      <c r="C914" s="1" t="n">
        <v>45911</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41998-2021</t>
        </is>
      </c>
      <c r="B915" s="1" t="n">
        <v>44425</v>
      </c>
      <c r="C915" s="1" t="n">
        <v>45911</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61524-2022</t>
        </is>
      </c>
      <c r="B916" s="1" t="n">
        <v>44910</v>
      </c>
      <c r="C916" s="1" t="n">
        <v>45911</v>
      </c>
      <c r="D916" t="inlineStr">
        <is>
          <t>SKÅNE LÄN</t>
        </is>
      </c>
      <c r="E916" t="inlineStr">
        <is>
          <t>HÄSSLEHOLM</t>
        </is>
      </c>
      <c r="F916" t="inlineStr">
        <is>
          <t>Kyrkan</t>
        </is>
      </c>
      <c r="G916" t="n">
        <v>2.1</v>
      </c>
      <c r="H916" t="n">
        <v>0</v>
      </c>
      <c r="I916" t="n">
        <v>0</v>
      </c>
      <c r="J916" t="n">
        <v>0</v>
      </c>
      <c r="K916" t="n">
        <v>0</v>
      </c>
      <c r="L916" t="n">
        <v>0</v>
      </c>
      <c r="M916" t="n">
        <v>0</v>
      </c>
      <c r="N916" t="n">
        <v>0</v>
      </c>
      <c r="O916" t="n">
        <v>0</v>
      </c>
      <c r="P916" t="n">
        <v>0</v>
      </c>
      <c r="Q916" t="n">
        <v>0</v>
      </c>
      <c r="R916" s="2" t="inlineStr"/>
    </row>
    <row r="917" ht="15" customHeight="1">
      <c r="A917" t="inlineStr">
        <is>
          <t>A 13309-2025</t>
        </is>
      </c>
      <c r="B917" s="1" t="n">
        <v>45735.58512731481</v>
      </c>
      <c r="C917" s="1" t="n">
        <v>45911</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5980-2024</t>
        </is>
      </c>
      <c r="B918" s="1" t="n">
        <v>45335</v>
      </c>
      <c r="C918" s="1" t="n">
        <v>45911</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24904-2025</t>
        </is>
      </c>
      <c r="B919" s="1" t="n">
        <v>45799</v>
      </c>
      <c r="C919" s="1" t="n">
        <v>45911</v>
      </c>
      <c r="D919" t="inlineStr">
        <is>
          <t>SKÅNE LÄN</t>
        </is>
      </c>
      <c r="E919" t="inlineStr">
        <is>
          <t>HÄSSLEHOLM</t>
        </is>
      </c>
      <c r="G919" t="n">
        <v>2.2</v>
      </c>
      <c r="H919" t="n">
        <v>0</v>
      </c>
      <c r="I919" t="n">
        <v>0</v>
      </c>
      <c r="J919" t="n">
        <v>0</v>
      </c>
      <c r="K919" t="n">
        <v>0</v>
      </c>
      <c r="L919" t="n">
        <v>0</v>
      </c>
      <c r="M919" t="n">
        <v>0</v>
      </c>
      <c r="N919" t="n">
        <v>0</v>
      </c>
      <c r="O919" t="n">
        <v>0</v>
      </c>
      <c r="P919" t="n">
        <v>0</v>
      </c>
      <c r="Q919" t="n">
        <v>0</v>
      </c>
      <c r="R919" s="2" t="inlineStr"/>
    </row>
    <row r="920" ht="15" customHeight="1">
      <c r="A920" t="inlineStr">
        <is>
          <t>A 61533-2022</t>
        </is>
      </c>
      <c r="B920" s="1" t="n">
        <v>44910</v>
      </c>
      <c r="C920" s="1" t="n">
        <v>45911</v>
      </c>
      <c r="D920" t="inlineStr">
        <is>
          <t>SKÅNE LÄN</t>
        </is>
      </c>
      <c r="E920" t="inlineStr">
        <is>
          <t>HÄSSLEHOLM</t>
        </is>
      </c>
      <c r="F920" t="inlineStr">
        <is>
          <t>Kyrkan</t>
        </is>
      </c>
      <c r="G920" t="n">
        <v>1</v>
      </c>
      <c r="H920" t="n">
        <v>0</v>
      </c>
      <c r="I920" t="n">
        <v>0</v>
      </c>
      <c r="J920" t="n">
        <v>0</v>
      </c>
      <c r="K920" t="n">
        <v>0</v>
      </c>
      <c r="L920" t="n">
        <v>0</v>
      </c>
      <c r="M920" t="n">
        <v>0</v>
      </c>
      <c r="N920" t="n">
        <v>0</v>
      </c>
      <c r="O920" t="n">
        <v>0</v>
      </c>
      <c r="P920" t="n">
        <v>0</v>
      </c>
      <c r="Q920" t="n">
        <v>0</v>
      </c>
      <c r="R920" s="2" t="inlineStr"/>
    </row>
    <row r="921" ht="15" customHeight="1">
      <c r="A921" t="inlineStr">
        <is>
          <t>A 1616-2025</t>
        </is>
      </c>
      <c r="B921" s="1" t="n">
        <v>45670</v>
      </c>
      <c r="C921" s="1" t="n">
        <v>45911</v>
      </c>
      <c r="D921" t="inlineStr">
        <is>
          <t>SKÅNE LÄN</t>
        </is>
      </c>
      <c r="E921" t="inlineStr">
        <is>
          <t>HÄSSLEHOLM</t>
        </is>
      </c>
      <c r="G921" t="n">
        <v>3.6</v>
      </c>
      <c r="H921" t="n">
        <v>0</v>
      </c>
      <c r="I921" t="n">
        <v>0</v>
      </c>
      <c r="J921" t="n">
        <v>0</v>
      </c>
      <c r="K921" t="n">
        <v>0</v>
      </c>
      <c r="L921" t="n">
        <v>0</v>
      </c>
      <c r="M921" t="n">
        <v>0</v>
      </c>
      <c r="N921" t="n">
        <v>0</v>
      </c>
      <c r="O921" t="n">
        <v>0</v>
      </c>
      <c r="P921" t="n">
        <v>0</v>
      </c>
      <c r="Q921" t="n">
        <v>0</v>
      </c>
      <c r="R921" s="2" t="inlineStr"/>
    </row>
    <row r="922" ht="15" customHeight="1">
      <c r="A922" t="inlineStr">
        <is>
          <t>A 42520-2025</t>
        </is>
      </c>
      <c r="B922" s="1" t="n">
        <v>45905.54846064815</v>
      </c>
      <c r="C922" s="1" t="n">
        <v>45911</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42372-2024</t>
        </is>
      </c>
      <c r="B923" s="1" t="n">
        <v>45564.5127199074</v>
      </c>
      <c r="C923" s="1" t="n">
        <v>45911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36130-2025</t>
        </is>
      </c>
      <c r="B924" s="1" t="n">
        <v>45866.62273148148</v>
      </c>
      <c r="C924" s="1" t="n">
        <v>45911</v>
      </c>
      <c r="D924" t="inlineStr">
        <is>
          <t>SKÅNE LÄN</t>
        </is>
      </c>
      <c r="E924" t="inlineStr">
        <is>
          <t>HÄSSLEHOLM</t>
        </is>
      </c>
      <c r="G924" t="n">
        <v>4.7</v>
      </c>
      <c r="H924" t="n">
        <v>0</v>
      </c>
      <c r="I924" t="n">
        <v>0</v>
      </c>
      <c r="J924" t="n">
        <v>0</v>
      </c>
      <c r="K924" t="n">
        <v>0</v>
      </c>
      <c r="L924" t="n">
        <v>0</v>
      </c>
      <c r="M924" t="n">
        <v>0</v>
      </c>
      <c r="N924" t="n">
        <v>0</v>
      </c>
      <c r="O924" t="n">
        <v>0</v>
      </c>
      <c r="P924" t="n">
        <v>0</v>
      </c>
      <c r="Q924" t="n">
        <v>0</v>
      </c>
      <c r="R924" s="2" t="inlineStr"/>
    </row>
    <row r="925" ht="15" customHeight="1">
      <c r="A925" t="inlineStr">
        <is>
          <t>A 8619-2023</t>
        </is>
      </c>
      <c r="B925" s="1" t="n">
        <v>44977.81979166667</v>
      </c>
      <c r="C925" s="1" t="n">
        <v>45911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49219-2021</t>
        </is>
      </c>
      <c r="B926" s="1" t="n">
        <v>44454</v>
      </c>
      <c r="C926" s="1" t="n">
        <v>45911</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46000-2021</t>
        </is>
      </c>
      <c r="B927" s="1" t="n">
        <v>44441</v>
      </c>
      <c r="C927" s="1" t="n">
        <v>45911</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19666-2025</t>
        </is>
      </c>
      <c r="B928" s="1" t="n">
        <v>45770.69326388889</v>
      </c>
      <c r="C928" s="1" t="n">
        <v>45911</v>
      </c>
      <c r="D928" t="inlineStr">
        <is>
          <t>SKÅNE LÄN</t>
        </is>
      </c>
      <c r="E928" t="inlineStr">
        <is>
          <t>HÄSSLEHOLM</t>
        </is>
      </c>
      <c r="G928" t="n">
        <v>2.4</v>
      </c>
      <c r="H928" t="n">
        <v>0</v>
      </c>
      <c r="I928" t="n">
        <v>0</v>
      </c>
      <c r="J928" t="n">
        <v>0</v>
      </c>
      <c r="K928" t="n">
        <v>0</v>
      </c>
      <c r="L928" t="n">
        <v>0</v>
      </c>
      <c r="M928" t="n">
        <v>0</v>
      </c>
      <c r="N928" t="n">
        <v>0</v>
      </c>
      <c r="O928" t="n">
        <v>0</v>
      </c>
      <c r="P928" t="n">
        <v>0</v>
      </c>
      <c r="Q928" t="n">
        <v>0</v>
      </c>
      <c r="R928" s="2" t="inlineStr"/>
    </row>
    <row r="929" ht="15" customHeight="1">
      <c r="A929" t="inlineStr">
        <is>
          <t>A 17699-2024</t>
        </is>
      </c>
      <c r="B929" s="1" t="n">
        <v>45418.46094907408</v>
      </c>
      <c r="C929" s="1" t="n">
        <v>45911</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17702-2024</t>
        </is>
      </c>
      <c r="B930" s="1" t="n">
        <v>45418.46534722222</v>
      </c>
      <c r="C930" s="1" t="n">
        <v>45911</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20566-2023</t>
        </is>
      </c>
      <c r="B931" s="1" t="n">
        <v>45057</v>
      </c>
      <c r="C931" s="1" t="n">
        <v>45911</v>
      </c>
      <c r="D931" t="inlineStr">
        <is>
          <t>SKÅNE LÄN</t>
        </is>
      </c>
      <c r="E931" t="inlineStr">
        <is>
          <t>HÄSSLEHOLM</t>
        </is>
      </c>
      <c r="G931" t="n">
        <v>5.2</v>
      </c>
      <c r="H931" t="n">
        <v>0</v>
      </c>
      <c r="I931" t="n">
        <v>0</v>
      </c>
      <c r="J931" t="n">
        <v>0</v>
      </c>
      <c r="K931" t="n">
        <v>0</v>
      </c>
      <c r="L931" t="n">
        <v>0</v>
      </c>
      <c r="M931" t="n">
        <v>0</v>
      </c>
      <c r="N931" t="n">
        <v>0</v>
      </c>
      <c r="O931" t="n">
        <v>0</v>
      </c>
      <c r="P931" t="n">
        <v>0</v>
      </c>
      <c r="Q931" t="n">
        <v>0</v>
      </c>
      <c r="R931" s="2" t="inlineStr"/>
    </row>
    <row r="932" ht="15" customHeight="1">
      <c r="A932" t="inlineStr">
        <is>
          <t>A 43332-2025</t>
        </is>
      </c>
      <c r="B932" s="1" t="n">
        <v>45910.70217592592</v>
      </c>
      <c r="C932" s="1" t="n">
        <v>45911</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43333-2025</t>
        </is>
      </c>
      <c r="B933" s="1" t="n">
        <v>45910.70997685185</v>
      </c>
      <c r="C933" s="1" t="n">
        <v>45911</v>
      </c>
      <c r="D933" t="inlineStr">
        <is>
          <t>SKÅNE LÄN</t>
        </is>
      </c>
      <c r="E933" t="inlineStr">
        <is>
          <t>HÄSSLEHOLM</t>
        </is>
      </c>
      <c r="G933" t="n">
        <v>10.1</v>
      </c>
      <c r="H933" t="n">
        <v>0</v>
      </c>
      <c r="I933" t="n">
        <v>0</v>
      </c>
      <c r="J933" t="n">
        <v>0</v>
      </c>
      <c r="K933" t="n">
        <v>0</v>
      </c>
      <c r="L933" t="n">
        <v>0</v>
      </c>
      <c r="M933" t="n">
        <v>0</v>
      </c>
      <c r="N933" t="n">
        <v>0</v>
      </c>
      <c r="O933" t="n">
        <v>0</v>
      </c>
      <c r="P933" t="n">
        <v>0</v>
      </c>
      <c r="Q933" t="n">
        <v>0</v>
      </c>
      <c r="R933" s="2" t="inlineStr"/>
    </row>
    <row r="934" ht="15" customHeight="1">
      <c r="A934" t="inlineStr">
        <is>
          <t>A 32967-2023</t>
        </is>
      </c>
      <c r="B934" s="1" t="n">
        <v>45125</v>
      </c>
      <c r="C934" s="1" t="n">
        <v>45911</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32968-2023</t>
        </is>
      </c>
      <c r="B935" s="1" t="n">
        <v>45125</v>
      </c>
      <c r="C935" s="1" t="n">
        <v>45911</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1557-2023</t>
        </is>
      </c>
      <c r="B936" s="1" t="n">
        <v>44937</v>
      </c>
      <c r="C936" s="1" t="n">
        <v>45911</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42231-2022</t>
        </is>
      </c>
      <c r="B937" s="1" t="n">
        <v>44830.77003472222</v>
      </c>
      <c r="C937" s="1" t="n">
        <v>45911</v>
      </c>
      <c r="D937" t="inlineStr">
        <is>
          <t>SKÅNE LÄN</t>
        </is>
      </c>
      <c r="E937" t="inlineStr">
        <is>
          <t>HÄSSLEHOLM</t>
        </is>
      </c>
      <c r="G937" t="n">
        <v>2.7</v>
      </c>
      <c r="H937" t="n">
        <v>0</v>
      </c>
      <c r="I937" t="n">
        <v>0</v>
      </c>
      <c r="J937" t="n">
        <v>0</v>
      </c>
      <c r="K937" t="n">
        <v>0</v>
      </c>
      <c r="L937" t="n">
        <v>0</v>
      </c>
      <c r="M937" t="n">
        <v>0</v>
      </c>
      <c r="N937" t="n">
        <v>0</v>
      </c>
      <c r="O937" t="n">
        <v>0</v>
      </c>
      <c r="P937" t="n">
        <v>0</v>
      </c>
      <c r="Q937" t="n">
        <v>0</v>
      </c>
      <c r="R937" s="2" t="inlineStr"/>
    </row>
    <row r="938" ht="15" customHeight="1">
      <c r="A938" t="inlineStr">
        <is>
          <t>A 1560-2023</t>
        </is>
      </c>
      <c r="B938" s="1" t="n">
        <v>44937</v>
      </c>
      <c r="C938" s="1" t="n">
        <v>45911</v>
      </c>
      <c r="D938" t="inlineStr">
        <is>
          <t>SKÅNE LÄN</t>
        </is>
      </c>
      <c r="E938" t="inlineStr">
        <is>
          <t>HÄSSLEHOLM</t>
        </is>
      </c>
      <c r="G938" t="n">
        <v>6.8</v>
      </c>
      <c r="H938" t="n">
        <v>0</v>
      </c>
      <c r="I938" t="n">
        <v>0</v>
      </c>
      <c r="J938" t="n">
        <v>0</v>
      </c>
      <c r="K938" t="n">
        <v>0</v>
      </c>
      <c r="L938" t="n">
        <v>0</v>
      </c>
      <c r="M938" t="n">
        <v>0</v>
      </c>
      <c r="N938" t="n">
        <v>0</v>
      </c>
      <c r="O938" t="n">
        <v>0</v>
      </c>
      <c r="P938" t="n">
        <v>0</v>
      </c>
      <c r="Q938" t="n">
        <v>0</v>
      </c>
      <c r="R938" s="2" t="inlineStr"/>
    </row>
    <row r="939" ht="15" customHeight="1">
      <c r="A939" t="inlineStr">
        <is>
          <t>A 62171-2022</t>
        </is>
      </c>
      <c r="B939" s="1" t="n">
        <v>44915</v>
      </c>
      <c r="C939" s="1" t="n">
        <v>45911</v>
      </c>
      <c r="D939" t="inlineStr">
        <is>
          <t>SKÅNE LÄN</t>
        </is>
      </c>
      <c r="E939" t="inlineStr">
        <is>
          <t>HÄSSLEHOLM</t>
        </is>
      </c>
      <c r="F939" t="inlineStr">
        <is>
          <t>Kyrkan</t>
        </is>
      </c>
      <c r="G939" t="n">
        <v>9</v>
      </c>
      <c r="H939" t="n">
        <v>0</v>
      </c>
      <c r="I939" t="n">
        <v>0</v>
      </c>
      <c r="J939" t="n">
        <v>0</v>
      </c>
      <c r="K939" t="n">
        <v>0</v>
      </c>
      <c r="L939" t="n">
        <v>0</v>
      </c>
      <c r="M939" t="n">
        <v>0</v>
      </c>
      <c r="N939" t="n">
        <v>0</v>
      </c>
      <c r="O939" t="n">
        <v>0</v>
      </c>
      <c r="P939" t="n">
        <v>0</v>
      </c>
      <c r="Q939" t="n">
        <v>0</v>
      </c>
      <c r="R939" s="2" t="inlineStr"/>
    </row>
    <row r="940" ht="15" customHeight="1">
      <c r="A940" t="inlineStr">
        <is>
          <t>A 32100-2024</t>
        </is>
      </c>
      <c r="B940" s="1" t="n">
        <v>45511.41451388889</v>
      </c>
      <c r="C940" s="1" t="n">
        <v>45911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33481-2024</t>
        </is>
      </c>
      <c r="B941" s="1" t="n">
        <v>45519</v>
      </c>
      <c r="C941" s="1" t="n">
        <v>45911</v>
      </c>
      <c r="D941" t="inlineStr">
        <is>
          <t>SKÅNE LÄN</t>
        </is>
      </c>
      <c r="E941" t="inlineStr">
        <is>
          <t>HÄSSLEHOLM</t>
        </is>
      </c>
      <c r="G941" t="n">
        <v>3</v>
      </c>
      <c r="H941" t="n">
        <v>0</v>
      </c>
      <c r="I941" t="n">
        <v>0</v>
      </c>
      <c r="J941" t="n">
        <v>0</v>
      </c>
      <c r="K941" t="n">
        <v>0</v>
      </c>
      <c r="L941" t="n">
        <v>0</v>
      </c>
      <c r="M941" t="n">
        <v>0</v>
      </c>
      <c r="N941" t="n">
        <v>0</v>
      </c>
      <c r="O941" t="n">
        <v>0</v>
      </c>
      <c r="P941" t="n">
        <v>0</v>
      </c>
      <c r="Q941" t="n">
        <v>0</v>
      </c>
      <c r="R941" s="2" t="inlineStr"/>
    </row>
    <row r="942" ht="15" customHeight="1">
      <c r="A942" t="inlineStr">
        <is>
          <t>A 48807-2021</t>
        </is>
      </c>
      <c r="B942" s="1" t="n">
        <v>44452</v>
      </c>
      <c r="C942" s="1" t="n">
        <v>45911</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54982-2024</t>
        </is>
      </c>
      <c r="B943" s="1" t="n">
        <v>45620.7580787037</v>
      </c>
      <c r="C943" s="1" t="n">
        <v>45911</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54176-2022</t>
        </is>
      </c>
      <c r="B944" s="1" t="n">
        <v>44881</v>
      </c>
      <c r="C944" s="1" t="n">
        <v>45911</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36361-2025</t>
        </is>
      </c>
      <c r="B945" s="1" t="n">
        <v>45867</v>
      </c>
      <c r="C945" s="1" t="n">
        <v>45911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16614-2025</t>
        </is>
      </c>
      <c r="B946" s="1" t="n">
        <v>45754.283125</v>
      </c>
      <c r="C946" s="1" t="n">
        <v>45911</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36795-2023</t>
        </is>
      </c>
      <c r="B947" s="1" t="n">
        <v>45154.38245370371</v>
      </c>
      <c r="C947" s="1" t="n">
        <v>45911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15698-2023</t>
        </is>
      </c>
      <c r="B948" s="1" t="n">
        <v>45021</v>
      </c>
      <c r="C948" s="1" t="n">
        <v>45911</v>
      </c>
      <c r="D948" t="inlineStr">
        <is>
          <t>SKÅNE LÄN</t>
        </is>
      </c>
      <c r="E948" t="inlineStr">
        <is>
          <t>HÄSSLEHOLM</t>
        </is>
      </c>
      <c r="F948" t="inlineStr">
        <is>
          <t>Kommuner</t>
        </is>
      </c>
      <c r="G948" t="n">
        <v>5.5</v>
      </c>
      <c r="H948" t="n">
        <v>0</v>
      </c>
      <c r="I948" t="n">
        <v>0</v>
      </c>
      <c r="J948" t="n">
        <v>0</v>
      </c>
      <c r="K948" t="n">
        <v>0</v>
      </c>
      <c r="L948" t="n">
        <v>0</v>
      </c>
      <c r="M948" t="n">
        <v>0</v>
      </c>
      <c r="N948" t="n">
        <v>0</v>
      </c>
      <c r="O948" t="n">
        <v>0</v>
      </c>
      <c r="P948" t="n">
        <v>0</v>
      </c>
      <c r="Q948" t="n">
        <v>0</v>
      </c>
      <c r="R948" s="2" t="inlineStr"/>
    </row>
    <row r="949" ht="15" customHeight="1">
      <c r="A949" t="inlineStr">
        <is>
          <t>A 12584-2025</t>
        </is>
      </c>
      <c r="B949" s="1" t="n">
        <v>45732</v>
      </c>
      <c r="C949" s="1" t="n">
        <v>45911</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23723-2023</t>
        </is>
      </c>
      <c r="B950" s="1" t="n">
        <v>45077</v>
      </c>
      <c r="C950" s="1" t="n">
        <v>45911</v>
      </c>
      <c r="D950" t="inlineStr">
        <is>
          <t>SKÅNE LÄN</t>
        </is>
      </c>
      <c r="E950" t="inlineStr">
        <is>
          <t>HÄSSLEHOLM</t>
        </is>
      </c>
      <c r="G950" t="n">
        <v>3.9</v>
      </c>
      <c r="H950" t="n">
        <v>0</v>
      </c>
      <c r="I950" t="n">
        <v>0</v>
      </c>
      <c r="J950" t="n">
        <v>0</v>
      </c>
      <c r="K950" t="n">
        <v>0</v>
      </c>
      <c r="L950" t="n">
        <v>0</v>
      </c>
      <c r="M950" t="n">
        <v>0</v>
      </c>
      <c r="N950" t="n">
        <v>0</v>
      </c>
      <c r="O950" t="n">
        <v>0</v>
      </c>
      <c r="P950" t="n">
        <v>0</v>
      </c>
      <c r="Q950" t="n">
        <v>0</v>
      </c>
      <c r="R950" s="2" t="inlineStr"/>
    </row>
    <row r="951" ht="15" customHeight="1">
      <c r="A951" t="inlineStr">
        <is>
          <t>A 4945-2022</t>
        </is>
      </c>
      <c r="B951" s="1" t="n">
        <v>44593</v>
      </c>
      <c r="C951" s="1" t="n">
        <v>45911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36358-2025</t>
        </is>
      </c>
      <c r="B952" s="1" t="n">
        <v>45867</v>
      </c>
      <c r="C952" s="1" t="n">
        <v>45911</v>
      </c>
      <c r="D952" t="inlineStr">
        <is>
          <t>SKÅNE LÄN</t>
        </is>
      </c>
      <c r="E952" t="inlineStr">
        <is>
          <t>HÄSSLEHOLM</t>
        </is>
      </c>
      <c r="G952" t="n">
        <v>2.8</v>
      </c>
      <c r="H952" t="n">
        <v>0</v>
      </c>
      <c r="I952" t="n">
        <v>0</v>
      </c>
      <c r="J952" t="n">
        <v>0</v>
      </c>
      <c r="K952" t="n">
        <v>0</v>
      </c>
      <c r="L952" t="n">
        <v>0</v>
      </c>
      <c r="M952" t="n">
        <v>0</v>
      </c>
      <c r="N952" t="n">
        <v>0</v>
      </c>
      <c r="O952" t="n">
        <v>0</v>
      </c>
      <c r="P952" t="n">
        <v>0</v>
      </c>
      <c r="Q952" t="n">
        <v>0</v>
      </c>
      <c r="R952" s="2" t="inlineStr"/>
    </row>
    <row r="953" ht="15" customHeight="1">
      <c r="A953" t="inlineStr">
        <is>
          <t>A 47248-2023</t>
        </is>
      </c>
      <c r="B953" s="1" t="n">
        <v>45202</v>
      </c>
      <c r="C953" s="1" t="n">
        <v>45911</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36359-2025</t>
        </is>
      </c>
      <c r="B954" s="1" t="n">
        <v>45867</v>
      </c>
      <c r="C954" s="1" t="n">
        <v>45911</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38306-2022</t>
        </is>
      </c>
      <c r="B955" s="1" t="n">
        <v>44812.57515046297</v>
      </c>
      <c r="C955" s="1" t="n">
        <v>45911</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36259-2025</t>
        </is>
      </c>
      <c r="B956" s="1" t="n">
        <v>45867.59799768519</v>
      </c>
      <c r="C956" s="1" t="n">
        <v>45911</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35845-2022</t>
        </is>
      </c>
      <c r="B957" s="1" t="n">
        <v>44802</v>
      </c>
      <c r="C957" s="1" t="n">
        <v>45911</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31998-2023</t>
        </is>
      </c>
      <c r="B958" s="1" t="n">
        <v>45119</v>
      </c>
      <c r="C958" s="1" t="n">
        <v>45911</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12503-2022</t>
        </is>
      </c>
      <c r="B959" s="1" t="n">
        <v>44638</v>
      </c>
      <c r="C959" s="1" t="n">
        <v>45911</v>
      </c>
      <c r="D959" t="inlineStr">
        <is>
          <t>SKÅNE LÄN</t>
        </is>
      </c>
      <c r="E959" t="inlineStr">
        <is>
          <t>HÄSSLEHOLM</t>
        </is>
      </c>
      <c r="G959" t="n">
        <v>1.3</v>
      </c>
      <c r="H959" t="n">
        <v>0</v>
      </c>
      <c r="I959" t="n">
        <v>0</v>
      </c>
      <c r="J959" t="n">
        <v>0</v>
      </c>
      <c r="K959" t="n">
        <v>0</v>
      </c>
      <c r="L959" t="n">
        <v>0</v>
      </c>
      <c r="M959" t="n">
        <v>0</v>
      </c>
      <c r="N959" t="n">
        <v>0</v>
      </c>
      <c r="O959" t="n">
        <v>0</v>
      </c>
      <c r="P959" t="n">
        <v>0</v>
      </c>
      <c r="Q959" t="n">
        <v>0</v>
      </c>
      <c r="R959" s="2" t="inlineStr"/>
    </row>
    <row r="960" ht="15" customHeight="1">
      <c r="A960" t="inlineStr">
        <is>
          <t>A 4140-2023</t>
        </is>
      </c>
      <c r="B960" s="1" t="n">
        <v>44953</v>
      </c>
      <c r="C960" s="1" t="n">
        <v>45911</v>
      </c>
      <c r="D960" t="inlineStr">
        <is>
          <t>SKÅNE LÄN</t>
        </is>
      </c>
      <c r="E960" t="inlineStr">
        <is>
          <t>HÄSSLEHOLM</t>
        </is>
      </c>
      <c r="G960" t="n">
        <v>10.6</v>
      </c>
      <c r="H960" t="n">
        <v>0</v>
      </c>
      <c r="I960" t="n">
        <v>0</v>
      </c>
      <c r="J960" t="n">
        <v>0</v>
      </c>
      <c r="K960" t="n">
        <v>0</v>
      </c>
      <c r="L960" t="n">
        <v>0</v>
      </c>
      <c r="M960" t="n">
        <v>0</v>
      </c>
      <c r="N960" t="n">
        <v>0</v>
      </c>
      <c r="O960" t="n">
        <v>0</v>
      </c>
      <c r="P960" t="n">
        <v>0</v>
      </c>
      <c r="Q960" t="n">
        <v>0</v>
      </c>
      <c r="R960" s="2" t="inlineStr"/>
    </row>
    <row r="961" ht="15" customHeight="1">
      <c r="A961" t="inlineStr">
        <is>
          <t>A 25077-2024</t>
        </is>
      </c>
      <c r="B961" s="1" t="n">
        <v>45462</v>
      </c>
      <c r="C961" s="1" t="n">
        <v>45911</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23950-2023</t>
        </is>
      </c>
      <c r="B962" s="1" t="n">
        <v>45078.61771990741</v>
      </c>
      <c r="C962" s="1" t="n">
        <v>45911</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23952-2023</t>
        </is>
      </c>
      <c r="B963" s="1" t="n">
        <v>45078.62064814815</v>
      </c>
      <c r="C963" s="1" t="n">
        <v>45911</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46942-2024</t>
        </is>
      </c>
      <c r="B964" s="1" t="n">
        <v>45585.6684375</v>
      </c>
      <c r="C964" s="1" t="n">
        <v>45911</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2144-2023</t>
        </is>
      </c>
      <c r="B965" s="1" t="n">
        <v>44940.79054398148</v>
      </c>
      <c r="C965" s="1" t="n">
        <v>45911</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61680-2022</t>
        </is>
      </c>
      <c r="B966" s="1" t="n">
        <v>44917.36372685185</v>
      </c>
      <c r="C966" s="1" t="n">
        <v>45911</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16550-2025</t>
        </is>
      </c>
      <c r="B967" s="1" t="n">
        <v>45751.69412037037</v>
      </c>
      <c r="C967" s="1" t="n">
        <v>45911</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33257-2024</t>
        </is>
      </c>
      <c r="B968" s="1" t="n">
        <v>45518</v>
      </c>
      <c r="C968" s="1" t="n">
        <v>45911</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16285-2025</t>
        </is>
      </c>
      <c r="B969" s="1" t="n">
        <v>45751.30045138889</v>
      </c>
      <c r="C969" s="1" t="n">
        <v>45911</v>
      </c>
      <c r="D969" t="inlineStr">
        <is>
          <t>SKÅNE LÄN</t>
        </is>
      </c>
      <c r="E969" t="inlineStr">
        <is>
          <t>HÄSSLEHOLM</t>
        </is>
      </c>
      <c r="G969" t="n">
        <v>2</v>
      </c>
      <c r="H969" t="n">
        <v>0</v>
      </c>
      <c r="I969" t="n">
        <v>0</v>
      </c>
      <c r="J969" t="n">
        <v>0</v>
      </c>
      <c r="K969" t="n">
        <v>0</v>
      </c>
      <c r="L969" t="n">
        <v>0</v>
      </c>
      <c r="M969" t="n">
        <v>0</v>
      </c>
      <c r="N969" t="n">
        <v>0</v>
      </c>
      <c r="O969" t="n">
        <v>0</v>
      </c>
      <c r="P969" t="n">
        <v>0</v>
      </c>
      <c r="Q969" t="n">
        <v>0</v>
      </c>
      <c r="R969" s="2" t="inlineStr"/>
    </row>
    <row r="970" ht="15" customHeight="1">
      <c r="A970" t="inlineStr">
        <is>
          <t>A 5780-2024</t>
        </is>
      </c>
      <c r="B970" s="1" t="n">
        <v>45335.41983796296</v>
      </c>
      <c r="C970" s="1" t="n">
        <v>45911</v>
      </c>
      <c r="D970" t="inlineStr">
        <is>
          <t>SKÅNE LÄN</t>
        </is>
      </c>
      <c r="E970" t="inlineStr">
        <is>
          <t>HÄSSLEHOLM</t>
        </is>
      </c>
      <c r="G970" t="n">
        <v>2.5</v>
      </c>
      <c r="H970" t="n">
        <v>0</v>
      </c>
      <c r="I970" t="n">
        <v>0</v>
      </c>
      <c r="J970" t="n">
        <v>0</v>
      </c>
      <c r="K970" t="n">
        <v>0</v>
      </c>
      <c r="L970" t="n">
        <v>0</v>
      </c>
      <c r="M970" t="n">
        <v>0</v>
      </c>
      <c r="N970" t="n">
        <v>0</v>
      </c>
      <c r="O970" t="n">
        <v>0</v>
      </c>
      <c r="P970" t="n">
        <v>0</v>
      </c>
      <c r="Q970" t="n">
        <v>0</v>
      </c>
      <c r="R970" s="2" t="inlineStr"/>
    </row>
    <row r="971" ht="15" customHeight="1">
      <c r="A971" t="inlineStr">
        <is>
          <t>A 17492-2025</t>
        </is>
      </c>
      <c r="B971" s="1" t="n">
        <v>45747</v>
      </c>
      <c r="C971" s="1" t="n">
        <v>45911</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6791-2021</t>
        </is>
      </c>
      <c r="B972" s="1" t="n">
        <v>44236</v>
      </c>
      <c r="C972" s="1" t="n">
        <v>45911</v>
      </c>
      <c r="D972" t="inlineStr">
        <is>
          <t>SKÅNE LÄN</t>
        </is>
      </c>
      <c r="E972" t="inlineStr">
        <is>
          <t>HÄSSLEHOLM</t>
        </is>
      </c>
      <c r="G972" t="n">
        <v>1.7</v>
      </c>
      <c r="H972" t="n">
        <v>0</v>
      </c>
      <c r="I972" t="n">
        <v>0</v>
      </c>
      <c r="J972" t="n">
        <v>0</v>
      </c>
      <c r="K972" t="n">
        <v>0</v>
      </c>
      <c r="L972" t="n">
        <v>0</v>
      </c>
      <c r="M972" t="n">
        <v>0</v>
      </c>
      <c r="N972" t="n">
        <v>0</v>
      </c>
      <c r="O972" t="n">
        <v>0</v>
      </c>
      <c r="P972" t="n">
        <v>0</v>
      </c>
      <c r="Q972" t="n">
        <v>0</v>
      </c>
      <c r="R972" s="2" t="inlineStr"/>
    </row>
    <row r="973" ht="15" customHeight="1">
      <c r="A973" t="inlineStr">
        <is>
          <t>A 15897-2025</t>
        </is>
      </c>
      <c r="B973" s="1" t="n">
        <v>45749.41598379629</v>
      </c>
      <c r="C973" s="1" t="n">
        <v>45911</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61504-2022</t>
        </is>
      </c>
      <c r="B974" s="1" t="n">
        <v>44910</v>
      </c>
      <c r="C974" s="1" t="n">
        <v>45911</v>
      </c>
      <c r="D974" t="inlineStr">
        <is>
          <t>SKÅNE LÄN</t>
        </is>
      </c>
      <c r="E974" t="inlineStr">
        <is>
          <t>HÄSSLEHOLM</t>
        </is>
      </c>
      <c r="F974" t="inlineStr">
        <is>
          <t>Kyrkan</t>
        </is>
      </c>
      <c r="G974" t="n">
        <v>2.9</v>
      </c>
      <c r="H974" t="n">
        <v>0</v>
      </c>
      <c r="I974" t="n">
        <v>0</v>
      </c>
      <c r="J974" t="n">
        <v>0</v>
      </c>
      <c r="K974" t="n">
        <v>0</v>
      </c>
      <c r="L974" t="n">
        <v>0</v>
      </c>
      <c r="M974" t="n">
        <v>0</v>
      </c>
      <c r="N974" t="n">
        <v>0</v>
      </c>
      <c r="O974" t="n">
        <v>0</v>
      </c>
      <c r="P974" t="n">
        <v>0</v>
      </c>
      <c r="Q974" t="n">
        <v>0</v>
      </c>
      <c r="R974" s="2" t="inlineStr"/>
    </row>
    <row r="975" ht="15" customHeight="1">
      <c r="A975" t="inlineStr">
        <is>
          <t>A 29275-2023</t>
        </is>
      </c>
      <c r="B975" s="1" t="n">
        <v>45105</v>
      </c>
      <c r="C975" s="1" t="n">
        <v>45911</v>
      </c>
      <c r="D975" t="inlineStr">
        <is>
          <t>SKÅNE LÄN</t>
        </is>
      </c>
      <c r="E975" t="inlineStr">
        <is>
          <t>HÄSSLEHOLM</t>
        </is>
      </c>
      <c r="G975" t="n">
        <v>2.1</v>
      </c>
      <c r="H975" t="n">
        <v>0</v>
      </c>
      <c r="I975" t="n">
        <v>0</v>
      </c>
      <c r="J975" t="n">
        <v>0</v>
      </c>
      <c r="K975" t="n">
        <v>0</v>
      </c>
      <c r="L975" t="n">
        <v>0</v>
      </c>
      <c r="M975" t="n">
        <v>0</v>
      </c>
      <c r="N975" t="n">
        <v>0</v>
      </c>
      <c r="O975" t="n">
        <v>0</v>
      </c>
      <c r="P975" t="n">
        <v>0</v>
      </c>
      <c r="Q975" t="n">
        <v>0</v>
      </c>
      <c r="R975" s="2" t="inlineStr"/>
    </row>
    <row r="976" ht="15" customHeight="1">
      <c r="A976" t="inlineStr">
        <is>
          <t>A 51618-2024</t>
        </is>
      </c>
      <c r="B976" s="1" t="n">
        <v>45604.82615740741</v>
      </c>
      <c r="C976" s="1" t="n">
        <v>45911</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10409-2024</t>
        </is>
      </c>
      <c r="B977" s="1" t="n">
        <v>45365.6978125</v>
      </c>
      <c r="C977" s="1" t="n">
        <v>45911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31995-2023</t>
        </is>
      </c>
      <c r="B978" s="1" t="n">
        <v>45107</v>
      </c>
      <c r="C978" s="1" t="n">
        <v>45911</v>
      </c>
      <c r="D978" t="inlineStr">
        <is>
          <t>SKÅNE LÄN</t>
        </is>
      </c>
      <c r="E978" t="inlineStr">
        <is>
          <t>HÄSSLEHOLM</t>
        </is>
      </c>
      <c r="G978" t="n">
        <v>7.3</v>
      </c>
      <c r="H978" t="n">
        <v>0</v>
      </c>
      <c r="I978" t="n">
        <v>0</v>
      </c>
      <c r="J978" t="n">
        <v>0</v>
      </c>
      <c r="K978" t="n">
        <v>0</v>
      </c>
      <c r="L978" t="n">
        <v>0</v>
      </c>
      <c r="M978" t="n">
        <v>0</v>
      </c>
      <c r="N978" t="n">
        <v>0</v>
      </c>
      <c r="O978" t="n">
        <v>0</v>
      </c>
      <c r="P978" t="n">
        <v>0</v>
      </c>
      <c r="Q978" t="n">
        <v>0</v>
      </c>
      <c r="R978" s="2" t="inlineStr"/>
    </row>
    <row r="979" ht="15" customHeight="1">
      <c r="A979" t="inlineStr">
        <is>
          <t>A 27502-2023</t>
        </is>
      </c>
      <c r="B979" s="1" t="n">
        <v>45092</v>
      </c>
      <c r="C979" s="1" t="n">
        <v>45911</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54473-2023</t>
        </is>
      </c>
      <c r="B980" s="1" t="n">
        <v>45233</v>
      </c>
      <c r="C980" s="1" t="n">
        <v>45911</v>
      </c>
      <c r="D980" t="inlineStr">
        <is>
          <t>SKÅNE LÄN</t>
        </is>
      </c>
      <c r="E980" t="inlineStr">
        <is>
          <t>HÄSSLEHOLM</t>
        </is>
      </c>
      <c r="G980" t="n">
        <v>24.5</v>
      </c>
      <c r="H980" t="n">
        <v>0</v>
      </c>
      <c r="I980" t="n">
        <v>0</v>
      </c>
      <c r="J980" t="n">
        <v>0</v>
      </c>
      <c r="K980" t="n">
        <v>0</v>
      </c>
      <c r="L980" t="n">
        <v>0</v>
      </c>
      <c r="M980" t="n">
        <v>0</v>
      </c>
      <c r="N980" t="n">
        <v>0</v>
      </c>
      <c r="O980" t="n">
        <v>0</v>
      </c>
      <c r="P980" t="n">
        <v>0</v>
      </c>
      <c r="Q980" t="n">
        <v>0</v>
      </c>
      <c r="R980" s="2" t="inlineStr"/>
    </row>
    <row r="981" ht="15" customHeight="1">
      <c r="A981" t="inlineStr">
        <is>
          <t>A 4356-2024</t>
        </is>
      </c>
      <c r="B981" s="1" t="n">
        <v>45325.36195601852</v>
      </c>
      <c r="C981" s="1" t="n">
        <v>45911</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47840-2023</t>
        </is>
      </c>
      <c r="B982" s="1" t="n">
        <v>45204</v>
      </c>
      <c r="C982" s="1" t="n">
        <v>45911</v>
      </c>
      <c r="D982" t="inlineStr">
        <is>
          <t>SKÅNE LÄN</t>
        </is>
      </c>
      <c r="E982" t="inlineStr">
        <is>
          <t>HÄSSLEHOLM</t>
        </is>
      </c>
      <c r="G982" t="n">
        <v>2.4</v>
      </c>
      <c r="H982" t="n">
        <v>0</v>
      </c>
      <c r="I982" t="n">
        <v>0</v>
      </c>
      <c r="J982" t="n">
        <v>0</v>
      </c>
      <c r="K982" t="n">
        <v>0</v>
      </c>
      <c r="L982" t="n">
        <v>0</v>
      </c>
      <c r="M982" t="n">
        <v>0</v>
      </c>
      <c r="N982" t="n">
        <v>0</v>
      </c>
      <c r="O982" t="n">
        <v>0</v>
      </c>
      <c r="P982" t="n">
        <v>0</v>
      </c>
      <c r="Q982" t="n">
        <v>0</v>
      </c>
      <c r="R982" s="2" t="inlineStr"/>
    </row>
    <row r="983" ht="15" customHeight="1">
      <c r="A983" t="inlineStr">
        <is>
          <t>A 26641-2023</t>
        </is>
      </c>
      <c r="B983" s="1" t="n">
        <v>45092.89619212963</v>
      </c>
      <c r="C983" s="1" t="n">
        <v>45911</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34888-2023</t>
        </is>
      </c>
      <c r="B984" s="1" t="n">
        <v>45142.388125</v>
      </c>
      <c r="C984" s="1" t="n">
        <v>45911</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20435-2021</t>
        </is>
      </c>
      <c r="B985" s="1" t="n">
        <v>44315.5793287037</v>
      </c>
      <c r="C985" s="1" t="n">
        <v>45911</v>
      </c>
      <c r="D985" t="inlineStr">
        <is>
          <t>SKÅNE LÄN</t>
        </is>
      </c>
      <c r="E985" t="inlineStr">
        <is>
          <t>HÄSSLEHOLM</t>
        </is>
      </c>
      <c r="G985" t="n">
        <v>4.8</v>
      </c>
      <c r="H985" t="n">
        <v>0</v>
      </c>
      <c r="I985" t="n">
        <v>0</v>
      </c>
      <c r="J985" t="n">
        <v>0</v>
      </c>
      <c r="K985" t="n">
        <v>0</v>
      </c>
      <c r="L985" t="n">
        <v>0</v>
      </c>
      <c r="M985" t="n">
        <v>0</v>
      </c>
      <c r="N985" t="n">
        <v>0</v>
      </c>
      <c r="O985" t="n">
        <v>0</v>
      </c>
      <c r="P985" t="n">
        <v>0</v>
      </c>
      <c r="Q985" t="n">
        <v>0</v>
      </c>
      <c r="R985" s="2" t="inlineStr"/>
    </row>
    <row r="986" ht="15" customHeight="1">
      <c r="A986" t="inlineStr">
        <is>
          <t>A 53085-2022</t>
        </is>
      </c>
      <c r="B986" s="1" t="n">
        <v>44873</v>
      </c>
      <c r="C986" s="1" t="n">
        <v>45911</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51752-2023</t>
        </is>
      </c>
      <c r="B987" s="1" t="n">
        <v>45222</v>
      </c>
      <c r="C987" s="1" t="n">
        <v>45911</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20800-2023</t>
        </is>
      </c>
      <c r="B988" s="1" t="n">
        <v>45058.61640046296</v>
      </c>
      <c r="C988" s="1" t="n">
        <v>45911</v>
      </c>
      <c r="D988" t="inlineStr">
        <is>
          <t>SKÅNE LÄN</t>
        </is>
      </c>
      <c r="E988" t="inlineStr">
        <is>
          <t>HÄSSLEHOLM</t>
        </is>
      </c>
      <c r="G988" t="n">
        <v>0.4</v>
      </c>
      <c r="H988" t="n">
        <v>0</v>
      </c>
      <c r="I988" t="n">
        <v>0</v>
      </c>
      <c r="J988" t="n">
        <v>0</v>
      </c>
      <c r="K988" t="n">
        <v>0</v>
      </c>
      <c r="L988" t="n">
        <v>0</v>
      </c>
      <c r="M988" t="n">
        <v>0</v>
      </c>
      <c r="N988" t="n">
        <v>0</v>
      </c>
      <c r="O988" t="n">
        <v>0</v>
      </c>
      <c r="P988" t="n">
        <v>0</v>
      </c>
      <c r="Q988" t="n">
        <v>0</v>
      </c>
      <c r="R988" s="2" t="inlineStr"/>
    </row>
    <row r="989" ht="15" customHeight="1">
      <c r="A989" t="inlineStr">
        <is>
          <t>A 49219-2024</t>
        </is>
      </c>
      <c r="B989" s="1" t="n">
        <v>45595.40923611111</v>
      </c>
      <c r="C989" s="1" t="n">
        <v>45911</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7152-2025</t>
        </is>
      </c>
      <c r="B990" s="1" t="n">
        <v>45702.3837037037</v>
      </c>
      <c r="C990" s="1" t="n">
        <v>45911</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7160-2025</t>
        </is>
      </c>
      <c r="B991" s="1" t="n">
        <v>45702.3875462963</v>
      </c>
      <c r="C991" s="1" t="n">
        <v>45911</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14939-2023</t>
        </is>
      </c>
      <c r="B992" s="1" t="n">
        <v>45014</v>
      </c>
      <c r="C992" s="1" t="n">
        <v>45911</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16388-2025</t>
        </is>
      </c>
      <c r="B993" s="1" t="n">
        <v>45751.42787037037</v>
      </c>
      <c r="C993" s="1" t="n">
        <v>45911</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16668-2025</t>
        </is>
      </c>
      <c r="B994" s="1" t="n">
        <v>45754.43009259259</v>
      </c>
      <c r="C994" s="1" t="n">
        <v>45911</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9709-2023</t>
        </is>
      </c>
      <c r="B995" s="1" t="n">
        <v>44984.48376157408</v>
      </c>
      <c r="C995" s="1" t="n">
        <v>45911</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15104-2023</t>
        </is>
      </c>
      <c r="B996" s="1" t="n">
        <v>45016.40576388889</v>
      </c>
      <c r="C996" s="1" t="n">
        <v>45911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66321-2021</t>
        </is>
      </c>
      <c r="B997" s="1" t="n">
        <v>44518</v>
      </c>
      <c r="C997" s="1" t="n">
        <v>45911</v>
      </c>
      <c r="D997" t="inlineStr">
        <is>
          <t>SKÅNE LÄN</t>
        </is>
      </c>
      <c r="E997" t="inlineStr">
        <is>
          <t>HÄSSLEHOLM</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13646-2024</t>
        </is>
      </c>
      <c r="B998" s="1" t="n">
        <v>45387</v>
      </c>
      <c r="C998" s="1" t="n">
        <v>45911</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21494-2023</t>
        </is>
      </c>
      <c r="B999" s="1" t="n">
        <v>45063</v>
      </c>
      <c r="C999" s="1" t="n">
        <v>45911</v>
      </c>
      <c r="D999" t="inlineStr">
        <is>
          <t>SKÅNE LÄN</t>
        </is>
      </c>
      <c r="E999" t="inlineStr">
        <is>
          <t>HÄSSLEHOLM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21495-2023</t>
        </is>
      </c>
      <c r="B1000" s="1" t="n">
        <v>45063</v>
      </c>
      <c r="C1000" s="1" t="n">
        <v>45911</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21867-2023</t>
        </is>
      </c>
      <c r="B1001" s="1" t="n">
        <v>45063</v>
      </c>
      <c r="C1001" s="1" t="n">
        <v>45911</v>
      </c>
      <c r="D1001" t="inlineStr">
        <is>
          <t>SKÅNE LÄN</t>
        </is>
      </c>
      <c r="E1001" t="inlineStr">
        <is>
          <t>HÄSSLEHOLM</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40739-2024</t>
        </is>
      </c>
      <c r="B1002" s="1" t="n">
        <v>45558</v>
      </c>
      <c r="C1002" s="1" t="n">
        <v>45911</v>
      </c>
      <c r="D1002" t="inlineStr">
        <is>
          <t>SKÅNE LÄN</t>
        </is>
      </c>
      <c r="E1002" t="inlineStr">
        <is>
          <t>HÄSSLEHOLM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13087-2023</t>
        </is>
      </c>
      <c r="B1003" s="1" t="n">
        <v>45001</v>
      </c>
      <c r="C1003" s="1" t="n">
        <v>45911</v>
      </c>
      <c r="D1003" t="inlineStr">
        <is>
          <t>SKÅNE LÄN</t>
        </is>
      </c>
      <c r="E1003" t="inlineStr">
        <is>
          <t>HÄSSLEHOLM</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64884-2023</t>
        </is>
      </c>
      <c r="B1004" s="1" t="n">
        <v>45282.57809027778</v>
      </c>
      <c r="C1004" s="1" t="n">
        <v>45911</v>
      </c>
      <c r="D1004" t="inlineStr">
        <is>
          <t>SKÅNE LÄN</t>
        </is>
      </c>
      <c r="E1004" t="inlineStr">
        <is>
          <t>HÄSSLEHOLM</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22140-2023</t>
        </is>
      </c>
      <c r="B1005" s="1" t="n">
        <v>45065</v>
      </c>
      <c r="C1005" s="1" t="n">
        <v>45911</v>
      </c>
      <c r="D1005" t="inlineStr">
        <is>
          <t>SKÅNE LÄN</t>
        </is>
      </c>
      <c r="E1005" t="inlineStr">
        <is>
          <t>HÄSSLEHOLM</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52968-2022</t>
        </is>
      </c>
      <c r="B1006" s="1" t="n">
        <v>44875</v>
      </c>
      <c r="C1006" s="1" t="n">
        <v>45911</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31944-2023</t>
        </is>
      </c>
      <c r="B1007" s="1" t="n">
        <v>45119.34895833334</v>
      </c>
      <c r="C1007" s="1" t="n">
        <v>45911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7890-2024</t>
        </is>
      </c>
      <c r="B1008" s="1" t="n">
        <v>45350.40780092592</v>
      </c>
      <c r="C1008" s="1" t="n">
        <v>45911</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31946-2023</t>
        </is>
      </c>
      <c r="B1009" s="1" t="n">
        <v>45119.35158564815</v>
      </c>
      <c r="C1009" s="1" t="n">
        <v>45911</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8755-2024</t>
        </is>
      </c>
      <c r="B1010" s="1" t="n">
        <v>45356</v>
      </c>
      <c r="C1010" s="1" t="n">
        <v>45911</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62167-2022</t>
        </is>
      </c>
      <c r="B1011" s="1" t="n">
        <v>44915</v>
      </c>
      <c r="C1011" s="1" t="n">
        <v>45911</v>
      </c>
      <c r="D1011" t="inlineStr">
        <is>
          <t>SKÅNE LÄN</t>
        </is>
      </c>
      <c r="E1011" t="inlineStr">
        <is>
          <t>HÄSSLEHOLM</t>
        </is>
      </c>
      <c r="F1011" t="inlineStr">
        <is>
          <t>Kyrkan</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61178-2022</t>
        </is>
      </c>
      <c r="B1012" s="1" t="n">
        <v>44915</v>
      </c>
      <c r="C1012" s="1" t="n">
        <v>45911</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61185-2022</t>
        </is>
      </c>
      <c r="B1013" s="1" t="n">
        <v>44915</v>
      </c>
      <c r="C1013" s="1" t="n">
        <v>45911</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61691-2021</t>
        </is>
      </c>
      <c r="B1014" s="1" t="n">
        <v>44501</v>
      </c>
      <c r="C1014" s="1" t="n">
        <v>45911</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25221-2023</t>
        </is>
      </c>
      <c r="B1015" s="1" t="n">
        <v>45086.60842592592</v>
      </c>
      <c r="C1015" s="1" t="n">
        <v>45911</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62234-2022</t>
        </is>
      </c>
      <c r="B1016" s="1" t="n">
        <v>44922</v>
      </c>
      <c r="C1016" s="1" t="n">
        <v>45911</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59390-2021</t>
        </is>
      </c>
      <c r="B1017" s="1" t="n">
        <v>44490</v>
      </c>
      <c r="C1017" s="1" t="n">
        <v>45911</v>
      </c>
      <c r="D1017" t="inlineStr">
        <is>
          <t>SKÅNE LÄN</t>
        </is>
      </c>
      <c r="E1017" t="inlineStr">
        <is>
          <t>HÄSSLEHOLM</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44741-2023</t>
        </is>
      </c>
      <c r="B1018" s="1" t="n">
        <v>45190.38804398148</v>
      </c>
      <c r="C1018" s="1" t="n">
        <v>45911</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9397-2025</t>
        </is>
      </c>
      <c r="B1019" s="1" t="n">
        <v>45715.37361111111</v>
      </c>
      <c r="C1019" s="1" t="n">
        <v>45911</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6583-2021</t>
        </is>
      </c>
      <c r="B1020" s="1" t="n">
        <v>44236</v>
      </c>
      <c r="C1020" s="1" t="n">
        <v>45911</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50564-2023</t>
        </is>
      </c>
      <c r="B1021" s="1" t="n">
        <v>45217.37957175926</v>
      </c>
      <c r="C1021" s="1" t="n">
        <v>45911</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15133-2023</t>
        </is>
      </c>
      <c r="B1022" s="1" t="n">
        <v>45016</v>
      </c>
      <c r="C1022" s="1" t="n">
        <v>45911</v>
      </c>
      <c r="D1022" t="inlineStr">
        <is>
          <t>SKÅNE LÄN</t>
        </is>
      </c>
      <c r="E1022" t="inlineStr">
        <is>
          <t>HÄSSLEHOLM</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50899-2024</t>
        </is>
      </c>
      <c r="B1023" s="1" t="n">
        <v>45602.68584490741</v>
      </c>
      <c r="C1023" s="1" t="n">
        <v>45911</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15053-2023</t>
        </is>
      </c>
      <c r="B1024" s="1" t="n">
        <v>45015</v>
      </c>
      <c r="C1024" s="1" t="n">
        <v>45911</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48624-2021</t>
        </is>
      </c>
      <c r="B1025" s="1" t="n">
        <v>44452</v>
      </c>
      <c r="C1025" s="1" t="n">
        <v>45911</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49389-2020</t>
        </is>
      </c>
      <c r="B1026" s="1" t="n">
        <v>44105</v>
      </c>
      <c r="C1026" s="1" t="n">
        <v>45911</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23857-2024</t>
        </is>
      </c>
      <c r="B1027" s="1" t="n">
        <v>45455</v>
      </c>
      <c r="C1027" s="1" t="n">
        <v>45911</v>
      </c>
      <c r="D1027" t="inlineStr">
        <is>
          <t>SKÅNE LÄN</t>
        </is>
      </c>
      <c r="E1027" t="inlineStr">
        <is>
          <t>HÄSSLEHOLM</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35644-2023</t>
        </is>
      </c>
      <c r="B1028" s="1" t="n">
        <v>45147</v>
      </c>
      <c r="C1028" s="1" t="n">
        <v>45911</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46185-2022</t>
        </is>
      </c>
      <c r="B1029" s="1" t="n">
        <v>44847</v>
      </c>
      <c r="C1029" s="1" t="n">
        <v>45911</v>
      </c>
      <c r="D1029" t="inlineStr">
        <is>
          <t>SKÅNE LÄN</t>
        </is>
      </c>
      <c r="E1029" t="inlineStr">
        <is>
          <t>HÄSSLEHOLM</t>
        </is>
      </c>
      <c r="G1029" t="n">
        <v>16.8</v>
      </c>
      <c r="H1029" t="n">
        <v>0</v>
      </c>
      <c r="I1029" t="n">
        <v>0</v>
      </c>
      <c r="J1029" t="n">
        <v>0</v>
      </c>
      <c r="K1029" t="n">
        <v>0</v>
      </c>
      <c r="L1029" t="n">
        <v>0</v>
      </c>
      <c r="M1029" t="n">
        <v>0</v>
      </c>
      <c r="N1029" t="n">
        <v>0</v>
      </c>
      <c r="O1029" t="n">
        <v>0</v>
      </c>
      <c r="P1029" t="n">
        <v>0</v>
      </c>
      <c r="Q1029" t="n">
        <v>0</v>
      </c>
      <c r="R1029" s="2" t="inlineStr"/>
    </row>
    <row r="1030" ht="15" customHeight="1">
      <c r="A1030" t="inlineStr">
        <is>
          <t>A 8433-2024</t>
        </is>
      </c>
      <c r="B1030" s="1" t="n">
        <v>45353.48434027778</v>
      </c>
      <c r="C1030" s="1" t="n">
        <v>45911</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62055-2023</t>
        </is>
      </c>
      <c r="B1031" s="1" t="n">
        <v>45266.70287037037</v>
      </c>
      <c r="C1031" s="1" t="n">
        <v>45911</v>
      </c>
      <c r="D1031" t="inlineStr">
        <is>
          <t>SKÅNE LÄN</t>
        </is>
      </c>
      <c r="E1031" t="inlineStr">
        <is>
          <t>HÄSSLEHOLM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10802-2024</t>
        </is>
      </c>
      <c r="B1032" s="1" t="n">
        <v>45369</v>
      </c>
      <c r="C1032" s="1" t="n">
        <v>45911</v>
      </c>
      <c r="D1032" t="inlineStr">
        <is>
          <t>SKÅNE LÄN</t>
        </is>
      </c>
      <c r="E1032" t="inlineStr">
        <is>
          <t>HÄSSLEHOLM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48046-2023</t>
        </is>
      </c>
      <c r="B1033" s="1" t="n">
        <v>45204.85201388889</v>
      </c>
      <c r="C1033" s="1" t="n">
        <v>45911</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11607-2025</t>
        </is>
      </c>
      <c r="B1034" s="1" t="n">
        <v>45727</v>
      </c>
      <c r="C1034" s="1" t="n">
        <v>45911</v>
      </c>
      <c r="D1034" t="inlineStr">
        <is>
          <t>SKÅNE LÄN</t>
        </is>
      </c>
      <c r="E1034" t="inlineStr">
        <is>
          <t>HÄSSLEHOLM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11609-2025</t>
        </is>
      </c>
      <c r="B1035" s="1" t="n">
        <v>45727.44237268518</v>
      </c>
      <c r="C1035" s="1" t="n">
        <v>45911</v>
      </c>
      <c r="D1035" t="inlineStr">
        <is>
          <t>SKÅNE LÄN</t>
        </is>
      </c>
      <c r="E1035" t="inlineStr">
        <is>
          <t>HÄSSLEHOLM</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13808-2021</t>
        </is>
      </c>
      <c r="B1036" s="1" t="n">
        <v>44276</v>
      </c>
      <c r="C1036" s="1" t="n">
        <v>45911</v>
      </c>
      <c r="D1036" t="inlineStr">
        <is>
          <t>SKÅNE LÄN</t>
        </is>
      </c>
      <c r="E1036" t="inlineStr">
        <is>
          <t>HÄSSLEHOLM</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49106-2023</t>
        </is>
      </c>
      <c r="B1037" s="1" t="n">
        <v>45210</v>
      </c>
      <c r="C1037" s="1" t="n">
        <v>45911</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58815-2023</t>
        </is>
      </c>
      <c r="B1038" s="1" t="n">
        <v>45247</v>
      </c>
      <c r="C1038" s="1" t="n">
        <v>45911</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13555-2025</t>
        </is>
      </c>
      <c r="B1039" s="1" t="n">
        <v>45736</v>
      </c>
      <c r="C1039" s="1" t="n">
        <v>45911</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28632-2024</t>
        </is>
      </c>
      <c r="B1040" s="1" t="n">
        <v>45478</v>
      </c>
      <c r="C1040" s="1" t="n">
        <v>45911</v>
      </c>
      <c r="D1040" t="inlineStr">
        <is>
          <t>SKÅNE LÄN</t>
        </is>
      </c>
      <c r="E1040" t="inlineStr">
        <is>
          <t>HÄSSLEHOLM</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28599-2024</t>
        </is>
      </c>
      <c r="B1041" s="1" t="n">
        <v>45478.4247800926</v>
      </c>
      <c r="C1041" s="1" t="n">
        <v>45911</v>
      </c>
      <c r="D1041" t="inlineStr">
        <is>
          <t>SKÅNE LÄN</t>
        </is>
      </c>
      <c r="E1041" t="inlineStr">
        <is>
          <t>HÄSSLEHOLM</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9697-2023</t>
        </is>
      </c>
      <c r="B1042" s="1" t="n">
        <v>44984</v>
      </c>
      <c r="C1042" s="1" t="n">
        <v>45911</v>
      </c>
      <c r="D1042" t="inlineStr">
        <is>
          <t>SKÅNE LÄN</t>
        </is>
      </c>
      <c r="E1042" t="inlineStr">
        <is>
          <t>HÄSSLEHOLM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27478-2023</t>
        </is>
      </c>
      <c r="B1043" s="1" t="n">
        <v>45092</v>
      </c>
      <c r="C1043" s="1" t="n">
        <v>45911</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1170-2025</t>
        </is>
      </c>
      <c r="B1044" s="1" t="n">
        <v>45667.29226851852</v>
      </c>
      <c r="C1044" s="1" t="n">
        <v>45911</v>
      </c>
      <c r="D1044" t="inlineStr">
        <is>
          <t>SKÅNE LÄN</t>
        </is>
      </c>
      <c r="E1044" t="inlineStr">
        <is>
          <t>HÄSSLEHOLM</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57749-2023</t>
        </is>
      </c>
      <c r="B1045" s="1" t="n">
        <v>45246</v>
      </c>
      <c r="C1045" s="1" t="n">
        <v>45911</v>
      </c>
      <c r="D1045" t="inlineStr">
        <is>
          <t>SKÅNE LÄN</t>
        </is>
      </c>
      <c r="E1045" t="inlineStr">
        <is>
          <t>HÄSSLEHOLM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44940-2023</t>
        </is>
      </c>
      <c r="B1046" s="1" t="n">
        <v>45190.68653935185</v>
      </c>
      <c r="C1046" s="1" t="n">
        <v>45911</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18800-2023</t>
        </is>
      </c>
      <c r="B1047" s="1" t="n">
        <v>45044</v>
      </c>
      <c r="C1047" s="1" t="n">
        <v>45911</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25206-2023</t>
        </is>
      </c>
      <c r="B1048" s="1" t="n">
        <v>45086.59318287037</v>
      </c>
      <c r="C1048" s="1" t="n">
        <v>45911</v>
      </c>
      <c r="D1048" t="inlineStr">
        <is>
          <t>SKÅNE LÄN</t>
        </is>
      </c>
      <c r="E1048" t="inlineStr">
        <is>
          <t>HÄSSLEHOLM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35712-2024</t>
        </is>
      </c>
      <c r="B1049" s="1" t="n">
        <v>45532</v>
      </c>
      <c r="C1049" s="1" t="n">
        <v>45911</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5116-2023</t>
        </is>
      </c>
      <c r="B1050" s="1" t="n">
        <v>44958.67546296296</v>
      </c>
      <c r="C1050" s="1" t="n">
        <v>45911</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33466-2024</t>
        </is>
      </c>
      <c r="B1051" s="1" t="n">
        <v>45519</v>
      </c>
      <c r="C1051" s="1" t="n">
        <v>45911</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26397-2023</t>
        </is>
      </c>
      <c r="B1052" s="1" t="n">
        <v>45087</v>
      </c>
      <c r="C1052" s="1" t="n">
        <v>45911</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27175-2024</t>
        </is>
      </c>
      <c r="B1053" s="1" t="n">
        <v>45471.57111111111</v>
      </c>
      <c r="C1053" s="1" t="n">
        <v>45911</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10220-2023</t>
        </is>
      </c>
      <c r="B1054" s="1" t="n">
        <v>44986.60916666667</v>
      </c>
      <c r="C1054" s="1" t="n">
        <v>45911</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1197-2024</t>
        </is>
      </c>
      <c r="B1055" s="1" t="n">
        <v>45302</v>
      </c>
      <c r="C1055" s="1" t="n">
        <v>45911</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48097-2024</t>
        </is>
      </c>
      <c r="B1056" s="1" t="n">
        <v>45589.61413194444</v>
      </c>
      <c r="C1056" s="1" t="n">
        <v>45911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53077-2022</t>
        </is>
      </c>
      <c r="B1057" s="1" t="n">
        <v>44873</v>
      </c>
      <c r="C1057" s="1" t="n">
        <v>45911</v>
      </c>
      <c r="D1057" t="inlineStr">
        <is>
          <t>SKÅNE LÄN</t>
        </is>
      </c>
      <c r="E1057" t="inlineStr">
        <is>
          <t>HÄSSLEHOLM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25611-2024</t>
        </is>
      </c>
      <c r="B1058" s="1" t="n">
        <v>45463</v>
      </c>
      <c r="C1058" s="1" t="n">
        <v>45911</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19020-2024</t>
        </is>
      </c>
      <c r="B1059" s="1" t="n">
        <v>45427.66167824074</v>
      </c>
      <c r="C1059" s="1" t="n">
        <v>45911</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52912-2022</t>
        </is>
      </c>
      <c r="B1060" s="1" t="n">
        <v>44872</v>
      </c>
      <c r="C1060" s="1" t="n">
        <v>45911</v>
      </c>
      <c r="D1060" t="inlineStr">
        <is>
          <t>SKÅNE LÄN</t>
        </is>
      </c>
      <c r="E1060" t="inlineStr">
        <is>
          <t>HÄSSLEHOLM</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24640-2023</t>
        </is>
      </c>
      <c r="B1061" s="1" t="n">
        <v>45084.43181712963</v>
      </c>
      <c r="C1061" s="1" t="n">
        <v>45911</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26536-2022</t>
        </is>
      </c>
      <c r="B1062" s="1" t="n">
        <v>44739.45496527778</v>
      </c>
      <c r="C1062" s="1" t="n">
        <v>45911</v>
      </c>
      <c r="D1062" t="inlineStr">
        <is>
          <t>SKÅNE LÄN</t>
        </is>
      </c>
      <c r="E1062" t="inlineStr">
        <is>
          <t>HÄSSLEHOLM</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22535-2024</t>
        </is>
      </c>
      <c r="B1063" s="1" t="n">
        <v>45447</v>
      </c>
      <c r="C1063" s="1" t="n">
        <v>45911</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16334-2024</t>
        </is>
      </c>
      <c r="B1064" s="1" t="n">
        <v>45407.54856481482</v>
      </c>
      <c r="C1064" s="1" t="n">
        <v>45911</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30007-2023</t>
        </is>
      </c>
      <c r="B1065" s="1" t="n">
        <v>45109.80349537037</v>
      </c>
      <c r="C1065" s="1" t="n">
        <v>45911</v>
      </c>
      <c r="D1065" t="inlineStr">
        <is>
          <t>SKÅNE LÄN</t>
        </is>
      </c>
      <c r="E1065" t="inlineStr">
        <is>
          <t>HÄSSLEHOLM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1289-2024</t>
        </is>
      </c>
      <c r="B1066" s="1" t="n">
        <v>45303.32234953704</v>
      </c>
      <c r="C1066" s="1" t="n">
        <v>45911</v>
      </c>
      <c r="D1066" t="inlineStr">
        <is>
          <t>SKÅNE LÄN</t>
        </is>
      </c>
      <c r="E1066" t="inlineStr">
        <is>
          <t>HÄSSLEHOLM</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41873-2023</t>
        </is>
      </c>
      <c r="B1067" s="1" t="n">
        <v>45176</v>
      </c>
      <c r="C1067" s="1" t="n">
        <v>45911</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60973-2024</t>
        </is>
      </c>
      <c r="B1068" s="1" t="n">
        <v>45644</v>
      </c>
      <c r="C1068" s="1" t="n">
        <v>45911</v>
      </c>
      <c r="D1068" t="inlineStr">
        <is>
          <t>SKÅNE LÄN</t>
        </is>
      </c>
      <c r="E1068" t="inlineStr">
        <is>
          <t>HÄSSLEHOLM</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38228-2021</t>
        </is>
      </c>
      <c r="B1069" s="1" t="n">
        <v>44405</v>
      </c>
      <c r="C1069" s="1" t="n">
        <v>45911</v>
      </c>
      <c r="D1069" t="inlineStr">
        <is>
          <t>SKÅNE LÄN</t>
        </is>
      </c>
      <c r="E1069" t="inlineStr">
        <is>
          <t>HÄSSLEHOLM</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14655-2025</t>
        </is>
      </c>
      <c r="B1070" s="1" t="n">
        <v>45742.5072337963</v>
      </c>
      <c r="C1070" s="1" t="n">
        <v>45911</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59763-2022</t>
        </is>
      </c>
      <c r="B1071" s="1" t="n">
        <v>44900</v>
      </c>
      <c r="C1071" s="1" t="n">
        <v>45911</v>
      </c>
      <c r="D1071" t="inlineStr">
        <is>
          <t>SKÅNE LÄN</t>
        </is>
      </c>
      <c r="E1071" t="inlineStr">
        <is>
          <t>HÄSSLEHOLM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43061-2024</t>
        </is>
      </c>
      <c r="B1072" s="1" t="n">
        <v>45567</v>
      </c>
      <c r="C1072" s="1" t="n">
        <v>45911</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21328-2023</t>
        </is>
      </c>
      <c r="B1073" s="1" t="n">
        <v>45062</v>
      </c>
      <c r="C1073" s="1" t="n">
        <v>45911</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10277-2023</t>
        </is>
      </c>
      <c r="B1074" s="1" t="n">
        <v>44986</v>
      </c>
      <c r="C1074" s="1" t="n">
        <v>45911</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10290-2023</t>
        </is>
      </c>
      <c r="B1075" s="1" t="n">
        <v>44986</v>
      </c>
      <c r="C1075" s="1" t="n">
        <v>45911</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6619-2024</t>
        </is>
      </c>
      <c r="B1076" s="1" t="n">
        <v>45341.6021412037</v>
      </c>
      <c r="C1076" s="1" t="n">
        <v>45911</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20666-2023</t>
        </is>
      </c>
      <c r="B1077" s="1" t="n">
        <v>45058.35664351852</v>
      </c>
      <c r="C1077" s="1" t="n">
        <v>45911</v>
      </c>
      <c r="D1077" t="inlineStr">
        <is>
          <t>SKÅNE LÄN</t>
        </is>
      </c>
      <c r="E1077" t="inlineStr">
        <is>
          <t>HÄSSLEHOLM</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19593-2023</t>
        </is>
      </c>
      <c r="B1078" s="1" t="n">
        <v>45050.75895833333</v>
      </c>
      <c r="C1078" s="1" t="n">
        <v>45911</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7494-2023</t>
        </is>
      </c>
      <c r="B1079" s="1" t="n">
        <v>44971.70835648148</v>
      </c>
      <c r="C1079" s="1" t="n">
        <v>45911</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6087-2025</t>
        </is>
      </c>
      <c r="B1080" s="1" t="n">
        <v>45697.69782407407</v>
      </c>
      <c r="C1080" s="1" t="n">
        <v>45911</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50571-2023</t>
        </is>
      </c>
      <c r="B1081" s="1" t="n">
        <v>45217.38359953704</v>
      </c>
      <c r="C1081" s="1" t="n">
        <v>45911</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18041-2023</t>
        </is>
      </c>
      <c r="B1082" s="1" t="n">
        <v>45040</v>
      </c>
      <c r="C1082" s="1" t="n">
        <v>45911</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16950-2025</t>
        </is>
      </c>
      <c r="B1083" s="1" t="n">
        <v>45755</v>
      </c>
      <c r="C1083" s="1" t="n">
        <v>45911</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58618-2024</t>
        </is>
      </c>
      <c r="B1084" s="1" t="n">
        <v>45635.56150462963</v>
      </c>
      <c r="C1084" s="1" t="n">
        <v>45911</v>
      </c>
      <c r="D1084" t="inlineStr">
        <is>
          <t>SKÅNE LÄN</t>
        </is>
      </c>
      <c r="E1084" t="inlineStr">
        <is>
          <t>HÄSSLEHOLM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52337-2023</t>
        </is>
      </c>
      <c r="B1085" s="1" t="n">
        <v>45224.66359953704</v>
      </c>
      <c r="C1085" s="1" t="n">
        <v>45911</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13084-2025</t>
        </is>
      </c>
      <c r="B1086" s="1" t="n">
        <v>45734</v>
      </c>
      <c r="C1086" s="1" t="n">
        <v>45911</v>
      </c>
      <c r="D1086" t="inlineStr">
        <is>
          <t>SKÅNE LÄN</t>
        </is>
      </c>
      <c r="E1086" t="inlineStr">
        <is>
          <t>HÄSSLEHOLM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27991-2024</t>
        </is>
      </c>
      <c r="B1087" s="1" t="n">
        <v>45476</v>
      </c>
      <c r="C1087" s="1" t="n">
        <v>45911</v>
      </c>
      <c r="D1087" t="inlineStr">
        <is>
          <t>SKÅNE LÄN</t>
        </is>
      </c>
      <c r="E1087" t="inlineStr">
        <is>
          <t>HÄSSLEHOLM</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6612-2024</t>
        </is>
      </c>
      <c r="B1088" s="1" t="n">
        <v>45341.58859953703</v>
      </c>
      <c r="C1088" s="1" t="n">
        <v>45911</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5887-2025</t>
        </is>
      </c>
      <c r="B1089" s="1" t="n">
        <v>45695.37925925926</v>
      </c>
      <c r="C1089" s="1" t="n">
        <v>45911</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8760-2024</t>
        </is>
      </c>
      <c r="B1090" s="1" t="n">
        <v>45356.53420138889</v>
      </c>
      <c r="C1090" s="1" t="n">
        <v>45911</v>
      </c>
      <c r="D1090" t="inlineStr">
        <is>
          <t>SKÅNE LÄN</t>
        </is>
      </c>
      <c r="E1090" t="inlineStr">
        <is>
          <t>HÄSSLEHOLM</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48889-2024</t>
        </is>
      </c>
      <c r="B1091" s="1" t="n">
        <v>45594.33754629629</v>
      </c>
      <c r="C1091" s="1" t="n">
        <v>45911</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2567-2024</t>
        </is>
      </c>
      <c r="B1092" s="1" t="n">
        <v>45313.62460648148</v>
      </c>
      <c r="C1092" s="1" t="n">
        <v>45911</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29994-2023</t>
        </is>
      </c>
      <c r="B1093" s="1" t="n">
        <v>45109.60038194444</v>
      </c>
      <c r="C1093" s="1" t="n">
        <v>45911</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20872-2025</t>
        </is>
      </c>
      <c r="B1094" s="1" t="n">
        <v>45777.34688657407</v>
      </c>
      <c r="C1094" s="1" t="n">
        <v>45911</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21091-2025</t>
        </is>
      </c>
      <c r="B1095" s="1" t="n">
        <v>45777</v>
      </c>
      <c r="C1095" s="1" t="n">
        <v>45911</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21206-2025</t>
        </is>
      </c>
      <c r="B1096" s="1" t="n">
        <v>45779.48318287037</v>
      </c>
      <c r="C1096" s="1" t="n">
        <v>45911</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29845-2024</t>
        </is>
      </c>
      <c r="B1097" s="1" t="n">
        <v>45485.6212037037</v>
      </c>
      <c r="C1097" s="1" t="n">
        <v>45911</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20006-2025</t>
        </is>
      </c>
      <c r="B1098" s="1" t="n">
        <v>45772.05032407407</v>
      </c>
      <c r="C1098" s="1" t="n">
        <v>45911</v>
      </c>
      <c r="D1098" t="inlineStr">
        <is>
          <t>SKÅNE LÄN</t>
        </is>
      </c>
      <c r="E1098" t="inlineStr">
        <is>
          <t>HÄSSLEHOLM</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61533-2024</t>
        </is>
      </c>
      <c r="B1099" s="1" t="n">
        <v>45646</v>
      </c>
      <c r="C1099" s="1" t="n">
        <v>45911</v>
      </c>
      <c r="D1099" t="inlineStr">
        <is>
          <t>SKÅNE LÄN</t>
        </is>
      </c>
      <c r="E1099" t="inlineStr">
        <is>
          <t>HÄSSLEHOLM</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61537-2024</t>
        </is>
      </c>
      <c r="B1100" s="1" t="n">
        <v>45646</v>
      </c>
      <c r="C1100" s="1" t="n">
        <v>45911</v>
      </c>
      <c r="D1100" t="inlineStr">
        <is>
          <t>SKÅNE LÄN</t>
        </is>
      </c>
      <c r="E1100" t="inlineStr">
        <is>
          <t>HÄSSLEHOLM</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21638-2025</t>
        </is>
      </c>
      <c r="B1101" s="1" t="n">
        <v>45783.43087962963</v>
      </c>
      <c r="C1101" s="1" t="n">
        <v>45911</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7818-2024</t>
        </is>
      </c>
      <c r="B1102" s="1" t="n">
        <v>45349.68872685185</v>
      </c>
      <c r="C1102" s="1" t="n">
        <v>45911</v>
      </c>
      <c r="D1102" t="inlineStr">
        <is>
          <t>SKÅNE LÄN</t>
        </is>
      </c>
      <c r="E1102" t="inlineStr">
        <is>
          <t>HÄSSLEHOLM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39111-2023</t>
        </is>
      </c>
      <c r="B1103" s="1" t="n">
        <v>45164.87140046297</v>
      </c>
      <c r="C1103" s="1" t="n">
        <v>45911</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60851-2024</t>
        </is>
      </c>
      <c r="B1104" s="1" t="n">
        <v>45644.66182870371</v>
      </c>
      <c r="C1104" s="1" t="n">
        <v>45911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317-2025</t>
        </is>
      </c>
      <c r="B1105" s="1" t="n">
        <v>45660</v>
      </c>
      <c r="C1105" s="1" t="n">
        <v>45911</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21625-2025</t>
        </is>
      </c>
      <c r="B1106" s="1" t="n">
        <v>45783.41252314814</v>
      </c>
      <c r="C1106" s="1" t="n">
        <v>45911</v>
      </c>
      <c r="D1106" t="inlineStr">
        <is>
          <t>SKÅNE LÄN</t>
        </is>
      </c>
      <c r="E1106" t="inlineStr">
        <is>
          <t>HÄSSLEHOLM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60920-2024</t>
        </is>
      </c>
      <c r="B1107" s="1" t="n">
        <v>45645.34442129629</v>
      </c>
      <c r="C1107" s="1" t="n">
        <v>45911</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30092-2025</t>
        </is>
      </c>
      <c r="B1108" s="1" t="n">
        <v>45826</v>
      </c>
      <c r="C1108" s="1" t="n">
        <v>45911</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1703-2025</t>
        </is>
      </c>
      <c r="B1109" s="1" t="n">
        <v>45670.80732638889</v>
      </c>
      <c r="C1109" s="1" t="n">
        <v>45911</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22024-2025</t>
        </is>
      </c>
      <c r="B1110" s="1" t="n">
        <v>45784.85322916666</v>
      </c>
      <c r="C1110" s="1" t="n">
        <v>45911</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29274-2023</t>
        </is>
      </c>
      <c r="B1111" s="1" t="n">
        <v>45105</v>
      </c>
      <c r="C1111" s="1" t="n">
        <v>45911</v>
      </c>
      <c r="D1111" t="inlineStr">
        <is>
          <t>SKÅNE LÄN</t>
        </is>
      </c>
      <c r="E1111" t="inlineStr">
        <is>
          <t>HÄSSLEHOLM</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34890-2023</t>
        </is>
      </c>
      <c r="B1112" s="1" t="n">
        <v>45142.39475694444</v>
      </c>
      <c r="C1112" s="1" t="n">
        <v>45911</v>
      </c>
      <c r="D1112" t="inlineStr">
        <is>
          <t>SKÅNE LÄN</t>
        </is>
      </c>
      <c r="E1112" t="inlineStr">
        <is>
          <t>HÄSSLEHOLM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3886-2024</t>
        </is>
      </c>
      <c r="B1113" s="1" t="n">
        <v>45322.44539351852</v>
      </c>
      <c r="C1113" s="1" t="n">
        <v>45911</v>
      </c>
      <c r="D1113" t="inlineStr">
        <is>
          <t>SKÅNE LÄN</t>
        </is>
      </c>
      <c r="E1113" t="inlineStr">
        <is>
          <t>HÄSSLEHOLM</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61932-2023</t>
        </is>
      </c>
      <c r="B1114" s="1" t="n">
        <v>45266.53761574074</v>
      </c>
      <c r="C1114" s="1" t="n">
        <v>45911</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13149-2024</t>
        </is>
      </c>
      <c r="B1115" s="1" t="n">
        <v>45386</v>
      </c>
      <c r="C1115" s="1" t="n">
        <v>45911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c r="A1116" t="inlineStr">
        <is>
          <t>A 53466-2024</t>
        </is>
      </c>
      <c r="B1116" s="1" t="n">
        <v>45614.55304398148</v>
      </c>
      <c r="C1116" s="1" t="n">
        <v>45911</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2025-09-11T08:53:03Z</dcterms:created>
  <dcterms:modified xmlns:dcterms="http://purl.org/dc/terms/" xmlns:xsi="http://www.w3.org/2001/XMLSchema-instance" xsi:type="dcterms:W3CDTF">2025-09-11T08:53:04Z</dcterms:modified>
</cp:coreProperties>
</file>