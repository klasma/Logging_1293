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45893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45893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45893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45893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45893</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45893</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45893</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45893</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20280-2025</t>
        </is>
      </c>
      <c r="B21" s="1" t="n">
        <v>45774.38790509259</v>
      </c>
      <c r="C21" s="1" t="n">
        <v>45893</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29272-2023</t>
        </is>
      </c>
      <c r="B22" s="1" t="n">
        <v>45105</v>
      </c>
      <c r="C22" s="1" t="n">
        <v>45893</v>
      </c>
      <c r="D22" t="inlineStr">
        <is>
          <t>SKÅNE LÄN</t>
        </is>
      </c>
      <c r="E22" t="inlineStr">
        <is>
          <t>HÄSSLEHOLM</t>
        </is>
      </c>
      <c r="G22" t="n">
        <v>2.2</v>
      </c>
      <c r="H22" t="n">
        <v>0</v>
      </c>
      <c r="I22" t="n">
        <v>1</v>
      </c>
      <c r="J22" t="n">
        <v>0</v>
      </c>
      <c r="K22" t="n">
        <v>0</v>
      </c>
      <c r="L22" t="n">
        <v>0</v>
      </c>
      <c r="M22" t="n">
        <v>0</v>
      </c>
      <c r="N22" t="n">
        <v>0</v>
      </c>
      <c r="O22" t="n">
        <v>0</v>
      </c>
      <c r="P22" t="n">
        <v>0</v>
      </c>
      <c r="Q22" t="n">
        <v>1</v>
      </c>
      <c r="R22" s="2" t="inlineStr">
        <is>
          <t>Sotlav</t>
        </is>
      </c>
      <c r="S22">
        <f>HYPERLINK("https://klasma.github.io/Logging_1293/artfynd/A 29272-2023 artfynd.xlsx", "A 29272-2023")</f>
        <v/>
      </c>
      <c r="T22">
        <f>HYPERLINK("https://klasma.github.io/Logging_1293/kartor/A 29272-2023 karta.png", "A 29272-2023")</f>
        <v/>
      </c>
      <c r="V22">
        <f>HYPERLINK("https://klasma.github.io/Logging_1293/klagomål/A 29272-2023 FSC-klagomål.docx", "A 29272-2023")</f>
        <v/>
      </c>
      <c r="W22">
        <f>HYPERLINK("https://klasma.github.io/Logging_1293/klagomålsmail/A 29272-2023 FSC-klagomål mail.docx", "A 29272-2023")</f>
        <v/>
      </c>
      <c r="X22">
        <f>HYPERLINK("https://klasma.github.io/Logging_1293/tillsyn/A 29272-2023 tillsynsbegäran.docx", "A 29272-2023")</f>
        <v/>
      </c>
      <c r="Y22">
        <f>HYPERLINK("https://klasma.github.io/Logging_1293/tillsynsmail/A 29272-2023 tillsynsbegäran mail.docx", "A 29272-2023")</f>
        <v/>
      </c>
    </row>
    <row r="23" ht="15" customHeight="1">
      <c r="A23" t="inlineStr">
        <is>
          <t>A 46602-2023</t>
        </is>
      </c>
      <c r="B23" s="1" t="n">
        <v>45194</v>
      </c>
      <c r="C23" s="1" t="n">
        <v>45893</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45893</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16107-2025</t>
        </is>
      </c>
      <c r="B25" s="1" t="n">
        <v>45750.34537037037</v>
      </c>
      <c r="C25" s="1" t="n">
        <v>45893</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6634-2024</t>
        </is>
      </c>
      <c r="B26" s="1" t="n">
        <v>45341</v>
      </c>
      <c r="C26" s="1" t="n">
        <v>45893</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45893</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45893</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54523-2024</t>
        </is>
      </c>
      <c r="B29" s="1" t="n">
        <v>45617</v>
      </c>
      <c r="C29" s="1" t="n">
        <v>45893</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45893</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4619-2025</t>
        </is>
      </c>
      <c r="B31" s="1" t="n">
        <v>45687</v>
      </c>
      <c r="C31" s="1" t="n">
        <v>45893</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45893</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36690-2025</t>
        </is>
      </c>
      <c r="B33" s="1" t="n">
        <v>45873.42915509259</v>
      </c>
      <c r="C33" s="1" t="n">
        <v>45893</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4725-2025</t>
        </is>
      </c>
      <c r="B34" s="1" t="n">
        <v>45688.42583333333</v>
      </c>
      <c r="C34" s="1" t="n">
        <v>45893</v>
      </c>
      <c r="D34" t="inlineStr">
        <is>
          <t>SKÅNE LÄN</t>
        </is>
      </c>
      <c r="E34" t="inlineStr">
        <is>
          <t>HÄSSLEHOLM</t>
        </is>
      </c>
      <c r="G34" t="n">
        <v>5.5</v>
      </c>
      <c r="H34" t="n">
        <v>1</v>
      </c>
      <c r="I34" t="n">
        <v>0</v>
      </c>
      <c r="J34" t="n">
        <v>0</v>
      </c>
      <c r="K34" t="n">
        <v>0</v>
      </c>
      <c r="L34" t="n">
        <v>0</v>
      </c>
      <c r="M34" t="n">
        <v>0</v>
      </c>
      <c r="N34" t="n">
        <v>0</v>
      </c>
      <c r="O34" t="n">
        <v>0</v>
      </c>
      <c r="P34" t="n">
        <v>0</v>
      </c>
      <c r="Q34" t="n">
        <v>1</v>
      </c>
      <c r="R34" s="2" t="inlineStr">
        <is>
          <t>Grönvit nattviol</t>
        </is>
      </c>
      <c r="S34">
        <f>HYPERLINK("https://klasma.github.io/Logging_1293/artfynd/A 4725-2025 artfynd.xlsx", "A 4725-2025")</f>
        <v/>
      </c>
      <c r="T34">
        <f>HYPERLINK("https://klasma.github.io/Logging_1293/kartor/A 4725-2025 karta.png", "A 4725-2025")</f>
        <v/>
      </c>
      <c r="V34">
        <f>HYPERLINK("https://klasma.github.io/Logging_1293/klagomål/A 4725-2025 FSC-klagomål.docx", "A 4725-2025")</f>
        <v/>
      </c>
      <c r="W34">
        <f>HYPERLINK("https://klasma.github.io/Logging_1293/klagomålsmail/A 4725-2025 FSC-klagomål mail.docx", "A 4725-2025")</f>
        <v/>
      </c>
      <c r="X34">
        <f>HYPERLINK("https://klasma.github.io/Logging_1293/tillsyn/A 4725-2025 tillsynsbegäran.docx", "A 4725-2025")</f>
        <v/>
      </c>
      <c r="Y34">
        <f>HYPERLINK("https://klasma.github.io/Logging_1293/tillsynsmail/A 4725-2025 tillsynsbegäran mail.docx", "A 4725-2025")</f>
        <v/>
      </c>
    </row>
    <row r="35" ht="15" customHeight="1">
      <c r="A35" t="inlineStr">
        <is>
          <t>A 14933-2023</t>
        </is>
      </c>
      <c r="B35" s="1" t="n">
        <v>45014</v>
      </c>
      <c r="C35" s="1" t="n">
        <v>45893</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7862-2024</t>
        </is>
      </c>
      <c r="B36" s="1" t="n">
        <v>45348</v>
      </c>
      <c r="C36" s="1" t="n">
        <v>45893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8223-2025</t>
        </is>
      </c>
      <c r="B37" s="1" t="n">
        <v>45708.46127314815</v>
      </c>
      <c r="C37" s="1" t="n">
        <v>45893</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45893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45893</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45893</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45893</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45893</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45893</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45893</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45893</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45893</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45893</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45893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45893</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45893</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45893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45893</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45893</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45893</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45893</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45893</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45893</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45893</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45893</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45893</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45893</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45893</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45893</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45893</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45893</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45893</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45893</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45893</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45893</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45893</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45893</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45893</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45893</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45893</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45893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45893</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45893</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45893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45893</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45893</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45893</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45893</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45893</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45893</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45893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45893</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45893</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45893</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45893</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45893</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45893</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45893</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45893</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45893</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45893</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45893</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45893</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45893</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45893</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45893</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45893</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45893</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45893</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45893</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45893</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45893</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45893</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45893</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45893</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45893</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45893</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45893</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45893</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45893</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45893</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45893</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45893</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45893</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45893</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45893</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45893</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45893</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45893</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45893</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45893</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45893</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45893</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45893</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45893</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45893</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45893</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45893</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45893</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45893</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45893</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45893</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45893</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45893</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45893</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45893</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45893</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45893</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45893</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45893</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45893</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45893</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45893</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45893</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45893</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45893</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45893</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45893</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45893</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45893</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45893</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45893</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45893</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45893</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45893</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45893</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45893</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45893</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45893</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45893</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45893</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50371-2020</t>
        </is>
      </c>
      <c r="B172" s="1" t="n">
        <v>44110.44322916667</v>
      </c>
      <c r="C172" s="1" t="n">
        <v>45893</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45893</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62347-2020</t>
        </is>
      </c>
      <c r="B174" s="1" t="n">
        <v>44159</v>
      </c>
      <c r="C174" s="1" t="n">
        <v>45893</v>
      </c>
      <c r="D174" t="inlineStr">
        <is>
          <t>SKÅNE LÄN</t>
        </is>
      </c>
      <c r="E174" t="inlineStr">
        <is>
          <t>HÄSSLEHOLM</t>
        </is>
      </c>
      <c r="G174" t="n">
        <v>4</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45893</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45893</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57811-2020</t>
        </is>
      </c>
      <c r="B177" s="1" t="n">
        <v>44141</v>
      </c>
      <c r="C177" s="1" t="n">
        <v>45893</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56989-2021</t>
        </is>
      </c>
      <c r="B178" s="1" t="n">
        <v>44482</v>
      </c>
      <c r="C178" s="1" t="n">
        <v>45893</v>
      </c>
      <c r="D178" t="inlineStr">
        <is>
          <t>SKÅNE LÄN</t>
        </is>
      </c>
      <c r="E178" t="inlineStr">
        <is>
          <t>HÄSSLEHOLM</t>
        </is>
      </c>
      <c r="G178" t="n">
        <v>1.1</v>
      </c>
      <c r="H178" t="n">
        <v>0</v>
      </c>
      <c r="I178" t="n">
        <v>0</v>
      </c>
      <c r="J178" t="n">
        <v>0</v>
      </c>
      <c r="K178" t="n">
        <v>0</v>
      </c>
      <c r="L178" t="n">
        <v>0</v>
      </c>
      <c r="M178" t="n">
        <v>0</v>
      </c>
      <c r="N178" t="n">
        <v>0</v>
      </c>
      <c r="O178" t="n">
        <v>0</v>
      </c>
      <c r="P178" t="n">
        <v>0</v>
      </c>
      <c r="Q178" t="n">
        <v>0</v>
      </c>
      <c r="R178" s="2" t="inlineStr"/>
    </row>
    <row r="179" ht="15" customHeight="1">
      <c r="A179" t="inlineStr">
        <is>
          <t>A 51159-2021</t>
        </is>
      </c>
      <c r="B179" s="1" t="n">
        <v>44461</v>
      </c>
      <c r="C179" s="1" t="n">
        <v>45893</v>
      </c>
      <c r="D179" t="inlineStr">
        <is>
          <t>SKÅNE LÄN</t>
        </is>
      </c>
      <c r="E179" t="inlineStr">
        <is>
          <t>HÄSSLEHOLM</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59542-2020</t>
        </is>
      </c>
      <c r="B180" s="1" t="n">
        <v>44148</v>
      </c>
      <c r="C180" s="1" t="n">
        <v>45893</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23830-2021</t>
        </is>
      </c>
      <c r="B181" s="1" t="n">
        <v>44335</v>
      </c>
      <c r="C181" s="1" t="n">
        <v>45893</v>
      </c>
      <c r="D181" t="inlineStr">
        <is>
          <t>SKÅNE LÄN</t>
        </is>
      </c>
      <c r="E181" t="inlineStr">
        <is>
          <t>HÄSSLEHOLM</t>
        </is>
      </c>
      <c r="G181" t="n">
        <v>18.7</v>
      </c>
      <c r="H181" t="n">
        <v>0</v>
      </c>
      <c r="I181" t="n">
        <v>0</v>
      </c>
      <c r="J181" t="n">
        <v>0</v>
      </c>
      <c r="K181" t="n">
        <v>0</v>
      </c>
      <c r="L181" t="n">
        <v>0</v>
      </c>
      <c r="M181" t="n">
        <v>0</v>
      </c>
      <c r="N181" t="n">
        <v>0</v>
      </c>
      <c r="O181" t="n">
        <v>0</v>
      </c>
      <c r="P181" t="n">
        <v>0</v>
      </c>
      <c r="Q181" t="n">
        <v>0</v>
      </c>
      <c r="R181" s="2" t="inlineStr"/>
    </row>
    <row r="182" ht="15" customHeight="1">
      <c r="A182" t="inlineStr">
        <is>
          <t>A 25383-2021</t>
        </is>
      </c>
      <c r="B182" s="1" t="n">
        <v>44342</v>
      </c>
      <c r="C182" s="1" t="n">
        <v>45893</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58509-2020</t>
        </is>
      </c>
      <c r="B183" s="1" t="n">
        <v>44144</v>
      </c>
      <c r="C183" s="1" t="n">
        <v>45893</v>
      </c>
      <c r="D183" t="inlineStr">
        <is>
          <t>SKÅNE LÄN</t>
        </is>
      </c>
      <c r="E183" t="inlineStr">
        <is>
          <t>HÄSSLEHOLM</t>
        </is>
      </c>
      <c r="G183" t="n">
        <v>8.5</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45893</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45893</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23003-2021</t>
        </is>
      </c>
      <c r="B186" s="1" t="n">
        <v>44328</v>
      </c>
      <c r="C186" s="1" t="n">
        <v>45893</v>
      </c>
      <c r="D186" t="inlineStr">
        <is>
          <t>SKÅNE LÄN</t>
        </is>
      </c>
      <c r="E186" t="inlineStr">
        <is>
          <t>HÄSSLEHOLM</t>
        </is>
      </c>
      <c r="G186" t="n">
        <v>4.4</v>
      </c>
      <c r="H186" t="n">
        <v>0</v>
      </c>
      <c r="I186" t="n">
        <v>0</v>
      </c>
      <c r="J186" t="n">
        <v>0</v>
      </c>
      <c r="K186" t="n">
        <v>0</v>
      </c>
      <c r="L186" t="n">
        <v>0</v>
      </c>
      <c r="M186" t="n">
        <v>0</v>
      </c>
      <c r="N186" t="n">
        <v>0</v>
      </c>
      <c r="O186" t="n">
        <v>0</v>
      </c>
      <c r="P186" t="n">
        <v>0</v>
      </c>
      <c r="Q186" t="n">
        <v>0</v>
      </c>
      <c r="R186" s="2" t="inlineStr"/>
    </row>
    <row r="187" ht="15" customHeight="1">
      <c r="A187" t="inlineStr">
        <is>
          <t>A 27330-2021</t>
        </is>
      </c>
      <c r="B187" s="1" t="n">
        <v>44351</v>
      </c>
      <c r="C187" s="1" t="n">
        <v>45893</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11616-2021</t>
        </is>
      </c>
      <c r="B188" s="1" t="n">
        <v>44264.63064814815</v>
      </c>
      <c r="C188" s="1" t="n">
        <v>45893</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5091-2022</t>
        </is>
      </c>
      <c r="B189" s="1" t="n">
        <v>44593.85114583333</v>
      </c>
      <c r="C189" s="1" t="n">
        <v>45893</v>
      </c>
      <c r="D189" t="inlineStr">
        <is>
          <t>SKÅNE LÄN</t>
        </is>
      </c>
      <c r="E189" t="inlineStr">
        <is>
          <t>HÄSSLEHOLM</t>
        </is>
      </c>
      <c r="G189" t="n">
        <v>2.5</v>
      </c>
      <c r="H189" t="n">
        <v>0</v>
      </c>
      <c r="I189" t="n">
        <v>0</v>
      </c>
      <c r="J189" t="n">
        <v>0</v>
      </c>
      <c r="K189" t="n">
        <v>0</v>
      </c>
      <c r="L189" t="n">
        <v>0</v>
      </c>
      <c r="M189" t="n">
        <v>0</v>
      </c>
      <c r="N189" t="n">
        <v>0</v>
      </c>
      <c r="O189" t="n">
        <v>0</v>
      </c>
      <c r="P189" t="n">
        <v>0</v>
      </c>
      <c r="Q189" t="n">
        <v>0</v>
      </c>
      <c r="R189" s="2" t="inlineStr"/>
    </row>
    <row r="190" ht="15" customHeight="1">
      <c r="A190" t="inlineStr">
        <is>
          <t>A 51893-2021</t>
        </is>
      </c>
      <c r="B190" s="1" t="n">
        <v>44462</v>
      </c>
      <c r="C190" s="1" t="n">
        <v>45893</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59302-2020</t>
        </is>
      </c>
      <c r="B191" s="1" t="n">
        <v>44147</v>
      </c>
      <c r="C191" s="1" t="n">
        <v>45893</v>
      </c>
      <c r="D191" t="inlineStr">
        <is>
          <t>SKÅNE LÄN</t>
        </is>
      </c>
      <c r="E191" t="inlineStr">
        <is>
          <t>HÄSSLEHOLM</t>
        </is>
      </c>
      <c r="G191" t="n">
        <v>11.2</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45893</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55394-2022</t>
        </is>
      </c>
      <c r="B193" s="1" t="n">
        <v>44887.57112268519</v>
      </c>
      <c r="C193" s="1" t="n">
        <v>45893</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15986-2022</t>
        </is>
      </c>
      <c r="B194" s="1" t="n">
        <v>44664</v>
      </c>
      <c r="C194" s="1" t="n">
        <v>45893</v>
      </c>
      <c r="D194" t="inlineStr">
        <is>
          <t>SKÅNE LÄN</t>
        </is>
      </c>
      <c r="E194" t="inlineStr">
        <is>
          <t>HÄSSLEHOLM</t>
        </is>
      </c>
      <c r="F194" t="inlineStr">
        <is>
          <t>Kyrkan</t>
        </is>
      </c>
      <c r="G194" t="n">
        <v>6</v>
      </c>
      <c r="H194" t="n">
        <v>0</v>
      </c>
      <c r="I194" t="n">
        <v>0</v>
      </c>
      <c r="J194" t="n">
        <v>0</v>
      </c>
      <c r="K194" t="n">
        <v>0</v>
      </c>
      <c r="L194" t="n">
        <v>0</v>
      </c>
      <c r="M194" t="n">
        <v>0</v>
      </c>
      <c r="N194" t="n">
        <v>0</v>
      </c>
      <c r="O194" t="n">
        <v>0</v>
      </c>
      <c r="P194" t="n">
        <v>0</v>
      </c>
      <c r="Q194" t="n">
        <v>0</v>
      </c>
      <c r="R194" s="2" t="inlineStr"/>
    </row>
    <row r="195" ht="15" customHeight="1">
      <c r="A195" t="inlineStr">
        <is>
          <t>A 51888-2021</t>
        </is>
      </c>
      <c r="B195" s="1" t="n">
        <v>44462</v>
      </c>
      <c r="C195" s="1" t="n">
        <v>45893</v>
      </c>
      <c r="D195" t="inlineStr">
        <is>
          <t>SKÅNE LÄN</t>
        </is>
      </c>
      <c r="E195" t="inlineStr">
        <is>
          <t>HÄSSLEHOLM</t>
        </is>
      </c>
      <c r="G195" t="n">
        <v>5.6</v>
      </c>
      <c r="H195" t="n">
        <v>0</v>
      </c>
      <c r="I195" t="n">
        <v>0</v>
      </c>
      <c r="J195" t="n">
        <v>0</v>
      </c>
      <c r="K195" t="n">
        <v>0</v>
      </c>
      <c r="L195" t="n">
        <v>0</v>
      </c>
      <c r="M195" t="n">
        <v>0</v>
      </c>
      <c r="N195" t="n">
        <v>0</v>
      </c>
      <c r="O195" t="n">
        <v>0</v>
      </c>
      <c r="P195" t="n">
        <v>0</v>
      </c>
      <c r="Q195" t="n">
        <v>0</v>
      </c>
      <c r="R195" s="2" t="inlineStr"/>
    </row>
    <row r="196" ht="15" customHeight="1">
      <c r="A196" t="inlineStr">
        <is>
          <t>A 52786-2021</t>
        </is>
      </c>
      <c r="B196" s="1" t="n">
        <v>44467.36061342592</v>
      </c>
      <c r="C196" s="1" t="n">
        <v>45893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29143-2021</t>
        </is>
      </c>
      <c r="B197" s="1" t="n">
        <v>44358.6319212963</v>
      </c>
      <c r="C197" s="1" t="n">
        <v>45893</v>
      </c>
      <c r="D197" t="inlineStr">
        <is>
          <t>SKÅNE LÄN</t>
        </is>
      </c>
      <c r="E197" t="inlineStr">
        <is>
          <t>HÄSSLEHOLM</t>
        </is>
      </c>
      <c r="G197" t="n">
        <v>2.9</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45893</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44669-2022</t>
        </is>
      </c>
      <c r="B199" s="1" t="n">
        <v>44840</v>
      </c>
      <c r="C199" s="1" t="n">
        <v>45893</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45357-2022</t>
        </is>
      </c>
      <c r="B200" s="1" t="n">
        <v>44844.61952546296</v>
      </c>
      <c r="C200" s="1" t="n">
        <v>45893</v>
      </c>
      <c r="D200" t="inlineStr">
        <is>
          <t>SKÅNE LÄN</t>
        </is>
      </c>
      <c r="E200" t="inlineStr">
        <is>
          <t>HÄSSLEHOLM</t>
        </is>
      </c>
      <c r="G200" t="n">
        <v>5.8</v>
      </c>
      <c r="H200" t="n">
        <v>0</v>
      </c>
      <c r="I200" t="n">
        <v>0</v>
      </c>
      <c r="J200" t="n">
        <v>0</v>
      </c>
      <c r="K200" t="n">
        <v>0</v>
      </c>
      <c r="L200" t="n">
        <v>0</v>
      </c>
      <c r="M200" t="n">
        <v>0</v>
      </c>
      <c r="N200" t="n">
        <v>0</v>
      </c>
      <c r="O200" t="n">
        <v>0</v>
      </c>
      <c r="P200" t="n">
        <v>0</v>
      </c>
      <c r="Q200" t="n">
        <v>0</v>
      </c>
      <c r="R200" s="2" t="inlineStr"/>
    </row>
    <row r="201" ht="15" customHeight="1">
      <c r="A201" t="inlineStr">
        <is>
          <t>A 26386-2022</t>
        </is>
      </c>
      <c r="B201" s="1" t="n">
        <v>44735.6803125</v>
      </c>
      <c r="C201" s="1" t="n">
        <v>45893</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45893</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45989-2021</t>
        </is>
      </c>
      <c r="B203" s="1" t="n">
        <v>44441.74627314815</v>
      </c>
      <c r="C203" s="1" t="n">
        <v>45893</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45893</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354-2022</t>
        </is>
      </c>
      <c r="B205" s="1" t="n">
        <v>44565.62510416667</v>
      </c>
      <c r="C205" s="1" t="n">
        <v>45893</v>
      </c>
      <c r="D205" t="inlineStr">
        <is>
          <t>SKÅNE LÄN</t>
        </is>
      </c>
      <c r="E205" t="inlineStr">
        <is>
          <t>HÄSSLEHOLM</t>
        </is>
      </c>
      <c r="G205" t="n">
        <v>2.4</v>
      </c>
      <c r="H205" t="n">
        <v>0</v>
      </c>
      <c r="I205" t="n">
        <v>0</v>
      </c>
      <c r="J205" t="n">
        <v>0</v>
      </c>
      <c r="K205" t="n">
        <v>0</v>
      </c>
      <c r="L205" t="n">
        <v>0</v>
      </c>
      <c r="M205" t="n">
        <v>0</v>
      </c>
      <c r="N205" t="n">
        <v>0</v>
      </c>
      <c r="O205" t="n">
        <v>0</v>
      </c>
      <c r="P205" t="n">
        <v>0</v>
      </c>
      <c r="Q205" t="n">
        <v>0</v>
      </c>
      <c r="R205" s="2" t="inlineStr"/>
    </row>
    <row r="206" ht="15" customHeight="1">
      <c r="A206" t="inlineStr">
        <is>
          <t>A 25469-2022</t>
        </is>
      </c>
      <c r="B206" s="1" t="n">
        <v>44732</v>
      </c>
      <c r="C206" s="1" t="n">
        <v>45893</v>
      </c>
      <c r="D206" t="inlineStr">
        <is>
          <t>SKÅNE LÄN</t>
        </is>
      </c>
      <c r="E206" t="inlineStr">
        <is>
          <t>HÄSSLEHOLM</t>
        </is>
      </c>
      <c r="G206" t="n">
        <v>4.2</v>
      </c>
      <c r="H206" t="n">
        <v>0</v>
      </c>
      <c r="I206" t="n">
        <v>0</v>
      </c>
      <c r="J206" t="n">
        <v>0</v>
      </c>
      <c r="K206" t="n">
        <v>0</v>
      </c>
      <c r="L206" t="n">
        <v>0</v>
      </c>
      <c r="M206" t="n">
        <v>0</v>
      </c>
      <c r="N206" t="n">
        <v>0</v>
      </c>
      <c r="O206" t="n">
        <v>0</v>
      </c>
      <c r="P206" t="n">
        <v>0</v>
      </c>
      <c r="Q206" t="n">
        <v>0</v>
      </c>
      <c r="R206" s="2" t="inlineStr"/>
    </row>
    <row r="207" ht="15" customHeight="1">
      <c r="A207" t="inlineStr">
        <is>
          <t>A 32892-2021</t>
        </is>
      </c>
      <c r="B207" s="1" t="n">
        <v>44375</v>
      </c>
      <c r="C207" s="1" t="n">
        <v>45893</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73513-2021</t>
        </is>
      </c>
      <c r="B208" s="1" t="n">
        <v>44551.69012731482</v>
      </c>
      <c r="C208" s="1" t="n">
        <v>45893</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45893</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69198-2020</t>
        </is>
      </c>
      <c r="B210" s="1" t="n">
        <v>44191</v>
      </c>
      <c r="C210" s="1" t="n">
        <v>45893</v>
      </c>
      <c r="D210" t="inlineStr">
        <is>
          <t>SKÅNE LÄN</t>
        </is>
      </c>
      <c r="E210" t="inlineStr">
        <is>
          <t>HÄSSLEHOLM</t>
        </is>
      </c>
      <c r="G210" t="n">
        <v>6.6</v>
      </c>
      <c r="H210" t="n">
        <v>0</v>
      </c>
      <c r="I210" t="n">
        <v>0</v>
      </c>
      <c r="J210" t="n">
        <v>0</v>
      </c>
      <c r="K210" t="n">
        <v>0</v>
      </c>
      <c r="L210" t="n">
        <v>0</v>
      </c>
      <c r="M210" t="n">
        <v>0</v>
      </c>
      <c r="N210" t="n">
        <v>0</v>
      </c>
      <c r="O210" t="n">
        <v>0</v>
      </c>
      <c r="P210" t="n">
        <v>0</v>
      </c>
      <c r="Q210" t="n">
        <v>0</v>
      </c>
      <c r="R210" s="2" t="inlineStr"/>
    </row>
    <row r="211" ht="15" customHeight="1">
      <c r="A211" t="inlineStr">
        <is>
          <t>A 20510-2021</t>
        </is>
      </c>
      <c r="B211" s="1" t="n">
        <v>44315</v>
      </c>
      <c r="C211" s="1" t="n">
        <v>45893</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54362-2020</t>
        </is>
      </c>
      <c r="B212" s="1" t="n">
        <v>44126</v>
      </c>
      <c r="C212" s="1" t="n">
        <v>45893</v>
      </c>
      <c r="D212" t="inlineStr">
        <is>
          <t>SKÅNE LÄN</t>
        </is>
      </c>
      <c r="E212" t="inlineStr">
        <is>
          <t>HÄSSLEHOLM</t>
        </is>
      </c>
      <c r="G212" t="n">
        <v>4.5</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45893</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48792-2020</t>
        </is>
      </c>
      <c r="B214" s="1" t="n">
        <v>44103</v>
      </c>
      <c r="C214" s="1" t="n">
        <v>45893</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45893</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64826-2021</t>
        </is>
      </c>
      <c r="B216" s="1" t="n">
        <v>44512.55935185185</v>
      </c>
      <c r="C216" s="1" t="n">
        <v>45893</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45893</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2858-2022</t>
        </is>
      </c>
      <c r="B218" s="1" t="n">
        <v>44581</v>
      </c>
      <c r="C218" s="1" t="n">
        <v>45893</v>
      </c>
      <c r="D218" t="inlineStr">
        <is>
          <t>SKÅNE LÄN</t>
        </is>
      </c>
      <c r="E218" t="inlineStr">
        <is>
          <t>HÄSSLEHOLM</t>
        </is>
      </c>
      <c r="F218" t="inlineStr">
        <is>
          <t>Övriga Aktiebolag</t>
        </is>
      </c>
      <c r="G218" t="n">
        <v>1.3</v>
      </c>
      <c r="H218" t="n">
        <v>0</v>
      </c>
      <c r="I218" t="n">
        <v>0</v>
      </c>
      <c r="J218" t="n">
        <v>0</v>
      </c>
      <c r="K218" t="n">
        <v>0</v>
      </c>
      <c r="L218" t="n">
        <v>0</v>
      </c>
      <c r="M218" t="n">
        <v>0</v>
      </c>
      <c r="N218" t="n">
        <v>0</v>
      </c>
      <c r="O218" t="n">
        <v>0</v>
      </c>
      <c r="P218" t="n">
        <v>0</v>
      </c>
      <c r="Q218" t="n">
        <v>0</v>
      </c>
      <c r="R218" s="2" t="inlineStr"/>
    </row>
    <row r="219" ht="15" customHeight="1">
      <c r="A219" t="inlineStr">
        <is>
          <t>A 50372-2020</t>
        </is>
      </c>
      <c r="B219" s="1" t="n">
        <v>44110</v>
      </c>
      <c r="C219" s="1" t="n">
        <v>45893</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27959-2022</t>
        </is>
      </c>
      <c r="B220" s="1" t="n">
        <v>44744</v>
      </c>
      <c r="C220" s="1" t="n">
        <v>45893</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39102-2022</t>
        </is>
      </c>
      <c r="B221" s="1" t="n">
        <v>44817.43260416666</v>
      </c>
      <c r="C221" s="1" t="n">
        <v>45893</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45893</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47112-2021</t>
        </is>
      </c>
      <c r="B223" s="1" t="n">
        <v>44446</v>
      </c>
      <c r="C223" s="1" t="n">
        <v>45893</v>
      </c>
      <c r="D223" t="inlineStr">
        <is>
          <t>SKÅNE LÄN</t>
        </is>
      </c>
      <c r="E223" t="inlineStr">
        <is>
          <t>HÄSSLEHOLM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23967-2022</t>
        </is>
      </c>
      <c r="B224" s="1" t="n">
        <v>44722.74079861111</v>
      </c>
      <c r="C224" s="1" t="n">
        <v>45893</v>
      </c>
      <c r="D224" t="inlineStr">
        <is>
          <t>SKÅNE LÄN</t>
        </is>
      </c>
      <c r="E224" t="inlineStr">
        <is>
          <t>HÄSSLEHOLM</t>
        </is>
      </c>
      <c r="F224" t="inlineStr">
        <is>
          <t>Kyrkan</t>
        </is>
      </c>
      <c r="G224" t="n">
        <v>12.4</v>
      </c>
      <c r="H224" t="n">
        <v>0</v>
      </c>
      <c r="I224" t="n">
        <v>0</v>
      </c>
      <c r="J224" t="n">
        <v>0</v>
      </c>
      <c r="K224" t="n">
        <v>0</v>
      </c>
      <c r="L224" t="n">
        <v>0</v>
      </c>
      <c r="M224" t="n">
        <v>0</v>
      </c>
      <c r="N224" t="n">
        <v>0</v>
      </c>
      <c r="O224" t="n">
        <v>0</v>
      </c>
      <c r="P224" t="n">
        <v>0</v>
      </c>
      <c r="Q224" t="n">
        <v>0</v>
      </c>
      <c r="R224" s="2" t="inlineStr"/>
    </row>
    <row r="225" ht="15" customHeight="1">
      <c r="A225" t="inlineStr">
        <is>
          <t>A 60597-2020</t>
        </is>
      </c>
      <c r="B225" s="1" t="n">
        <v>44152</v>
      </c>
      <c r="C225" s="1" t="n">
        <v>45893</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69504-2020</t>
        </is>
      </c>
      <c r="B226" s="1" t="n">
        <v>44194</v>
      </c>
      <c r="C226" s="1" t="n">
        <v>45893</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62802-2020</t>
        </is>
      </c>
      <c r="B227" s="1" t="n">
        <v>44161</v>
      </c>
      <c r="C227" s="1" t="n">
        <v>45893</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6414-2022</t>
        </is>
      </c>
      <c r="B228" s="1" t="n">
        <v>44600</v>
      </c>
      <c r="C228" s="1" t="n">
        <v>45893</v>
      </c>
      <c r="D228" t="inlineStr">
        <is>
          <t>SKÅNE LÄN</t>
        </is>
      </c>
      <c r="E228" t="inlineStr">
        <is>
          <t>HÄSSLEHOLM</t>
        </is>
      </c>
      <c r="G228" t="n">
        <v>2.9</v>
      </c>
      <c r="H228" t="n">
        <v>0</v>
      </c>
      <c r="I228" t="n">
        <v>0</v>
      </c>
      <c r="J228" t="n">
        <v>0</v>
      </c>
      <c r="K228" t="n">
        <v>0</v>
      </c>
      <c r="L228" t="n">
        <v>0</v>
      </c>
      <c r="M228" t="n">
        <v>0</v>
      </c>
      <c r="N228" t="n">
        <v>0</v>
      </c>
      <c r="O228" t="n">
        <v>0</v>
      </c>
      <c r="P228" t="n">
        <v>0</v>
      </c>
      <c r="Q228" t="n">
        <v>0</v>
      </c>
      <c r="R228" s="2" t="inlineStr"/>
    </row>
    <row r="229" ht="15" customHeight="1">
      <c r="A229" t="inlineStr">
        <is>
          <t>A 43595-2020</t>
        </is>
      </c>
      <c r="B229" s="1" t="n">
        <v>44082</v>
      </c>
      <c r="C229" s="1" t="n">
        <v>45893</v>
      </c>
      <c r="D229" t="inlineStr">
        <is>
          <t>SKÅNE LÄN</t>
        </is>
      </c>
      <c r="E229" t="inlineStr">
        <is>
          <t>HÄSSLEHOLM</t>
        </is>
      </c>
      <c r="F229" t="inlineStr">
        <is>
          <t>Kyrkan</t>
        </is>
      </c>
      <c r="G229" t="n">
        <v>1.4</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45893</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8177-2022</t>
        </is>
      </c>
      <c r="B231" s="1" t="n">
        <v>44607</v>
      </c>
      <c r="C231" s="1" t="n">
        <v>45893</v>
      </c>
      <c r="D231" t="inlineStr">
        <is>
          <t>SKÅNE LÄN</t>
        </is>
      </c>
      <c r="E231" t="inlineStr">
        <is>
          <t>HÄSSLEHOLM</t>
        </is>
      </c>
      <c r="F231" t="inlineStr">
        <is>
          <t>Kyrkan</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25464-2022</t>
        </is>
      </c>
      <c r="B232" s="1" t="n">
        <v>44729</v>
      </c>
      <c r="C232" s="1" t="n">
        <v>45893</v>
      </c>
      <c r="D232" t="inlineStr">
        <is>
          <t>SKÅNE LÄN</t>
        </is>
      </c>
      <c r="E232" t="inlineStr">
        <is>
          <t>HÄSSLEHOLM</t>
        </is>
      </c>
      <c r="G232" t="n">
        <v>21</v>
      </c>
      <c r="H232" t="n">
        <v>0</v>
      </c>
      <c r="I232" t="n">
        <v>0</v>
      </c>
      <c r="J232" t="n">
        <v>0</v>
      </c>
      <c r="K232" t="n">
        <v>0</v>
      </c>
      <c r="L232" t="n">
        <v>0</v>
      </c>
      <c r="M232" t="n">
        <v>0</v>
      </c>
      <c r="N232" t="n">
        <v>0</v>
      </c>
      <c r="O232" t="n">
        <v>0</v>
      </c>
      <c r="P232" t="n">
        <v>0</v>
      </c>
      <c r="Q232" t="n">
        <v>0</v>
      </c>
      <c r="R232" s="2" t="inlineStr"/>
    </row>
    <row r="233" ht="15" customHeight="1">
      <c r="A233" t="inlineStr">
        <is>
          <t>A 45814-2020</t>
        </is>
      </c>
      <c r="B233" s="1" t="n">
        <v>44090.8908912037</v>
      </c>
      <c r="C233" s="1" t="n">
        <v>45893</v>
      </c>
      <c r="D233" t="inlineStr">
        <is>
          <t>SKÅNE LÄN</t>
        </is>
      </c>
      <c r="E233" t="inlineStr">
        <is>
          <t>HÄSSLEHOLM</t>
        </is>
      </c>
      <c r="G233" t="n">
        <v>0.2</v>
      </c>
      <c r="H233" t="n">
        <v>0</v>
      </c>
      <c r="I233" t="n">
        <v>0</v>
      </c>
      <c r="J233" t="n">
        <v>0</v>
      </c>
      <c r="K233" t="n">
        <v>0</v>
      </c>
      <c r="L233" t="n">
        <v>0</v>
      </c>
      <c r="M233" t="n">
        <v>0</v>
      </c>
      <c r="N233" t="n">
        <v>0</v>
      </c>
      <c r="O233" t="n">
        <v>0</v>
      </c>
      <c r="P233" t="n">
        <v>0</v>
      </c>
      <c r="Q233" t="n">
        <v>0</v>
      </c>
      <c r="R233" s="2" t="inlineStr"/>
    </row>
    <row r="234" ht="15" customHeight="1">
      <c r="A234" t="inlineStr">
        <is>
          <t>A 45815-2020</t>
        </is>
      </c>
      <c r="B234" s="1" t="n">
        <v>44090.9071875</v>
      </c>
      <c r="C234" s="1" t="n">
        <v>45893</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46479-2020</t>
        </is>
      </c>
      <c r="B235" s="1" t="n">
        <v>44095</v>
      </c>
      <c r="C235" s="1" t="n">
        <v>45893</v>
      </c>
      <c r="D235" t="inlineStr">
        <is>
          <t>SKÅNE LÄN</t>
        </is>
      </c>
      <c r="E235" t="inlineStr">
        <is>
          <t>HÄSSLEHOLM</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57807-2020</t>
        </is>
      </c>
      <c r="B236" s="1" t="n">
        <v>44141</v>
      </c>
      <c r="C236" s="1" t="n">
        <v>45893</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61216-2020</t>
        </is>
      </c>
      <c r="B237" s="1" t="n">
        <v>44155</v>
      </c>
      <c r="C237" s="1" t="n">
        <v>45893</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6965-2021</t>
        </is>
      </c>
      <c r="B238" s="1" t="n">
        <v>44237</v>
      </c>
      <c r="C238" s="1" t="n">
        <v>45893</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6967-2021</t>
        </is>
      </c>
      <c r="B239" s="1" t="n">
        <v>44237</v>
      </c>
      <c r="C239" s="1" t="n">
        <v>45893</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30344-2022</t>
        </is>
      </c>
      <c r="B240" s="1" t="n">
        <v>44760.50783564815</v>
      </c>
      <c r="C240" s="1" t="n">
        <v>45893</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56431-2021</t>
        </is>
      </c>
      <c r="B241" s="1" t="n">
        <v>44480</v>
      </c>
      <c r="C241" s="1" t="n">
        <v>45893</v>
      </c>
      <c r="D241" t="inlineStr">
        <is>
          <t>SKÅNE LÄN</t>
        </is>
      </c>
      <c r="E241" t="inlineStr">
        <is>
          <t>HÄSSLEHOLM</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45893</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418-2022</t>
        </is>
      </c>
      <c r="B243" s="1" t="n">
        <v>44565.84958333334</v>
      </c>
      <c r="C243" s="1" t="n">
        <v>45893</v>
      </c>
      <c r="D243" t="inlineStr">
        <is>
          <t>SKÅNE LÄN</t>
        </is>
      </c>
      <c r="E243" t="inlineStr">
        <is>
          <t>HÄSSLEHOLM</t>
        </is>
      </c>
      <c r="G243" t="n">
        <v>0</v>
      </c>
      <c r="H243" t="n">
        <v>0</v>
      </c>
      <c r="I243" t="n">
        <v>0</v>
      </c>
      <c r="J243" t="n">
        <v>0</v>
      </c>
      <c r="K243" t="n">
        <v>0</v>
      </c>
      <c r="L243" t="n">
        <v>0</v>
      </c>
      <c r="M243" t="n">
        <v>0</v>
      </c>
      <c r="N243" t="n">
        <v>0</v>
      </c>
      <c r="O243" t="n">
        <v>0</v>
      </c>
      <c r="P243" t="n">
        <v>0</v>
      </c>
      <c r="Q243" t="n">
        <v>0</v>
      </c>
      <c r="R243" s="2" t="inlineStr"/>
    </row>
    <row r="244" ht="15" customHeight="1">
      <c r="A244" t="inlineStr">
        <is>
          <t>A 56527-2021</t>
        </is>
      </c>
      <c r="B244" s="1" t="n">
        <v>44480</v>
      </c>
      <c r="C244" s="1" t="n">
        <v>45893</v>
      </c>
      <c r="D244" t="inlineStr">
        <is>
          <t>SKÅNE LÄN</t>
        </is>
      </c>
      <c r="E244" t="inlineStr">
        <is>
          <t>HÄSSLEHOLM</t>
        </is>
      </c>
      <c r="F244" t="inlineStr">
        <is>
          <t>Kyrkan</t>
        </is>
      </c>
      <c r="G244" t="n">
        <v>2.7</v>
      </c>
      <c r="H244" t="n">
        <v>0</v>
      </c>
      <c r="I244" t="n">
        <v>0</v>
      </c>
      <c r="J244" t="n">
        <v>0</v>
      </c>
      <c r="K244" t="n">
        <v>0</v>
      </c>
      <c r="L244" t="n">
        <v>0</v>
      </c>
      <c r="M244" t="n">
        <v>0</v>
      </c>
      <c r="N244" t="n">
        <v>0</v>
      </c>
      <c r="O244" t="n">
        <v>0</v>
      </c>
      <c r="P244" t="n">
        <v>0</v>
      </c>
      <c r="Q244" t="n">
        <v>0</v>
      </c>
      <c r="R244" s="2" t="inlineStr"/>
    </row>
    <row r="245" ht="15" customHeight="1">
      <c r="A245" t="inlineStr">
        <is>
          <t>A 47121-2020</t>
        </is>
      </c>
      <c r="B245" s="1" t="n">
        <v>44096</v>
      </c>
      <c r="C245" s="1" t="n">
        <v>45893</v>
      </c>
      <c r="D245" t="inlineStr">
        <is>
          <t>SKÅNE LÄN</t>
        </is>
      </c>
      <c r="E245" t="inlineStr">
        <is>
          <t>HÄSSLEHOLM</t>
        </is>
      </c>
      <c r="G245" t="n">
        <v>3.6</v>
      </c>
      <c r="H245" t="n">
        <v>0</v>
      </c>
      <c r="I245" t="n">
        <v>0</v>
      </c>
      <c r="J245" t="n">
        <v>0</v>
      </c>
      <c r="K245" t="n">
        <v>0</v>
      </c>
      <c r="L245" t="n">
        <v>0</v>
      </c>
      <c r="M245" t="n">
        <v>0</v>
      </c>
      <c r="N245" t="n">
        <v>0</v>
      </c>
      <c r="O245" t="n">
        <v>0</v>
      </c>
      <c r="P245" t="n">
        <v>0</v>
      </c>
      <c r="Q245" t="n">
        <v>0</v>
      </c>
      <c r="R245" s="2" t="inlineStr"/>
    </row>
    <row r="246" ht="15" customHeight="1">
      <c r="A246" t="inlineStr">
        <is>
          <t>A 69505-2020</t>
        </is>
      </c>
      <c r="B246" s="1" t="n">
        <v>44194</v>
      </c>
      <c r="C246" s="1" t="n">
        <v>45893</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3992-2022</t>
        </is>
      </c>
      <c r="B247" s="1" t="n">
        <v>44587</v>
      </c>
      <c r="C247" s="1" t="n">
        <v>45893</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45893</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52567-2021</t>
        </is>
      </c>
      <c r="B249" s="1" t="n">
        <v>44466</v>
      </c>
      <c r="C249" s="1" t="n">
        <v>45893</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62782-2020</t>
        </is>
      </c>
      <c r="B250" s="1" t="n">
        <v>44161</v>
      </c>
      <c r="C250" s="1" t="n">
        <v>45893</v>
      </c>
      <c r="D250" t="inlineStr">
        <is>
          <t>SKÅNE LÄN</t>
        </is>
      </c>
      <c r="E250" t="inlineStr">
        <is>
          <t>HÄSSLEHOLM</t>
        </is>
      </c>
      <c r="F250" t="inlineStr">
        <is>
          <t>Kyrkan</t>
        </is>
      </c>
      <c r="G250" t="n">
        <v>1.6</v>
      </c>
      <c r="H250" t="n">
        <v>0</v>
      </c>
      <c r="I250" t="n">
        <v>0</v>
      </c>
      <c r="J250" t="n">
        <v>0</v>
      </c>
      <c r="K250" t="n">
        <v>0</v>
      </c>
      <c r="L250" t="n">
        <v>0</v>
      </c>
      <c r="M250" t="n">
        <v>0</v>
      </c>
      <c r="N250" t="n">
        <v>0</v>
      </c>
      <c r="O250" t="n">
        <v>0</v>
      </c>
      <c r="P250" t="n">
        <v>0</v>
      </c>
      <c r="Q250" t="n">
        <v>0</v>
      </c>
      <c r="R250" s="2" t="inlineStr"/>
    </row>
    <row r="251" ht="15" customHeight="1">
      <c r="A251" t="inlineStr">
        <is>
          <t>A 20657-2022</t>
        </is>
      </c>
      <c r="B251" s="1" t="n">
        <v>44700</v>
      </c>
      <c r="C251" s="1" t="n">
        <v>45893</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43045-2020</t>
        </is>
      </c>
      <c r="B252" s="1" t="n">
        <v>44078</v>
      </c>
      <c r="C252" s="1" t="n">
        <v>45893</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74297-2021</t>
        </is>
      </c>
      <c r="B253" s="1" t="n">
        <v>44558</v>
      </c>
      <c r="C253" s="1" t="n">
        <v>45893</v>
      </c>
      <c r="D253" t="inlineStr">
        <is>
          <t>SKÅNE LÄN</t>
        </is>
      </c>
      <c r="E253" t="inlineStr">
        <is>
          <t>HÄSSLEHOLM</t>
        </is>
      </c>
      <c r="F253" t="inlineStr">
        <is>
          <t>Kyrkan</t>
        </is>
      </c>
      <c r="G253" t="n">
        <v>3.8</v>
      </c>
      <c r="H253" t="n">
        <v>0</v>
      </c>
      <c r="I253" t="n">
        <v>0</v>
      </c>
      <c r="J253" t="n">
        <v>0</v>
      </c>
      <c r="K253" t="n">
        <v>0</v>
      </c>
      <c r="L253" t="n">
        <v>0</v>
      </c>
      <c r="M253" t="n">
        <v>0</v>
      </c>
      <c r="N253" t="n">
        <v>0</v>
      </c>
      <c r="O253" t="n">
        <v>0</v>
      </c>
      <c r="P253" t="n">
        <v>0</v>
      </c>
      <c r="Q253" t="n">
        <v>0</v>
      </c>
      <c r="R253" s="2" t="inlineStr"/>
    </row>
    <row r="254" ht="15" customHeight="1">
      <c r="A254" t="inlineStr">
        <is>
          <t>A 2514-2021</t>
        </is>
      </c>
      <c r="B254" s="1" t="n">
        <v>44214</v>
      </c>
      <c r="C254" s="1" t="n">
        <v>45893</v>
      </c>
      <c r="D254" t="inlineStr">
        <is>
          <t>SKÅNE LÄN</t>
        </is>
      </c>
      <c r="E254" t="inlineStr">
        <is>
          <t>HÄSSLEHOLM</t>
        </is>
      </c>
      <c r="G254" t="n">
        <v>2.3</v>
      </c>
      <c r="H254" t="n">
        <v>0</v>
      </c>
      <c r="I254" t="n">
        <v>0</v>
      </c>
      <c r="J254" t="n">
        <v>0</v>
      </c>
      <c r="K254" t="n">
        <v>0</v>
      </c>
      <c r="L254" t="n">
        <v>0</v>
      </c>
      <c r="M254" t="n">
        <v>0</v>
      </c>
      <c r="N254" t="n">
        <v>0</v>
      </c>
      <c r="O254" t="n">
        <v>0</v>
      </c>
      <c r="P254" t="n">
        <v>0</v>
      </c>
      <c r="Q254" t="n">
        <v>0</v>
      </c>
      <c r="R254" s="2" t="inlineStr"/>
    </row>
    <row r="255" ht="15" customHeight="1">
      <c r="A255" t="inlineStr">
        <is>
          <t>A 7904-2022</t>
        </is>
      </c>
      <c r="B255" s="1" t="n">
        <v>44607</v>
      </c>
      <c r="C255" s="1" t="n">
        <v>45893</v>
      </c>
      <c r="D255" t="inlineStr">
        <is>
          <t>SKÅNE LÄN</t>
        </is>
      </c>
      <c r="E255" t="inlineStr">
        <is>
          <t>HÄSSLEHOLM</t>
        </is>
      </c>
      <c r="F255" t="inlineStr">
        <is>
          <t>Kyrkan</t>
        </is>
      </c>
      <c r="G255" t="n">
        <v>3.9</v>
      </c>
      <c r="H255" t="n">
        <v>0</v>
      </c>
      <c r="I255" t="n">
        <v>0</v>
      </c>
      <c r="J255" t="n">
        <v>0</v>
      </c>
      <c r="K255" t="n">
        <v>0</v>
      </c>
      <c r="L255" t="n">
        <v>0</v>
      </c>
      <c r="M255" t="n">
        <v>0</v>
      </c>
      <c r="N255" t="n">
        <v>0</v>
      </c>
      <c r="O255" t="n">
        <v>0</v>
      </c>
      <c r="P255" t="n">
        <v>0</v>
      </c>
      <c r="Q255" t="n">
        <v>0</v>
      </c>
      <c r="R255" s="2" t="inlineStr"/>
    </row>
    <row r="256" ht="15" customHeight="1">
      <c r="A256" t="inlineStr">
        <is>
          <t>A 9453-2021</t>
        </is>
      </c>
      <c r="B256" s="1" t="n">
        <v>44251</v>
      </c>
      <c r="C256" s="1" t="n">
        <v>45893</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3930-2021</t>
        </is>
      </c>
      <c r="B257" s="1" t="n">
        <v>44222</v>
      </c>
      <c r="C257" s="1" t="n">
        <v>45893</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61170-2022</t>
        </is>
      </c>
      <c r="B258" s="1" t="n">
        <v>44915.48543981482</v>
      </c>
      <c r="C258" s="1" t="n">
        <v>45893</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23956-2023</t>
        </is>
      </c>
      <c r="B259" s="1" t="n">
        <v>45078.62302083334</v>
      </c>
      <c r="C259" s="1" t="n">
        <v>45893</v>
      </c>
      <c r="D259" t="inlineStr">
        <is>
          <t>SKÅNE LÄN</t>
        </is>
      </c>
      <c r="E259" t="inlineStr">
        <is>
          <t>HÄSSLEHOLM</t>
        </is>
      </c>
      <c r="G259" t="n">
        <v>0.1</v>
      </c>
      <c r="H259" t="n">
        <v>0</v>
      </c>
      <c r="I259" t="n">
        <v>0</v>
      </c>
      <c r="J259" t="n">
        <v>0</v>
      </c>
      <c r="K259" t="n">
        <v>0</v>
      </c>
      <c r="L259" t="n">
        <v>0</v>
      </c>
      <c r="M259" t="n">
        <v>0</v>
      </c>
      <c r="N259" t="n">
        <v>0</v>
      </c>
      <c r="O259" t="n">
        <v>0</v>
      </c>
      <c r="P259" t="n">
        <v>0</v>
      </c>
      <c r="Q259" t="n">
        <v>0</v>
      </c>
      <c r="R259" s="2" t="inlineStr"/>
    </row>
    <row r="260" ht="15" customHeight="1">
      <c r="A260" t="inlineStr">
        <is>
          <t>A 7250-2022</t>
        </is>
      </c>
      <c r="B260" s="1" t="n">
        <v>44606</v>
      </c>
      <c r="C260" s="1" t="n">
        <v>45893</v>
      </c>
      <c r="D260" t="inlineStr">
        <is>
          <t>SKÅNE LÄN</t>
        </is>
      </c>
      <c r="E260" t="inlineStr">
        <is>
          <t>HÄSSLEHOLM</t>
        </is>
      </c>
      <c r="F260" t="inlineStr">
        <is>
          <t>Övriga Aktiebolag</t>
        </is>
      </c>
      <c r="G260" t="n">
        <v>2.6</v>
      </c>
      <c r="H260" t="n">
        <v>0</v>
      </c>
      <c r="I260" t="n">
        <v>0</v>
      </c>
      <c r="J260" t="n">
        <v>0</v>
      </c>
      <c r="K260" t="n">
        <v>0</v>
      </c>
      <c r="L260" t="n">
        <v>0</v>
      </c>
      <c r="M260" t="n">
        <v>0</v>
      </c>
      <c r="N260" t="n">
        <v>0</v>
      </c>
      <c r="O260" t="n">
        <v>0</v>
      </c>
      <c r="P260" t="n">
        <v>0</v>
      </c>
      <c r="Q260" t="n">
        <v>0</v>
      </c>
      <c r="R260" s="2" t="inlineStr"/>
    </row>
    <row r="261" ht="15" customHeight="1">
      <c r="A261" t="inlineStr">
        <is>
          <t>A 52295-2021</t>
        </is>
      </c>
      <c r="B261" s="1" t="n">
        <v>44463</v>
      </c>
      <c r="C261" s="1" t="n">
        <v>45893</v>
      </c>
      <c r="D261" t="inlineStr">
        <is>
          <t>SKÅNE LÄN</t>
        </is>
      </c>
      <c r="E261" t="inlineStr">
        <is>
          <t>HÄSSLEHOLM</t>
        </is>
      </c>
      <c r="G261" t="n">
        <v>0.3</v>
      </c>
      <c r="H261" t="n">
        <v>0</v>
      </c>
      <c r="I261" t="n">
        <v>0</v>
      </c>
      <c r="J261" t="n">
        <v>0</v>
      </c>
      <c r="K261" t="n">
        <v>0</v>
      </c>
      <c r="L261" t="n">
        <v>0</v>
      </c>
      <c r="M261" t="n">
        <v>0</v>
      </c>
      <c r="N261" t="n">
        <v>0</v>
      </c>
      <c r="O261" t="n">
        <v>0</v>
      </c>
      <c r="P261" t="n">
        <v>0</v>
      </c>
      <c r="Q261" t="n">
        <v>0</v>
      </c>
      <c r="R261" s="2" t="inlineStr"/>
    </row>
    <row r="262" ht="15" customHeight="1">
      <c r="A262" t="inlineStr">
        <is>
          <t>A 6973-2021</t>
        </is>
      </c>
      <c r="B262" s="1" t="n">
        <v>44237</v>
      </c>
      <c r="C262" s="1" t="n">
        <v>45893</v>
      </c>
      <c r="D262" t="inlineStr">
        <is>
          <t>SKÅNE LÄN</t>
        </is>
      </c>
      <c r="E262" t="inlineStr">
        <is>
          <t>HÄSSLEHOLM</t>
        </is>
      </c>
      <c r="G262" t="n">
        <v>0.4</v>
      </c>
      <c r="H262" t="n">
        <v>0</v>
      </c>
      <c r="I262" t="n">
        <v>0</v>
      </c>
      <c r="J262" t="n">
        <v>0</v>
      </c>
      <c r="K262" t="n">
        <v>0</v>
      </c>
      <c r="L262" t="n">
        <v>0</v>
      </c>
      <c r="M262" t="n">
        <v>0</v>
      </c>
      <c r="N262" t="n">
        <v>0</v>
      </c>
      <c r="O262" t="n">
        <v>0</v>
      </c>
      <c r="P262" t="n">
        <v>0</v>
      </c>
      <c r="Q262" t="n">
        <v>0</v>
      </c>
      <c r="R262" s="2" t="inlineStr"/>
    </row>
    <row r="263" ht="15" customHeight="1">
      <c r="A263" t="inlineStr">
        <is>
          <t>A 51895-2021</t>
        </is>
      </c>
      <c r="B263" s="1" t="n">
        <v>44462</v>
      </c>
      <c r="C263" s="1" t="n">
        <v>45893</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68909-2021</t>
        </is>
      </c>
      <c r="B264" s="1" t="n">
        <v>44530.46730324074</v>
      </c>
      <c r="C264" s="1" t="n">
        <v>45893</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58268-2024</t>
        </is>
      </c>
      <c r="B265" s="1" t="n">
        <v>45632.56893518518</v>
      </c>
      <c r="C265" s="1" t="n">
        <v>45893</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49219-2024</t>
        </is>
      </c>
      <c r="B266" s="1" t="n">
        <v>45595.40923611111</v>
      </c>
      <c r="C266" s="1" t="n">
        <v>45893</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14674-2025</t>
        </is>
      </c>
      <c r="B267" s="1" t="n">
        <v>45742.55548611111</v>
      </c>
      <c r="C267" s="1" t="n">
        <v>45893</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14702-2025</t>
        </is>
      </c>
      <c r="B268" s="1" t="n">
        <v>45742.60403935185</v>
      </c>
      <c r="C268" s="1" t="n">
        <v>45893</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16388-2025</t>
        </is>
      </c>
      <c r="B269" s="1" t="n">
        <v>45751.42787037037</v>
      </c>
      <c r="C269" s="1" t="n">
        <v>45893</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13646-2024</t>
        </is>
      </c>
      <c r="B270" s="1" t="n">
        <v>45387</v>
      </c>
      <c r="C270" s="1" t="n">
        <v>45893</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4750-2024</t>
        </is>
      </c>
      <c r="B271" s="1" t="n">
        <v>45328</v>
      </c>
      <c r="C271" s="1" t="n">
        <v>45893</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23950-2023</t>
        </is>
      </c>
      <c r="B272" s="1" t="n">
        <v>45078.61771990741</v>
      </c>
      <c r="C272" s="1" t="n">
        <v>45893</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23952-2023</t>
        </is>
      </c>
      <c r="B273" s="1" t="n">
        <v>45078.62064814815</v>
      </c>
      <c r="C273" s="1" t="n">
        <v>45893</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35974-2022</t>
        </is>
      </c>
      <c r="B274" s="1" t="n">
        <v>44802</v>
      </c>
      <c r="C274" s="1" t="n">
        <v>45893</v>
      </c>
      <c r="D274" t="inlineStr">
        <is>
          <t>SKÅNE LÄN</t>
        </is>
      </c>
      <c r="E274" t="inlineStr">
        <is>
          <t>HÄSSLEHOLM</t>
        </is>
      </c>
      <c r="G274" t="n">
        <v>3.8</v>
      </c>
      <c r="H274" t="n">
        <v>0</v>
      </c>
      <c r="I274" t="n">
        <v>0</v>
      </c>
      <c r="J274" t="n">
        <v>0</v>
      </c>
      <c r="K274" t="n">
        <v>0</v>
      </c>
      <c r="L274" t="n">
        <v>0</v>
      </c>
      <c r="M274" t="n">
        <v>0</v>
      </c>
      <c r="N274" t="n">
        <v>0</v>
      </c>
      <c r="O274" t="n">
        <v>0</v>
      </c>
      <c r="P274" t="n">
        <v>0</v>
      </c>
      <c r="Q274" t="n">
        <v>0</v>
      </c>
      <c r="R274" s="2" t="inlineStr"/>
    </row>
    <row r="275" ht="15" customHeight="1">
      <c r="A275" t="inlineStr">
        <is>
          <t>A 1619-2022</t>
        </is>
      </c>
      <c r="B275" s="1" t="n">
        <v>44573</v>
      </c>
      <c r="C275" s="1" t="n">
        <v>45893</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41874-2024</t>
        </is>
      </c>
      <c r="B276" s="1" t="n">
        <v>45561</v>
      </c>
      <c r="C276" s="1" t="n">
        <v>45893</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58891-2022</t>
        </is>
      </c>
      <c r="B277" s="1" t="n">
        <v>44896</v>
      </c>
      <c r="C277" s="1" t="n">
        <v>45893</v>
      </c>
      <c r="D277" t="inlineStr">
        <is>
          <t>SKÅNE LÄN</t>
        </is>
      </c>
      <c r="E277" t="inlineStr">
        <is>
          <t>HÄSSLEHOLM</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43629-2023</t>
        </is>
      </c>
      <c r="B278" s="1" t="n">
        <v>45184</v>
      </c>
      <c r="C278" s="1" t="n">
        <v>45893</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41680-2024</t>
        </is>
      </c>
      <c r="B279" s="1" t="n">
        <v>45560</v>
      </c>
      <c r="C279" s="1" t="n">
        <v>45893</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55284-2023</t>
        </is>
      </c>
      <c r="B280" s="1" t="n">
        <v>45237.74259259259</v>
      </c>
      <c r="C280" s="1" t="n">
        <v>45893</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13990-2022</t>
        </is>
      </c>
      <c r="B281" s="1" t="n">
        <v>44650</v>
      </c>
      <c r="C281" s="1" t="n">
        <v>45893</v>
      </c>
      <c r="D281" t="inlineStr">
        <is>
          <t>SKÅNE LÄN</t>
        </is>
      </c>
      <c r="E281" t="inlineStr">
        <is>
          <t>HÄSSLEHOLM</t>
        </is>
      </c>
      <c r="G281" t="n">
        <v>3.6</v>
      </c>
      <c r="H281" t="n">
        <v>0</v>
      </c>
      <c r="I281" t="n">
        <v>0</v>
      </c>
      <c r="J281" t="n">
        <v>0</v>
      </c>
      <c r="K281" t="n">
        <v>0</v>
      </c>
      <c r="L281" t="n">
        <v>0</v>
      </c>
      <c r="M281" t="n">
        <v>0</v>
      </c>
      <c r="N281" t="n">
        <v>0</v>
      </c>
      <c r="O281" t="n">
        <v>0</v>
      </c>
      <c r="P281" t="n">
        <v>0</v>
      </c>
      <c r="Q281" t="n">
        <v>0</v>
      </c>
      <c r="R281" s="2" t="inlineStr"/>
    </row>
    <row r="282" ht="15" customHeight="1">
      <c r="A282" t="inlineStr">
        <is>
          <t>A 7890-2024</t>
        </is>
      </c>
      <c r="B282" s="1" t="n">
        <v>45350.40780092592</v>
      </c>
      <c r="C282" s="1" t="n">
        <v>45893</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36568-2024</t>
        </is>
      </c>
      <c r="B283" s="1" t="n">
        <v>45537</v>
      </c>
      <c r="C283" s="1" t="n">
        <v>45893</v>
      </c>
      <c r="D283" t="inlineStr">
        <is>
          <t>SKÅNE LÄN</t>
        </is>
      </c>
      <c r="E283" t="inlineStr">
        <is>
          <t>HÄSSLEHOLM</t>
        </is>
      </c>
      <c r="G283" t="n">
        <v>4.3</v>
      </c>
      <c r="H283" t="n">
        <v>0</v>
      </c>
      <c r="I283" t="n">
        <v>0</v>
      </c>
      <c r="J283" t="n">
        <v>0</v>
      </c>
      <c r="K283" t="n">
        <v>0</v>
      </c>
      <c r="L283" t="n">
        <v>0</v>
      </c>
      <c r="M283" t="n">
        <v>0</v>
      </c>
      <c r="N283" t="n">
        <v>0</v>
      </c>
      <c r="O283" t="n">
        <v>0</v>
      </c>
      <c r="P283" t="n">
        <v>0</v>
      </c>
      <c r="Q283" t="n">
        <v>0</v>
      </c>
      <c r="R283" s="2" t="inlineStr"/>
    </row>
    <row r="284" ht="15" customHeight="1">
      <c r="A284" t="inlineStr">
        <is>
          <t>A 9323-2025</t>
        </is>
      </c>
      <c r="B284" s="1" t="n">
        <v>45714.73532407408</v>
      </c>
      <c r="C284" s="1" t="n">
        <v>45893</v>
      </c>
      <c r="D284" t="inlineStr">
        <is>
          <t>SKÅNE LÄN</t>
        </is>
      </c>
      <c r="E284" t="inlineStr">
        <is>
          <t>HÄSSLEHOLM</t>
        </is>
      </c>
      <c r="G284" t="n">
        <v>5.2</v>
      </c>
      <c r="H284" t="n">
        <v>0</v>
      </c>
      <c r="I284" t="n">
        <v>0</v>
      </c>
      <c r="J284" t="n">
        <v>0</v>
      </c>
      <c r="K284" t="n">
        <v>0</v>
      </c>
      <c r="L284" t="n">
        <v>0</v>
      </c>
      <c r="M284" t="n">
        <v>0</v>
      </c>
      <c r="N284" t="n">
        <v>0</v>
      </c>
      <c r="O284" t="n">
        <v>0</v>
      </c>
      <c r="P284" t="n">
        <v>0</v>
      </c>
      <c r="Q284" t="n">
        <v>0</v>
      </c>
      <c r="R284" s="2" t="inlineStr"/>
    </row>
    <row r="285" ht="15" customHeight="1">
      <c r="A285" t="inlineStr">
        <is>
          <t>A 19593-2023</t>
        </is>
      </c>
      <c r="B285" s="1" t="n">
        <v>45050.75895833333</v>
      </c>
      <c r="C285" s="1" t="n">
        <v>45893</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24241-2023</t>
        </is>
      </c>
      <c r="B286" s="1" t="n">
        <v>45079.61476851852</v>
      </c>
      <c r="C286" s="1" t="n">
        <v>45893</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21310-2022</t>
        </is>
      </c>
      <c r="B287" s="1" t="n">
        <v>44705</v>
      </c>
      <c r="C287" s="1" t="n">
        <v>45893</v>
      </c>
      <c r="D287" t="inlineStr">
        <is>
          <t>SKÅNE LÄN</t>
        </is>
      </c>
      <c r="E287" t="inlineStr">
        <is>
          <t>HÄSSLEHOLM</t>
        </is>
      </c>
      <c r="G287" t="n">
        <v>1</v>
      </c>
      <c r="H287" t="n">
        <v>0</v>
      </c>
      <c r="I287" t="n">
        <v>0</v>
      </c>
      <c r="J287" t="n">
        <v>0</v>
      </c>
      <c r="K287" t="n">
        <v>0</v>
      </c>
      <c r="L287" t="n">
        <v>0</v>
      </c>
      <c r="M287" t="n">
        <v>0</v>
      </c>
      <c r="N287" t="n">
        <v>0</v>
      </c>
      <c r="O287" t="n">
        <v>0</v>
      </c>
      <c r="P287" t="n">
        <v>0</v>
      </c>
      <c r="Q287" t="n">
        <v>0</v>
      </c>
      <c r="R287" s="2" t="inlineStr"/>
    </row>
    <row r="288" ht="15" customHeight="1">
      <c r="A288" t="inlineStr">
        <is>
          <t>A 18109-2025</t>
        </is>
      </c>
      <c r="B288" s="1" t="n">
        <v>45761</v>
      </c>
      <c r="C288" s="1" t="n">
        <v>45893</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3500-2024</t>
        </is>
      </c>
      <c r="B289" s="1" t="n">
        <v>45320</v>
      </c>
      <c r="C289" s="1" t="n">
        <v>45893</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58815-2023</t>
        </is>
      </c>
      <c r="B290" s="1" t="n">
        <v>45247</v>
      </c>
      <c r="C290" s="1" t="n">
        <v>45893</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33597-2023</t>
        </is>
      </c>
      <c r="B291" s="1" t="n">
        <v>45132</v>
      </c>
      <c r="C291" s="1" t="n">
        <v>45893</v>
      </c>
      <c r="D291" t="inlineStr">
        <is>
          <t>SKÅNE LÄN</t>
        </is>
      </c>
      <c r="E291" t="inlineStr">
        <is>
          <t>HÄSSLEHOLM</t>
        </is>
      </c>
      <c r="G291" t="n">
        <v>3.9</v>
      </c>
      <c r="H291" t="n">
        <v>0</v>
      </c>
      <c r="I291" t="n">
        <v>0</v>
      </c>
      <c r="J291" t="n">
        <v>0</v>
      </c>
      <c r="K291" t="n">
        <v>0</v>
      </c>
      <c r="L291" t="n">
        <v>0</v>
      </c>
      <c r="M291" t="n">
        <v>0</v>
      </c>
      <c r="N291" t="n">
        <v>0</v>
      </c>
      <c r="O291" t="n">
        <v>0</v>
      </c>
      <c r="P291" t="n">
        <v>0</v>
      </c>
      <c r="Q291" t="n">
        <v>0</v>
      </c>
      <c r="R291" s="2" t="inlineStr"/>
    </row>
    <row r="292" ht="15" customHeight="1">
      <c r="A292" t="inlineStr">
        <is>
          <t>A 33599-2023</t>
        </is>
      </c>
      <c r="B292" s="1" t="n">
        <v>45132</v>
      </c>
      <c r="C292" s="1" t="n">
        <v>45893</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27173-2024</t>
        </is>
      </c>
      <c r="B293" s="1" t="n">
        <v>45471.57048611111</v>
      </c>
      <c r="C293" s="1" t="n">
        <v>45893</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16017-2023</t>
        </is>
      </c>
      <c r="B294" s="1" t="n">
        <v>45026</v>
      </c>
      <c r="C294" s="1" t="n">
        <v>45893</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10020-2024</t>
        </is>
      </c>
      <c r="B295" s="1" t="n">
        <v>45363.96944444445</v>
      </c>
      <c r="C295" s="1" t="n">
        <v>45893</v>
      </c>
      <c r="D295" t="inlineStr">
        <is>
          <t>SKÅNE LÄN</t>
        </is>
      </c>
      <c r="E295" t="inlineStr">
        <is>
          <t>HÄSSLEHOLM</t>
        </is>
      </c>
      <c r="G295" t="n">
        <v>5.3</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45893</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70087-2021</t>
        </is>
      </c>
      <c r="B297" s="1" t="n">
        <v>44533</v>
      </c>
      <c r="C297" s="1" t="n">
        <v>45893</v>
      </c>
      <c r="D297" t="inlineStr">
        <is>
          <t>SKÅNE LÄN</t>
        </is>
      </c>
      <c r="E297" t="inlineStr">
        <is>
          <t>HÄSSLEHOLM</t>
        </is>
      </c>
      <c r="G297" t="n">
        <v>5</v>
      </c>
      <c r="H297" t="n">
        <v>0</v>
      </c>
      <c r="I297" t="n">
        <v>0</v>
      </c>
      <c r="J297" t="n">
        <v>0</v>
      </c>
      <c r="K297" t="n">
        <v>0</v>
      </c>
      <c r="L297" t="n">
        <v>0</v>
      </c>
      <c r="M297" t="n">
        <v>0</v>
      </c>
      <c r="N297" t="n">
        <v>0</v>
      </c>
      <c r="O297" t="n">
        <v>0</v>
      </c>
      <c r="P297" t="n">
        <v>0</v>
      </c>
      <c r="Q297" t="n">
        <v>0</v>
      </c>
      <c r="R297" s="2" t="inlineStr"/>
    </row>
    <row r="298" ht="15" customHeight="1">
      <c r="A298" t="inlineStr">
        <is>
          <t>A 43061-2024</t>
        </is>
      </c>
      <c r="B298" s="1" t="n">
        <v>45567</v>
      </c>
      <c r="C298" s="1" t="n">
        <v>45893</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524-2024</t>
        </is>
      </c>
      <c r="B299" s="1" t="n">
        <v>45299</v>
      </c>
      <c r="C299" s="1" t="n">
        <v>45893</v>
      </c>
      <c r="D299" t="inlineStr">
        <is>
          <t>SKÅNE LÄN</t>
        </is>
      </c>
      <c r="E299" t="inlineStr">
        <is>
          <t>HÄSSLEHOLM</t>
        </is>
      </c>
      <c r="G299" t="n">
        <v>29.4</v>
      </c>
      <c r="H299" t="n">
        <v>0</v>
      </c>
      <c r="I299" t="n">
        <v>0</v>
      </c>
      <c r="J299" t="n">
        <v>0</v>
      </c>
      <c r="K299" t="n">
        <v>0</v>
      </c>
      <c r="L299" t="n">
        <v>0</v>
      </c>
      <c r="M299" t="n">
        <v>0</v>
      </c>
      <c r="N299" t="n">
        <v>0</v>
      </c>
      <c r="O299" t="n">
        <v>0</v>
      </c>
      <c r="P299" t="n">
        <v>0</v>
      </c>
      <c r="Q299" t="n">
        <v>0</v>
      </c>
      <c r="R299" s="2" t="inlineStr"/>
    </row>
    <row r="300" ht="15" customHeight="1">
      <c r="A300" t="inlineStr">
        <is>
          <t>A 54171-2021</t>
        </is>
      </c>
      <c r="B300" s="1" t="n">
        <v>44470</v>
      </c>
      <c r="C300" s="1" t="n">
        <v>45893</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21867-2023</t>
        </is>
      </c>
      <c r="B301" s="1" t="n">
        <v>45063</v>
      </c>
      <c r="C301" s="1" t="n">
        <v>45893</v>
      </c>
      <c r="D301" t="inlineStr">
        <is>
          <t>SKÅNE LÄN</t>
        </is>
      </c>
      <c r="E301" t="inlineStr">
        <is>
          <t>HÄSSLEHOLM</t>
        </is>
      </c>
      <c r="G301" t="n">
        <v>7.6</v>
      </c>
      <c r="H301" t="n">
        <v>0</v>
      </c>
      <c r="I301" t="n">
        <v>0</v>
      </c>
      <c r="J301" t="n">
        <v>0</v>
      </c>
      <c r="K301" t="n">
        <v>0</v>
      </c>
      <c r="L301" t="n">
        <v>0</v>
      </c>
      <c r="M301" t="n">
        <v>0</v>
      </c>
      <c r="N301" t="n">
        <v>0</v>
      </c>
      <c r="O301" t="n">
        <v>0</v>
      </c>
      <c r="P301" t="n">
        <v>0</v>
      </c>
      <c r="Q301" t="n">
        <v>0</v>
      </c>
      <c r="R301" s="2" t="inlineStr"/>
    </row>
    <row r="302" ht="15" customHeight="1">
      <c r="A302" t="inlineStr">
        <is>
          <t>A 9394-2025</t>
        </is>
      </c>
      <c r="B302" s="1" t="n">
        <v>45715.36387731481</v>
      </c>
      <c r="C302" s="1" t="n">
        <v>45893</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24904-2025</t>
        </is>
      </c>
      <c r="B303" s="1" t="n">
        <v>45799</v>
      </c>
      <c r="C303" s="1" t="n">
        <v>45893</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24640-2023</t>
        </is>
      </c>
      <c r="B304" s="1" t="n">
        <v>45084.43181712963</v>
      </c>
      <c r="C304" s="1" t="n">
        <v>45893</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51618-2024</t>
        </is>
      </c>
      <c r="B305" s="1" t="n">
        <v>45604.82615740741</v>
      </c>
      <c r="C305" s="1" t="n">
        <v>45893</v>
      </c>
      <c r="D305" t="inlineStr">
        <is>
          <t>SKÅNE LÄN</t>
        </is>
      </c>
      <c r="E305" t="inlineStr">
        <is>
          <t>HÄSSLEHOLM</t>
        </is>
      </c>
      <c r="G305" t="n">
        <v>1.2</v>
      </c>
      <c r="H305" t="n">
        <v>0</v>
      </c>
      <c r="I305" t="n">
        <v>0</v>
      </c>
      <c r="J305" t="n">
        <v>0</v>
      </c>
      <c r="K305" t="n">
        <v>0</v>
      </c>
      <c r="L305" t="n">
        <v>0</v>
      </c>
      <c r="M305" t="n">
        <v>0</v>
      </c>
      <c r="N305" t="n">
        <v>0</v>
      </c>
      <c r="O305" t="n">
        <v>0</v>
      </c>
      <c r="P305" t="n">
        <v>0</v>
      </c>
      <c r="Q305" t="n">
        <v>0</v>
      </c>
      <c r="R305" s="2" t="inlineStr"/>
    </row>
    <row r="306" ht="15" customHeight="1">
      <c r="A306" t="inlineStr">
        <is>
          <t>A 39223-2024</t>
        </is>
      </c>
      <c r="B306" s="1" t="n">
        <v>45550</v>
      </c>
      <c r="C306" s="1" t="n">
        <v>45893</v>
      </c>
      <c r="D306" t="inlineStr">
        <is>
          <t>SKÅNE LÄN</t>
        </is>
      </c>
      <c r="E306" t="inlineStr">
        <is>
          <t>HÄSSLEHOLM</t>
        </is>
      </c>
      <c r="G306" t="n">
        <v>3.1</v>
      </c>
      <c r="H306" t="n">
        <v>0</v>
      </c>
      <c r="I306" t="n">
        <v>0</v>
      </c>
      <c r="J306" t="n">
        <v>0</v>
      </c>
      <c r="K306" t="n">
        <v>0</v>
      </c>
      <c r="L306" t="n">
        <v>0</v>
      </c>
      <c r="M306" t="n">
        <v>0</v>
      </c>
      <c r="N306" t="n">
        <v>0</v>
      </c>
      <c r="O306" t="n">
        <v>0</v>
      </c>
      <c r="P306" t="n">
        <v>0</v>
      </c>
      <c r="Q306" t="n">
        <v>0</v>
      </c>
      <c r="R306" s="2" t="inlineStr"/>
    </row>
    <row r="307" ht="15" customHeight="1">
      <c r="A307" t="inlineStr">
        <is>
          <t>A 27297-2023</t>
        </is>
      </c>
      <c r="B307" s="1" t="n">
        <v>45096</v>
      </c>
      <c r="C307" s="1" t="n">
        <v>45893</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27304-2023</t>
        </is>
      </c>
      <c r="B308" s="1" t="n">
        <v>45096.65199074074</v>
      </c>
      <c r="C308" s="1" t="n">
        <v>45893</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22693-2022</t>
        </is>
      </c>
      <c r="B309" s="1" t="n">
        <v>44714.54729166667</v>
      </c>
      <c r="C309" s="1" t="n">
        <v>45893</v>
      </c>
      <c r="D309" t="inlineStr">
        <is>
          <t>SKÅNE LÄN</t>
        </is>
      </c>
      <c r="E309" t="inlineStr">
        <is>
          <t>HÄSSLEHOLM</t>
        </is>
      </c>
      <c r="G309" t="n">
        <v>2.8</v>
      </c>
      <c r="H309" t="n">
        <v>0</v>
      </c>
      <c r="I309" t="n">
        <v>0</v>
      </c>
      <c r="J309" t="n">
        <v>0</v>
      </c>
      <c r="K309" t="n">
        <v>0</v>
      </c>
      <c r="L309" t="n">
        <v>0</v>
      </c>
      <c r="M309" t="n">
        <v>0</v>
      </c>
      <c r="N309" t="n">
        <v>0</v>
      </c>
      <c r="O309" t="n">
        <v>0</v>
      </c>
      <c r="P309" t="n">
        <v>0</v>
      </c>
      <c r="Q309" t="n">
        <v>0</v>
      </c>
      <c r="R309" s="2" t="inlineStr"/>
    </row>
    <row r="310" ht="15" customHeight="1">
      <c r="A310" t="inlineStr">
        <is>
          <t>A 5284-2023</t>
        </is>
      </c>
      <c r="B310" s="1" t="n">
        <v>44959.50608796296</v>
      </c>
      <c r="C310" s="1" t="n">
        <v>45893</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5285-2023</t>
        </is>
      </c>
      <c r="B311" s="1" t="n">
        <v>44959.50783564815</v>
      </c>
      <c r="C311" s="1" t="n">
        <v>45893</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34888-2023</t>
        </is>
      </c>
      <c r="B312" s="1" t="n">
        <v>45142.388125</v>
      </c>
      <c r="C312" s="1" t="n">
        <v>45893</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11446-2025</t>
        </is>
      </c>
      <c r="B313" s="1" t="n">
        <v>45726</v>
      </c>
      <c r="C313" s="1" t="n">
        <v>45893</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54435-2024</t>
        </is>
      </c>
      <c r="B314" s="1" t="n">
        <v>45617.49494212963</v>
      </c>
      <c r="C314" s="1" t="n">
        <v>45893</v>
      </c>
      <c r="D314" t="inlineStr">
        <is>
          <t>SKÅNE LÄN</t>
        </is>
      </c>
      <c r="E314" t="inlineStr">
        <is>
          <t>HÄSSLEHOLM</t>
        </is>
      </c>
      <c r="G314" t="n">
        <v>2.3</v>
      </c>
      <c r="H314" t="n">
        <v>0</v>
      </c>
      <c r="I314" t="n">
        <v>0</v>
      </c>
      <c r="J314" t="n">
        <v>0</v>
      </c>
      <c r="K314" t="n">
        <v>0</v>
      </c>
      <c r="L314" t="n">
        <v>0</v>
      </c>
      <c r="M314" t="n">
        <v>0</v>
      </c>
      <c r="N314" t="n">
        <v>0</v>
      </c>
      <c r="O314" t="n">
        <v>0</v>
      </c>
      <c r="P314" t="n">
        <v>0</v>
      </c>
      <c r="Q314" t="n">
        <v>0</v>
      </c>
      <c r="R314" s="2" t="inlineStr"/>
    </row>
    <row r="315" ht="15" customHeight="1">
      <c r="A315" t="inlineStr">
        <is>
          <t>A 58886-2024</t>
        </is>
      </c>
      <c r="B315" s="1" t="n">
        <v>45636.45380787037</v>
      </c>
      <c r="C315" s="1" t="n">
        <v>45893</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13087-2023</t>
        </is>
      </c>
      <c r="B316" s="1" t="n">
        <v>45001</v>
      </c>
      <c r="C316" s="1" t="n">
        <v>45893</v>
      </c>
      <c r="D316" t="inlineStr">
        <is>
          <t>SKÅNE LÄN</t>
        </is>
      </c>
      <c r="E316" t="inlineStr">
        <is>
          <t>HÄSSLEHOLM</t>
        </is>
      </c>
      <c r="G316" t="n">
        <v>3.8</v>
      </c>
      <c r="H316" t="n">
        <v>0</v>
      </c>
      <c r="I316" t="n">
        <v>0</v>
      </c>
      <c r="J316" t="n">
        <v>0</v>
      </c>
      <c r="K316" t="n">
        <v>0</v>
      </c>
      <c r="L316" t="n">
        <v>0</v>
      </c>
      <c r="M316" t="n">
        <v>0</v>
      </c>
      <c r="N316" t="n">
        <v>0</v>
      </c>
      <c r="O316" t="n">
        <v>0</v>
      </c>
      <c r="P316" t="n">
        <v>0</v>
      </c>
      <c r="Q316" t="n">
        <v>0</v>
      </c>
      <c r="R316" s="2" t="inlineStr"/>
    </row>
    <row r="317" ht="15" customHeight="1">
      <c r="A317" t="inlineStr">
        <is>
          <t>A 6583-2021</t>
        </is>
      </c>
      <c r="B317" s="1" t="n">
        <v>44236</v>
      </c>
      <c r="C317" s="1" t="n">
        <v>45893</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16024-2025</t>
        </is>
      </c>
      <c r="B318" s="1" t="n">
        <v>45749.61296296296</v>
      </c>
      <c r="C318" s="1" t="n">
        <v>45893</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8249-2023</t>
        </is>
      </c>
      <c r="B319" s="1" t="n">
        <v>44974</v>
      </c>
      <c r="C319" s="1" t="n">
        <v>45893</v>
      </c>
      <c r="D319" t="inlineStr">
        <is>
          <t>SKÅNE LÄN</t>
        </is>
      </c>
      <c r="E319" t="inlineStr">
        <is>
          <t>HÄSSLEHOLM</t>
        </is>
      </c>
      <c r="G319" t="n">
        <v>5.8</v>
      </c>
      <c r="H319" t="n">
        <v>0</v>
      </c>
      <c r="I319" t="n">
        <v>0</v>
      </c>
      <c r="J319" t="n">
        <v>0</v>
      </c>
      <c r="K319" t="n">
        <v>0</v>
      </c>
      <c r="L319" t="n">
        <v>0</v>
      </c>
      <c r="M319" t="n">
        <v>0</v>
      </c>
      <c r="N319" t="n">
        <v>0</v>
      </c>
      <c r="O319" t="n">
        <v>0</v>
      </c>
      <c r="P319" t="n">
        <v>0</v>
      </c>
      <c r="Q319" t="n">
        <v>0</v>
      </c>
      <c r="R319" s="2" t="inlineStr"/>
    </row>
    <row r="320" ht="15" customHeight="1">
      <c r="A320" t="inlineStr">
        <is>
          <t>A 20666-2023</t>
        </is>
      </c>
      <c r="B320" s="1" t="n">
        <v>45058.35664351852</v>
      </c>
      <c r="C320" s="1" t="n">
        <v>45893</v>
      </c>
      <c r="D320" t="inlineStr">
        <is>
          <t>SKÅNE LÄN</t>
        </is>
      </c>
      <c r="E320" t="inlineStr">
        <is>
          <t>HÄSSLEHOLM</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59028-2023</t>
        </is>
      </c>
      <c r="B321" s="1" t="n">
        <v>45252.67900462963</v>
      </c>
      <c r="C321" s="1" t="n">
        <v>45893</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15104-2023</t>
        </is>
      </c>
      <c r="B322" s="1" t="n">
        <v>45016.40576388889</v>
      </c>
      <c r="C322" s="1" t="n">
        <v>45893</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8250-2023</t>
        </is>
      </c>
      <c r="B323" s="1" t="n">
        <v>44974</v>
      </c>
      <c r="C323" s="1" t="n">
        <v>45893</v>
      </c>
      <c r="D323" t="inlineStr">
        <is>
          <t>SKÅNE LÄN</t>
        </is>
      </c>
      <c r="E323" t="inlineStr">
        <is>
          <t>HÄSSLEHOLM</t>
        </is>
      </c>
      <c r="G323" t="n">
        <v>3</v>
      </c>
      <c r="H323" t="n">
        <v>0</v>
      </c>
      <c r="I323" t="n">
        <v>0</v>
      </c>
      <c r="J323" t="n">
        <v>0</v>
      </c>
      <c r="K323" t="n">
        <v>0</v>
      </c>
      <c r="L323" t="n">
        <v>0</v>
      </c>
      <c r="M323" t="n">
        <v>0</v>
      </c>
      <c r="N323" t="n">
        <v>0</v>
      </c>
      <c r="O323" t="n">
        <v>0</v>
      </c>
      <c r="P323" t="n">
        <v>0</v>
      </c>
      <c r="Q323" t="n">
        <v>0</v>
      </c>
      <c r="R323" s="2" t="inlineStr"/>
    </row>
    <row r="324" ht="15" customHeight="1">
      <c r="A324" t="inlineStr">
        <is>
          <t>A 57079-2022</t>
        </is>
      </c>
      <c r="B324" s="1" t="n">
        <v>44895</v>
      </c>
      <c r="C324" s="1" t="n">
        <v>45893</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15698-2023</t>
        </is>
      </c>
      <c r="B325" s="1" t="n">
        <v>45021</v>
      </c>
      <c r="C325" s="1" t="n">
        <v>45893</v>
      </c>
      <c r="D325" t="inlineStr">
        <is>
          <t>SKÅNE LÄN</t>
        </is>
      </c>
      <c r="E325" t="inlineStr">
        <is>
          <t>HÄSSLEHOLM</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20566-2023</t>
        </is>
      </c>
      <c r="B326" s="1" t="n">
        <v>45057</v>
      </c>
      <c r="C326" s="1" t="n">
        <v>45893</v>
      </c>
      <c r="D326" t="inlineStr">
        <is>
          <t>SKÅNE LÄN</t>
        </is>
      </c>
      <c r="E326" t="inlineStr">
        <is>
          <t>HÄSSLEHOLM</t>
        </is>
      </c>
      <c r="G326" t="n">
        <v>5.2</v>
      </c>
      <c r="H326" t="n">
        <v>0</v>
      </c>
      <c r="I326" t="n">
        <v>0</v>
      </c>
      <c r="J326" t="n">
        <v>0</v>
      </c>
      <c r="K326" t="n">
        <v>0</v>
      </c>
      <c r="L326" t="n">
        <v>0</v>
      </c>
      <c r="M326" t="n">
        <v>0</v>
      </c>
      <c r="N326" t="n">
        <v>0</v>
      </c>
      <c r="O326" t="n">
        <v>0</v>
      </c>
      <c r="P326" t="n">
        <v>0</v>
      </c>
      <c r="Q326" t="n">
        <v>0</v>
      </c>
      <c r="R326" s="2" t="inlineStr"/>
    </row>
    <row r="327" ht="15" customHeight="1">
      <c r="A327" t="inlineStr">
        <is>
          <t>A 12507-2022</t>
        </is>
      </c>
      <c r="B327" s="1" t="n">
        <v>44638</v>
      </c>
      <c r="C327" s="1" t="n">
        <v>45893</v>
      </c>
      <c r="D327" t="inlineStr">
        <is>
          <t>SKÅNE LÄN</t>
        </is>
      </c>
      <c r="E327" t="inlineStr">
        <is>
          <t>HÄSSLEHOLM</t>
        </is>
      </c>
      <c r="G327" t="n">
        <v>2.7</v>
      </c>
      <c r="H327" t="n">
        <v>0</v>
      </c>
      <c r="I327" t="n">
        <v>0</v>
      </c>
      <c r="J327" t="n">
        <v>0</v>
      </c>
      <c r="K327" t="n">
        <v>0</v>
      </c>
      <c r="L327" t="n">
        <v>0</v>
      </c>
      <c r="M327" t="n">
        <v>0</v>
      </c>
      <c r="N327" t="n">
        <v>0</v>
      </c>
      <c r="O327" t="n">
        <v>0</v>
      </c>
      <c r="P327" t="n">
        <v>0</v>
      </c>
      <c r="Q327" t="n">
        <v>0</v>
      </c>
      <c r="R327" s="2" t="inlineStr"/>
    </row>
    <row r="328" ht="15" customHeight="1">
      <c r="A328" t="inlineStr">
        <is>
          <t>A 54374-2020</t>
        </is>
      </c>
      <c r="B328" s="1" t="n">
        <v>44126</v>
      </c>
      <c r="C328" s="1" t="n">
        <v>45893</v>
      </c>
      <c r="D328" t="inlineStr">
        <is>
          <t>SKÅNE LÄN</t>
        </is>
      </c>
      <c r="E328" t="inlineStr">
        <is>
          <t>HÄSSLEHOLM</t>
        </is>
      </c>
      <c r="G328" t="n">
        <v>2.1</v>
      </c>
      <c r="H328" t="n">
        <v>0</v>
      </c>
      <c r="I328" t="n">
        <v>0</v>
      </c>
      <c r="J328" t="n">
        <v>0</v>
      </c>
      <c r="K328" t="n">
        <v>0</v>
      </c>
      <c r="L328" t="n">
        <v>0</v>
      </c>
      <c r="M328" t="n">
        <v>0</v>
      </c>
      <c r="N328" t="n">
        <v>0</v>
      </c>
      <c r="O328" t="n">
        <v>0</v>
      </c>
      <c r="P328" t="n">
        <v>0</v>
      </c>
      <c r="Q328" t="n">
        <v>0</v>
      </c>
      <c r="R328" s="2" t="inlineStr"/>
    </row>
    <row r="329" ht="15" customHeight="1">
      <c r="A329" t="inlineStr">
        <is>
          <t>A 47840-2023</t>
        </is>
      </c>
      <c r="B329" s="1" t="n">
        <v>45204</v>
      </c>
      <c r="C329" s="1" t="n">
        <v>45893</v>
      </c>
      <c r="D329" t="inlineStr">
        <is>
          <t>SKÅNE LÄN</t>
        </is>
      </c>
      <c r="E329" t="inlineStr">
        <is>
          <t>HÄSSLEHOLM</t>
        </is>
      </c>
      <c r="G329" t="n">
        <v>2.4</v>
      </c>
      <c r="H329" t="n">
        <v>0</v>
      </c>
      <c r="I329" t="n">
        <v>0</v>
      </c>
      <c r="J329" t="n">
        <v>0</v>
      </c>
      <c r="K329" t="n">
        <v>0</v>
      </c>
      <c r="L329" t="n">
        <v>0</v>
      </c>
      <c r="M329" t="n">
        <v>0</v>
      </c>
      <c r="N329" t="n">
        <v>0</v>
      </c>
      <c r="O329" t="n">
        <v>0</v>
      </c>
      <c r="P329" t="n">
        <v>0</v>
      </c>
      <c r="Q329" t="n">
        <v>0</v>
      </c>
      <c r="R329" s="2" t="inlineStr"/>
    </row>
    <row r="330" ht="15" customHeight="1">
      <c r="A330" t="inlineStr">
        <is>
          <t>A 34886-2023</t>
        </is>
      </c>
      <c r="B330" s="1" t="n">
        <v>45142.38450231482</v>
      </c>
      <c r="C330" s="1" t="n">
        <v>45893</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62277-2023</t>
        </is>
      </c>
      <c r="B331" s="1" t="n">
        <v>45266</v>
      </c>
      <c r="C331" s="1" t="n">
        <v>45893</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34369-2023</t>
        </is>
      </c>
      <c r="B332" s="1" t="n">
        <v>45139.47817129629</v>
      </c>
      <c r="C332" s="1" t="n">
        <v>45893</v>
      </c>
      <c r="D332" t="inlineStr">
        <is>
          <t>SKÅNE LÄN</t>
        </is>
      </c>
      <c r="E332" t="inlineStr">
        <is>
          <t>HÄSSLEHOLM</t>
        </is>
      </c>
      <c r="G332" t="n">
        <v>2</v>
      </c>
      <c r="H332" t="n">
        <v>0</v>
      </c>
      <c r="I332" t="n">
        <v>0</v>
      </c>
      <c r="J332" t="n">
        <v>0</v>
      </c>
      <c r="K332" t="n">
        <v>0</v>
      </c>
      <c r="L332" t="n">
        <v>0</v>
      </c>
      <c r="M332" t="n">
        <v>0</v>
      </c>
      <c r="N332" t="n">
        <v>0</v>
      </c>
      <c r="O332" t="n">
        <v>0</v>
      </c>
      <c r="P332" t="n">
        <v>0</v>
      </c>
      <c r="Q332" t="n">
        <v>0</v>
      </c>
      <c r="R332" s="2" t="inlineStr"/>
    </row>
    <row r="333" ht="15" customHeight="1">
      <c r="A333" t="inlineStr">
        <is>
          <t>A 2596-2024</t>
        </is>
      </c>
      <c r="B333" s="1" t="n">
        <v>45313.69969907407</v>
      </c>
      <c r="C333" s="1" t="n">
        <v>45893</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2597-2024</t>
        </is>
      </c>
      <c r="B334" s="1" t="n">
        <v>45313</v>
      </c>
      <c r="C334" s="1" t="n">
        <v>45893</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34834-2023</t>
        </is>
      </c>
      <c r="B335" s="1" t="n">
        <v>45141.7199537037</v>
      </c>
      <c r="C335" s="1" t="n">
        <v>45893</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6842-2023</t>
        </is>
      </c>
      <c r="B336" s="1" t="n">
        <v>44967</v>
      </c>
      <c r="C336" s="1" t="n">
        <v>45893</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48627-2023</t>
        </is>
      </c>
      <c r="B337" s="1" t="n">
        <v>45208.57371527778</v>
      </c>
      <c r="C337" s="1" t="n">
        <v>45893</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48747-2022</t>
        </is>
      </c>
      <c r="B338" s="1" t="n">
        <v>44859</v>
      </c>
      <c r="C338" s="1" t="n">
        <v>45893</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3531-2023</t>
        </is>
      </c>
      <c r="B339" s="1" t="n">
        <v>44950</v>
      </c>
      <c r="C339" s="1" t="n">
        <v>45893</v>
      </c>
      <c r="D339" t="inlineStr">
        <is>
          <t>SKÅNE LÄN</t>
        </is>
      </c>
      <c r="E339" t="inlineStr">
        <is>
          <t>HÄSSLEHOLM</t>
        </is>
      </c>
      <c r="G339" t="n">
        <v>10.1</v>
      </c>
      <c r="H339" t="n">
        <v>0</v>
      </c>
      <c r="I339" t="n">
        <v>0</v>
      </c>
      <c r="J339" t="n">
        <v>0</v>
      </c>
      <c r="K339" t="n">
        <v>0</v>
      </c>
      <c r="L339" t="n">
        <v>0</v>
      </c>
      <c r="M339" t="n">
        <v>0</v>
      </c>
      <c r="N339" t="n">
        <v>0</v>
      </c>
      <c r="O339" t="n">
        <v>0</v>
      </c>
      <c r="P339" t="n">
        <v>0</v>
      </c>
      <c r="Q339" t="n">
        <v>0</v>
      </c>
      <c r="R339" s="2" t="inlineStr"/>
    </row>
    <row r="340" ht="15" customHeight="1">
      <c r="A340" t="inlineStr">
        <is>
          <t>A 11607-2025</t>
        </is>
      </c>
      <c r="B340" s="1" t="n">
        <v>45727</v>
      </c>
      <c r="C340" s="1" t="n">
        <v>45893</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15417-2022</t>
        </is>
      </c>
      <c r="B341" s="1" t="n">
        <v>44659</v>
      </c>
      <c r="C341" s="1" t="n">
        <v>45893</v>
      </c>
      <c r="D341" t="inlineStr">
        <is>
          <t>SKÅNE LÄN</t>
        </is>
      </c>
      <c r="E341" t="inlineStr">
        <is>
          <t>HÄSSLEHOLM</t>
        </is>
      </c>
      <c r="F341" t="inlineStr">
        <is>
          <t>Kyrkan</t>
        </is>
      </c>
      <c r="G341" t="n">
        <v>2.9</v>
      </c>
      <c r="H341" t="n">
        <v>0</v>
      </c>
      <c r="I341" t="n">
        <v>0</v>
      </c>
      <c r="J341" t="n">
        <v>0</v>
      </c>
      <c r="K341" t="n">
        <v>0</v>
      </c>
      <c r="L341" t="n">
        <v>0</v>
      </c>
      <c r="M341" t="n">
        <v>0</v>
      </c>
      <c r="N341" t="n">
        <v>0</v>
      </c>
      <c r="O341" t="n">
        <v>0</v>
      </c>
      <c r="P341" t="n">
        <v>0</v>
      </c>
      <c r="Q341" t="n">
        <v>0</v>
      </c>
      <c r="R341" s="2" t="inlineStr"/>
    </row>
    <row r="342" ht="15" customHeight="1">
      <c r="A342" t="inlineStr">
        <is>
          <t>A 44262-2021</t>
        </is>
      </c>
      <c r="B342" s="1" t="n">
        <v>44434</v>
      </c>
      <c r="C342" s="1" t="n">
        <v>45893</v>
      </c>
      <c r="D342" t="inlineStr">
        <is>
          <t>SKÅNE LÄN</t>
        </is>
      </c>
      <c r="E342" t="inlineStr">
        <is>
          <t>HÄSSLEHOLM</t>
        </is>
      </c>
      <c r="G342" t="n">
        <v>4.7</v>
      </c>
      <c r="H342" t="n">
        <v>0</v>
      </c>
      <c r="I342" t="n">
        <v>0</v>
      </c>
      <c r="J342" t="n">
        <v>0</v>
      </c>
      <c r="K342" t="n">
        <v>0</v>
      </c>
      <c r="L342" t="n">
        <v>0</v>
      </c>
      <c r="M342" t="n">
        <v>0</v>
      </c>
      <c r="N342" t="n">
        <v>0</v>
      </c>
      <c r="O342" t="n">
        <v>0</v>
      </c>
      <c r="P342" t="n">
        <v>0</v>
      </c>
      <c r="Q342" t="n">
        <v>0</v>
      </c>
      <c r="R342" s="2" t="inlineStr"/>
    </row>
    <row r="343" ht="15" customHeight="1">
      <c r="A343" t="inlineStr">
        <is>
          <t>A 50659-2023</t>
        </is>
      </c>
      <c r="B343" s="1" t="n">
        <v>45217</v>
      </c>
      <c r="C343" s="1" t="n">
        <v>45893</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720-2025</t>
        </is>
      </c>
      <c r="B344" s="1" t="n">
        <v>45665.3744212963</v>
      </c>
      <c r="C344" s="1" t="n">
        <v>45893</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13808-2021</t>
        </is>
      </c>
      <c r="B345" s="1" t="n">
        <v>44276</v>
      </c>
      <c r="C345" s="1" t="n">
        <v>45893</v>
      </c>
      <c r="D345" t="inlineStr">
        <is>
          <t>SKÅNE LÄN</t>
        </is>
      </c>
      <c r="E345" t="inlineStr">
        <is>
          <t>HÄSSLEHOLM</t>
        </is>
      </c>
      <c r="G345" t="n">
        <v>10.3</v>
      </c>
      <c r="H345" t="n">
        <v>0</v>
      </c>
      <c r="I345" t="n">
        <v>0</v>
      </c>
      <c r="J345" t="n">
        <v>0</v>
      </c>
      <c r="K345" t="n">
        <v>0</v>
      </c>
      <c r="L345" t="n">
        <v>0</v>
      </c>
      <c r="M345" t="n">
        <v>0</v>
      </c>
      <c r="N345" t="n">
        <v>0</v>
      </c>
      <c r="O345" t="n">
        <v>0</v>
      </c>
      <c r="P345" t="n">
        <v>0</v>
      </c>
      <c r="Q345" t="n">
        <v>0</v>
      </c>
      <c r="R345" s="2" t="inlineStr"/>
    </row>
    <row r="346" ht="15" customHeight="1">
      <c r="A346" t="inlineStr">
        <is>
          <t>A 67801-2021</t>
        </is>
      </c>
      <c r="B346" s="1" t="n">
        <v>44525</v>
      </c>
      <c r="C346" s="1" t="n">
        <v>45893</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2144-2023</t>
        </is>
      </c>
      <c r="B347" s="1" t="n">
        <v>44940.79054398148</v>
      </c>
      <c r="C347" s="1" t="n">
        <v>45893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12182-2025</t>
        </is>
      </c>
      <c r="B348" s="1" t="n">
        <v>45729</v>
      </c>
      <c r="C348" s="1" t="n">
        <v>45893</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50899-2024</t>
        </is>
      </c>
      <c r="B349" s="1" t="n">
        <v>45602.68584490741</v>
      </c>
      <c r="C349" s="1" t="n">
        <v>45893</v>
      </c>
      <c r="D349" t="inlineStr">
        <is>
          <t>SKÅNE LÄN</t>
        </is>
      </c>
      <c r="E349" t="inlineStr">
        <is>
          <t>HÄSSLEHOLM</t>
        </is>
      </c>
      <c r="G349" t="n">
        <v>1.7</v>
      </c>
      <c r="H349" t="n">
        <v>0</v>
      </c>
      <c r="I349" t="n">
        <v>0</v>
      </c>
      <c r="J349" t="n">
        <v>0</v>
      </c>
      <c r="K349" t="n">
        <v>0</v>
      </c>
      <c r="L349" t="n">
        <v>0</v>
      </c>
      <c r="M349" t="n">
        <v>0</v>
      </c>
      <c r="N349" t="n">
        <v>0</v>
      </c>
      <c r="O349" t="n">
        <v>0</v>
      </c>
      <c r="P349" t="n">
        <v>0</v>
      </c>
      <c r="Q349" t="n">
        <v>0</v>
      </c>
      <c r="R349" s="2" t="inlineStr"/>
    </row>
    <row r="350" ht="15" customHeight="1">
      <c r="A350" t="inlineStr">
        <is>
          <t>A 60848-2022</t>
        </is>
      </c>
      <c r="B350" s="1" t="n">
        <v>44914</v>
      </c>
      <c r="C350" s="1" t="n">
        <v>45893</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13198-2025</t>
        </is>
      </c>
      <c r="B351" s="1" t="n">
        <v>45735</v>
      </c>
      <c r="C351" s="1" t="n">
        <v>45893</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6164-2023</t>
        </is>
      </c>
      <c r="B352" s="1" t="n">
        <v>44964.66871527778</v>
      </c>
      <c r="C352" s="1" t="n">
        <v>45893</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50616-2023</t>
        </is>
      </c>
      <c r="B353" s="1" t="n">
        <v>45210</v>
      </c>
      <c r="C353" s="1" t="n">
        <v>45893</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45361-2023</t>
        </is>
      </c>
      <c r="B354" s="1" t="n">
        <v>45192.49068287037</v>
      </c>
      <c r="C354" s="1" t="n">
        <v>45893</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5476-2021</t>
        </is>
      </c>
      <c r="B355" s="1" t="n">
        <v>44230</v>
      </c>
      <c r="C355" s="1" t="n">
        <v>45893</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9747-2024</t>
        </is>
      </c>
      <c r="B356" s="1" t="n">
        <v>45362</v>
      </c>
      <c r="C356" s="1" t="n">
        <v>45893</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45392-2024</t>
        </is>
      </c>
      <c r="B357" s="1" t="n">
        <v>45576.55008101852</v>
      </c>
      <c r="C357" s="1" t="n">
        <v>45893</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6122-2021</t>
        </is>
      </c>
      <c r="B358" s="1" t="n">
        <v>44232.55091435185</v>
      </c>
      <c r="C358" s="1" t="n">
        <v>45893</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16454-2023</t>
        </is>
      </c>
      <c r="B359" s="1" t="n">
        <v>45029.48425925926</v>
      </c>
      <c r="C359" s="1" t="n">
        <v>45893</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17335-2024</t>
        </is>
      </c>
      <c r="B360" s="1" t="n">
        <v>45414.5687962963</v>
      </c>
      <c r="C360" s="1" t="n">
        <v>45893</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49107-2023</t>
        </is>
      </c>
      <c r="B361" s="1" t="n">
        <v>45210.44337962963</v>
      </c>
      <c r="C361" s="1" t="n">
        <v>45893</v>
      </c>
      <c r="D361" t="inlineStr">
        <is>
          <t>SKÅNE LÄN</t>
        </is>
      </c>
      <c r="E361" t="inlineStr">
        <is>
          <t>HÄSSLEHOLM</t>
        </is>
      </c>
      <c r="G361" t="n">
        <v>0.3</v>
      </c>
      <c r="H361" t="n">
        <v>0</v>
      </c>
      <c r="I361" t="n">
        <v>0</v>
      </c>
      <c r="J361" t="n">
        <v>0</v>
      </c>
      <c r="K361" t="n">
        <v>0</v>
      </c>
      <c r="L361" t="n">
        <v>0</v>
      </c>
      <c r="M361" t="n">
        <v>0</v>
      </c>
      <c r="N361" t="n">
        <v>0</v>
      </c>
      <c r="O361" t="n">
        <v>0</v>
      </c>
      <c r="P361" t="n">
        <v>0</v>
      </c>
      <c r="Q361" t="n">
        <v>0</v>
      </c>
      <c r="R361" s="2" t="inlineStr"/>
    </row>
    <row r="362" ht="15" customHeight="1">
      <c r="A362" t="inlineStr">
        <is>
          <t>A 24246-2023</t>
        </is>
      </c>
      <c r="B362" s="1" t="n">
        <v>45079</v>
      </c>
      <c r="C362" s="1" t="n">
        <v>45893</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24249-2023</t>
        </is>
      </c>
      <c r="B363" s="1" t="n">
        <v>45079.62466435185</v>
      </c>
      <c r="C363" s="1" t="n">
        <v>45893</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31989-2024</t>
        </is>
      </c>
      <c r="B364" s="1" t="n">
        <v>45510.58085648148</v>
      </c>
      <c r="C364" s="1" t="n">
        <v>45893</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45893</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60973-2024</t>
        </is>
      </c>
      <c r="B366" s="1" t="n">
        <v>45644</v>
      </c>
      <c r="C366" s="1" t="n">
        <v>45893</v>
      </c>
      <c r="D366" t="inlineStr">
        <is>
          <t>SKÅNE LÄN</t>
        </is>
      </c>
      <c r="E366" t="inlineStr">
        <is>
          <t>HÄSSLEHOLM</t>
        </is>
      </c>
      <c r="G366" t="n">
        <v>3.6</v>
      </c>
      <c r="H366" t="n">
        <v>0</v>
      </c>
      <c r="I366" t="n">
        <v>0</v>
      </c>
      <c r="J366" t="n">
        <v>0</v>
      </c>
      <c r="K366" t="n">
        <v>0</v>
      </c>
      <c r="L366" t="n">
        <v>0</v>
      </c>
      <c r="M366" t="n">
        <v>0</v>
      </c>
      <c r="N366" t="n">
        <v>0</v>
      </c>
      <c r="O366" t="n">
        <v>0</v>
      </c>
      <c r="P366" t="n">
        <v>0</v>
      </c>
      <c r="Q366" t="n">
        <v>0</v>
      </c>
      <c r="R366" s="2" t="inlineStr"/>
    </row>
    <row r="367" ht="15" customHeight="1">
      <c r="A367" t="inlineStr">
        <is>
          <t>A 27478-2023</t>
        </is>
      </c>
      <c r="B367" s="1" t="n">
        <v>45092</v>
      </c>
      <c r="C367" s="1" t="n">
        <v>45893</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37898-2021</t>
        </is>
      </c>
      <c r="B368" s="1" t="n">
        <v>44403</v>
      </c>
      <c r="C368" s="1" t="n">
        <v>45893</v>
      </c>
      <c r="D368" t="inlineStr">
        <is>
          <t>SKÅNE LÄN</t>
        </is>
      </c>
      <c r="E368" t="inlineStr">
        <is>
          <t>HÄSSLEHOLM</t>
        </is>
      </c>
      <c r="F368" t="inlineStr">
        <is>
          <t>Kommuner</t>
        </is>
      </c>
      <c r="G368" t="n">
        <v>8.4</v>
      </c>
      <c r="H368" t="n">
        <v>0</v>
      </c>
      <c r="I368" t="n">
        <v>0</v>
      </c>
      <c r="J368" t="n">
        <v>0</v>
      </c>
      <c r="K368" t="n">
        <v>0</v>
      </c>
      <c r="L368" t="n">
        <v>0</v>
      </c>
      <c r="M368" t="n">
        <v>0</v>
      </c>
      <c r="N368" t="n">
        <v>0</v>
      </c>
      <c r="O368" t="n">
        <v>0</v>
      </c>
      <c r="P368" t="n">
        <v>0</v>
      </c>
      <c r="Q368" t="n">
        <v>0</v>
      </c>
      <c r="R368" s="2" t="inlineStr"/>
    </row>
    <row r="369" ht="15" customHeight="1">
      <c r="A369" t="inlineStr">
        <is>
          <t>A 65235-2021</t>
        </is>
      </c>
      <c r="B369" s="1" t="n">
        <v>44515</v>
      </c>
      <c r="C369" s="1" t="n">
        <v>45893</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26641-2023</t>
        </is>
      </c>
      <c r="B370" s="1" t="n">
        <v>45092.89619212963</v>
      </c>
      <c r="C370" s="1" t="n">
        <v>45893</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13549-2025</t>
        </is>
      </c>
      <c r="B371" s="1" t="n">
        <v>45736</v>
      </c>
      <c r="C371" s="1" t="n">
        <v>45893</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51245-2023</t>
        </is>
      </c>
      <c r="B372" s="1" t="n">
        <v>45212</v>
      </c>
      <c r="C372" s="1" t="n">
        <v>45893</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45893</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37141-2021</t>
        </is>
      </c>
      <c r="B374" s="1" t="n">
        <v>44396</v>
      </c>
      <c r="C374" s="1" t="n">
        <v>45893</v>
      </c>
      <c r="D374" t="inlineStr">
        <is>
          <t>SKÅNE LÄN</t>
        </is>
      </c>
      <c r="E374" t="inlineStr">
        <is>
          <t>HÄSSLEHOLM</t>
        </is>
      </c>
      <c r="G374" t="n">
        <v>12.8</v>
      </c>
      <c r="H374" t="n">
        <v>0</v>
      </c>
      <c r="I374" t="n">
        <v>0</v>
      </c>
      <c r="J374" t="n">
        <v>0</v>
      </c>
      <c r="K374" t="n">
        <v>0</v>
      </c>
      <c r="L374" t="n">
        <v>0</v>
      </c>
      <c r="M374" t="n">
        <v>0</v>
      </c>
      <c r="N374" t="n">
        <v>0</v>
      </c>
      <c r="O374" t="n">
        <v>0</v>
      </c>
      <c r="P374" t="n">
        <v>0</v>
      </c>
      <c r="Q374" t="n">
        <v>0</v>
      </c>
      <c r="R374" s="2" t="inlineStr"/>
    </row>
    <row r="375" ht="15" customHeight="1">
      <c r="A375" t="inlineStr">
        <is>
          <t>A 7202-2022</t>
        </is>
      </c>
      <c r="B375" s="1" t="n">
        <v>44606</v>
      </c>
      <c r="C375" s="1" t="n">
        <v>45893</v>
      </c>
      <c r="D375" t="inlineStr">
        <is>
          <t>SKÅNE LÄN</t>
        </is>
      </c>
      <c r="E375" t="inlineStr">
        <is>
          <t>HÄSSLEHOLM</t>
        </is>
      </c>
      <c r="G375" t="n">
        <v>4.7</v>
      </c>
      <c r="H375" t="n">
        <v>0</v>
      </c>
      <c r="I375" t="n">
        <v>0</v>
      </c>
      <c r="J375" t="n">
        <v>0</v>
      </c>
      <c r="K375" t="n">
        <v>0</v>
      </c>
      <c r="L375" t="n">
        <v>0</v>
      </c>
      <c r="M375" t="n">
        <v>0</v>
      </c>
      <c r="N375" t="n">
        <v>0</v>
      </c>
      <c r="O375" t="n">
        <v>0</v>
      </c>
      <c r="P375" t="n">
        <v>0</v>
      </c>
      <c r="Q375" t="n">
        <v>0</v>
      </c>
      <c r="R375" s="2" t="inlineStr"/>
    </row>
    <row r="376" ht="15" customHeight="1">
      <c r="A376" t="inlineStr">
        <is>
          <t>A 16397-2022</t>
        </is>
      </c>
      <c r="B376" s="1" t="n">
        <v>44671</v>
      </c>
      <c r="C376" s="1" t="n">
        <v>45893</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16398-2022</t>
        </is>
      </c>
      <c r="B377" s="1" t="n">
        <v>44671</v>
      </c>
      <c r="C377" s="1" t="n">
        <v>45893</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4512-2024</t>
        </is>
      </c>
      <c r="B378" s="1" t="n">
        <v>45327.6312962963</v>
      </c>
      <c r="C378" s="1" t="n">
        <v>45893</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31934-2024</t>
        </is>
      </c>
      <c r="B379" s="1" t="n">
        <v>45510.41177083334</v>
      </c>
      <c r="C379" s="1" t="n">
        <v>45893</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45893</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8160-2024</t>
        </is>
      </c>
      <c r="B381" s="1" t="n">
        <v>45351</v>
      </c>
      <c r="C381" s="1" t="n">
        <v>45893</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46813-2024</t>
        </is>
      </c>
      <c r="B382" s="1" t="n">
        <v>45583</v>
      </c>
      <c r="C382" s="1" t="n">
        <v>45893</v>
      </c>
      <c r="D382" t="inlineStr">
        <is>
          <t>SKÅNE LÄN</t>
        </is>
      </c>
      <c r="E382" t="inlineStr">
        <is>
          <t>HÄSSLEHOLM</t>
        </is>
      </c>
      <c r="G382" t="n">
        <v>14.9</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45893</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45893</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39044-2024</t>
        </is>
      </c>
      <c r="B385" s="1" t="n">
        <v>45548.47707175926</v>
      </c>
      <c r="C385" s="1" t="n">
        <v>45893</v>
      </c>
      <c r="D385" t="inlineStr">
        <is>
          <t>SKÅNE LÄN</t>
        </is>
      </c>
      <c r="E385" t="inlineStr">
        <is>
          <t>HÄSSLEHOLM</t>
        </is>
      </c>
      <c r="G385" t="n">
        <v>2.8</v>
      </c>
      <c r="H385" t="n">
        <v>0</v>
      </c>
      <c r="I385" t="n">
        <v>0</v>
      </c>
      <c r="J385" t="n">
        <v>0</v>
      </c>
      <c r="K385" t="n">
        <v>0</v>
      </c>
      <c r="L385" t="n">
        <v>0</v>
      </c>
      <c r="M385" t="n">
        <v>0</v>
      </c>
      <c r="N385" t="n">
        <v>0</v>
      </c>
      <c r="O385" t="n">
        <v>0</v>
      </c>
      <c r="P385" t="n">
        <v>0</v>
      </c>
      <c r="Q385" t="n">
        <v>0</v>
      </c>
      <c r="R385" s="2" t="inlineStr"/>
    </row>
    <row r="386" ht="15" customHeight="1">
      <c r="A386" t="inlineStr">
        <is>
          <t>A 62167-2022</t>
        </is>
      </c>
      <c r="B386" s="1" t="n">
        <v>44915</v>
      </c>
      <c r="C386" s="1" t="n">
        <v>45893</v>
      </c>
      <c r="D386" t="inlineStr">
        <is>
          <t>SKÅNE LÄN</t>
        </is>
      </c>
      <c r="E386" t="inlineStr">
        <is>
          <t>HÄSSLEHOLM</t>
        </is>
      </c>
      <c r="F386" t="inlineStr">
        <is>
          <t>Kyrkan</t>
        </is>
      </c>
      <c r="G386" t="n">
        <v>3.1</v>
      </c>
      <c r="H386" t="n">
        <v>0</v>
      </c>
      <c r="I386" t="n">
        <v>0</v>
      </c>
      <c r="J386" t="n">
        <v>0</v>
      </c>
      <c r="K386" t="n">
        <v>0</v>
      </c>
      <c r="L386" t="n">
        <v>0</v>
      </c>
      <c r="M386" t="n">
        <v>0</v>
      </c>
      <c r="N386" t="n">
        <v>0</v>
      </c>
      <c r="O386" t="n">
        <v>0</v>
      </c>
      <c r="P386" t="n">
        <v>0</v>
      </c>
      <c r="Q386" t="n">
        <v>0</v>
      </c>
      <c r="R386" s="2" t="inlineStr"/>
    </row>
    <row r="387" ht="15" customHeight="1">
      <c r="A387" t="inlineStr">
        <is>
          <t>A 59429-2023</t>
        </is>
      </c>
      <c r="B387" s="1" t="n">
        <v>45254.2875</v>
      </c>
      <c r="C387" s="1" t="n">
        <v>45893</v>
      </c>
      <c r="D387" t="inlineStr">
        <is>
          <t>SKÅNE LÄN</t>
        </is>
      </c>
      <c r="E387" t="inlineStr">
        <is>
          <t>HÄSSLEHOLM</t>
        </is>
      </c>
      <c r="G387" t="n">
        <v>0</v>
      </c>
      <c r="H387" t="n">
        <v>0</v>
      </c>
      <c r="I387" t="n">
        <v>0</v>
      </c>
      <c r="J387" t="n">
        <v>0</v>
      </c>
      <c r="K387" t="n">
        <v>0</v>
      </c>
      <c r="L387" t="n">
        <v>0</v>
      </c>
      <c r="M387" t="n">
        <v>0</v>
      </c>
      <c r="N387" t="n">
        <v>0</v>
      </c>
      <c r="O387" t="n">
        <v>0</v>
      </c>
      <c r="P387" t="n">
        <v>0</v>
      </c>
      <c r="Q387" t="n">
        <v>0</v>
      </c>
      <c r="R387" s="2" t="inlineStr"/>
    </row>
    <row r="388" ht="15" customHeight="1">
      <c r="A388" t="inlineStr">
        <is>
          <t>A 62234-2022</t>
        </is>
      </c>
      <c r="B388" s="1" t="n">
        <v>44922</v>
      </c>
      <c r="C388" s="1" t="n">
        <v>45893</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34299-2024</t>
        </is>
      </c>
      <c r="B389" s="1" t="n">
        <v>45524</v>
      </c>
      <c r="C389" s="1" t="n">
        <v>45893</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11609-2025</t>
        </is>
      </c>
      <c r="B390" s="1" t="n">
        <v>45727.44237268518</v>
      </c>
      <c r="C390" s="1" t="n">
        <v>45893</v>
      </c>
      <c r="D390" t="inlineStr">
        <is>
          <t>SKÅNE LÄN</t>
        </is>
      </c>
      <c r="E390" t="inlineStr">
        <is>
          <t>HÄSSLEHOLM</t>
        </is>
      </c>
      <c r="G390" t="n">
        <v>4.4</v>
      </c>
      <c r="H390" t="n">
        <v>0</v>
      </c>
      <c r="I390" t="n">
        <v>0</v>
      </c>
      <c r="J390" t="n">
        <v>0</v>
      </c>
      <c r="K390" t="n">
        <v>0</v>
      </c>
      <c r="L390" t="n">
        <v>0</v>
      </c>
      <c r="M390" t="n">
        <v>0</v>
      </c>
      <c r="N390" t="n">
        <v>0</v>
      </c>
      <c r="O390" t="n">
        <v>0</v>
      </c>
      <c r="P390" t="n">
        <v>0</v>
      </c>
      <c r="Q390" t="n">
        <v>0</v>
      </c>
      <c r="R390" s="2" t="inlineStr"/>
    </row>
    <row r="391" ht="15" customHeight="1">
      <c r="A391" t="inlineStr">
        <is>
          <t>A 60959-2022</t>
        </is>
      </c>
      <c r="B391" s="1" t="n">
        <v>44914.64777777778</v>
      </c>
      <c r="C391" s="1" t="n">
        <v>45893</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9697-2023</t>
        </is>
      </c>
      <c r="B392" s="1" t="n">
        <v>44984</v>
      </c>
      <c r="C392" s="1" t="n">
        <v>45893</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19020-2024</t>
        </is>
      </c>
      <c r="B393" s="1" t="n">
        <v>45427.66167824074</v>
      </c>
      <c r="C393" s="1" t="n">
        <v>45893</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40734-2024</t>
        </is>
      </c>
      <c r="B394" s="1" t="n">
        <v>45558</v>
      </c>
      <c r="C394" s="1" t="n">
        <v>45893</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40738-2024</t>
        </is>
      </c>
      <c r="B395" s="1" t="n">
        <v>45558</v>
      </c>
      <c r="C395" s="1" t="n">
        <v>45893</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49199-2024</t>
        </is>
      </c>
      <c r="B396" s="1" t="n">
        <v>45595</v>
      </c>
      <c r="C396" s="1" t="n">
        <v>45893</v>
      </c>
      <c r="D396" t="inlineStr">
        <is>
          <t>SKÅNE LÄN</t>
        </is>
      </c>
      <c r="E396" t="inlineStr">
        <is>
          <t>HÄSSLEHOLM</t>
        </is>
      </c>
      <c r="G396" t="n">
        <v>5.2</v>
      </c>
      <c r="H396" t="n">
        <v>0</v>
      </c>
      <c r="I396" t="n">
        <v>0</v>
      </c>
      <c r="J396" t="n">
        <v>0</v>
      </c>
      <c r="K396" t="n">
        <v>0</v>
      </c>
      <c r="L396" t="n">
        <v>0</v>
      </c>
      <c r="M396" t="n">
        <v>0</v>
      </c>
      <c r="N396" t="n">
        <v>0</v>
      </c>
      <c r="O396" t="n">
        <v>0</v>
      </c>
      <c r="P396" t="n">
        <v>0</v>
      </c>
      <c r="Q396" t="n">
        <v>0</v>
      </c>
      <c r="R396" s="2" t="inlineStr"/>
    </row>
    <row r="397" ht="15" customHeight="1">
      <c r="A397" t="inlineStr">
        <is>
          <t>A 6638-2021</t>
        </is>
      </c>
      <c r="B397" s="1" t="n">
        <v>44235</v>
      </c>
      <c r="C397" s="1" t="n">
        <v>45893</v>
      </c>
      <c r="D397" t="inlineStr">
        <is>
          <t>SKÅNE LÄN</t>
        </is>
      </c>
      <c r="E397" t="inlineStr">
        <is>
          <t>HÄSSLEHOLM</t>
        </is>
      </c>
      <c r="G397" t="n">
        <v>112.4</v>
      </c>
      <c r="H397" t="n">
        <v>0</v>
      </c>
      <c r="I397" t="n">
        <v>0</v>
      </c>
      <c r="J397" t="n">
        <v>0</v>
      </c>
      <c r="K397" t="n">
        <v>0</v>
      </c>
      <c r="L397" t="n">
        <v>0</v>
      </c>
      <c r="M397" t="n">
        <v>0</v>
      </c>
      <c r="N397" t="n">
        <v>0</v>
      </c>
      <c r="O397" t="n">
        <v>0</v>
      </c>
      <c r="P397" t="n">
        <v>0</v>
      </c>
      <c r="Q397" t="n">
        <v>0</v>
      </c>
      <c r="R397" s="2" t="inlineStr"/>
    </row>
    <row r="398" ht="15" customHeight="1">
      <c r="A398" t="inlineStr">
        <is>
          <t>A 42906-2022</t>
        </is>
      </c>
      <c r="B398" s="1" t="n">
        <v>44833</v>
      </c>
      <c r="C398" s="1" t="n">
        <v>45893</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42232-2022</t>
        </is>
      </c>
      <c r="B399" s="1" t="n">
        <v>44830.77591435185</v>
      </c>
      <c r="C399" s="1" t="n">
        <v>45893</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31931-2024</t>
        </is>
      </c>
      <c r="B400" s="1" t="n">
        <v>45510.40878472223</v>
      </c>
      <c r="C400" s="1" t="n">
        <v>45893</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15133-2023</t>
        </is>
      </c>
      <c r="B401" s="1" t="n">
        <v>45016</v>
      </c>
      <c r="C401" s="1" t="n">
        <v>45893</v>
      </c>
      <c r="D401" t="inlineStr">
        <is>
          <t>SKÅNE LÄN</t>
        </is>
      </c>
      <c r="E401" t="inlineStr">
        <is>
          <t>HÄSSLEHOLM</t>
        </is>
      </c>
      <c r="G401" t="n">
        <v>7.8</v>
      </c>
      <c r="H401" t="n">
        <v>0</v>
      </c>
      <c r="I401" t="n">
        <v>0</v>
      </c>
      <c r="J401" t="n">
        <v>0</v>
      </c>
      <c r="K401" t="n">
        <v>0</v>
      </c>
      <c r="L401" t="n">
        <v>0</v>
      </c>
      <c r="M401" t="n">
        <v>0</v>
      </c>
      <c r="N401" t="n">
        <v>0</v>
      </c>
      <c r="O401" t="n">
        <v>0</v>
      </c>
      <c r="P401" t="n">
        <v>0</v>
      </c>
      <c r="Q401" t="n">
        <v>0</v>
      </c>
      <c r="R401" s="2" t="inlineStr"/>
    </row>
    <row r="402" ht="15" customHeight="1">
      <c r="A402" t="inlineStr">
        <is>
          <t>A 34883-2023</t>
        </is>
      </c>
      <c r="B402" s="1" t="n">
        <v>45142.37902777778</v>
      </c>
      <c r="C402" s="1" t="n">
        <v>45893</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2712-2024</t>
        </is>
      </c>
      <c r="B403" s="1" t="n">
        <v>45314</v>
      </c>
      <c r="C403" s="1" t="n">
        <v>45893</v>
      </c>
      <c r="D403" t="inlineStr">
        <is>
          <t>SKÅNE LÄN</t>
        </is>
      </c>
      <c r="E403" t="inlineStr">
        <is>
          <t>HÄSSLEHOLM</t>
        </is>
      </c>
      <c r="G403" t="n">
        <v>11.3</v>
      </c>
      <c r="H403" t="n">
        <v>0</v>
      </c>
      <c r="I403" t="n">
        <v>0</v>
      </c>
      <c r="J403" t="n">
        <v>0</v>
      </c>
      <c r="K403" t="n">
        <v>0</v>
      </c>
      <c r="L403" t="n">
        <v>0</v>
      </c>
      <c r="M403" t="n">
        <v>0</v>
      </c>
      <c r="N403" t="n">
        <v>0</v>
      </c>
      <c r="O403" t="n">
        <v>0</v>
      </c>
      <c r="P403" t="n">
        <v>0</v>
      </c>
      <c r="Q403" t="n">
        <v>0</v>
      </c>
      <c r="R403" s="2" t="inlineStr"/>
    </row>
    <row r="404" ht="15" customHeight="1">
      <c r="A404" t="inlineStr">
        <is>
          <t>A 20187-2023</t>
        </is>
      </c>
      <c r="B404" s="1" t="n">
        <v>45055.57027777778</v>
      </c>
      <c r="C404" s="1" t="n">
        <v>45893</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37038-2022</t>
        </is>
      </c>
      <c r="B405" s="1" t="n">
        <v>44806.44232638889</v>
      </c>
      <c r="C405" s="1" t="n">
        <v>45893</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1557-2023</t>
        </is>
      </c>
      <c r="B406" s="1" t="n">
        <v>44937</v>
      </c>
      <c r="C406" s="1" t="n">
        <v>45893</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1560-2023</t>
        </is>
      </c>
      <c r="B407" s="1" t="n">
        <v>44937</v>
      </c>
      <c r="C407" s="1" t="n">
        <v>45893</v>
      </c>
      <c r="D407" t="inlineStr">
        <is>
          <t>SKÅNE LÄN</t>
        </is>
      </c>
      <c r="E407" t="inlineStr">
        <is>
          <t>HÄSSLEHOLM</t>
        </is>
      </c>
      <c r="G407" t="n">
        <v>6.8</v>
      </c>
      <c r="H407" t="n">
        <v>0</v>
      </c>
      <c r="I407" t="n">
        <v>0</v>
      </c>
      <c r="J407" t="n">
        <v>0</v>
      </c>
      <c r="K407" t="n">
        <v>0</v>
      </c>
      <c r="L407" t="n">
        <v>0</v>
      </c>
      <c r="M407" t="n">
        <v>0</v>
      </c>
      <c r="N407" t="n">
        <v>0</v>
      </c>
      <c r="O407" t="n">
        <v>0</v>
      </c>
      <c r="P407" t="n">
        <v>0</v>
      </c>
      <c r="Q407" t="n">
        <v>0</v>
      </c>
      <c r="R407" s="2" t="inlineStr"/>
    </row>
    <row r="408" ht="15" customHeight="1">
      <c r="A408" t="inlineStr">
        <is>
          <t>A 5894-2023</t>
        </is>
      </c>
      <c r="B408" s="1" t="n">
        <v>44963.65148148148</v>
      </c>
      <c r="C408" s="1" t="n">
        <v>45893</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9502-2023</t>
        </is>
      </c>
      <c r="B409" s="1" t="n">
        <v>44981.63278935185</v>
      </c>
      <c r="C409" s="1" t="n">
        <v>45893</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56986-2024</t>
        </is>
      </c>
      <c r="B410" s="1" t="n">
        <v>45626</v>
      </c>
      <c r="C410" s="1" t="n">
        <v>45893</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46222-2022</t>
        </is>
      </c>
      <c r="B411" s="1" t="n">
        <v>44847.58725694445</v>
      </c>
      <c r="C411" s="1" t="n">
        <v>45893</v>
      </c>
      <c r="D411" t="inlineStr">
        <is>
          <t>SKÅNE LÄN</t>
        </is>
      </c>
      <c r="E411" t="inlineStr">
        <is>
          <t>HÄSSLEHOLM</t>
        </is>
      </c>
      <c r="G411" t="n">
        <v>6.3</v>
      </c>
      <c r="H411" t="n">
        <v>0</v>
      </c>
      <c r="I411" t="n">
        <v>0</v>
      </c>
      <c r="J411" t="n">
        <v>0</v>
      </c>
      <c r="K411" t="n">
        <v>0</v>
      </c>
      <c r="L411" t="n">
        <v>0</v>
      </c>
      <c r="M411" t="n">
        <v>0</v>
      </c>
      <c r="N411" t="n">
        <v>0</v>
      </c>
      <c r="O411" t="n">
        <v>0</v>
      </c>
      <c r="P411" t="n">
        <v>0</v>
      </c>
      <c r="Q411" t="n">
        <v>0</v>
      </c>
      <c r="R411" s="2" t="inlineStr"/>
    </row>
    <row r="412" ht="15" customHeight="1">
      <c r="A412" t="inlineStr">
        <is>
          <t>A 2567-2024</t>
        </is>
      </c>
      <c r="B412" s="1" t="n">
        <v>45313.62460648148</v>
      </c>
      <c r="C412" s="1" t="n">
        <v>45893</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48046-2023</t>
        </is>
      </c>
      <c r="B413" s="1" t="n">
        <v>45204.85201388889</v>
      </c>
      <c r="C413" s="1" t="n">
        <v>45893</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57749-2023</t>
        </is>
      </c>
      <c r="B414" s="1" t="n">
        <v>45246</v>
      </c>
      <c r="C414" s="1" t="n">
        <v>45893</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58618-2024</t>
        </is>
      </c>
      <c r="B415" s="1" t="n">
        <v>45635.56150462963</v>
      </c>
      <c r="C415" s="1" t="n">
        <v>45893</v>
      </c>
      <c r="D415" t="inlineStr">
        <is>
          <t>SKÅNE LÄN</t>
        </is>
      </c>
      <c r="E415" t="inlineStr">
        <is>
          <t>HÄSSLEHOLM</t>
        </is>
      </c>
      <c r="G415" t="n">
        <v>2.3</v>
      </c>
      <c r="H415" t="n">
        <v>0</v>
      </c>
      <c r="I415" t="n">
        <v>0</v>
      </c>
      <c r="J415" t="n">
        <v>0</v>
      </c>
      <c r="K415" t="n">
        <v>0</v>
      </c>
      <c r="L415" t="n">
        <v>0</v>
      </c>
      <c r="M415" t="n">
        <v>0</v>
      </c>
      <c r="N415" t="n">
        <v>0</v>
      </c>
      <c r="O415" t="n">
        <v>0</v>
      </c>
      <c r="P415" t="n">
        <v>0</v>
      </c>
      <c r="Q415" t="n">
        <v>0</v>
      </c>
      <c r="R415" s="2" t="inlineStr"/>
    </row>
    <row r="416" ht="15" customHeight="1">
      <c r="A416" t="inlineStr">
        <is>
          <t>A 28632-2024</t>
        </is>
      </c>
      <c r="B416" s="1" t="n">
        <v>45478</v>
      </c>
      <c r="C416" s="1" t="n">
        <v>45893</v>
      </c>
      <c r="D416" t="inlineStr">
        <is>
          <t>SKÅNE LÄN</t>
        </is>
      </c>
      <c r="E416" t="inlineStr">
        <is>
          <t>HÄSSLEHOLM</t>
        </is>
      </c>
      <c r="G416" t="n">
        <v>4</v>
      </c>
      <c r="H416" t="n">
        <v>0</v>
      </c>
      <c r="I416" t="n">
        <v>0</v>
      </c>
      <c r="J416" t="n">
        <v>0</v>
      </c>
      <c r="K416" t="n">
        <v>0</v>
      </c>
      <c r="L416" t="n">
        <v>0</v>
      </c>
      <c r="M416" t="n">
        <v>0</v>
      </c>
      <c r="N416" t="n">
        <v>0</v>
      </c>
      <c r="O416" t="n">
        <v>0</v>
      </c>
      <c r="P416" t="n">
        <v>0</v>
      </c>
      <c r="Q416" t="n">
        <v>0</v>
      </c>
      <c r="R416" s="2" t="inlineStr"/>
    </row>
    <row r="417" ht="15" customHeight="1">
      <c r="A417" t="inlineStr">
        <is>
          <t>A 1538-2024</t>
        </is>
      </c>
      <c r="B417" s="1" t="n">
        <v>45306</v>
      </c>
      <c r="C417" s="1" t="n">
        <v>45893</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11708-2025</t>
        </is>
      </c>
      <c r="B418" s="1" t="n">
        <v>45727.58626157408</v>
      </c>
      <c r="C418" s="1" t="n">
        <v>45893</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3135-2023</t>
        </is>
      </c>
      <c r="B419" s="1" t="n">
        <v>44946.51672453704</v>
      </c>
      <c r="C419" s="1" t="n">
        <v>45893</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45893</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11266-2025</t>
        </is>
      </c>
      <c r="B421" s="1" t="n">
        <v>45726</v>
      </c>
      <c r="C421" s="1" t="n">
        <v>45893</v>
      </c>
      <c r="D421" t="inlineStr">
        <is>
          <t>SKÅNE LÄN</t>
        </is>
      </c>
      <c r="E421" t="inlineStr">
        <is>
          <t>HÄSSLEHOLM</t>
        </is>
      </c>
      <c r="G421" t="n">
        <v>0.3</v>
      </c>
      <c r="H421" t="n">
        <v>0</v>
      </c>
      <c r="I421" t="n">
        <v>0</v>
      </c>
      <c r="J421" t="n">
        <v>0</v>
      </c>
      <c r="K421" t="n">
        <v>0</v>
      </c>
      <c r="L421" t="n">
        <v>0</v>
      </c>
      <c r="M421" t="n">
        <v>0</v>
      </c>
      <c r="N421" t="n">
        <v>0</v>
      </c>
      <c r="O421" t="n">
        <v>0</v>
      </c>
      <c r="P421" t="n">
        <v>0</v>
      </c>
      <c r="Q421" t="n">
        <v>0</v>
      </c>
      <c r="R421" s="2" t="inlineStr"/>
    </row>
    <row r="422" ht="15" customHeight="1">
      <c r="A422" t="inlineStr">
        <is>
          <t>A 69357-2021</t>
        </is>
      </c>
      <c r="B422" s="1" t="n">
        <v>44531</v>
      </c>
      <c r="C422" s="1" t="n">
        <v>45893</v>
      </c>
      <c r="D422" t="inlineStr">
        <is>
          <t>SKÅNE LÄN</t>
        </is>
      </c>
      <c r="E422" t="inlineStr">
        <is>
          <t>HÄSSLEHOLM</t>
        </is>
      </c>
      <c r="G422" t="n">
        <v>1.6</v>
      </c>
      <c r="H422" t="n">
        <v>0</v>
      </c>
      <c r="I422" t="n">
        <v>0</v>
      </c>
      <c r="J422" t="n">
        <v>0</v>
      </c>
      <c r="K422" t="n">
        <v>0</v>
      </c>
      <c r="L422" t="n">
        <v>0</v>
      </c>
      <c r="M422" t="n">
        <v>0</v>
      </c>
      <c r="N422" t="n">
        <v>0</v>
      </c>
      <c r="O422" t="n">
        <v>0</v>
      </c>
      <c r="P422" t="n">
        <v>0</v>
      </c>
      <c r="Q422" t="n">
        <v>0</v>
      </c>
      <c r="R422" s="2" t="inlineStr"/>
    </row>
    <row r="423" ht="15" customHeight="1">
      <c r="A423" t="inlineStr">
        <is>
          <t>A 34342-2021</t>
        </is>
      </c>
      <c r="B423" s="1" t="n">
        <v>44379</v>
      </c>
      <c r="C423" s="1" t="n">
        <v>45893</v>
      </c>
      <c r="D423" t="inlineStr">
        <is>
          <t>SKÅNE LÄN</t>
        </is>
      </c>
      <c r="E423" t="inlineStr">
        <is>
          <t>HÄSSLEHOLM</t>
        </is>
      </c>
      <c r="G423" t="n">
        <v>7</v>
      </c>
      <c r="H423" t="n">
        <v>0</v>
      </c>
      <c r="I423" t="n">
        <v>0</v>
      </c>
      <c r="J423" t="n">
        <v>0</v>
      </c>
      <c r="K423" t="n">
        <v>0</v>
      </c>
      <c r="L423" t="n">
        <v>0</v>
      </c>
      <c r="M423" t="n">
        <v>0</v>
      </c>
      <c r="N423" t="n">
        <v>0</v>
      </c>
      <c r="O423" t="n">
        <v>0</v>
      </c>
      <c r="P423" t="n">
        <v>0</v>
      </c>
      <c r="Q423" t="n">
        <v>0</v>
      </c>
      <c r="R423" s="2" t="inlineStr"/>
    </row>
    <row r="424" ht="15" customHeight="1">
      <c r="A424" t="inlineStr">
        <is>
          <t>A 3855-2023</t>
        </is>
      </c>
      <c r="B424" s="1" t="n">
        <v>44951.69708333333</v>
      </c>
      <c r="C424" s="1" t="n">
        <v>45893</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33481-2024</t>
        </is>
      </c>
      <c r="B425" s="1" t="n">
        <v>45519</v>
      </c>
      <c r="C425" s="1" t="n">
        <v>45893</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3507-2024</t>
        </is>
      </c>
      <c r="B426" s="1" t="n">
        <v>45320.4906712963</v>
      </c>
      <c r="C426" s="1" t="n">
        <v>45893</v>
      </c>
      <c r="D426" t="inlineStr">
        <is>
          <t>SKÅNE LÄN</t>
        </is>
      </c>
      <c r="E426" t="inlineStr">
        <is>
          <t>HÄSSLEHOLM</t>
        </is>
      </c>
      <c r="G426" t="n">
        <v>6.4</v>
      </c>
      <c r="H426" t="n">
        <v>0</v>
      </c>
      <c r="I426" t="n">
        <v>0</v>
      </c>
      <c r="J426" t="n">
        <v>0</v>
      </c>
      <c r="K426" t="n">
        <v>0</v>
      </c>
      <c r="L426" t="n">
        <v>0</v>
      </c>
      <c r="M426" t="n">
        <v>0</v>
      </c>
      <c r="N426" t="n">
        <v>0</v>
      </c>
      <c r="O426" t="n">
        <v>0</v>
      </c>
      <c r="P426" t="n">
        <v>0</v>
      </c>
      <c r="Q426" t="n">
        <v>0</v>
      </c>
      <c r="R426" s="2" t="inlineStr"/>
    </row>
    <row r="427" ht="15" customHeight="1">
      <c r="A427" t="inlineStr">
        <is>
          <t>A 49111-2023</t>
        </is>
      </c>
      <c r="B427" s="1" t="n">
        <v>45210.44464120371</v>
      </c>
      <c r="C427" s="1" t="n">
        <v>45893</v>
      </c>
      <c r="D427" t="inlineStr">
        <is>
          <t>SKÅNE LÄN</t>
        </is>
      </c>
      <c r="E427" t="inlineStr">
        <is>
          <t>HÄSSLEHOLM</t>
        </is>
      </c>
      <c r="G427" t="n">
        <v>0.2</v>
      </c>
      <c r="H427" t="n">
        <v>0</v>
      </c>
      <c r="I427" t="n">
        <v>0</v>
      </c>
      <c r="J427" t="n">
        <v>0</v>
      </c>
      <c r="K427" t="n">
        <v>0</v>
      </c>
      <c r="L427" t="n">
        <v>0</v>
      </c>
      <c r="M427" t="n">
        <v>0</v>
      </c>
      <c r="N427" t="n">
        <v>0</v>
      </c>
      <c r="O427" t="n">
        <v>0</v>
      </c>
      <c r="P427" t="n">
        <v>0</v>
      </c>
      <c r="Q427" t="n">
        <v>0</v>
      </c>
      <c r="R427" s="2" t="inlineStr"/>
    </row>
    <row r="428" ht="15" customHeight="1">
      <c r="A428" t="inlineStr">
        <is>
          <t>A 61178-2022</t>
        </is>
      </c>
      <c r="B428" s="1" t="n">
        <v>44915</v>
      </c>
      <c r="C428" s="1" t="n">
        <v>45893</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61185-2022</t>
        </is>
      </c>
      <c r="B429" s="1" t="n">
        <v>44915</v>
      </c>
      <c r="C429" s="1" t="n">
        <v>45893</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58915-2023</t>
        </is>
      </c>
      <c r="B430" s="1" t="n">
        <v>45250</v>
      </c>
      <c r="C430" s="1" t="n">
        <v>45893</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32794-2021</t>
        </is>
      </c>
      <c r="B431" s="1" t="n">
        <v>44375</v>
      </c>
      <c r="C431" s="1" t="n">
        <v>45893</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2813-2021</t>
        </is>
      </c>
      <c r="B432" s="1" t="n">
        <v>44215</v>
      </c>
      <c r="C432" s="1" t="n">
        <v>45893</v>
      </c>
      <c r="D432" t="inlineStr">
        <is>
          <t>SKÅNE LÄN</t>
        </is>
      </c>
      <c r="E432" t="inlineStr">
        <is>
          <t>HÄSSLEHOLM</t>
        </is>
      </c>
      <c r="G432" t="n">
        <v>7.1</v>
      </c>
      <c r="H432" t="n">
        <v>0</v>
      </c>
      <c r="I432" t="n">
        <v>0</v>
      </c>
      <c r="J432" t="n">
        <v>0</v>
      </c>
      <c r="K432" t="n">
        <v>0</v>
      </c>
      <c r="L432" t="n">
        <v>0</v>
      </c>
      <c r="M432" t="n">
        <v>0</v>
      </c>
      <c r="N432" t="n">
        <v>0</v>
      </c>
      <c r="O432" t="n">
        <v>0</v>
      </c>
      <c r="P432" t="n">
        <v>0</v>
      </c>
      <c r="Q432" t="n">
        <v>0</v>
      </c>
      <c r="R432" s="2" t="inlineStr"/>
    </row>
    <row r="433" ht="15" customHeight="1">
      <c r="A433" t="inlineStr">
        <is>
          <t>A 15508-2023</t>
        </is>
      </c>
      <c r="B433" s="1" t="n">
        <v>45020.50045138889</v>
      </c>
      <c r="C433" s="1" t="n">
        <v>45893</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1289-2024</t>
        </is>
      </c>
      <c r="B434" s="1" t="n">
        <v>45303.32234953704</v>
      </c>
      <c r="C434" s="1" t="n">
        <v>45893</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12843-2023</t>
        </is>
      </c>
      <c r="B435" s="1" t="n">
        <v>45001.48423611111</v>
      </c>
      <c r="C435" s="1" t="n">
        <v>45893</v>
      </c>
      <c r="D435" t="inlineStr">
        <is>
          <t>SKÅNE LÄN</t>
        </is>
      </c>
      <c r="E435" t="inlineStr">
        <is>
          <t>HÄSSLEHOLM</t>
        </is>
      </c>
      <c r="G435" t="n">
        <v>3.9</v>
      </c>
      <c r="H435" t="n">
        <v>0</v>
      </c>
      <c r="I435" t="n">
        <v>0</v>
      </c>
      <c r="J435" t="n">
        <v>0</v>
      </c>
      <c r="K435" t="n">
        <v>0</v>
      </c>
      <c r="L435" t="n">
        <v>0</v>
      </c>
      <c r="M435" t="n">
        <v>0</v>
      </c>
      <c r="N435" t="n">
        <v>0</v>
      </c>
      <c r="O435" t="n">
        <v>0</v>
      </c>
      <c r="P435" t="n">
        <v>0</v>
      </c>
      <c r="Q435" t="n">
        <v>0</v>
      </c>
      <c r="R435" s="2" t="inlineStr"/>
    </row>
    <row r="436" ht="15" customHeight="1">
      <c r="A436" t="inlineStr">
        <is>
          <t>A 54176-2022</t>
        </is>
      </c>
      <c r="B436" s="1" t="n">
        <v>44881</v>
      </c>
      <c r="C436" s="1" t="n">
        <v>45893</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7152-2025</t>
        </is>
      </c>
      <c r="B437" s="1" t="n">
        <v>45702.3837037037</v>
      </c>
      <c r="C437" s="1" t="n">
        <v>45893</v>
      </c>
      <c r="D437" t="inlineStr">
        <is>
          <t>SKÅNE LÄN</t>
        </is>
      </c>
      <c r="E437" t="inlineStr">
        <is>
          <t>HÄSSLEHOLM</t>
        </is>
      </c>
      <c r="G437" t="n">
        <v>1.3</v>
      </c>
      <c r="H437" t="n">
        <v>0</v>
      </c>
      <c r="I437" t="n">
        <v>0</v>
      </c>
      <c r="J437" t="n">
        <v>0</v>
      </c>
      <c r="K437" t="n">
        <v>0</v>
      </c>
      <c r="L437" t="n">
        <v>0</v>
      </c>
      <c r="M437" t="n">
        <v>0</v>
      </c>
      <c r="N437" t="n">
        <v>0</v>
      </c>
      <c r="O437" t="n">
        <v>0</v>
      </c>
      <c r="P437" t="n">
        <v>0</v>
      </c>
      <c r="Q437" t="n">
        <v>0</v>
      </c>
      <c r="R437" s="2" t="inlineStr"/>
    </row>
    <row r="438" ht="15" customHeight="1">
      <c r="A438" t="inlineStr">
        <is>
          <t>A 7160-2025</t>
        </is>
      </c>
      <c r="B438" s="1" t="n">
        <v>45702.3875462963</v>
      </c>
      <c r="C438" s="1" t="n">
        <v>45893</v>
      </c>
      <c r="D438" t="inlineStr">
        <is>
          <t>SKÅNE LÄN</t>
        </is>
      </c>
      <c r="E438" t="inlineStr">
        <is>
          <t>HÄSSLEHOLM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47647-2024</t>
        </is>
      </c>
      <c r="B439" s="1" t="n">
        <v>45588</v>
      </c>
      <c r="C439" s="1" t="n">
        <v>45893</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27291-2023</t>
        </is>
      </c>
      <c r="B440" s="1" t="n">
        <v>45096</v>
      </c>
      <c r="C440" s="1" t="n">
        <v>45893</v>
      </c>
      <c r="D440" t="inlineStr">
        <is>
          <t>SKÅNE LÄN</t>
        </is>
      </c>
      <c r="E440" t="inlineStr">
        <is>
          <t>HÄSSLEHOLM</t>
        </is>
      </c>
      <c r="G440" t="n">
        <v>3.5</v>
      </c>
      <c r="H440" t="n">
        <v>0</v>
      </c>
      <c r="I440" t="n">
        <v>0</v>
      </c>
      <c r="J440" t="n">
        <v>0</v>
      </c>
      <c r="K440" t="n">
        <v>0</v>
      </c>
      <c r="L440" t="n">
        <v>0</v>
      </c>
      <c r="M440" t="n">
        <v>0</v>
      </c>
      <c r="N440" t="n">
        <v>0</v>
      </c>
      <c r="O440" t="n">
        <v>0</v>
      </c>
      <c r="P440" t="n">
        <v>0</v>
      </c>
      <c r="Q440" t="n">
        <v>0</v>
      </c>
      <c r="R440" s="2" t="inlineStr"/>
    </row>
    <row r="441" ht="15" customHeight="1">
      <c r="A441" t="inlineStr">
        <is>
          <t>A 9556-2025</t>
        </is>
      </c>
      <c r="B441" s="1" t="n">
        <v>45714</v>
      </c>
      <c r="C441" s="1" t="n">
        <v>45893</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2479-2024</t>
        </is>
      </c>
      <c r="B442" s="1" t="n">
        <v>45313.40148148148</v>
      </c>
      <c r="C442" s="1" t="n">
        <v>45893</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26397-2023</t>
        </is>
      </c>
      <c r="B443" s="1" t="n">
        <v>45087</v>
      </c>
      <c r="C443" s="1" t="n">
        <v>45893</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61934-2023</t>
        </is>
      </c>
      <c r="B444" s="1" t="n">
        <v>45266.54125</v>
      </c>
      <c r="C444" s="1" t="n">
        <v>45893</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1119-2024</t>
        </is>
      </c>
      <c r="B445" s="1" t="n">
        <v>45302</v>
      </c>
      <c r="C445" s="1" t="n">
        <v>45893</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58888-2024</t>
        </is>
      </c>
      <c r="B446" s="1" t="n">
        <v>45636.45962962963</v>
      </c>
      <c r="C446" s="1" t="n">
        <v>45893</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441-2022</t>
        </is>
      </c>
      <c r="B447" s="1" t="n">
        <v>44565.97125</v>
      </c>
      <c r="C447" s="1" t="n">
        <v>45893</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16334-2024</t>
        </is>
      </c>
      <c r="B448" s="1" t="n">
        <v>45407.54856481482</v>
      </c>
      <c r="C448" s="1" t="n">
        <v>45893</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3663-2024</t>
        </is>
      </c>
      <c r="B449" s="1" t="n">
        <v>45321.34775462963</v>
      </c>
      <c r="C449" s="1" t="n">
        <v>45893</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5887-2025</t>
        </is>
      </c>
      <c r="B450" s="1" t="n">
        <v>45695.37925925926</v>
      </c>
      <c r="C450" s="1" t="n">
        <v>45893</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11715-2023</t>
        </is>
      </c>
      <c r="B451" s="1" t="n">
        <v>44992</v>
      </c>
      <c r="C451" s="1" t="n">
        <v>45893</v>
      </c>
      <c r="D451" t="inlineStr">
        <is>
          <t>SKÅNE LÄN</t>
        </is>
      </c>
      <c r="E451" t="inlineStr">
        <is>
          <t>HÄSSLEHOLM</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38888-2023</t>
        </is>
      </c>
      <c r="B452" s="1" t="n">
        <v>45161</v>
      </c>
      <c r="C452" s="1" t="n">
        <v>45893</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14157-2021</t>
        </is>
      </c>
      <c r="B453" s="1" t="n">
        <v>44278.43246527778</v>
      </c>
      <c r="C453" s="1" t="n">
        <v>45893</v>
      </c>
      <c r="D453" t="inlineStr">
        <is>
          <t>SKÅNE LÄN</t>
        </is>
      </c>
      <c r="E453" t="inlineStr">
        <is>
          <t>HÄSSLEHOLM</t>
        </is>
      </c>
      <c r="G453" t="n">
        <v>10.5</v>
      </c>
      <c r="H453" t="n">
        <v>0</v>
      </c>
      <c r="I453" t="n">
        <v>0</v>
      </c>
      <c r="J453" t="n">
        <v>0</v>
      </c>
      <c r="K453" t="n">
        <v>0</v>
      </c>
      <c r="L453" t="n">
        <v>0</v>
      </c>
      <c r="M453" t="n">
        <v>0</v>
      </c>
      <c r="N453" t="n">
        <v>0</v>
      </c>
      <c r="O453" t="n">
        <v>0</v>
      </c>
      <c r="P453" t="n">
        <v>0</v>
      </c>
      <c r="Q453" t="n">
        <v>0</v>
      </c>
      <c r="R453" s="2" t="inlineStr"/>
    </row>
    <row r="454" ht="15" customHeight="1">
      <c r="A454" t="inlineStr">
        <is>
          <t>A 59030-2024</t>
        </is>
      </c>
      <c r="B454" s="1" t="n">
        <v>45636.68916666666</v>
      </c>
      <c r="C454" s="1" t="n">
        <v>45893</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48663-2024</t>
        </is>
      </c>
      <c r="B455" s="1" t="n">
        <v>45593.48892361111</v>
      </c>
      <c r="C455" s="1" t="n">
        <v>45893</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54874-2022</t>
        </is>
      </c>
      <c r="B456" s="1" t="n">
        <v>44881</v>
      </c>
      <c r="C456" s="1" t="n">
        <v>45893</v>
      </c>
      <c r="D456" t="inlineStr">
        <is>
          <t>SKÅNE LÄN</t>
        </is>
      </c>
      <c r="E456" t="inlineStr">
        <is>
          <t>HÄSSLEHOLM</t>
        </is>
      </c>
      <c r="G456" t="n">
        <v>8.1</v>
      </c>
      <c r="H456" t="n">
        <v>0</v>
      </c>
      <c r="I456" t="n">
        <v>0</v>
      </c>
      <c r="J456" t="n">
        <v>0</v>
      </c>
      <c r="K456" t="n">
        <v>0</v>
      </c>
      <c r="L456" t="n">
        <v>0</v>
      </c>
      <c r="M456" t="n">
        <v>0</v>
      </c>
      <c r="N456" t="n">
        <v>0</v>
      </c>
      <c r="O456" t="n">
        <v>0</v>
      </c>
      <c r="P456" t="n">
        <v>0</v>
      </c>
      <c r="Q456" t="n">
        <v>0</v>
      </c>
      <c r="R456" s="2" t="inlineStr"/>
    </row>
    <row r="457" ht="15" customHeight="1">
      <c r="A457" t="inlineStr">
        <is>
          <t>A 7153-2025</t>
        </is>
      </c>
      <c r="B457" s="1" t="n">
        <v>45702.38512731482</v>
      </c>
      <c r="C457" s="1" t="n">
        <v>45893</v>
      </c>
      <c r="D457" t="inlineStr">
        <is>
          <t>SKÅNE LÄN</t>
        </is>
      </c>
      <c r="E457" t="inlineStr">
        <is>
          <t>HÄSSLEHOLM</t>
        </is>
      </c>
      <c r="G457" t="n">
        <v>2.7</v>
      </c>
      <c r="H457" t="n">
        <v>0</v>
      </c>
      <c r="I457" t="n">
        <v>0</v>
      </c>
      <c r="J457" t="n">
        <v>0</v>
      </c>
      <c r="K457" t="n">
        <v>0</v>
      </c>
      <c r="L457" t="n">
        <v>0</v>
      </c>
      <c r="M457" t="n">
        <v>0</v>
      </c>
      <c r="N457" t="n">
        <v>0</v>
      </c>
      <c r="O457" t="n">
        <v>0</v>
      </c>
      <c r="P457" t="n">
        <v>0</v>
      </c>
      <c r="Q457" t="n">
        <v>0</v>
      </c>
      <c r="R457" s="2" t="inlineStr"/>
    </row>
    <row r="458" ht="15" customHeight="1">
      <c r="A458" t="inlineStr">
        <is>
          <t>A 9393-2025</t>
        </is>
      </c>
      <c r="B458" s="1" t="n">
        <v>45715.36230324074</v>
      </c>
      <c r="C458" s="1" t="n">
        <v>45893</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17152-2025</t>
        </is>
      </c>
      <c r="B459" s="1" t="n">
        <v>45756.33318287037</v>
      </c>
      <c r="C459" s="1" t="n">
        <v>45893</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15897-2025</t>
        </is>
      </c>
      <c r="B460" s="1" t="n">
        <v>45749.41598379629</v>
      </c>
      <c r="C460" s="1" t="n">
        <v>45893</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45893</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34301-2024</t>
        </is>
      </c>
      <c r="B462" s="1" t="n">
        <v>45524</v>
      </c>
      <c r="C462" s="1" t="n">
        <v>45893</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27242-2022</t>
        </is>
      </c>
      <c r="B463" s="1" t="n">
        <v>44741</v>
      </c>
      <c r="C463" s="1" t="n">
        <v>45893</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61182-2024</t>
        </is>
      </c>
      <c r="B464" s="1" t="n">
        <v>45645</v>
      </c>
      <c r="C464" s="1" t="n">
        <v>45893</v>
      </c>
      <c r="D464" t="inlineStr">
        <is>
          <t>SKÅNE LÄN</t>
        </is>
      </c>
      <c r="E464" t="inlineStr">
        <is>
          <t>HÄSSLEHOLM</t>
        </is>
      </c>
      <c r="G464" t="n">
        <v>3.2</v>
      </c>
      <c r="H464" t="n">
        <v>0</v>
      </c>
      <c r="I464" t="n">
        <v>0</v>
      </c>
      <c r="J464" t="n">
        <v>0</v>
      </c>
      <c r="K464" t="n">
        <v>0</v>
      </c>
      <c r="L464" t="n">
        <v>0</v>
      </c>
      <c r="M464" t="n">
        <v>0</v>
      </c>
      <c r="N464" t="n">
        <v>0</v>
      </c>
      <c r="O464" t="n">
        <v>0</v>
      </c>
      <c r="P464" t="n">
        <v>0</v>
      </c>
      <c r="Q464" t="n">
        <v>0</v>
      </c>
      <c r="R464" s="2" t="inlineStr"/>
    </row>
    <row r="465" ht="15" customHeight="1">
      <c r="A465" t="inlineStr">
        <is>
          <t>A 61158-2022</t>
        </is>
      </c>
      <c r="B465" s="1" t="n">
        <v>44915.47112268519</v>
      </c>
      <c r="C465" s="1" t="n">
        <v>45893</v>
      </c>
      <c r="D465" t="inlineStr">
        <is>
          <t>SKÅNE LÄN</t>
        </is>
      </c>
      <c r="E465" t="inlineStr">
        <is>
          <t>HÄSSLEHOLM</t>
        </is>
      </c>
      <c r="G465" t="n">
        <v>8.4</v>
      </c>
      <c r="H465" t="n">
        <v>0</v>
      </c>
      <c r="I465" t="n">
        <v>0</v>
      </c>
      <c r="J465" t="n">
        <v>0</v>
      </c>
      <c r="K465" t="n">
        <v>0</v>
      </c>
      <c r="L465" t="n">
        <v>0</v>
      </c>
      <c r="M465" t="n">
        <v>0</v>
      </c>
      <c r="N465" t="n">
        <v>0</v>
      </c>
      <c r="O465" t="n">
        <v>0</v>
      </c>
      <c r="P465" t="n">
        <v>0</v>
      </c>
      <c r="Q465" t="n">
        <v>0</v>
      </c>
      <c r="R465" s="2" t="inlineStr"/>
    </row>
    <row r="466" ht="15" customHeight="1">
      <c r="A466" t="inlineStr">
        <is>
          <t>A 61186-2022</t>
        </is>
      </c>
      <c r="B466" s="1" t="n">
        <v>44915.50745370371</v>
      </c>
      <c r="C466" s="1" t="n">
        <v>45893</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62055-2023</t>
        </is>
      </c>
      <c r="B467" s="1" t="n">
        <v>45266.70287037037</v>
      </c>
      <c r="C467" s="1" t="n">
        <v>45893</v>
      </c>
      <c r="D467" t="inlineStr">
        <is>
          <t>SKÅNE LÄN</t>
        </is>
      </c>
      <c r="E467" t="inlineStr">
        <is>
          <t>HÄSSLEHOLM</t>
        </is>
      </c>
      <c r="G467" t="n">
        <v>5.2</v>
      </c>
      <c r="H467" t="n">
        <v>0</v>
      </c>
      <c r="I467" t="n">
        <v>0</v>
      </c>
      <c r="J467" t="n">
        <v>0</v>
      </c>
      <c r="K467" t="n">
        <v>0</v>
      </c>
      <c r="L467" t="n">
        <v>0</v>
      </c>
      <c r="M467" t="n">
        <v>0</v>
      </c>
      <c r="N467" t="n">
        <v>0</v>
      </c>
      <c r="O467" t="n">
        <v>0</v>
      </c>
      <c r="P467" t="n">
        <v>0</v>
      </c>
      <c r="Q467" t="n">
        <v>0</v>
      </c>
      <c r="R467" s="2" t="inlineStr"/>
    </row>
    <row r="468" ht="15" customHeight="1">
      <c r="A468" t="inlineStr">
        <is>
          <t>A 33465-2024</t>
        </is>
      </c>
      <c r="B468" s="1" t="n">
        <v>45519.59619212963</v>
      </c>
      <c r="C468" s="1" t="n">
        <v>45893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14255-2024</t>
        </is>
      </c>
      <c r="B469" s="1" t="n">
        <v>45393</v>
      </c>
      <c r="C469" s="1" t="n">
        <v>45893</v>
      </c>
      <c r="D469" t="inlineStr">
        <is>
          <t>SKÅNE LÄN</t>
        </is>
      </c>
      <c r="E469" t="inlineStr">
        <is>
          <t>HÄSSLEHOLM</t>
        </is>
      </c>
      <c r="G469" t="n">
        <v>11.9</v>
      </c>
      <c r="H469" t="n">
        <v>0</v>
      </c>
      <c r="I469" t="n">
        <v>0</v>
      </c>
      <c r="J469" t="n">
        <v>0</v>
      </c>
      <c r="K469" t="n">
        <v>0</v>
      </c>
      <c r="L469" t="n">
        <v>0</v>
      </c>
      <c r="M469" t="n">
        <v>0</v>
      </c>
      <c r="N469" t="n">
        <v>0</v>
      </c>
      <c r="O469" t="n">
        <v>0</v>
      </c>
      <c r="P469" t="n">
        <v>0</v>
      </c>
      <c r="Q469" t="n">
        <v>0</v>
      </c>
      <c r="R469" s="2" t="inlineStr"/>
    </row>
    <row r="470" ht="15" customHeight="1">
      <c r="A470" t="inlineStr">
        <is>
          <t>A 26642-2023</t>
        </is>
      </c>
      <c r="B470" s="1" t="n">
        <v>45092.8975</v>
      </c>
      <c r="C470" s="1" t="n">
        <v>45893</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17413-2025</t>
        </is>
      </c>
      <c r="B471" s="1" t="n">
        <v>45757.37480324074</v>
      </c>
      <c r="C471" s="1" t="n">
        <v>45893</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16860-2025</t>
        </is>
      </c>
      <c r="B472" s="1" t="n">
        <v>45751</v>
      </c>
      <c r="C472" s="1" t="n">
        <v>45893</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10594-2025</t>
        </is>
      </c>
      <c r="B473" s="1" t="n">
        <v>45721</v>
      </c>
      <c r="C473" s="1" t="n">
        <v>45893</v>
      </c>
      <c r="D473" t="inlineStr">
        <is>
          <t>SKÅNE LÄN</t>
        </is>
      </c>
      <c r="E473" t="inlineStr">
        <is>
          <t>HÄSSLEHOLM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66321-2021</t>
        </is>
      </c>
      <c r="B474" s="1" t="n">
        <v>44518</v>
      </c>
      <c r="C474" s="1" t="n">
        <v>45893</v>
      </c>
      <c r="D474" t="inlineStr">
        <is>
          <t>SKÅNE LÄN</t>
        </is>
      </c>
      <c r="E474" t="inlineStr">
        <is>
          <t>HÄSSLEHOLM</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16668-2025</t>
        </is>
      </c>
      <c r="B475" s="1" t="n">
        <v>45754.43009259259</v>
      </c>
      <c r="C475" s="1" t="n">
        <v>45893</v>
      </c>
      <c r="D475" t="inlineStr">
        <is>
          <t>SKÅNE LÄN</t>
        </is>
      </c>
      <c r="E475" t="inlineStr">
        <is>
          <t>HÄSSLEHOLM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48771-2024</t>
        </is>
      </c>
      <c r="B476" s="1" t="n">
        <v>45593.61284722222</v>
      </c>
      <c r="C476" s="1" t="n">
        <v>45893</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23857-2024</t>
        </is>
      </c>
      <c r="B477" s="1" t="n">
        <v>45455</v>
      </c>
      <c r="C477" s="1" t="n">
        <v>45893</v>
      </c>
      <c r="D477" t="inlineStr">
        <is>
          <t>SKÅNE LÄN</t>
        </is>
      </c>
      <c r="E477" t="inlineStr">
        <is>
          <t>HÄSSLEHOLM</t>
        </is>
      </c>
      <c r="G477" t="n">
        <v>3</v>
      </c>
      <c r="H477" t="n">
        <v>0</v>
      </c>
      <c r="I477" t="n">
        <v>0</v>
      </c>
      <c r="J477" t="n">
        <v>0</v>
      </c>
      <c r="K477" t="n">
        <v>0</v>
      </c>
      <c r="L477" t="n">
        <v>0</v>
      </c>
      <c r="M477" t="n">
        <v>0</v>
      </c>
      <c r="N477" t="n">
        <v>0</v>
      </c>
      <c r="O477" t="n">
        <v>0</v>
      </c>
      <c r="P477" t="n">
        <v>0</v>
      </c>
      <c r="Q477" t="n">
        <v>0</v>
      </c>
      <c r="R477" s="2" t="inlineStr"/>
    </row>
    <row r="478" ht="15" customHeight="1">
      <c r="A478" t="inlineStr">
        <is>
          <t>A 31268-2024</t>
        </is>
      </c>
      <c r="B478" s="1" t="n">
        <v>45504</v>
      </c>
      <c r="C478" s="1" t="n">
        <v>45893</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12338-2024</t>
        </is>
      </c>
      <c r="B479" s="1" t="n">
        <v>45378.72869212963</v>
      </c>
      <c r="C479" s="1" t="n">
        <v>45893</v>
      </c>
      <c r="D479" t="inlineStr">
        <is>
          <t>SKÅNE LÄN</t>
        </is>
      </c>
      <c r="E479" t="inlineStr">
        <is>
          <t>HÄSSLEHOLM</t>
        </is>
      </c>
      <c r="G479" t="n">
        <v>1.8</v>
      </c>
      <c r="H479" t="n">
        <v>0</v>
      </c>
      <c r="I479" t="n">
        <v>0</v>
      </c>
      <c r="J479" t="n">
        <v>0</v>
      </c>
      <c r="K479" t="n">
        <v>0</v>
      </c>
      <c r="L479" t="n">
        <v>0</v>
      </c>
      <c r="M479" t="n">
        <v>0</v>
      </c>
      <c r="N479" t="n">
        <v>0</v>
      </c>
      <c r="O479" t="n">
        <v>0</v>
      </c>
      <c r="P479" t="n">
        <v>0</v>
      </c>
      <c r="Q479" t="n">
        <v>0</v>
      </c>
      <c r="R479" s="2" t="inlineStr"/>
    </row>
    <row r="480" ht="15" customHeight="1">
      <c r="A480" t="inlineStr">
        <is>
          <t>A 12344-2023</t>
        </is>
      </c>
      <c r="B480" s="1" t="n">
        <v>44999</v>
      </c>
      <c r="C480" s="1" t="n">
        <v>45893</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51287-2022</t>
        </is>
      </c>
      <c r="B481" s="1" t="n">
        <v>44868.83146990741</v>
      </c>
      <c r="C481" s="1" t="n">
        <v>45893</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61197-2024</t>
        </is>
      </c>
      <c r="B482" s="1" t="n">
        <v>45645.63184027778</v>
      </c>
      <c r="C482" s="1" t="n">
        <v>45893</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6165-2023</t>
        </is>
      </c>
      <c r="B483" s="1" t="n">
        <v>44964.67114583333</v>
      </c>
      <c r="C483" s="1" t="n">
        <v>45893</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33938-2023</t>
        </is>
      </c>
      <c r="B484" s="1" t="n">
        <v>45124</v>
      </c>
      <c r="C484" s="1" t="n">
        <v>45893</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20494-2024</t>
        </is>
      </c>
      <c r="B485" s="1" t="n">
        <v>45435</v>
      </c>
      <c r="C485" s="1" t="n">
        <v>45893</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61533-2022</t>
        </is>
      </c>
      <c r="B486" s="1" t="n">
        <v>44910</v>
      </c>
      <c r="C486" s="1" t="n">
        <v>45893</v>
      </c>
      <c r="D486" t="inlineStr">
        <is>
          <t>SKÅNE LÄN</t>
        </is>
      </c>
      <c r="E486" t="inlineStr">
        <is>
          <t>HÄSSLEHOLM</t>
        </is>
      </c>
      <c r="F486" t="inlineStr">
        <is>
          <t>Kyrkan</t>
        </is>
      </c>
      <c r="G486" t="n">
        <v>1</v>
      </c>
      <c r="H486" t="n">
        <v>0</v>
      </c>
      <c r="I486" t="n">
        <v>0</v>
      </c>
      <c r="J486" t="n">
        <v>0</v>
      </c>
      <c r="K486" t="n">
        <v>0</v>
      </c>
      <c r="L486" t="n">
        <v>0</v>
      </c>
      <c r="M486" t="n">
        <v>0</v>
      </c>
      <c r="N486" t="n">
        <v>0</v>
      </c>
      <c r="O486" t="n">
        <v>0</v>
      </c>
      <c r="P486" t="n">
        <v>0</v>
      </c>
      <c r="Q486" t="n">
        <v>0</v>
      </c>
      <c r="R486" s="2" t="inlineStr"/>
    </row>
    <row r="487" ht="15" customHeight="1">
      <c r="A487" t="inlineStr">
        <is>
          <t>A 55454-2021</t>
        </is>
      </c>
      <c r="B487" s="1" t="n">
        <v>44475</v>
      </c>
      <c r="C487" s="1" t="n">
        <v>45893</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677-2024</t>
        </is>
      </c>
      <c r="B488" s="1" t="n">
        <v>45300</v>
      </c>
      <c r="C488" s="1" t="n">
        <v>45893</v>
      </c>
      <c r="D488" t="inlineStr">
        <is>
          <t>SKÅNE LÄN</t>
        </is>
      </c>
      <c r="E488" t="inlineStr">
        <is>
          <t>HÄSSLEHOLM</t>
        </is>
      </c>
      <c r="G488" t="n">
        <v>6.8</v>
      </c>
      <c r="H488" t="n">
        <v>0</v>
      </c>
      <c r="I488" t="n">
        <v>0</v>
      </c>
      <c r="J488" t="n">
        <v>0</v>
      </c>
      <c r="K488" t="n">
        <v>0</v>
      </c>
      <c r="L488" t="n">
        <v>0</v>
      </c>
      <c r="M488" t="n">
        <v>0</v>
      </c>
      <c r="N488" t="n">
        <v>0</v>
      </c>
      <c r="O488" t="n">
        <v>0</v>
      </c>
      <c r="P488" t="n">
        <v>0</v>
      </c>
      <c r="Q488" t="n">
        <v>0</v>
      </c>
      <c r="R488" s="2" t="inlineStr"/>
    </row>
    <row r="489" ht="15" customHeight="1">
      <c r="A489" t="inlineStr">
        <is>
          <t>A 31572-2022</t>
        </is>
      </c>
      <c r="B489" s="1" t="n">
        <v>44775</v>
      </c>
      <c r="C489" s="1" t="n">
        <v>45893</v>
      </c>
      <c r="D489" t="inlineStr">
        <is>
          <t>SKÅNE LÄN</t>
        </is>
      </c>
      <c r="E489" t="inlineStr">
        <is>
          <t>HÄSSLEHOLM</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4356-2024</t>
        </is>
      </c>
      <c r="B490" s="1" t="n">
        <v>45325.36195601852</v>
      </c>
      <c r="C490" s="1" t="n">
        <v>45893</v>
      </c>
      <c r="D490" t="inlineStr">
        <is>
          <t>SKÅNE LÄN</t>
        </is>
      </c>
      <c r="E490" t="inlineStr">
        <is>
          <t>HÄSSLEHOLM</t>
        </is>
      </c>
      <c r="G490" t="n">
        <v>3.2</v>
      </c>
      <c r="H490" t="n">
        <v>0</v>
      </c>
      <c r="I490" t="n">
        <v>0</v>
      </c>
      <c r="J490" t="n">
        <v>0</v>
      </c>
      <c r="K490" t="n">
        <v>0</v>
      </c>
      <c r="L490" t="n">
        <v>0</v>
      </c>
      <c r="M490" t="n">
        <v>0</v>
      </c>
      <c r="N490" t="n">
        <v>0</v>
      </c>
      <c r="O490" t="n">
        <v>0</v>
      </c>
      <c r="P490" t="n">
        <v>0</v>
      </c>
      <c r="Q490" t="n">
        <v>0</v>
      </c>
      <c r="R490" s="2" t="inlineStr"/>
    </row>
    <row r="491" ht="15" customHeight="1">
      <c r="A491" t="inlineStr">
        <is>
          <t>A 15055-2023</t>
        </is>
      </c>
      <c r="B491" s="1" t="n">
        <v>45015</v>
      </c>
      <c r="C491" s="1" t="n">
        <v>45893</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20872-2025</t>
        </is>
      </c>
      <c r="B492" s="1" t="n">
        <v>45777.34688657407</v>
      </c>
      <c r="C492" s="1" t="n">
        <v>45893</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3480-2024</t>
        </is>
      </c>
      <c r="B493" s="1" t="n">
        <v>45320.43998842593</v>
      </c>
      <c r="C493" s="1" t="n">
        <v>45893</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34187-2023</t>
        </is>
      </c>
      <c r="B494" s="1" t="n">
        <v>45138</v>
      </c>
      <c r="C494" s="1" t="n">
        <v>45893</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5980-2024</t>
        </is>
      </c>
      <c r="B495" s="1" t="n">
        <v>45335</v>
      </c>
      <c r="C495" s="1" t="n">
        <v>45893</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29994-2023</t>
        </is>
      </c>
      <c r="B496" s="1" t="n">
        <v>45109.60038194444</v>
      </c>
      <c r="C496" s="1" t="n">
        <v>45893</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20970-2025</t>
        </is>
      </c>
      <c r="B497" s="1" t="n">
        <v>45777.45417824074</v>
      </c>
      <c r="C497" s="1" t="n">
        <v>45893</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10802-2024</t>
        </is>
      </c>
      <c r="B498" s="1" t="n">
        <v>45369</v>
      </c>
      <c r="C498" s="1" t="n">
        <v>45893</v>
      </c>
      <c r="D498" t="inlineStr">
        <is>
          <t>SKÅNE LÄN</t>
        </is>
      </c>
      <c r="E498" t="inlineStr">
        <is>
          <t>HÄSSLEHOLM</t>
        </is>
      </c>
      <c r="G498" t="n">
        <v>3.4</v>
      </c>
      <c r="H498" t="n">
        <v>0</v>
      </c>
      <c r="I498" t="n">
        <v>0</v>
      </c>
      <c r="J498" t="n">
        <v>0</v>
      </c>
      <c r="K498" t="n">
        <v>0</v>
      </c>
      <c r="L498" t="n">
        <v>0</v>
      </c>
      <c r="M498" t="n">
        <v>0</v>
      </c>
      <c r="N498" t="n">
        <v>0</v>
      </c>
      <c r="O498" t="n">
        <v>0</v>
      </c>
      <c r="P498" t="n">
        <v>0</v>
      </c>
      <c r="Q498" t="n">
        <v>0</v>
      </c>
      <c r="R498" s="2" t="inlineStr"/>
    </row>
    <row r="499" ht="15" customHeight="1">
      <c r="A499" t="inlineStr">
        <is>
          <t>A 45653-2024</t>
        </is>
      </c>
      <c r="B499" s="1" t="n">
        <v>45579.48872685185</v>
      </c>
      <c r="C499" s="1" t="n">
        <v>45893</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31255-2024</t>
        </is>
      </c>
      <c r="B500" s="1" t="n">
        <v>45503.69114583333</v>
      </c>
      <c r="C500" s="1" t="n">
        <v>45893</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44697-2021</t>
        </is>
      </c>
      <c r="B501" s="1" t="n">
        <v>44438</v>
      </c>
      <c r="C501" s="1" t="n">
        <v>45893</v>
      </c>
      <c r="D501" t="inlineStr">
        <is>
          <t>SKÅNE LÄN</t>
        </is>
      </c>
      <c r="E501" t="inlineStr">
        <is>
          <t>HÄSSLEHOLM</t>
        </is>
      </c>
      <c r="G501" t="n">
        <v>4.8</v>
      </c>
      <c r="H501" t="n">
        <v>0</v>
      </c>
      <c r="I501" t="n">
        <v>0</v>
      </c>
      <c r="J501" t="n">
        <v>0</v>
      </c>
      <c r="K501" t="n">
        <v>0</v>
      </c>
      <c r="L501" t="n">
        <v>0</v>
      </c>
      <c r="M501" t="n">
        <v>0</v>
      </c>
      <c r="N501" t="n">
        <v>0</v>
      </c>
      <c r="O501" t="n">
        <v>0</v>
      </c>
      <c r="P501" t="n">
        <v>0</v>
      </c>
      <c r="Q501" t="n">
        <v>0</v>
      </c>
      <c r="R501" s="2" t="inlineStr"/>
    </row>
    <row r="502" ht="15" customHeight="1">
      <c r="A502" t="inlineStr">
        <is>
          <t>A 8433-2024</t>
        </is>
      </c>
      <c r="B502" s="1" t="n">
        <v>45353.48434027778</v>
      </c>
      <c r="C502" s="1" t="n">
        <v>45893</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45893</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28457-2024</t>
        </is>
      </c>
      <c r="B504" s="1" t="n">
        <v>45477.68884259259</v>
      </c>
      <c r="C504" s="1" t="n">
        <v>45893</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21206-2025</t>
        </is>
      </c>
      <c r="B505" s="1" t="n">
        <v>45779.48318287037</v>
      </c>
      <c r="C505" s="1" t="n">
        <v>45893</v>
      </c>
      <c r="D505" t="inlineStr">
        <is>
          <t>SKÅNE LÄN</t>
        </is>
      </c>
      <c r="E505" t="inlineStr">
        <is>
          <t>HÄSSLEHOLM</t>
        </is>
      </c>
      <c r="G505" t="n">
        <v>2.2</v>
      </c>
      <c r="H505" t="n">
        <v>0</v>
      </c>
      <c r="I505" t="n">
        <v>0</v>
      </c>
      <c r="J505" t="n">
        <v>0</v>
      </c>
      <c r="K505" t="n">
        <v>0</v>
      </c>
      <c r="L505" t="n">
        <v>0</v>
      </c>
      <c r="M505" t="n">
        <v>0</v>
      </c>
      <c r="N505" t="n">
        <v>0</v>
      </c>
      <c r="O505" t="n">
        <v>0</v>
      </c>
      <c r="P505" t="n">
        <v>0</v>
      </c>
      <c r="Q505" t="n">
        <v>0</v>
      </c>
      <c r="R505" s="2" t="inlineStr"/>
    </row>
    <row r="506" ht="15" customHeight="1">
      <c r="A506" t="inlineStr">
        <is>
          <t>A 13309-2025</t>
        </is>
      </c>
      <c r="B506" s="1" t="n">
        <v>45735.58512731481</v>
      </c>
      <c r="C506" s="1" t="n">
        <v>45893</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51752-2023</t>
        </is>
      </c>
      <c r="B507" s="1" t="n">
        <v>45222</v>
      </c>
      <c r="C507" s="1" t="n">
        <v>45893</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21091-2025</t>
        </is>
      </c>
      <c r="B508" s="1" t="n">
        <v>45777</v>
      </c>
      <c r="C508" s="1" t="n">
        <v>45893</v>
      </c>
      <c r="D508" t="inlineStr">
        <is>
          <t>SKÅNE LÄN</t>
        </is>
      </c>
      <c r="E508" t="inlineStr">
        <is>
          <t>HÄSSLEHOLM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317-2025</t>
        </is>
      </c>
      <c r="B509" s="1" t="n">
        <v>45660</v>
      </c>
      <c r="C509" s="1" t="n">
        <v>45893</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21638-2025</t>
        </is>
      </c>
      <c r="B510" s="1" t="n">
        <v>45783.43087962963</v>
      </c>
      <c r="C510" s="1" t="n">
        <v>45893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32834-2024</t>
        </is>
      </c>
      <c r="B511" s="1" t="n">
        <v>45516.6025</v>
      </c>
      <c r="C511" s="1" t="n">
        <v>45893</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9397-2025</t>
        </is>
      </c>
      <c r="B512" s="1" t="n">
        <v>45715.37361111111</v>
      </c>
      <c r="C512" s="1" t="n">
        <v>45893</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59109-2023</t>
        </is>
      </c>
      <c r="B513" s="1" t="n">
        <v>45253.30819444444</v>
      </c>
      <c r="C513" s="1" t="n">
        <v>45893</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49384-2021</t>
        </is>
      </c>
      <c r="B514" s="1" t="n">
        <v>44454</v>
      </c>
      <c r="C514" s="1" t="n">
        <v>45893</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54462-2022</t>
        </is>
      </c>
      <c r="B515" s="1" t="n">
        <v>44882</v>
      </c>
      <c r="C515" s="1" t="n">
        <v>45893</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25611-2024</t>
        </is>
      </c>
      <c r="B516" s="1" t="n">
        <v>45463</v>
      </c>
      <c r="C516" s="1" t="n">
        <v>45893</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7094-2023</t>
        </is>
      </c>
      <c r="B517" s="1" t="n">
        <v>44970.36958333333</v>
      </c>
      <c r="C517" s="1" t="n">
        <v>45893</v>
      </c>
      <c r="D517" t="inlineStr">
        <is>
          <t>SKÅNE LÄN</t>
        </is>
      </c>
      <c r="E517" t="inlineStr">
        <is>
          <t>HÄSSLEHOLM</t>
        </is>
      </c>
      <c r="G517" t="n">
        <v>3.6</v>
      </c>
      <c r="H517" t="n">
        <v>0</v>
      </c>
      <c r="I517" t="n">
        <v>0</v>
      </c>
      <c r="J517" t="n">
        <v>0</v>
      </c>
      <c r="K517" t="n">
        <v>0</v>
      </c>
      <c r="L517" t="n">
        <v>0</v>
      </c>
      <c r="M517" t="n">
        <v>0</v>
      </c>
      <c r="N517" t="n">
        <v>0</v>
      </c>
      <c r="O517" t="n">
        <v>0</v>
      </c>
      <c r="P517" t="n">
        <v>0</v>
      </c>
      <c r="Q517" t="n">
        <v>0</v>
      </c>
      <c r="R517" s="2" t="inlineStr"/>
    </row>
    <row r="518" ht="15" customHeight="1">
      <c r="A518" t="inlineStr">
        <is>
          <t>A 39111-2023</t>
        </is>
      </c>
      <c r="B518" s="1" t="n">
        <v>45164.87140046297</v>
      </c>
      <c r="C518" s="1" t="n">
        <v>45893</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32100-2024</t>
        </is>
      </c>
      <c r="B519" s="1" t="n">
        <v>45511.41451388889</v>
      </c>
      <c r="C519" s="1" t="n">
        <v>45893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60851-2024</t>
        </is>
      </c>
      <c r="B520" s="1" t="n">
        <v>45644.66182870371</v>
      </c>
      <c r="C520" s="1" t="n">
        <v>45893</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9322-2025</t>
        </is>
      </c>
      <c r="B521" s="1" t="n">
        <v>45714.72241898148</v>
      </c>
      <c r="C521" s="1" t="n">
        <v>45893</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10220-2023</t>
        </is>
      </c>
      <c r="B522" s="1" t="n">
        <v>44986.60916666667</v>
      </c>
      <c r="C522" s="1" t="n">
        <v>45893</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21625-2025</t>
        </is>
      </c>
      <c r="B523" s="1" t="n">
        <v>45783.41252314814</v>
      </c>
      <c r="C523" s="1" t="n">
        <v>45893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35810-2023</t>
        </is>
      </c>
      <c r="B524" s="1" t="n">
        <v>45148.44046296296</v>
      </c>
      <c r="C524" s="1" t="n">
        <v>45893</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11260-2021</t>
        </is>
      </c>
      <c r="B525" s="1" t="n">
        <v>44263</v>
      </c>
      <c r="C525" s="1" t="n">
        <v>45893</v>
      </c>
      <c r="D525" t="inlineStr">
        <is>
          <t>SKÅNE LÄN</t>
        </is>
      </c>
      <c r="E525" t="inlineStr">
        <is>
          <t>HÄSSLEHOLM</t>
        </is>
      </c>
      <c r="G525" t="n">
        <v>5.4</v>
      </c>
      <c r="H525" t="n">
        <v>0</v>
      </c>
      <c r="I525" t="n">
        <v>0</v>
      </c>
      <c r="J525" t="n">
        <v>0</v>
      </c>
      <c r="K525" t="n">
        <v>0</v>
      </c>
      <c r="L525" t="n">
        <v>0</v>
      </c>
      <c r="M525" t="n">
        <v>0</v>
      </c>
      <c r="N525" t="n">
        <v>0</v>
      </c>
      <c r="O525" t="n">
        <v>0</v>
      </c>
      <c r="P525" t="n">
        <v>0</v>
      </c>
      <c r="Q525" t="n">
        <v>0</v>
      </c>
      <c r="R525" s="2" t="inlineStr"/>
    </row>
    <row r="526" ht="15" customHeight="1">
      <c r="A526" t="inlineStr">
        <is>
          <t>A 35833-2023</t>
        </is>
      </c>
      <c r="B526" s="1" t="n">
        <v>45148</v>
      </c>
      <c r="C526" s="1" t="n">
        <v>45893</v>
      </c>
      <c r="D526" t="inlineStr">
        <is>
          <t>SKÅNE LÄN</t>
        </is>
      </c>
      <c r="E526" t="inlineStr">
        <is>
          <t>HÄSSLEHOLM</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59556-2023</t>
        </is>
      </c>
      <c r="B527" s="1" t="n">
        <v>45254.56313657408</v>
      </c>
      <c r="C527" s="1" t="n">
        <v>45893</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7818-2024</t>
        </is>
      </c>
      <c r="B528" s="1" t="n">
        <v>45349.68872685185</v>
      </c>
      <c r="C528" s="1" t="n">
        <v>45893</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53077-2022</t>
        </is>
      </c>
      <c r="B529" s="1" t="n">
        <v>44873</v>
      </c>
      <c r="C529" s="1" t="n">
        <v>45893</v>
      </c>
      <c r="D529" t="inlineStr">
        <is>
          <t>SKÅNE LÄN</t>
        </is>
      </c>
      <c r="E529" t="inlineStr">
        <is>
          <t>HÄSSLEHOLM</t>
        </is>
      </c>
      <c r="G529" t="n">
        <v>3</v>
      </c>
      <c r="H529" t="n">
        <v>0</v>
      </c>
      <c r="I529" t="n">
        <v>0</v>
      </c>
      <c r="J529" t="n">
        <v>0</v>
      </c>
      <c r="K529" t="n">
        <v>0</v>
      </c>
      <c r="L529" t="n">
        <v>0</v>
      </c>
      <c r="M529" t="n">
        <v>0</v>
      </c>
      <c r="N529" t="n">
        <v>0</v>
      </c>
      <c r="O529" t="n">
        <v>0</v>
      </c>
      <c r="P529" t="n">
        <v>0</v>
      </c>
      <c r="Q529" t="n">
        <v>0</v>
      </c>
      <c r="R529" s="2" t="inlineStr"/>
    </row>
    <row r="530" ht="15" customHeight="1">
      <c r="A530" t="inlineStr">
        <is>
          <t>A 260-2024</t>
        </is>
      </c>
      <c r="B530" s="1" t="n">
        <v>45294</v>
      </c>
      <c r="C530" s="1" t="n">
        <v>45893</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45893</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13149-2024</t>
        </is>
      </c>
      <c r="B532" s="1" t="n">
        <v>45386</v>
      </c>
      <c r="C532" s="1" t="n">
        <v>45893</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29845-2024</t>
        </is>
      </c>
      <c r="B533" s="1" t="n">
        <v>45485.6212037037</v>
      </c>
      <c r="C533" s="1" t="n">
        <v>45893</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30109-2025</t>
        </is>
      </c>
      <c r="B534" s="1" t="n">
        <v>45826</v>
      </c>
      <c r="C534" s="1" t="n">
        <v>45893</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1703-2025</t>
        </is>
      </c>
      <c r="B535" s="1" t="n">
        <v>45670.80732638889</v>
      </c>
      <c r="C535" s="1" t="n">
        <v>45893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5316-2023</t>
        </is>
      </c>
      <c r="B536" s="1" t="n">
        <v>44959</v>
      </c>
      <c r="C536" s="1" t="n">
        <v>45893</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53466-2024</t>
        </is>
      </c>
      <c r="B537" s="1" t="n">
        <v>45614.55304398148</v>
      </c>
      <c r="C537" s="1" t="n">
        <v>45893</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61533-2024</t>
        </is>
      </c>
      <c r="B538" s="1" t="n">
        <v>45646</v>
      </c>
      <c r="C538" s="1" t="n">
        <v>45893</v>
      </c>
      <c r="D538" t="inlineStr">
        <is>
          <t>SKÅNE LÄN</t>
        </is>
      </c>
      <c r="E538" t="inlineStr">
        <is>
          <t>HÄSSLEHOLM</t>
        </is>
      </c>
      <c r="G538" t="n">
        <v>4.5</v>
      </c>
      <c r="H538" t="n">
        <v>0</v>
      </c>
      <c r="I538" t="n">
        <v>0</v>
      </c>
      <c r="J538" t="n">
        <v>0</v>
      </c>
      <c r="K538" t="n">
        <v>0</v>
      </c>
      <c r="L538" t="n">
        <v>0</v>
      </c>
      <c r="M538" t="n">
        <v>0</v>
      </c>
      <c r="N538" t="n">
        <v>0</v>
      </c>
      <c r="O538" t="n">
        <v>0</v>
      </c>
      <c r="P538" t="n">
        <v>0</v>
      </c>
      <c r="Q538" t="n">
        <v>0</v>
      </c>
      <c r="R538" s="2" t="inlineStr"/>
    </row>
    <row r="539" ht="15" customHeight="1">
      <c r="A539" t="inlineStr">
        <is>
          <t>A 19735-2023</t>
        </is>
      </c>
      <c r="B539" s="1" t="n">
        <v>45051.52199074074</v>
      </c>
      <c r="C539" s="1" t="n">
        <v>45893</v>
      </c>
      <c r="D539" t="inlineStr">
        <is>
          <t>SKÅNE LÄN</t>
        </is>
      </c>
      <c r="E539" t="inlineStr">
        <is>
          <t>HÄSSLEHOLM</t>
        </is>
      </c>
      <c r="G539" t="n">
        <v>4</v>
      </c>
      <c r="H539" t="n">
        <v>0</v>
      </c>
      <c r="I539" t="n">
        <v>0</v>
      </c>
      <c r="J539" t="n">
        <v>0</v>
      </c>
      <c r="K539" t="n">
        <v>0</v>
      </c>
      <c r="L539" t="n">
        <v>0</v>
      </c>
      <c r="M539" t="n">
        <v>0</v>
      </c>
      <c r="N539" t="n">
        <v>0</v>
      </c>
      <c r="O539" t="n">
        <v>0</v>
      </c>
      <c r="P539" t="n">
        <v>0</v>
      </c>
      <c r="Q539" t="n">
        <v>0</v>
      </c>
      <c r="R539" s="2" t="inlineStr"/>
    </row>
    <row r="540" ht="15" customHeight="1">
      <c r="A540" t="inlineStr">
        <is>
          <t>A 2490-2024</t>
        </is>
      </c>
      <c r="B540" s="1" t="n">
        <v>45313.43649305555</v>
      </c>
      <c r="C540" s="1" t="n">
        <v>45893</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61537-2024</t>
        </is>
      </c>
      <c r="B541" s="1" t="n">
        <v>45646</v>
      </c>
      <c r="C541" s="1" t="n">
        <v>45893</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19744-2023</t>
        </is>
      </c>
      <c r="B542" s="1" t="n">
        <v>45051</v>
      </c>
      <c r="C542" s="1" t="n">
        <v>45893</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14655-2025</t>
        </is>
      </c>
      <c r="B543" s="1" t="n">
        <v>45742.5072337963</v>
      </c>
      <c r="C543" s="1" t="n">
        <v>45893</v>
      </c>
      <c r="D543" t="inlineStr">
        <is>
          <t>SKÅNE LÄN</t>
        </is>
      </c>
      <c r="E543" t="inlineStr">
        <is>
          <t>HÄSSLEHOLM</t>
        </is>
      </c>
      <c r="G543" t="n">
        <v>4.5</v>
      </c>
      <c r="H543" t="n">
        <v>0</v>
      </c>
      <c r="I543" t="n">
        <v>0</v>
      </c>
      <c r="J543" t="n">
        <v>0</v>
      </c>
      <c r="K543" t="n">
        <v>0</v>
      </c>
      <c r="L543" t="n">
        <v>0</v>
      </c>
      <c r="M543" t="n">
        <v>0</v>
      </c>
      <c r="N543" t="n">
        <v>0</v>
      </c>
      <c r="O543" t="n">
        <v>0</v>
      </c>
      <c r="P543" t="n">
        <v>0</v>
      </c>
      <c r="Q543" t="n">
        <v>0</v>
      </c>
      <c r="R543" s="2" t="inlineStr"/>
    </row>
    <row r="544" ht="15" customHeight="1">
      <c r="A544" t="inlineStr">
        <is>
          <t>A 34890-2023</t>
        </is>
      </c>
      <c r="B544" s="1" t="n">
        <v>45142.39475694444</v>
      </c>
      <c r="C544" s="1" t="n">
        <v>45893</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14926-2024</t>
        </is>
      </c>
      <c r="B545" s="1" t="n">
        <v>45398</v>
      </c>
      <c r="C545" s="1" t="n">
        <v>45893</v>
      </c>
      <c r="D545" t="inlineStr">
        <is>
          <t>SKÅNE LÄN</t>
        </is>
      </c>
      <c r="E545" t="inlineStr">
        <is>
          <t>HÄSSLEHOLM</t>
        </is>
      </c>
      <c r="G545" t="n">
        <v>3.4</v>
      </c>
      <c r="H545" t="n">
        <v>0</v>
      </c>
      <c r="I545" t="n">
        <v>0</v>
      </c>
      <c r="J545" t="n">
        <v>0</v>
      </c>
      <c r="K545" t="n">
        <v>0</v>
      </c>
      <c r="L545" t="n">
        <v>0</v>
      </c>
      <c r="M545" t="n">
        <v>0</v>
      </c>
      <c r="N545" t="n">
        <v>0</v>
      </c>
      <c r="O545" t="n">
        <v>0</v>
      </c>
      <c r="P545" t="n">
        <v>0</v>
      </c>
      <c r="Q545" t="n">
        <v>0</v>
      </c>
      <c r="R545" s="2" t="inlineStr"/>
    </row>
    <row r="546" ht="15" customHeight="1">
      <c r="A546" t="inlineStr">
        <is>
          <t>A 60843-2022</t>
        </is>
      </c>
      <c r="B546" s="1" t="n">
        <v>44914</v>
      </c>
      <c r="C546" s="1" t="n">
        <v>45893</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22024-2025</t>
        </is>
      </c>
      <c r="B547" s="1" t="n">
        <v>45784.85322916666</v>
      </c>
      <c r="C547" s="1" t="n">
        <v>45893</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30092-2025</t>
        </is>
      </c>
      <c r="B548" s="1" t="n">
        <v>45826</v>
      </c>
      <c r="C548" s="1" t="n">
        <v>45893</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20006-2025</t>
        </is>
      </c>
      <c r="B549" s="1" t="n">
        <v>45772.05032407407</v>
      </c>
      <c r="C549" s="1" t="n">
        <v>45893</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43874-2022</t>
        </is>
      </c>
      <c r="B550" s="1" t="n">
        <v>44838.44738425926</v>
      </c>
      <c r="C550" s="1" t="n">
        <v>45893</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64884-2023</t>
        </is>
      </c>
      <c r="B551" s="1" t="n">
        <v>45282.57809027778</v>
      </c>
      <c r="C551" s="1" t="n">
        <v>45893</v>
      </c>
      <c r="D551" t="inlineStr">
        <is>
          <t>SKÅNE LÄN</t>
        </is>
      </c>
      <c r="E551" t="inlineStr">
        <is>
          <t>HÄSSLEHOLM</t>
        </is>
      </c>
      <c r="G551" t="n">
        <v>4.6</v>
      </c>
      <c r="H551" t="n">
        <v>0</v>
      </c>
      <c r="I551" t="n">
        <v>0</v>
      </c>
      <c r="J551" t="n">
        <v>0</v>
      </c>
      <c r="K551" t="n">
        <v>0</v>
      </c>
      <c r="L551" t="n">
        <v>0</v>
      </c>
      <c r="M551" t="n">
        <v>0</v>
      </c>
      <c r="N551" t="n">
        <v>0</v>
      </c>
      <c r="O551" t="n">
        <v>0</v>
      </c>
      <c r="P551" t="n">
        <v>0</v>
      </c>
      <c r="Q551" t="n">
        <v>0</v>
      </c>
      <c r="R551" s="2" t="inlineStr"/>
    </row>
    <row r="552" ht="15" customHeight="1">
      <c r="A552" t="inlineStr">
        <is>
          <t>A 61504-2022</t>
        </is>
      </c>
      <c r="B552" s="1" t="n">
        <v>44910</v>
      </c>
      <c r="C552" s="1" t="n">
        <v>45893</v>
      </c>
      <c r="D552" t="inlineStr">
        <is>
          <t>SKÅNE LÄN</t>
        </is>
      </c>
      <c r="E552" t="inlineStr">
        <is>
          <t>HÄSSLEHOLM</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56735-2024</t>
        </is>
      </c>
      <c r="B553" s="1" t="n">
        <v>45628.36234953703</v>
      </c>
      <c r="C553" s="1" t="n">
        <v>45893</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29844-2024</t>
        </is>
      </c>
      <c r="B554" s="1" t="n">
        <v>45485</v>
      </c>
      <c r="C554" s="1" t="n">
        <v>45893</v>
      </c>
      <c r="D554" t="inlineStr">
        <is>
          <t>SKÅNE LÄN</t>
        </is>
      </c>
      <c r="E554" t="inlineStr">
        <is>
          <t>HÄSSLEHOLM</t>
        </is>
      </c>
      <c r="G554" t="n">
        <v>1.9</v>
      </c>
      <c r="H554" t="n">
        <v>0</v>
      </c>
      <c r="I554" t="n">
        <v>0</v>
      </c>
      <c r="J554" t="n">
        <v>0</v>
      </c>
      <c r="K554" t="n">
        <v>0</v>
      </c>
      <c r="L554" t="n">
        <v>0</v>
      </c>
      <c r="M554" t="n">
        <v>0</v>
      </c>
      <c r="N554" t="n">
        <v>0</v>
      </c>
      <c r="O554" t="n">
        <v>0</v>
      </c>
      <c r="P554" t="n">
        <v>0</v>
      </c>
      <c r="Q554" t="n">
        <v>0</v>
      </c>
      <c r="R554" s="2" t="inlineStr"/>
    </row>
    <row r="555" ht="15" customHeight="1">
      <c r="A555" t="inlineStr">
        <is>
          <t>A 48112-2024</t>
        </is>
      </c>
      <c r="B555" s="1" t="n">
        <v>45589.6295949074</v>
      </c>
      <c r="C555" s="1" t="n">
        <v>45893</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69109-2020</t>
        </is>
      </c>
      <c r="B556" s="1" t="n">
        <v>44188</v>
      </c>
      <c r="C556" s="1" t="n">
        <v>45893</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6309-2025</t>
        </is>
      </c>
      <c r="B557" s="1" t="n">
        <v>45698</v>
      </c>
      <c r="C557" s="1" t="n">
        <v>45893</v>
      </c>
      <c r="D557" t="inlineStr">
        <is>
          <t>SKÅNE LÄN</t>
        </is>
      </c>
      <c r="E557" t="inlineStr">
        <is>
          <t>HÄSSLEHOLM</t>
        </is>
      </c>
      <c r="G557" t="n">
        <v>2.7</v>
      </c>
      <c r="H557" t="n">
        <v>0</v>
      </c>
      <c r="I557" t="n">
        <v>0</v>
      </c>
      <c r="J557" t="n">
        <v>0</v>
      </c>
      <c r="K557" t="n">
        <v>0</v>
      </c>
      <c r="L557" t="n">
        <v>0</v>
      </c>
      <c r="M557" t="n">
        <v>0</v>
      </c>
      <c r="N557" t="n">
        <v>0</v>
      </c>
      <c r="O557" t="n">
        <v>0</v>
      </c>
      <c r="P557" t="n">
        <v>0</v>
      </c>
      <c r="Q557" t="n">
        <v>0</v>
      </c>
      <c r="R557" s="2" t="inlineStr"/>
    </row>
    <row r="558" ht="15" customHeight="1">
      <c r="A558" t="inlineStr">
        <is>
          <t>A 6310-2025</t>
        </is>
      </c>
      <c r="B558" s="1" t="n">
        <v>45698</v>
      </c>
      <c r="C558" s="1" t="n">
        <v>45893</v>
      </c>
      <c r="D558" t="inlineStr">
        <is>
          <t>SKÅNE LÄN</t>
        </is>
      </c>
      <c r="E558" t="inlineStr">
        <is>
          <t>HÄSSLEHOLM</t>
        </is>
      </c>
      <c r="G558" t="n">
        <v>2.7</v>
      </c>
      <c r="H558" t="n">
        <v>0</v>
      </c>
      <c r="I558" t="n">
        <v>0</v>
      </c>
      <c r="J558" t="n">
        <v>0</v>
      </c>
      <c r="K558" t="n">
        <v>0</v>
      </c>
      <c r="L558" t="n">
        <v>0</v>
      </c>
      <c r="M558" t="n">
        <v>0</v>
      </c>
      <c r="N558" t="n">
        <v>0</v>
      </c>
      <c r="O558" t="n">
        <v>0</v>
      </c>
      <c r="P558" t="n">
        <v>0</v>
      </c>
      <c r="Q558" t="n">
        <v>0</v>
      </c>
      <c r="R558" s="2" t="inlineStr"/>
    </row>
    <row r="559" ht="15" customHeight="1">
      <c r="A559" t="inlineStr">
        <is>
          <t>A 19739-2023</t>
        </is>
      </c>
      <c r="B559" s="1" t="n">
        <v>45051</v>
      </c>
      <c r="C559" s="1" t="n">
        <v>45893</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52968-2022</t>
        </is>
      </c>
      <c r="B560" s="1" t="n">
        <v>44875</v>
      </c>
      <c r="C560" s="1" t="n">
        <v>45893</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55662-2022</t>
        </is>
      </c>
      <c r="B561" s="1" t="n">
        <v>44883</v>
      </c>
      <c r="C561" s="1" t="n">
        <v>45893</v>
      </c>
      <c r="D561" t="inlineStr">
        <is>
          <t>SKÅNE LÄN</t>
        </is>
      </c>
      <c r="E561" t="inlineStr">
        <is>
          <t>HÄSSLEHOLM</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59763-2022</t>
        </is>
      </c>
      <c r="B562" s="1" t="n">
        <v>44900</v>
      </c>
      <c r="C562" s="1" t="n">
        <v>45893</v>
      </c>
      <c r="D562" t="inlineStr">
        <is>
          <t>SKÅNE LÄN</t>
        </is>
      </c>
      <c r="E562" t="inlineStr">
        <is>
          <t>HÄSSLEHOLM</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3364-2023</t>
        </is>
      </c>
      <c r="B563" s="1" t="n">
        <v>44949</v>
      </c>
      <c r="C563" s="1" t="n">
        <v>45893</v>
      </c>
      <c r="D563" t="inlineStr">
        <is>
          <t>SKÅNE LÄN</t>
        </is>
      </c>
      <c r="E563" t="inlineStr">
        <is>
          <t>HÄSSLEHOLM</t>
        </is>
      </c>
      <c r="G563" t="n">
        <v>5.1</v>
      </c>
      <c r="H563" t="n">
        <v>0</v>
      </c>
      <c r="I563" t="n">
        <v>0</v>
      </c>
      <c r="J563" t="n">
        <v>0</v>
      </c>
      <c r="K563" t="n">
        <v>0</v>
      </c>
      <c r="L563" t="n">
        <v>0</v>
      </c>
      <c r="M563" t="n">
        <v>0</v>
      </c>
      <c r="N563" t="n">
        <v>0</v>
      </c>
      <c r="O563" t="n">
        <v>0</v>
      </c>
      <c r="P563" t="n">
        <v>0</v>
      </c>
      <c r="Q563" t="n">
        <v>0</v>
      </c>
      <c r="R563" s="2" t="inlineStr"/>
    </row>
    <row r="564" ht="15" customHeight="1">
      <c r="A564" t="inlineStr">
        <is>
          <t>A 3886-2024</t>
        </is>
      </c>
      <c r="B564" s="1" t="n">
        <v>45322.44539351852</v>
      </c>
      <c r="C564" s="1" t="n">
        <v>45893</v>
      </c>
      <c r="D564" t="inlineStr">
        <is>
          <t>SKÅNE LÄN</t>
        </is>
      </c>
      <c r="E564" t="inlineStr">
        <is>
          <t>HÄSSLEHOLM</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9924-2025</t>
        </is>
      </c>
      <c r="B565" s="1" t="n">
        <v>45717.72505787037</v>
      </c>
      <c r="C565" s="1" t="n">
        <v>45893</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16474-2025</t>
        </is>
      </c>
      <c r="B566" s="1" t="n">
        <v>45751.56834490741</v>
      </c>
      <c r="C566" s="1" t="n">
        <v>45893</v>
      </c>
      <c r="D566" t="inlineStr">
        <is>
          <t>SKÅNE LÄN</t>
        </is>
      </c>
      <c r="E566" t="inlineStr">
        <is>
          <t>HÄSSLEHOLM</t>
        </is>
      </c>
      <c r="G566" t="n">
        <v>5.9</v>
      </c>
      <c r="H566" t="n">
        <v>0</v>
      </c>
      <c r="I566" t="n">
        <v>0</v>
      </c>
      <c r="J566" t="n">
        <v>0</v>
      </c>
      <c r="K566" t="n">
        <v>0</v>
      </c>
      <c r="L566" t="n">
        <v>0</v>
      </c>
      <c r="M566" t="n">
        <v>0</v>
      </c>
      <c r="N566" t="n">
        <v>0</v>
      </c>
      <c r="O566" t="n">
        <v>0</v>
      </c>
      <c r="P566" t="n">
        <v>0</v>
      </c>
      <c r="Q566" t="n">
        <v>0</v>
      </c>
      <c r="R566" s="2" t="inlineStr"/>
    </row>
    <row r="567" ht="15" customHeight="1">
      <c r="A567" t="inlineStr">
        <is>
          <t>A 22587-2025</t>
        </is>
      </c>
      <c r="B567" s="1" t="n">
        <v>45789.39974537037</v>
      </c>
      <c r="C567" s="1" t="n">
        <v>45893</v>
      </c>
      <c r="D567" t="inlineStr">
        <is>
          <t>SKÅNE LÄN</t>
        </is>
      </c>
      <c r="E567" t="inlineStr">
        <is>
          <t>HÄSSLEHOLM</t>
        </is>
      </c>
      <c r="G567" t="n">
        <v>5.7</v>
      </c>
      <c r="H567" t="n">
        <v>0</v>
      </c>
      <c r="I567" t="n">
        <v>0</v>
      </c>
      <c r="J567" t="n">
        <v>0</v>
      </c>
      <c r="K567" t="n">
        <v>0</v>
      </c>
      <c r="L567" t="n">
        <v>0</v>
      </c>
      <c r="M567" t="n">
        <v>0</v>
      </c>
      <c r="N567" t="n">
        <v>0</v>
      </c>
      <c r="O567" t="n">
        <v>0</v>
      </c>
      <c r="P567" t="n">
        <v>0</v>
      </c>
      <c r="Q567" t="n">
        <v>0</v>
      </c>
      <c r="R567" s="2" t="inlineStr"/>
    </row>
    <row r="568" ht="15" customHeight="1">
      <c r="A568" t="inlineStr">
        <is>
          <t>A 52642-2021</t>
        </is>
      </c>
      <c r="B568" s="1" t="n">
        <v>44466.64298611111</v>
      </c>
      <c r="C568" s="1" t="n">
        <v>45893</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50046-2020</t>
        </is>
      </c>
      <c r="B569" s="1" t="n">
        <v>44109</v>
      </c>
      <c r="C569" s="1" t="n">
        <v>45893</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48097-2024</t>
        </is>
      </c>
      <c r="B570" s="1" t="n">
        <v>45589.61413194444</v>
      </c>
      <c r="C570" s="1" t="n">
        <v>45893</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60920-2024</t>
        </is>
      </c>
      <c r="B571" s="1" t="n">
        <v>45645.34442129629</v>
      </c>
      <c r="C571" s="1" t="n">
        <v>45893</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40536-2024</t>
        </is>
      </c>
      <c r="B572" s="1" t="n">
        <v>45555.61314814815</v>
      </c>
      <c r="C572" s="1" t="n">
        <v>45893</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44527-2020</t>
        </is>
      </c>
      <c r="B573" s="1" t="n">
        <v>44085</v>
      </c>
      <c r="C573" s="1" t="n">
        <v>45893</v>
      </c>
      <c r="D573" t="inlineStr">
        <is>
          <t>SKÅNE LÄN</t>
        </is>
      </c>
      <c r="E573" t="inlineStr">
        <is>
          <t>HÄSSLEHOLM</t>
        </is>
      </c>
      <c r="F573" t="inlineStr">
        <is>
          <t>Kommuner</t>
        </is>
      </c>
      <c r="G573" t="n">
        <v>7.7</v>
      </c>
      <c r="H573" t="n">
        <v>0</v>
      </c>
      <c r="I573" t="n">
        <v>0</v>
      </c>
      <c r="J573" t="n">
        <v>0</v>
      </c>
      <c r="K573" t="n">
        <v>0</v>
      </c>
      <c r="L573" t="n">
        <v>0</v>
      </c>
      <c r="M573" t="n">
        <v>0</v>
      </c>
      <c r="N573" t="n">
        <v>0</v>
      </c>
      <c r="O573" t="n">
        <v>0</v>
      </c>
      <c r="P573" t="n">
        <v>0</v>
      </c>
      <c r="Q573" t="n">
        <v>0</v>
      </c>
      <c r="R573" s="2" t="inlineStr"/>
    </row>
    <row r="574" ht="15" customHeight="1">
      <c r="A574" t="inlineStr">
        <is>
          <t>A 60846-2022</t>
        </is>
      </c>
      <c r="B574" s="1" t="n">
        <v>44914</v>
      </c>
      <c r="C574" s="1" t="n">
        <v>45893</v>
      </c>
      <c r="D574" t="inlineStr">
        <is>
          <t>SKÅNE LÄN</t>
        </is>
      </c>
      <c r="E574" t="inlineStr">
        <is>
          <t>HÄSSLEHOLM</t>
        </is>
      </c>
      <c r="G574" t="n">
        <v>2.1</v>
      </c>
      <c r="H574" t="n">
        <v>0</v>
      </c>
      <c r="I574" t="n">
        <v>0</v>
      </c>
      <c r="J574" t="n">
        <v>0</v>
      </c>
      <c r="K574" t="n">
        <v>0</v>
      </c>
      <c r="L574" t="n">
        <v>0</v>
      </c>
      <c r="M574" t="n">
        <v>0</v>
      </c>
      <c r="N574" t="n">
        <v>0</v>
      </c>
      <c r="O574" t="n">
        <v>0</v>
      </c>
      <c r="P574" t="n">
        <v>0</v>
      </c>
      <c r="Q574" t="n">
        <v>0</v>
      </c>
      <c r="R574" s="2" t="inlineStr"/>
    </row>
    <row r="575" ht="15" customHeight="1">
      <c r="A575" t="inlineStr">
        <is>
          <t>A 15562-2024</t>
        </is>
      </c>
      <c r="B575" s="1" t="n">
        <v>45401.64975694445</v>
      </c>
      <c r="C575" s="1" t="n">
        <v>45893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42776-2021</t>
        </is>
      </c>
      <c r="B576" s="1" t="n">
        <v>44428</v>
      </c>
      <c r="C576" s="1" t="n">
        <v>45893</v>
      </c>
      <c r="D576" t="inlineStr">
        <is>
          <t>SKÅNE LÄN</t>
        </is>
      </c>
      <c r="E576" t="inlineStr">
        <is>
          <t>HÄSSLEHOLM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16016-2025</t>
        </is>
      </c>
      <c r="B577" s="1" t="n">
        <v>45749.60505787037</v>
      </c>
      <c r="C577" s="1" t="n">
        <v>45893</v>
      </c>
      <c r="D577" t="inlineStr">
        <is>
          <t>SKÅNE LÄN</t>
        </is>
      </c>
      <c r="E577" t="inlineStr">
        <is>
          <t>HÄSSLEHOLM</t>
        </is>
      </c>
      <c r="G577" t="n">
        <v>1.6</v>
      </c>
      <c r="H577" t="n">
        <v>0</v>
      </c>
      <c r="I577" t="n">
        <v>0</v>
      </c>
      <c r="J577" t="n">
        <v>0</v>
      </c>
      <c r="K577" t="n">
        <v>0</v>
      </c>
      <c r="L577" t="n">
        <v>0</v>
      </c>
      <c r="M577" t="n">
        <v>0</v>
      </c>
      <c r="N577" t="n">
        <v>0</v>
      </c>
      <c r="O577" t="n">
        <v>0</v>
      </c>
      <c r="P577" t="n">
        <v>0</v>
      </c>
      <c r="Q577" t="n">
        <v>0</v>
      </c>
      <c r="R577" s="2" t="inlineStr"/>
    </row>
    <row r="578" ht="15" customHeight="1">
      <c r="A578" t="inlineStr">
        <is>
          <t>A 56386-2023</t>
        </is>
      </c>
      <c r="B578" s="1" t="n">
        <v>45243</v>
      </c>
      <c r="C578" s="1" t="n">
        <v>45893</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29274-2023</t>
        </is>
      </c>
      <c r="B579" s="1" t="n">
        <v>45105</v>
      </c>
      <c r="C579" s="1" t="n">
        <v>45893</v>
      </c>
      <c r="D579" t="inlineStr">
        <is>
          <t>SKÅNE LÄN</t>
        </is>
      </c>
      <c r="E579" t="inlineStr">
        <is>
          <t>HÄSSLEHOLM</t>
        </is>
      </c>
      <c r="G579" t="n">
        <v>3.4</v>
      </c>
      <c r="H579" t="n">
        <v>0</v>
      </c>
      <c r="I579" t="n">
        <v>0</v>
      </c>
      <c r="J579" t="n">
        <v>0</v>
      </c>
      <c r="K579" t="n">
        <v>0</v>
      </c>
      <c r="L579" t="n">
        <v>0</v>
      </c>
      <c r="M579" t="n">
        <v>0</v>
      </c>
      <c r="N579" t="n">
        <v>0</v>
      </c>
      <c r="O579" t="n">
        <v>0</v>
      </c>
      <c r="P579" t="n">
        <v>0</v>
      </c>
      <c r="Q579" t="n">
        <v>0</v>
      </c>
      <c r="R579" s="2" t="inlineStr"/>
    </row>
    <row r="580" ht="15" customHeight="1">
      <c r="A580" t="inlineStr">
        <is>
          <t>A 61932-2023</t>
        </is>
      </c>
      <c r="B580" s="1" t="n">
        <v>45266.53761574074</v>
      </c>
      <c r="C580" s="1" t="n">
        <v>45893</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27606-2024</t>
        </is>
      </c>
      <c r="B581" s="1" t="n">
        <v>45474</v>
      </c>
      <c r="C581" s="1" t="n">
        <v>45893</v>
      </c>
      <c r="D581" t="inlineStr">
        <is>
          <t>SKÅNE LÄN</t>
        </is>
      </c>
      <c r="E581" t="inlineStr">
        <is>
          <t>HÄSSLEHOLM</t>
        </is>
      </c>
      <c r="G581" t="n">
        <v>3.6</v>
      </c>
      <c r="H581" t="n">
        <v>0</v>
      </c>
      <c r="I581" t="n">
        <v>0</v>
      </c>
      <c r="J581" t="n">
        <v>0</v>
      </c>
      <c r="K581" t="n">
        <v>0</v>
      </c>
      <c r="L581" t="n">
        <v>0</v>
      </c>
      <c r="M581" t="n">
        <v>0</v>
      </c>
      <c r="N581" t="n">
        <v>0</v>
      </c>
      <c r="O581" t="n">
        <v>0</v>
      </c>
      <c r="P581" t="n">
        <v>0</v>
      </c>
      <c r="Q581" t="n">
        <v>0</v>
      </c>
      <c r="R581" s="2" t="inlineStr"/>
    </row>
    <row r="582" ht="15" customHeight="1">
      <c r="A582" t="inlineStr">
        <is>
          <t>A 50244-2024</t>
        </is>
      </c>
      <c r="B582" s="1" t="n">
        <v>45600.56502314815</v>
      </c>
      <c r="C582" s="1" t="n">
        <v>45893</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1344-2021</t>
        </is>
      </c>
      <c r="B583" s="1" t="n">
        <v>44208</v>
      </c>
      <c r="C583" s="1" t="n">
        <v>45893</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7221-2025</t>
        </is>
      </c>
      <c r="B584" s="1" t="n">
        <v>45701</v>
      </c>
      <c r="C584" s="1" t="n">
        <v>45893</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5532-2025</t>
        </is>
      </c>
      <c r="B585" s="1" t="n">
        <v>45693</v>
      </c>
      <c r="C585" s="1" t="n">
        <v>45893</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28071-2023</t>
        </is>
      </c>
      <c r="B586" s="1" t="n">
        <v>45099.37755787037</v>
      </c>
      <c r="C586" s="1" t="n">
        <v>45893</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10230-2025</t>
        </is>
      </c>
      <c r="B587" s="1" t="n">
        <v>45720</v>
      </c>
      <c r="C587" s="1" t="n">
        <v>45893</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33266-2024</t>
        </is>
      </c>
      <c r="B588" s="1" t="n">
        <v>45518</v>
      </c>
      <c r="C588" s="1" t="n">
        <v>45893</v>
      </c>
      <c r="D588" t="inlineStr">
        <is>
          <t>SKÅNE LÄN</t>
        </is>
      </c>
      <c r="E588" t="inlineStr">
        <is>
          <t>HÄSSLEHOLM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18648-2021</t>
        </is>
      </c>
      <c r="B589" s="1" t="n">
        <v>44306.70583333333</v>
      </c>
      <c r="C589" s="1" t="n">
        <v>45893</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23946-2023</t>
        </is>
      </c>
      <c r="B590" s="1" t="n">
        <v>45078.61601851852</v>
      </c>
      <c r="C590" s="1" t="n">
        <v>45893</v>
      </c>
      <c r="D590" t="inlineStr">
        <is>
          <t>SKÅNE LÄN</t>
        </is>
      </c>
      <c r="E590" t="inlineStr">
        <is>
          <t>HÄSSLEHOLM</t>
        </is>
      </c>
      <c r="G590" t="n">
        <v>0.2</v>
      </c>
      <c r="H590" t="n">
        <v>0</v>
      </c>
      <c r="I590" t="n">
        <v>0</v>
      </c>
      <c r="J590" t="n">
        <v>0</v>
      </c>
      <c r="K590" t="n">
        <v>0</v>
      </c>
      <c r="L590" t="n">
        <v>0</v>
      </c>
      <c r="M590" t="n">
        <v>0</v>
      </c>
      <c r="N590" t="n">
        <v>0</v>
      </c>
      <c r="O590" t="n">
        <v>0</v>
      </c>
      <c r="P590" t="n">
        <v>0</v>
      </c>
      <c r="Q590" t="n">
        <v>0</v>
      </c>
      <c r="R590" s="2" t="inlineStr"/>
    </row>
    <row r="591" ht="15" customHeight="1">
      <c r="A591" t="inlineStr">
        <is>
          <t>A 14700-2023</t>
        </is>
      </c>
      <c r="B591" s="1" t="n">
        <v>45014.38376157408</v>
      </c>
      <c r="C591" s="1" t="n">
        <v>45893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48797-2023</t>
        </is>
      </c>
      <c r="B592" s="1" t="n">
        <v>45209.24986111111</v>
      </c>
      <c r="C592" s="1" t="n">
        <v>45893</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41459-2022</t>
        </is>
      </c>
      <c r="B593" s="1" t="n">
        <v>44826.93372685185</v>
      </c>
      <c r="C593" s="1" t="n">
        <v>45893</v>
      </c>
      <c r="D593" t="inlineStr">
        <is>
          <t>SKÅNE LÄN</t>
        </is>
      </c>
      <c r="E593" t="inlineStr">
        <is>
          <t>HÄSSLEHOLM</t>
        </is>
      </c>
      <c r="G593" t="n">
        <v>2.3</v>
      </c>
      <c r="H593" t="n">
        <v>0</v>
      </c>
      <c r="I593" t="n">
        <v>0</v>
      </c>
      <c r="J593" t="n">
        <v>0</v>
      </c>
      <c r="K593" t="n">
        <v>0</v>
      </c>
      <c r="L593" t="n">
        <v>0</v>
      </c>
      <c r="M593" t="n">
        <v>0</v>
      </c>
      <c r="N593" t="n">
        <v>0</v>
      </c>
      <c r="O593" t="n">
        <v>0</v>
      </c>
      <c r="P593" t="n">
        <v>0</v>
      </c>
      <c r="Q593" t="n">
        <v>0</v>
      </c>
      <c r="R593" s="2" t="inlineStr"/>
    </row>
    <row r="594" ht="15" customHeight="1">
      <c r="A594" t="inlineStr">
        <is>
          <t>A 22592-2025</t>
        </is>
      </c>
      <c r="B594" s="1" t="n">
        <v>45789.40502314815</v>
      </c>
      <c r="C594" s="1" t="n">
        <v>45893</v>
      </c>
      <c r="D594" t="inlineStr">
        <is>
          <t>SKÅNE LÄN</t>
        </is>
      </c>
      <c r="E594" t="inlineStr">
        <is>
          <t>HÄSSLEHOLM</t>
        </is>
      </c>
      <c r="G594" t="n">
        <v>7.1</v>
      </c>
      <c r="H594" t="n">
        <v>0</v>
      </c>
      <c r="I594" t="n">
        <v>0</v>
      </c>
      <c r="J594" t="n">
        <v>0</v>
      </c>
      <c r="K594" t="n">
        <v>0</v>
      </c>
      <c r="L594" t="n">
        <v>0</v>
      </c>
      <c r="M594" t="n">
        <v>0</v>
      </c>
      <c r="N594" t="n">
        <v>0</v>
      </c>
      <c r="O594" t="n">
        <v>0</v>
      </c>
      <c r="P594" t="n">
        <v>0</v>
      </c>
      <c r="Q594" t="n">
        <v>0</v>
      </c>
      <c r="R594" s="2" t="inlineStr"/>
    </row>
    <row r="595" ht="15" customHeight="1">
      <c r="A595" t="inlineStr">
        <is>
          <t>A 39915-2023</t>
        </is>
      </c>
      <c r="B595" s="1" t="n">
        <v>45168.4684375</v>
      </c>
      <c r="C595" s="1" t="n">
        <v>45893</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45893</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17171-2025</t>
        </is>
      </c>
      <c r="B597" s="1" t="n">
        <v>45755</v>
      </c>
      <c r="C597" s="1" t="n">
        <v>45893</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16930-2024</t>
        </is>
      </c>
      <c r="B598" s="1" t="n">
        <v>45411</v>
      </c>
      <c r="C598" s="1" t="n">
        <v>45893</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27825-2024</t>
        </is>
      </c>
      <c r="B599" s="1" t="n">
        <v>45475</v>
      </c>
      <c r="C599" s="1" t="n">
        <v>45893</v>
      </c>
      <c r="D599" t="inlineStr">
        <is>
          <t>SKÅNE LÄN</t>
        </is>
      </c>
      <c r="E599" t="inlineStr">
        <is>
          <t>HÄSSLEHOLM</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45893</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31254-2024</t>
        </is>
      </c>
      <c r="B601" s="1" t="n">
        <v>45503</v>
      </c>
      <c r="C601" s="1" t="n">
        <v>45893</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8619-2023</t>
        </is>
      </c>
      <c r="B602" s="1" t="n">
        <v>44977.81979166667</v>
      </c>
      <c r="C602" s="1" t="n">
        <v>45893</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37486-2024</t>
        </is>
      </c>
      <c r="B603" s="1" t="n">
        <v>45541</v>
      </c>
      <c r="C603" s="1" t="n">
        <v>45893</v>
      </c>
      <c r="D603" t="inlineStr">
        <is>
          <t>SKÅNE LÄN</t>
        </is>
      </c>
      <c r="E603" t="inlineStr">
        <is>
          <t>HÄSSLEHOLM</t>
        </is>
      </c>
      <c r="G603" t="n">
        <v>8.5</v>
      </c>
      <c r="H603" t="n">
        <v>0</v>
      </c>
      <c r="I603" t="n">
        <v>0</v>
      </c>
      <c r="J603" t="n">
        <v>0</v>
      </c>
      <c r="K603" t="n">
        <v>0</v>
      </c>
      <c r="L603" t="n">
        <v>0</v>
      </c>
      <c r="M603" t="n">
        <v>0</v>
      </c>
      <c r="N603" t="n">
        <v>0</v>
      </c>
      <c r="O603" t="n">
        <v>0</v>
      </c>
      <c r="P603" t="n">
        <v>0</v>
      </c>
      <c r="Q603" t="n">
        <v>0</v>
      </c>
      <c r="R603" s="2" t="inlineStr"/>
    </row>
    <row r="604" ht="15" customHeight="1">
      <c r="A604" t="inlineStr">
        <is>
          <t>A 11753-2025</t>
        </is>
      </c>
      <c r="B604" s="1" t="n">
        <v>45727</v>
      </c>
      <c r="C604" s="1" t="n">
        <v>45893</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9543-2025</t>
        </is>
      </c>
      <c r="B605" s="1" t="n">
        <v>45715</v>
      </c>
      <c r="C605" s="1" t="n">
        <v>45893</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53067-2022</t>
        </is>
      </c>
      <c r="B606" s="1" t="n">
        <v>44873</v>
      </c>
      <c r="C606" s="1" t="n">
        <v>45893</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44838-2023</t>
        </is>
      </c>
      <c r="B607" s="1" t="n">
        <v>45190</v>
      </c>
      <c r="C607" s="1" t="n">
        <v>45893</v>
      </c>
      <c r="D607" t="inlineStr">
        <is>
          <t>SKÅNE LÄN</t>
        </is>
      </c>
      <c r="E607" t="inlineStr">
        <is>
          <t>HÄSSLEHOLM</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3349-2023</t>
        </is>
      </c>
      <c r="B608" s="1" t="n">
        <v>44949</v>
      </c>
      <c r="C608" s="1" t="n">
        <v>45893</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13954-2023</t>
        </is>
      </c>
      <c r="B609" s="1" t="n">
        <v>45008</v>
      </c>
      <c r="C609" s="1" t="n">
        <v>45893</v>
      </c>
      <c r="D609" t="inlineStr">
        <is>
          <t>SKÅNE LÄN</t>
        </is>
      </c>
      <c r="E609" t="inlineStr">
        <is>
          <t>HÄSSLEHOLM</t>
        </is>
      </c>
      <c r="G609" t="n">
        <v>1.9</v>
      </c>
      <c r="H609" t="n">
        <v>0</v>
      </c>
      <c r="I609" t="n">
        <v>0</v>
      </c>
      <c r="J609" t="n">
        <v>0</v>
      </c>
      <c r="K609" t="n">
        <v>0</v>
      </c>
      <c r="L609" t="n">
        <v>0</v>
      </c>
      <c r="M609" t="n">
        <v>0</v>
      </c>
      <c r="N609" t="n">
        <v>0</v>
      </c>
      <c r="O609" t="n">
        <v>0</v>
      </c>
      <c r="P609" t="n">
        <v>0</v>
      </c>
      <c r="Q609" t="n">
        <v>0</v>
      </c>
      <c r="R609" s="2" t="inlineStr"/>
    </row>
    <row r="610" ht="15" customHeight="1">
      <c r="A610" t="inlineStr">
        <is>
          <t>A 29847-2024</t>
        </is>
      </c>
      <c r="B610" s="1" t="n">
        <v>45485.6278587963</v>
      </c>
      <c r="C610" s="1" t="n">
        <v>45893</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13007-2024</t>
        </is>
      </c>
      <c r="B611" s="1" t="n">
        <v>45385.57092592592</v>
      </c>
      <c r="C611" s="1" t="n">
        <v>45893</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40152-2024</t>
        </is>
      </c>
      <c r="B612" s="1" t="n">
        <v>45554</v>
      </c>
      <c r="C612" s="1" t="n">
        <v>45893</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74030-2021</t>
        </is>
      </c>
      <c r="B613" s="1" t="n">
        <v>44553</v>
      </c>
      <c r="C613" s="1" t="n">
        <v>45893</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15072-2024</t>
        </is>
      </c>
      <c r="B614" s="1" t="n">
        <v>45399.5996875</v>
      </c>
      <c r="C614" s="1" t="n">
        <v>45893</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11262-2025</t>
        </is>
      </c>
      <c r="B615" s="1" t="n">
        <v>45726</v>
      </c>
      <c r="C615" s="1" t="n">
        <v>45893</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5395-2024</t>
        </is>
      </c>
      <c r="B616" s="1" t="n">
        <v>45331</v>
      </c>
      <c r="C616" s="1" t="n">
        <v>45893</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2621-2025</t>
        </is>
      </c>
      <c r="B617" s="1" t="n">
        <v>45675.60765046296</v>
      </c>
      <c r="C617" s="1" t="n">
        <v>45893</v>
      </c>
      <c r="D617" t="inlineStr">
        <is>
          <t>SKÅNE LÄN</t>
        </is>
      </c>
      <c r="E617" t="inlineStr">
        <is>
          <t>HÄSSLEHOLM</t>
        </is>
      </c>
      <c r="F617" t="inlineStr">
        <is>
          <t>Kommuner</t>
        </is>
      </c>
      <c r="G617" t="n">
        <v>3</v>
      </c>
      <c r="H617" t="n">
        <v>0</v>
      </c>
      <c r="I617" t="n">
        <v>0</v>
      </c>
      <c r="J617" t="n">
        <v>0</v>
      </c>
      <c r="K617" t="n">
        <v>0</v>
      </c>
      <c r="L617" t="n">
        <v>0</v>
      </c>
      <c r="M617" t="n">
        <v>0</v>
      </c>
      <c r="N617" t="n">
        <v>0</v>
      </c>
      <c r="O617" t="n">
        <v>0</v>
      </c>
      <c r="P617" t="n">
        <v>0</v>
      </c>
      <c r="Q617" t="n">
        <v>0</v>
      </c>
      <c r="R617" s="2" t="inlineStr"/>
    </row>
    <row r="618" ht="15" customHeight="1">
      <c r="A618" t="inlineStr">
        <is>
          <t>A 8737-2025</t>
        </is>
      </c>
      <c r="B618" s="1" t="n">
        <v>45712.54578703704</v>
      </c>
      <c r="C618" s="1" t="n">
        <v>45893</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37764-2022</t>
        </is>
      </c>
      <c r="B619" s="1" t="n">
        <v>44810</v>
      </c>
      <c r="C619" s="1" t="n">
        <v>45893</v>
      </c>
      <c r="D619" t="inlineStr">
        <is>
          <t>SKÅNE LÄN</t>
        </is>
      </c>
      <c r="E619" t="inlineStr">
        <is>
          <t>HÄSSLEHOLM</t>
        </is>
      </c>
      <c r="F619" t="inlineStr">
        <is>
          <t>Kyrkan</t>
        </is>
      </c>
      <c r="G619" t="n">
        <v>9.4</v>
      </c>
      <c r="H619" t="n">
        <v>0</v>
      </c>
      <c r="I619" t="n">
        <v>0</v>
      </c>
      <c r="J619" t="n">
        <v>0</v>
      </c>
      <c r="K619" t="n">
        <v>0</v>
      </c>
      <c r="L619" t="n">
        <v>0</v>
      </c>
      <c r="M619" t="n">
        <v>0</v>
      </c>
      <c r="N619" t="n">
        <v>0</v>
      </c>
      <c r="O619" t="n">
        <v>0</v>
      </c>
      <c r="P619" t="n">
        <v>0</v>
      </c>
      <c r="Q619" t="n">
        <v>0</v>
      </c>
      <c r="R619" s="2" t="inlineStr"/>
    </row>
    <row r="620" ht="15" customHeight="1">
      <c r="A620" t="inlineStr">
        <is>
          <t>A 51018-2023</t>
        </is>
      </c>
      <c r="B620" s="1" t="n">
        <v>45218</v>
      </c>
      <c r="C620" s="1" t="n">
        <v>45893</v>
      </c>
      <c r="D620" t="inlineStr">
        <is>
          <t>SKÅNE LÄN</t>
        </is>
      </c>
      <c r="E620" t="inlineStr">
        <is>
          <t>HÄSSLEHOLM</t>
        </is>
      </c>
      <c r="G620" t="n">
        <v>3.1</v>
      </c>
      <c r="H620" t="n">
        <v>0</v>
      </c>
      <c r="I620" t="n">
        <v>0</v>
      </c>
      <c r="J620" t="n">
        <v>0</v>
      </c>
      <c r="K620" t="n">
        <v>0</v>
      </c>
      <c r="L620" t="n">
        <v>0</v>
      </c>
      <c r="M620" t="n">
        <v>0</v>
      </c>
      <c r="N620" t="n">
        <v>0</v>
      </c>
      <c r="O620" t="n">
        <v>0</v>
      </c>
      <c r="P620" t="n">
        <v>0</v>
      </c>
      <c r="Q620" t="n">
        <v>0</v>
      </c>
      <c r="R620" s="2" t="inlineStr"/>
    </row>
    <row r="621" ht="15" customHeight="1">
      <c r="A621" t="inlineStr">
        <is>
          <t>A 23005-2025</t>
        </is>
      </c>
      <c r="B621" s="1" t="n">
        <v>45790</v>
      </c>
      <c r="C621" s="1" t="n">
        <v>45893</v>
      </c>
      <c r="D621" t="inlineStr">
        <is>
          <t>SKÅNE LÄN</t>
        </is>
      </c>
      <c r="E621" t="inlineStr">
        <is>
          <t>HÄSSLEHOLM</t>
        </is>
      </c>
      <c r="G621" t="n">
        <v>0.3</v>
      </c>
      <c r="H621" t="n">
        <v>0</v>
      </c>
      <c r="I621" t="n">
        <v>0</v>
      </c>
      <c r="J621" t="n">
        <v>0</v>
      </c>
      <c r="K621" t="n">
        <v>0</v>
      </c>
      <c r="L621" t="n">
        <v>0</v>
      </c>
      <c r="M621" t="n">
        <v>0</v>
      </c>
      <c r="N621" t="n">
        <v>0</v>
      </c>
      <c r="O621" t="n">
        <v>0</v>
      </c>
      <c r="P621" t="n">
        <v>0</v>
      </c>
      <c r="Q621" t="n">
        <v>0</v>
      </c>
      <c r="R621" s="2" t="inlineStr"/>
    </row>
    <row r="622" ht="15" customHeight="1">
      <c r="A622" t="inlineStr">
        <is>
          <t>A 60797-2024</t>
        </is>
      </c>
      <c r="B622" s="1" t="n">
        <v>45644</v>
      </c>
      <c r="C622" s="1" t="n">
        <v>45893</v>
      </c>
      <c r="D622" t="inlineStr">
        <is>
          <t>SKÅNE LÄN</t>
        </is>
      </c>
      <c r="E622" t="inlineStr">
        <is>
          <t>HÄSSLEHOLM</t>
        </is>
      </c>
      <c r="G622" t="n">
        <v>3.4</v>
      </c>
      <c r="H622" t="n">
        <v>0</v>
      </c>
      <c r="I622" t="n">
        <v>0</v>
      </c>
      <c r="J622" t="n">
        <v>0</v>
      </c>
      <c r="K622" t="n">
        <v>0</v>
      </c>
      <c r="L622" t="n">
        <v>0</v>
      </c>
      <c r="M622" t="n">
        <v>0</v>
      </c>
      <c r="N622" t="n">
        <v>0</v>
      </c>
      <c r="O622" t="n">
        <v>0</v>
      </c>
      <c r="P622" t="n">
        <v>0</v>
      </c>
      <c r="Q622" t="n">
        <v>0</v>
      </c>
      <c r="R622" s="2" t="inlineStr"/>
    </row>
    <row r="623" ht="15" customHeight="1">
      <c r="A623" t="inlineStr">
        <is>
          <t>A 56069-2024</t>
        </is>
      </c>
      <c r="B623" s="1" t="n">
        <v>45624.38006944444</v>
      </c>
      <c r="C623" s="1" t="n">
        <v>45893</v>
      </c>
      <c r="D623" t="inlineStr">
        <is>
          <t>SKÅNE LÄN</t>
        </is>
      </c>
      <c r="E623" t="inlineStr">
        <is>
          <t>HÄSSLEHOLM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22384-2024</t>
        </is>
      </c>
      <c r="B624" s="1" t="n">
        <v>45446.65592592592</v>
      </c>
      <c r="C624" s="1" t="n">
        <v>45893</v>
      </c>
      <c r="D624" t="inlineStr">
        <is>
          <t>SKÅNE LÄN</t>
        </is>
      </c>
      <c r="E624" t="inlineStr">
        <is>
          <t>HÄSSLEHOLM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16862-2025</t>
        </is>
      </c>
      <c r="B625" s="1" t="n">
        <v>45751</v>
      </c>
      <c r="C625" s="1" t="n">
        <v>45893</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46185-2022</t>
        </is>
      </c>
      <c r="B626" s="1" t="n">
        <v>44847</v>
      </c>
      <c r="C626" s="1" t="n">
        <v>45893</v>
      </c>
      <c r="D626" t="inlineStr">
        <is>
          <t>SKÅNE LÄN</t>
        </is>
      </c>
      <c r="E626" t="inlineStr">
        <is>
          <t>HÄSSLEHOLM</t>
        </is>
      </c>
      <c r="G626" t="n">
        <v>16.8</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45893</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33873-2021</t>
        </is>
      </c>
      <c r="B628" s="1" t="n">
        <v>44378</v>
      </c>
      <c r="C628" s="1" t="n">
        <v>45893</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15053-2023</t>
        </is>
      </c>
      <c r="B629" s="1" t="n">
        <v>45015</v>
      </c>
      <c r="C629" s="1" t="n">
        <v>45893</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51571-2023</t>
        </is>
      </c>
      <c r="B630" s="1" t="n">
        <v>45222</v>
      </c>
      <c r="C630" s="1" t="n">
        <v>45893</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9302-2025</t>
        </is>
      </c>
      <c r="B631" s="1" t="n">
        <v>45714.67233796296</v>
      </c>
      <c r="C631" s="1" t="n">
        <v>45893</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47907-2021</t>
        </is>
      </c>
      <c r="B632" s="1" t="n">
        <v>44448</v>
      </c>
      <c r="C632" s="1" t="n">
        <v>45893</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1197-2024</t>
        </is>
      </c>
      <c r="B633" s="1" t="n">
        <v>45302</v>
      </c>
      <c r="C633" s="1" t="n">
        <v>45893</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13712-2025</t>
        </is>
      </c>
      <c r="B634" s="1" t="n">
        <v>45737</v>
      </c>
      <c r="C634" s="1" t="n">
        <v>45893</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49181-2024</t>
        </is>
      </c>
      <c r="B635" s="1" t="n">
        <v>45595</v>
      </c>
      <c r="C635" s="1" t="n">
        <v>45893</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49950-2023</t>
        </is>
      </c>
      <c r="B636" s="1" t="n">
        <v>45215</v>
      </c>
      <c r="C636" s="1" t="n">
        <v>45893</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41694-2024</t>
        </is>
      </c>
      <c r="B637" s="1" t="n">
        <v>45560.68341435185</v>
      </c>
      <c r="C637" s="1" t="n">
        <v>45893</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7681-2025</t>
        </is>
      </c>
      <c r="B638" s="1" t="n">
        <v>45706.36758101852</v>
      </c>
      <c r="C638" s="1" t="n">
        <v>45893</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36795-2023</t>
        </is>
      </c>
      <c r="B639" s="1" t="n">
        <v>45154.38245370371</v>
      </c>
      <c r="C639" s="1" t="n">
        <v>45893</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46942-2024</t>
        </is>
      </c>
      <c r="B640" s="1" t="n">
        <v>45585.6684375</v>
      </c>
      <c r="C640" s="1" t="n">
        <v>45893</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32794-2023</t>
        </is>
      </c>
      <c r="B641" s="1" t="n">
        <v>45124.40446759259</v>
      </c>
      <c r="C641" s="1" t="n">
        <v>45893</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61436-2024</t>
        </is>
      </c>
      <c r="B642" s="1" t="n">
        <v>45646.46329861111</v>
      </c>
      <c r="C642" s="1" t="n">
        <v>45893</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24032-2025</t>
        </is>
      </c>
      <c r="B643" s="1" t="n">
        <v>45796.478125</v>
      </c>
      <c r="C643" s="1" t="n">
        <v>45893</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6596-2021</t>
        </is>
      </c>
      <c r="B644" s="1" t="n">
        <v>44236</v>
      </c>
      <c r="C644" s="1" t="n">
        <v>45893</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43696-2024</t>
        </is>
      </c>
      <c r="B645" s="1" t="n">
        <v>45569.58855324074</v>
      </c>
      <c r="C645" s="1" t="n">
        <v>45893</v>
      </c>
      <c r="D645" t="inlineStr">
        <is>
          <t>SKÅNE LÄN</t>
        </is>
      </c>
      <c r="E645" t="inlineStr">
        <is>
          <t>HÄSSLEHOLM</t>
        </is>
      </c>
      <c r="G645" t="n">
        <v>2.9</v>
      </c>
      <c r="H645" t="n">
        <v>0</v>
      </c>
      <c r="I645" t="n">
        <v>0</v>
      </c>
      <c r="J645" t="n">
        <v>0</v>
      </c>
      <c r="K645" t="n">
        <v>0</v>
      </c>
      <c r="L645" t="n">
        <v>0</v>
      </c>
      <c r="M645" t="n">
        <v>0</v>
      </c>
      <c r="N645" t="n">
        <v>0</v>
      </c>
      <c r="O645" t="n">
        <v>0</v>
      </c>
      <c r="P645" t="n">
        <v>0</v>
      </c>
      <c r="Q645" t="n">
        <v>0</v>
      </c>
      <c r="R645" s="2" t="inlineStr"/>
    </row>
    <row r="646" ht="15" customHeight="1">
      <c r="A646" t="inlineStr">
        <is>
          <t>A 37300-2023</t>
        </is>
      </c>
      <c r="B646" s="1" t="n">
        <v>45156</v>
      </c>
      <c r="C646" s="1" t="n">
        <v>45893</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36706-2022</t>
        </is>
      </c>
      <c r="B647" s="1" t="n">
        <v>44805.32891203704</v>
      </c>
      <c r="C647" s="1" t="n">
        <v>45893</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35644-2023</t>
        </is>
      </c>
      <c r="B648" s="1" t="n">
        <v>45147</v>
      </c>
      <c r="C648" s="1" t="n">
        <v>45893</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22594-2024</t>
        </is>
      </c>
      <c r="B649" s="1" t="n">
        <v>45447.60892361111</v>
      </c>
      <c r="C649" s="1" t="n">
        <v>45893</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60789-2024</t>
        </is>
      </c>
      <c r="B650" s="1" t="n">
        <v>45644</v>
      </c>
      <c r="C650" s="1" t="n">
        <v>45893</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25213-2023</t>
        </is>
      </c>
      <c r="B651" s="1" t="n">
        <v>45086.60010416667</v>
      </c>
      <c r="C651" s="1" t="n">
        <v>45893</v>
      </c>
      <c r="D651" t="inlineStr">
        <is>
          <t>SKÅNE LÄN</t>
        </is>
      </c>
      <c r="E651" t="inlineStr">
        <is>
          <t>HÄSSLEHOLM</t>
        </is>
      </c>
      <c r="G651" t="n">
        <v>7.2</v>
      </c>
      <c r="H651" t="n">
        <v>0</v>
      </c>
      <c r="I651" t="n">
        <v>0</v>
      </c>
      <c r="J651" t="n">
        <v>0</v>
      </c>
      <c r="K651" t="n">
        <v>0</v>
      </c>
      <c r="L651" t="n">
        <v>0</v>
      </c>
      <c r="M651" t="n">
        <v>0</v>
      </c>
      <c r="N651" t="n">
        <v>0</v>
      </c>
      <c r="O651" t="n">
        <v>0</v>
      </c>
      <c r="P651" t="n">
        <v>0</v>
      </c>
      <c r="Q651" t="n">
        <v>0</v>
      </c>
      <c r="R651" s="2" t="inlineStr"/>
    </row>
    <row r="652" ht="15" customHeight="1">
      <c r="A652" t="inlineStr">
        <is>
          <t>A 3123-2023</t>
        </is>
      </c>
      <c r="B652" s="1" t="n">
        <v>44946.4925</v>
      </c>
      <c r="C652" s="1" t="n">
        <v>45893</v>
      </c>
      <c r="D652" t="inlineStr">
        <is>
          <t>SKÅNE LÄN</t>
        </is>
      </c>
      <c r="E652" t="inlineStr">
        <is>
          <t>HÄSSLEHOLM</t>
        </is>
      </c>
      <c r="G652" t="n">
        <v>3.5</v>
      </c>
      <c r="H652" t="n">
        <v>0</v>
      </c>
      <c r="I652" t="n">
        <v>0</v>
      </c>
      <c r="J652" t="n">
        <v>0</v>
      </c>
      <c r="K652" t="n">
        <v>0</v>
      </c>
      <c r="L652" t="n">
        <v>0</v>
      </c>
      <c r="M652" t="n">
        <v>0</v>
      </c>
      <c r="N652" t="n">
        <v>0</v>
      </c>
      <c r="O652" t="n">
        <v>0</v>
      </c>
      <c r="P652" t="n">
        <v>0</v>
      </c>
      <c r="Q652" t="n">
        <v>0</v>
      </c>
      <c r="R652" s="2" t="inlineStr"/>
    </row>
    <row r="653" ht="15" customHeight="1">
      <c r="A653" t="inlineStr">
        <is>
          <t>A 3126-2023</t>
        </is>
      </c>
      <c r="B653" s="1" t="n">
        <v>44946.49570601852</v>
      </c>
      <c r="C653" s="1" t="n">
        <v>45893</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5252-2025</t>
        </is>
      </c>
      <c r="B654" s="1" t="n">
        <v>45692.3449537037</v>
      </c>
      <c r="C654" s="1" t="n">
        <v>45893</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5242-2025</t>
        </is>
      </c>
      <c r="B655" s="1" t="n">
        <v>45692.32883101852</v>
      </c>
      <c r="C655" s="1" t="n">
        <v>45893</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18063-2023</t>
        </is>
      </c>
      <c r="B656" s="1" t="n">
        <v>45040.62850694444</v>
      </c>
      <c r="C656" s="1" t="n">
        <v>45893</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24034-2025</t>
        </is>
      </c>
      <c r="B657" s="1" t="n">
        <v>45796.48251157408</v>
      </c>
      <c r="C657" s="1" t="n">
        <v>45893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37318-2024</t>
        </is>
      </c>
      <c r="B658" s="1" t="n">
        <v>45540</v>
      </c>
      <c r="C658" s="1" t="n">
        <v>45893</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37324-2024</t>
        </is>
      </c>
      <c r="B659" s="1" t="n">
        <v>45540.50104166667</v>
      </c>
      <c r="C659" s="1" t="n">
        <v>45893</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61524-2022</t>
        </is>
      </c>
      <c r="B660" s="1" t="n">
        <v>44910</v>
      </c>
      <c r="C660" s="1" t="n">
        <v>45893</v>
      </c>
      <c r="D660" t="inlineStr">
        <is>
          <t>SKÅNE LÄN</t>
        </is>
      </c>
      <c r="E660" t="inlineStr">
        <is>
          <t>HÄSSLEHOLM</t>
        </is>
      </c>
      <c r="F660" t="inlineStr">
        <is>
          <t>Kyrkan</t>
        </is>
      </c>
      <c r="G660" t="n">
        <v>2.1</v>
      </c>
      <c r="H660" t="n">
        <v>0</v>
      </c>
      <c r="I660" t="n">
        <v>0</v>
      </c>
      <c r="J660" t="n">
        <v>0</v>
      </c>
      <c r="K660" t="n">
        <v>0</v>
      </c>
      <c r="L660" t="n">
        <v>0</v>
      </c>
      <c r="M660" t="n">
        <v>0</v>
      </c>
      <c r="N660" t="n">
        <v>0</v>
      </c>
      <c r="O660" t="n">
        <v>0</v>
      </c>
      <c r="P660" t="n">
        <v>0</v>
      </c>
      <c r="Q660" t="n">
        <v>0</v>
      </c>
      <c r="R660" s="2" t="inlineStr"/>
    </row>
    <row r="661" ht="15" customHeight="1">
      <c r="A661" t="inlineStr">
        <is>
          <t>A 61578-2023</t>
        </is>
      </c>
      <c r="B661" s="1" t="n">
        <v>45265.47399305556</v>
      </c>
      <c r="C661" s="1" t="n">
        <v>45893</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57656-2022</t>
        </is>
      </c>
      <c r="B662" s="1" t="n">
        <v>44897.4325925926</v>
      </c>
      <c r="C662" s="1" t="n">
        <v>45893</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32881-2024</t>
        </is>
      </c>
      <c r="B663" s="1" t="n">
        <v>45516</v>
      </c>
      <c r="C663" s="1" t="n">
        <v>45893</v>
      </c>
      <c r="D663" t="inlineStr">
        <is>
          <t>SKÅNE LÄN</t>
        </is>
      </c>
      <c r="E663" t="inlineStr">
        <is>
          <t>HÄSSLEHOLM</t>
        </is>
      </c>
      <c r="G663" t="n">
        <v>6.3</v>
      </c>
      <c r="H663" t="n">
        <v>0</v>
      </c>
      <c r="I663" t="n">
        <v>0</v>
      </c>
      <c r="J663" t="n">
        <v>0</v>
      </c>
      <c r="K663" t="n">
        <v>0</v>
      </c>
      <c r="L663" t="n">
        <v>0</v>
      </c>
      <c r="M663" t="n">
        <v>0</v>
      </c>
      <c r="N663" t="n">
        <v>0</v>
      </c>
      <c r="O663" t="n">
        <v>0</v>
      </c>
      <c r="P663" t="n">
        <v>0</v>
      </c>
      <c r="Q663" t="n">
        <v>0</v>
      </c>
      <c r="R663" s="2" t="inlineStr"/>
    </row>
    <row r="664" ht="15" customHeight="1">
      <c r="A664" t="inlineStr">
        <is>
          <t>A 25542-2024</t>
        </is>
      </c>
      <c r="B664" s="1" t="n">
        <v>45463</v>
      </c>
      <c r="C664" s="1" t="n">
        <v>45893</v>
      </c>
      <c r="D664" t="inlineStr">
        <is>
          <t>SKÅNE LÄN</t>
        </is>
      </c>
      <c r="E664" t="inlineStr">
        <is>
          <t>HÄSSLEHOLM</t>
        </is>
      </c>
      <c r="G664" t="n">
        <v>6.9</v>
      </c>
      <c r="H664" t="n">
        <v>0</v>
      </c>
      <c r="I664" t="n">
        <v>0</v>
      </c>
      <c r="J664" t="n">
        <v>0</v>
      </c>
      <c r="K664" t="n">
        <v>0</v>
      </c>
      <c r="L664" t="n">
        <v>0</v>
      </c>
      <c r="M664" t="n">
        <v>0</v>
      </c>
      <c r="N664" t="n">
        <v>0</v>
      </c>
      <c r="O664" t="n">
        <v>0</v>
      </c>
      <c r="P664" t="n">
        <v>0</v>
      </c>
      <c r="Q664" t="n">
        <v>0</v>
      </c>
      <c r="R664" s="2" t="inlineStr"/>
    </row>
    <row r="665" ht="15" customHeight="1">
      <c r="A665" t="inlineStr">
        <is>
          <t>A 24250-2025</t>
        </is>
      </c>
      <c r="B665" s="1" t="n">
        <v>45797.40260416667</v>
      </c>
      <c r="C665" s="1" t="n">
        <v>45893</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24029-2025</t>
        </is>
      </c>
      <c r="B666" s="1" t="n">
        <v>45796.47552083333</v>
      </c>
      <c r="C666" s="1" t="n">
        <v>45893</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42370-2023</t>
        </is>
      </c>
      <c r="B667" s="1" t="n">
        <v>45180</v>
      </c>
      <c r="C667" s="1" t="n">
        <v>45893</v>
      </c>
      <c r="D667" t="inlineStr">
        <is>
          <t>SKÅNE LÄN</t>
        </is>
      </c>
      <c r="E667" t="inlineStr">
        <is>
          <t>HÄSSLEHOLM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24039-2025</t>
        </is>
      </c>
      <c r="B668" s="1" t="n">
        <v>45796.48675925926</v>
      </c>
      <c r="C668" s="1" t="n">
        <v>45893</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23860-2024</t>
        </is>
      </c>
      <c r="B669" s="1" t="n">
        <v>45455</v>
      </c>
      <c r="C669" s="1" t="n">
        <v>45893</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23864-2024</t>
        </is>
      </c>
      <c r="B670" s="1" t="n">
        <v>45455</v>
      </c>
      <c r="C670" s="1" t="n">
        <v>45893</v>
      </c>
      <c r="D670" t="inlineStr">
        <is>
          <t>SKÅNE LÄN</t>
        </is>
      </c>
      <c r="E670" t="inlineStr">
        <is>
          <t>HÄSSLEHOLM</t>
        </is>
      </c>
      <c r="G670" t="n">
        <v>6.2</v>
      </c>
      <c r="H670" t="n">
        <v>0</v>
      </c>
      <c r="I670" t="n">
        <v>0</v>
      </c>
      <c r="J670" t="n">
        <v>0</v>
      </c>
      <c r="K670" t="n">
        <v>0</v>
      </c>
      <c r="L670" t="n">
        <v>0</v>
      </c>
      <c r="M670" t="n">
        <v>0</v>
      </c>
      <c r="N670" t="n">
        <v>0</v>
      </c>
      <c r="O670" t="n">
        <v>0</v>
      </c>
      <c r="P670" t="n">
        <v>0</v>
      </c>
      <c r="Q670" t="n">
        <v>0</v>
      </c>
      <c r="R670" s="2" t="inlineStr"/>
    </row>
    <row r="671" ht="15" customHeight="1">
      <c r="A671" t="inlineStr">
        <is>
          <t>A 7192-2025</t>
        </is>
      </c>
      <c r="B671" s="1" t="n">
        <v>45702.44746527778</v>
      </c>
      <c r="C671" s="1" t="n">
        <v>45893</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11422-2025</t>
        </is>
      </c>
      <c r="B672" s="1" t="n">
        <v>45726</v>
      </c>
      <c r="C672" s="1" t="n">
        <v>45893</v>
      </c>
      <c r="D672" t="inlineStr">
        <is>
          <t>SKÅNE LÄN</t>
        </is>
      </c>
      <c r="E672" t="inlineStr">
        <is>
          <t>HÄSSLEHOLM</t>
        </is>
      </c>
      <c r="G672" t="n">
        <v>14.9</v>
      </c>
      <c r="H672" t="n">
        <v>0</v>
      </c>
      <c r="I672" t="n">
        <v>0</v>
      </c>
      <c r="J672" t="n">
        <v>0</v>
      </c>
      <c r="K672" t="n">
        <v>0</v>
      </c>
      <c r="L672" t="n">
        <v>0</v>
      </c>
      <c r="M672" t="n">
        <v>0</v>
      </c>
      <c r="N672" t="n">
        <v>0</v>
      </c>
      <c r="O672" t="n">
        <v>0</v>
      </c>
      <c r="P672" t="n">
        <v>0</v>
      </c>
      <c r="Q672" t="n">
        <v>0</v>
      </c>
      <c r="R672" s="2" t="inlineStr"/>
    </row>
    <row r="673" ht="15" customHeight="1">
      <c r="A673" t="inlineStr">
        <is>
          <t>A 24047-2025</t>
        </is>
      </c>
      <c r="B673" s="1" t="n">
        <v>45796.49528935185</v>
      </c>
      <c r="C673" s="1" t="n">
        <v>45893</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24675-2025</t>
        </is>
      </c>
      <c r="B674" s="1" t="n">
        <v>45798.653125</v>
      </c>
      <c r="C674" s="1" t="n">
        <v>45893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1616-2025</t>
        </is>
      </c>
      <c r="B675" s="1" t="n">
        <v>45670</v>
      </c>
      <c r="C675" s="1" t="n">
        <v>45893</v>
      </c>
      <c r="D675" t="inlineStr">
        <is>
          <t>SKÅNE LÄN</t>
        </is>
      </c>
      <c r="E675" t="inlineStr">
        <is>
          <t>HÄSSLEHOLM</t>
        </is>
      </c>
      <c r="G675" t="n">
        <v>3.6</v>
      </c>
      <c r="H675" t="n">
        <v>0</v>
      </c>
      <c r="I675" t="n">
        <v>0</v>
      </c>
      <c r="J675" t="n">
        <v>0</v>
      </c>
      <c r="K675" t="n">
        <v>0</v>
      </c>
      <c r="L675" t="n">
        <v>0</v>
      </c>
      <c r="M675" t="n">
        <v>0</v>
      </c>
      <c r="N675" t="n">
        <v>0</v>
      </c>
      <c r="O675" t="n">
        <v>0</v>
      </c>
      <c r="P675" t="n">
        <v>0</v>
      </c>
      <c r="Q675" t="n">
        <v>0</v>
      </c>
      <c r="R675" s="2" t="inlineStr"/>
    </row>
    <row r="676" ht="15" customHeight="1">
      <c r="A676" t="inlineStr">
        <is>
          <t>A 7604-2024</t>
        </is>
      </c>
      <c r="B676" s="1" t="n">
        <v>45348</v>
      </c>
      <c r="C676" s="1" t="n">
        <v>45893</v>
      </c>
      <c r="D676" t="inlineStr">
        <is>
          <t>SKÅNE LÄN</t>
        </is>
      </c>
      <c r="E676" t="inlineStr">
        <is>
          <t>HÄSSLEHOLM</t>
        </is>
      </c>
      <c r="G676" t="n">
        <v>11.1</v>
      </c>
      <c r="H676" t="n">
        <v>0</v>
      </c>
      <c r="I676" t="n">
        <v>0</v>
      </c>
      <c r="J676" t="n">
        <v>0</v>
      </c>
      <c r="K676" t="n">
        <v>0</v>
      </c>
      <c r="L676" t="n">
        <v>0</v>
      </c>
      <c r="M676" t="n">
        <v>0</v>
      </c>
      <c r="N676" t="n">
        <v>0</v>
      </c>
      <c r="O676" t="n">
        <v>0</v>
      </c>
      <c r="P676" t="n">
        <v>0</v>
      </c>
      <c r="Q676" t="n">
        <v>0</v>
      </c>
      <c r="R676" s="2" t="inlineStr"/>
    </row>
    <row r="677" ht="15" customHeight="1">
      <c r="A677" t="inlineStr">
        <is>
          <t>A 42735-2024</t>
        </is>
      </c>
      <c r="B677" s="1" t="n">
        <v>45566.47274305556</v>
      </c>
      <c r="C677" s="1" t="n">
        <v>45893</v>
      </c>
      <c r="D677" t="inlineStr">
        <is>
          <t>SKÅNE LÄN</t>
        </is>
      </c>
      <c r="E677" t="inlineStr">
        <is>
          <t>HÄSSLEHOLM</t>
        </is>
      </c>
      <c r="G677" t="n">
        <v>3.7</v>
      </c>
      <c r="H677" t="n">
        <v>0</v>
      </c>
      <c r="I677" t="n">
        <v>0</v>
      </c>
      <c r="J677" t="n">
        <v>0</v>
      </c>
      <c r="K677" t="n">
        <v>0</v>
      </c>
      <c r="L677" t="n">
        <v>0</v>
      </c>
      <c r="M677" t="n">
        <v>0</v>
      </c>
      <c r="N677" t="n">
        <v>0</v>
      </c>
      <c r="O677" t="n">
        <v>0</v>
      </c>
      <c r="P677" t="n">
        <v>0</v>
      </c>
      <c r="Q677" t="n">
        <v>0</v>
      </c>
      <c r="R677" s="2" t="inlineStr"/>
    </row>
    <row r="678" ht="15" customHeight="1">
      <c r="A678" t="inlineStr">
        <is>
          <t>A 29853-2024</t>
        </is>
      </c>
      <c r="B678" s="1" t="n">
        <v>45485.65844907407</v>
      </c>
      <c r="C678" s="1" t="n">
        <v>45893</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29287-2023</t>
        </is>
      </c>
      <c r="B679" s="1" t="n">
        <v>45098</v>
      </c>
      <c r="C679" s="1" t="n">
        <v>45893</v>
      </c>
      <c r="D679" t="inlineStr">
        <is>
          <t>SKÅNE LÄN</t>
        </is>
      </c>
      <c r="E679" t="inlineStr">
        <is>
          <t>HÄSSLEHOLM</t>
        </is>
      </c>
      <c r="G679" t="n">
        <v>5.7</v>
      </c>
      <c r="H679" t="n">
        <v>0</v>
      </c>
      <c r="I679" t="n">
        <v>0</v>
      </c>
      <c r="J679" t="n">
        <v>0</v>
      </c>
      <c r="K679" t="n">
        <v>0</v>
      </c>
      <c r="L679" t="n">
        <v>0</v>
      </c>
      <c r="M679" t="n">
        <v>0</v>
      </c>
      <c r="N679" t="n">
        <v>0</v>
      </c>
      <c r="O679" t="n">
        <v>0</v>
      </c>
      <c r="P679" t="n">
        <v>0</v>
      </c>
      <c r="Q679" t="n">
        <v>0</v>
      </c>
      <c r="R679" s="2" t="inlineStr"/>
    </row>
    <row r="680" ht="15" customHeight="1">
      <c r="A680" t="inlineStr">
        <is>
          <t>A 55522-2024</t>
        </is>
      </c>
      <c r="B680" s="1" t="n">
        <v>45622</v>
      </c>
      <c r="C680" s="1" t="n">
        <v>45893</v>
      </c>
      <c r="D680" t="inlineStr">
        <is>
          <t>SKÅNE LÄN</t>
        </is>
      </c>
      <c r="E680" t="inlineStr">
        <is>
          <t>HÄSSLEHOLM</t>
        </is>
      </c>
      <c r="G680" t="n">
        <v>5.6</v>
      </c>
      <c r="H680" t="n">
        <v>0</v>
      </c>
      <c r="I680" t="n">
        <v>0</v>
      </c>
      <c r="J680" t="n">
        <v>0</v>
      </c>
      <c r="K680" t="n">
        <v>0</v>
      </c>
      <c r="L680" t="n">
        <v>0</v>
      </c>
      <c r="M680" t="n">
        <v>0</v>
      </c>
      <c r="N680" t="n">
        <v>0</v>
      </c>
      <c r="O680" t="n">
        <v>0</v>
      </c>
      <c r="P680" t="n">
        <v>0</v>
      </c>
      <c r="Q680" t="n">
        <v>0</v>
      </c>
      <c r="R680" s="2" t="inlineStr"/>
    </row>
    <row r="681" ht="15" customHeight="1">
      <c r="A681" t="inlineStr">
        <is>
          <t>A 5992-2022</t>
        </is>
      </c>
      <c r="B681" s="1" t="n">
        <v>44599</v>
      </c>
      <c r="C681" s="1" t="n">
        <v>45893</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32826-2024</t>
        </is>
      </c>
      <c r="B682" s="1" t="n">
        <v>45516.59056712963</v>
      </c>
      <c r="C682" s="1" t="n">
        <v>45893</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25324-2024</t>
        </is>
      </c>
      <c r="B683" s="1" t="n">
        <v>45462.804375</v>
      </c>
      <c r="C683" s="1" t="n">
        <v>45893</v>
      </c>
      <c r="D683" t="inlineStr">
        <is>
          <t>SKÅNE LÄN</t>
        </is>
      </c>
      <c r="E683" t="inlineStr">
        <is>
          <t>HÄSSLEHOLM</t>
        </is>
      </c>
      <c r="G683" t="n">
        <v>0.2</v>
      </c>
      <c r="H683" t="n">
        <v>0</v>
      </c>
      <c r="I683" t="n">
        <v>0</v>
      </c>
      <c r="J683" t="n">
        <v>0</v>
      </c>
      <c r="K683" t="n">
        <v>0</v>
      </c>
      <c r="L683" t="n">
        <v>0</v>
      </c>
      <c r="M683" t="n">
        <v>0</v>
      </c>
      <c r="N683" t="n">
        <v>0</v>
      </c>
      <c r="O683" t="n">
        <v>0</v>
      </c>
      <c r="P683" t="n">
        <v>0</v>
      </c>
      <c r="Q683" t="n">
        <v>0</v>
      </c>
      <c r="R683" s="2" t="inlineStr"/>
    </row>
    <row r="684" ht="15" customHeight="1">
      <c r="A684" t="inlineStr">
        <is>
          <t>A 8803-2023</t>
        </is>
      </c>
      <c r="B684" s="1" t="n">
        <v>44978.61712962963</v>
      </c>
      <c r="C684" s="1" t="n">
        <v>45893</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32512-2024</t>
        </is>
      </c>
      <c r="B685" s="1" t="n">
        <v>45513.45613425926</v>
      </c>
      <c r="C685" s="1" t="n">
        <v>45893</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11798-2022</t>
        </is>
      </c>
      <c r="B686" s="1" t="n">
        <v>44634.64900462963</v>
      </c>
      <c r="C686" s="1" t="n">
        <v>45893</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56881-2021</t>
        </is>
      </c>
      <c r="B687" s="1" t="n">
        <v>44481</v>
      </c>
      <c r="C687" s="1" t="n">
        <v>45893</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4809-2025</t>
        </is>
      </c>
      <c r="B688" s="1" t="n">
        <v>45688.60148148148</v>
      </c>
      <c r="C688" s="1" t="n">
        <v>45893</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12780-2024</t>
        </is>
      </c>
      <c r="B689" s="1" t="n">
        <v>45384.59726851852</v>
      </c>
      <c r="C689" s="1" t="n">
        <v>45893</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9375-2023</t>
        </is>
      </c>
      <c r="B690" s="1" t="n">
        <v>44981</v>
      </c>
      <c r="C690" s="1" t="n">
        <v>45893</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13673-2023</t>
        </is>
      </c>
      <c r="B691" s="1" t="n">
        <v>45006.87957175926</v>
      </c>
      <c r="C691" s="1" t="n">
        <v>45893</v>
      </c>
      <c r="D691" t="inlineStr">
        <is>
          <t>SKÅNE LÄN</t>
        </is>
      </c>
      <c r="E691" t="inlineStr">
        <is>
          <t>HÄSSLEHOLM</t>
        </is>
      </c>
      <c r="G691" t="n">
        <v>3.2</v>
      </c>
      <c r="H691" t="n">
        <v>0</v>
      </c>
      <c r="I691" t="n">
        <v>0</v>
      </c>
      <c r="J691" t="n">
        <v>0</v>
      </c>
      <c r="K691" t="n">
        <v>0</v>
      </c>
      <c r="L691" t="n">
        <v>0</v>
      </c>
      <c r="M691" t="n">
        <v>0</v>
      </c>
      <c r="N691" t="n">
        <v>0</v>
      </c>
      <c r="O691" t="n">
        <v>0</v>
      </c>
      <c r="P691" t="n">
        <v>0</v>
      </c>
      <c r="Q691" t="n">
        <v>0</v>
      </c>
      <c r="R691" s="2" t="inlineStr"/>
    </row>
    <row r="692" ht="15" customHeight="1">
      <c r="A692" t="inlineStr">
        <is>
          <t>A 26857-2025</t>
        </is>
      </c>
      <c r="B692" s="1" t="n">
        <v>45810</v>
      </c>
      <c r="C692" s="1" t="n">
        <v>45893</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38306-2022</t>
        </is>
      </c>
      <c r="B693" s="1" t="n">
        <v>44812.57515046297</v>
      </c>
      <c r="C693" s="1" t="n">
        <v>45893</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38712-2024</t>
        </is>
      </c>
      <c r="B694" s="1" t="n">
        <v>45547</v>
      </c>
      <c r="C694" s="1" t="n">
        <v>45893</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13310-2025</t>
        </is>
      </c>
      <c r="B695" s="1" t="n">
        <v>45735.58814814815</v>
      </c>
      <c r="C695" s="1" t="n">
        <v>45893</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19666-2025</t>
        </is>
      </c>
      <c r="B696" s="1" t="n">
        <v>45770.69326388889</v>
      </c>
      <c r="C696" s="1" t="n">
        <v>45893</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3746-2024</t>
        </is>
      </c>
      <c r="B697" s="1" t="n">
        <v>45321.50745370371</v>
      </c>
      <c r="C697" s="1" t="n">
        <v>45893</v>
      </c>
      <c r="D697" t="inlineStr">
        <is>
          <t>SKÅNE LÄN</t>
        </is>
      </c>
      <c r="E697" t="inlineStr">
        <is>
          <t>HÄSSLEHOLM</t>
        </is>
      </c>
      <c r="G697" t="n">
        <v>3.4</v>
      </c>
      <c r="H697" t="n">
        <v>0</v>
      </c>
      <c r="I697" t="n">
        <v>0</v>
      </c>
      <c r="J697" t="n">
        <v>0</v>
      </c>
      <c r="K697" t="n">
        <v>0</v>
      </c>
      <c r="L697" t="n">
        <v>0</v>
      </c>
      <c r="M697" t="n">
        <v>0</v>
      </c>
      <c r="N697" t="n">
        <v>0</v>
      </c>
      <c r="O697" t="n">
        <v>0</v>
      </c>
      <c r="P697" t="n">
        <v>0</v>
      </c>
      <c r="Q697" t="n">
        <v>0</v>
      </c>
      <c r="R697" s="2" t="inlineStr"/>
    </row>
    <row r="698" ht="15" customHeight="1">
      <c r="A698" t="inlineStr">
        <is>
          <t>A 57649-2022</t>
        </is>
      </c>
      <c r="B698" s="1" t="n">
        <v>44897.42755787037</v>
      </c>
      <c r="C698" s="1" t="n">
        <v>45893</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57665-2022</t>
        </is>
      </c>
      <c r="B699" s="1" t="n">
        <v>44897.4494212963</v>
      </c>
      <c r="C699" s="1" t="n">
        <v>45893</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57676-2022</t>
        </is>
      </c>
      <c r="B700" s="1" t="n">
        <v>44897</v>
      </c>
      <c r="C700" s="1" t="n">
        <v>45893</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14145-2023</t>
        </is>
      </c>
      <c r="B701" s="1" t="n">
        <v>45009</v>
      </c>
      <c r="C701" s="1" t="n">
        <v>45893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8244-2023</t>
        </is>
      </c>
      <c r="B702" s="1" t="n">
        <v>44974</v>
      </c>
      <c r="C702" s="1" t="n">
        <v>45893</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8246-2023</t>
        </is>
      </c>
      <c r="B703" s="1" t="n">
        <v>44974</v>
      </c>
      <c r="C703" s="1" t="n">
        <v>45893</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12584-2025</t>
        </is>
      </c>
      <c r="B704" s="1" t="n">
        <v>45732</v>
      </c>
      <c r="C704" s="1" t="n">
        <v>45893</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25606-2024</t>
        </is>
      </c>
      <c r="B705" s="1" t="n">
        <v>45463.63179398148</v>
      </c>
      <c r="C705" s="1" t="n">
        <v>45893</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14670-2025</t>
        </is>
      </c>
      <c r="B706" s="1" t="n">
        <v>45742.55079861111</v>
      </c>
      <c r="C706" s="1" t="n">
        <v>45893</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30006-2023</t>
        </is>
      </c>
      <c r="B707" s="1" t="n">
        <v>45109.79962962963</v>
      </c>
      <c r="C707" s="1" t="n">
        <v>45893</v>
      </c>
      <c r="D707" t="inlineStr">
        <is>
          <t>SKÅNE LÄN</t>
        </is>
      </c>
      <c r="E707" t="inlineStr">
        <is>
          <t>HÄSSLEHOLM</t>
        </is>
      </c>
      <c r="G707" t="n">
        <v>1.7</v>
      </c>
      <c r="H707" t="n">
        <v>0</v>
      </c>
      <c r="I707" t="n">
        <v>0</v>
      </c>
      <c r="J707" t="n">
        <v>0</v>
      </c>
      <c r="K707" t="n">
        <v>0</v>
      </c>
      <c r="L707" t="n">
        <v>0</v>
      </c>
      <c r="M707" t="n">
        <v>0</v>
      </c>
      <c r="N707" t="n">
        <v>0</v>
      </c>
      <c r="O707" t="n">
        <v>0</v>
      </c>
      <c r="P707" t="n">
        <v>0</v>
      </c>
      <c r="Q707" t="n">
        <v>0</v>
      </c>
      <c r="R707" s="2" t="inlineStr"/>
    </row>
    <row r="708" ht="15" customHeight="1">
      <c r="A708" t="inlineStr">
        <is>
          <t>A 49167-2022</t>
        </is>
      </c>
      <c r="B708" s="1" t="n">
        <v>44860</v>
      </c>
      <c r="C708" s="1" t="n">
        <v>45893</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57963-2023</t>
        </is>
      </c>
      <c r="B709" s="1" t="n">
        <v>45247.57732638889</v>
      </c>
      <c r="C709" s="1" t="n">
        <v>45893</v>
      </c>
      <c r="D709" t="inlineStr">
        <is>
          <t>SKÅNE LÄN</t>
        </is>
      </c>
      <c r="E709" t="inlineStr">
        <is>
          <t>HÄSSLEHOLM</t>
        </is>
      </c>
      <c r="G709" t="n">
        <v>4.6</v>
      </c>
      <c r="H709" t="n">
        <v>0</v>
      </c>
      <c r="I709" t="n">
        <v>0</v>
      </c>
      <c r="J709" t="n">
        <v>0</v>
      </c>
      <c r="K709" t="n">
        <v>0</v>
      </c>
      <c r="L709" t="n">
        <v>0</v>
      </c>
      <c r="M709" t="n">
        <v>0</v>
      </c>
      <c r="N709" t="n">
        <v>0</v>
      </c>
      <c r="O709" t="n">
        <v>0</v>
      </c>
      <c r="P709" t="n">
        <v>0</v>
      </c>
      <c r="Q709" t="n">
        <v>0</v>
      </c>
      <c r="R709" s="2" t="inlineStr"/>
    </row>
    <row r="710" ht="15" customHeight="1">
      <c r="A710" t="inlineStr">
        <is>
          <t>A 57033-2022</t>
        </is>
      </c>
      <c r="B710" s="1" t="n">
        <v>44895.31270833333</v>
      </c>
      <c r="C710" s="1" t="n">
        <v>45893</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69500-2020</t>
        </is>
      </c>
      <c r="B711" s="1" t="n">
        <v>44194</v>
      </c>
      <c r="C711" s="1" t="n">
        <v>45893</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35845-2022</t>
        </is>
      </c>
      <c r="B712" s="1" t="n">
        <v>44802</v>
      </c>
      <c r="C712" s="1" t="n">
        <v>45893</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14939-2023</t>
        </is>
      </c>
      <c r="B713" s="1" t="n">
        <v>45014</v>
      </c>
      <c r="C713" s="1" t="n">
        <v>45893</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13345-2025</t>
        </is>
      </c>
      <c r="B714" s="1" t="n">
        <v>45735.63017361111</v>
      </c>
      <c r="C714" s="1" t="n">
        <v>45893</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4945-2022</t>
        </is>
      </c>
      <c r="B715" s="1" t="n">
        <v>44593</v>
      </c>
      <c r="C715" s="1" t="n">
        <v>45893</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24985-2025</t>
        </is>
      </c>
      <c r="B716" s="1" t="n">
        <v>45799.60256944445</v>
      </c>
      <c r="C716" s="1" t="n">
        <v>45893</v>
      </c>
      <c r="D716" t="inlineStr">
        <is>
          <t>SKÅNE LÄN</t>
        </is>
      </c>
      <c r="E716" t="inlineStr">
        <is>
          <t>HÄSSLEHOLM</t>
        </is>
      </c>
      <c r="G716" t="n">
        <v>2.3</v>
      </c>
      <c r="H716" t="n">
        <v>0</v>
      </c>
      <c r="I716" t="n">
        <v>0</v>
      </c>
      <c r="J716" t="n">
        <v>0</v>
      </c>
      <c r="K716" t="n">
        <v>0</v>
      </c>
      <c r="L716" t="n">
        <v>0</v>
      </c>
      <c r="M716" t="n">
        <v>0</v>
      </c>
      <c r="N716" t="n">
        <v>0</v>
      </c>
      <c r="O716" t="n">
        <v>0</v>
      </c>
      <c r="P716" t="n">
        <v>0</v>
      </c>
      <c r="Q716" t="n">
        <v>0</v>
      </c>
      <c r="R716" s="2" t="inlineStr"/>
    </row>
    <row r="717" ht="15" customHeight="1">
      <c r="A717" t="inlineStr">
        <is>
          <t>A 10562-2025</t>
        </is>
      </c>
      <c r="B717" s="1" t="n">
        <v>45721.52913194444</v>
      </c>
      <c r="C717" s="1" t="n">
        <v>45893</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26403-2024</t>
        </is>
      </c>
      <c r="B718" s="1" t="n">
        <v>45469.44505787037</v>
      </c>
      <c r="C718" s="1" t="n">
        <v>45893</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22140-2023</t>
        </is>
      </c>
      <c r="B719" s="1" t="n">
        <v>45065</v>
      </c>
      <c r="C719" s="1" t="n">
        <v>45893</v>
      </c>
      <c r="D719" t="inlineStr">
        <is>
          <t>SKÅNE LÄN</t>
        </is>
      </c>
      <c r="E719" t="inlineStr">
        <is>
          <t>HÄSSLEHOLM</t>
        </is>
      </c>
      <c r="G719" t="n">
        <v>6.7</v>
      </c>
      <c r="H719" t="n">
        <v>0</v>
      </c>
      <c r="I719" t="n">
        <v>0</v>
      </c>
      <c r="J719" t="n">
        <v>0</v>
      </c>
      <c r="K719" t="n">
        <v>0</v>
      </c>
      <c r="L719" t="n">
        <v>0</v>
      </c>
      <c r="M719" t="n">
        <v>0</v>
      </c>
      <c r="N719" t="n">
        <v>0</v>
      </c>
      <c r="O719" t="n">
        <v>0</v>
      </c>
      <c r="P719" t="n">
        <v>0</v>
      </c>
      <c r="Q719" t="n">
        <v>0</v>
      </c>
      <c r="R719" s="2" t="inlineStr"/>
    </row>
    <row r="720" ht="15" customHeight="1">
      <c r="A720" t="inlineStr">
        <is>
          <t>A 24776-2025</t>
        </is>
      </c>
      <c r="B720" s="1" t="n">
        <v>45799.40640046296</v>
      </c>
      <c r="C720" s="1" t="n">
        <v>45893</v>
      </c>
      <c r="D720" t="inlineStr">
        <is>
          <t>SKÅNE LÄN</t>
        </is>
      </c>
      <c r="E720" t="inlineStr">
        <is>
          <t>HÄSSLEHOLM</t>
        </is>
      </c>
      <c r="G720" t="n">
        <v>5.4</v>
      </c>
      <c r="H720" t="n">
        <v>0</v>
      </c>
      <c r="I720" t="n">
        <v>0</v>
      </c>
      <c r="J720" t="n">
        <v>0</v>
      </c>
      <c r="K720" t="n">
        <v>0</v>
      </c>
      <c r="L720" t="n">
        <v>0</v>
      </c>
      <c r="M720" t="n">
        <v>0</v>
      </c>
      <c r="N720" t="n">
        <v>0</v>
      </c>
      <c r="O720" t="n">
        <v>0</v>
      </c>
      <c r="P720" t="n">
        <v>0</v>
      </c>
      <c r="Q720" t="n">
        <v>0</v>
      </c>
      <c r="R720" s="2" t="inlineStr"/>
    </row>
    <row r="721" ht="15" customHeight="1">
      <c r="A721" t="inlineStr">
        <is>
          <t>A 7653-2024</t>
        </is>
      </c>
      <c r="B721" s="1" t="n">
        <v>45348.69043981482</v>
      </c>
      <c r="C721" s="1" t="n">
        <v>45893</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24658-2025</t>
        </is>
      </c>
      <c r="B722" s="1" t="n">
        <v>45798.64134259259</v>
      </c>
      <c r="C722" s="1" t="n">
        <v>45893</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12558-2023</t>
        </is>
      </c>
      <c r="B723" s="1" t="n">
        <v>45000.36103009259</v>
      </c>
      <c r="C723" s="1" t="n">
        <v>45893</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24679-2023</t>
        </is>
      </c>
      <c r="B724" s="1" t="n">
        <v>45084</v>
      </c>
      <c r="C724" s="1" t="n">
        <v>45893</v>
      </c>
      <c r="D724" t="inlineStr">
        <is>
          <t>SKÅNE LÄN</t>
        </is>
      </c>
      <c r="E724" t="inlineStr">
        <is>
          <t>HÄSSLEHOLM</t>
        </is>
      </c>
      <c r="G724" t="n">
        <v>7.1</v>
      </c>
      <c r="H724" t="n">
        <v>0</v>
      </c>
      <c r="I724" t="n">
        <v>0</v>
      </c>
      <c r="J724" t="n">
        <v>0</v>
      </c>
      <c r="K724" t="n">
        <v>0</v>
      </c>
      <c r="L724" t="n">
        <v>0</v>
      </c>
      <c r="M724" t="n">
        <v>0</v>
      </c>
      <c r="N724" t="n">
        <v>0</v>
      </c>
      <c r="O724" t="n">
        <v>0</v>
      </c>
      <c r="P724" t="n">
        <v>0</v>
      </c>
      <c r="Q724" t="n">
        <v>0</v>
      </c>
      <c r="R724" s="2" t="inlineStr"/>
    </row>
    <row r="725" ht="15" customHeight="1">
      <c r="A725" t="inlineStr">
        <is>
          <t>A 25372-2025</t>
        </is>
      </c>
      <c r="B725" s="1" t="n">
        <v>45799</v>
      </c>
      <c r="C725" s="1" t="n">
        <v>45893</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9399-2025</t>
        </is>
      </c>
      <c r="B726" s="1" t="n">
        <v>45715.37861111111</v>
      </c>
      <c r="C726" s="1" t="n">
        <v>45893</v>
      </c>
      <c r="D726" t="inlineStr">
        <is>
          <t>SKÅNE LÄN</t>
        </is>
      </c>
      <c r="E726" t="inlineStr">
        <is>
          <t>HÄSSLEHOLM</t>
        </is>
      </c>
      <c r="G726" t="n">
        <v>5.2</v>
      </c>
      <c r="H726" t="n">
        <v>0</v>
      </c>
      <c r="I726" t="n">
        <v>0</v>
      </c>
      <c r="J726" t="n">
        <v>0</v>
      </c>
      <c r="K726" t="n">
        <v>0</v>
      </c>
      <c r="L726" t="n">
        <v>0</v>
      </c>
      <c r="M726" t="n">
        <v>0</v>
      </c>
      <c r="N726" t="n">
        <v>0</v>
      </c>
      <c r="O726" t="n">
        <v>0</v>
      </c>
      <c r="P726" t="n">
        <v>0</v>
      </c>
      <c r="Q726" t="n">
        <v>0</v>
      </c>
      <c r="R726" s="2" t="inlineStr"/>
    </row>
    <row r="727" ht="15" customHeight="1">
      <c r="A727" t="inlineStr">
        <is>
          <t>A 49219-2021</t>
        </is>
      </c>
      <c r="B727" s="1" t="n">
        <v>44454</v>
      </c>
      <c r="C727" s="1" t="n">
        <v>45893</v>
      </c>
      <c r="D727" t="inlineStr">
        <is>
          <t>SKÅNE LÄN</t>
        </is>
      </c>
      <c r="E727" t="inlineStr">
        <is>
          <t>HÄSSLEHOLM</t>
        </is>
      </c>
      <c r="G727" t="n">
        <v>7.8</v>
      </c>
      <c r="H727" t="n">
        <v>0</v>
      </c>
      <c r="I727" t="n">
        <v>0</v>
      </c>
      <c r="J727" t="n">
        <v>0</v>
      </c>
      <c r="K727" t="n">
        <v>0</v>
      </c>
      <c r="L727" t="n">
        <v>0</v>
      </c>
      <c r="M727" t="n">
        <v>0</v>
      </c>
      <c r="N727" t="n">
        <v>0</v>
      </c>
      <c r="O727" t="n">
        <v>0</v>
      </c>
      <c r="P727" t="n">
        <v>0</v>
      </c>
      <c r="Q727" t="n">
        <v>0</v>
      </c>
      <c r="R727" s="2" t="inlineStr"/>
    </row>
    <row r="728" ht="15" customHeight="1">
      <c r="A728" t="inlineStr">
        <is>
          <t>A 4119-2024</t>
        </is>
      </c>
      <c r="B728" s="1" t="n">
        <v>45323.67920138889</v>
      </c>
      <c r="C728" s="1" t="n">
        <v>45893</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5890-2023</t>
        </is>
      </c>
      <c r="B729" s="1" t="n">
        <v>44963.64527777778</v>
      </c>
      <c r="C729" s="1" t="n">
        <v>45893</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6835-2023</t>
        </is>
      </c>
      <c r="B730" s="1" t="n">
        <v>44967</v>
      </c>
      <c r="C730" s="1" t="n">
        <v>45893</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12936-2025</t>
        </is>
      </c>
      <c r="B731" s="1" t="n">
        <v>45734</v>
      </c>
      <c r="C731" s="1" t="n">
        <v>45893</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9668-2025</t>
        </is>
      </c>
      <c r="B732" s="1" t="n">
        <v>45716.3278587963</v>
      </c>
      <c r="C732" s="1" t="n">
        <v>45893</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56062-2024</t>
        </is>
      </c>
      <c r="B733" s="1" t="n">
        <v>45624.37105324074</v>
      </c>
      <c r="C733" s="1" t="n">
        <v>45893</v>
      </c>
      <c r="D733" t="inlineStr">
        <is>
          <t>SKÅNE LÄN</t>
        </is>
      </c>
      <c r="E733" t="inlineStr">
        <is>
          <t>HÄSSLEHOLM</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47757-2024</t>
        </is>
      </c>
      <c r="B734" s="1" t="n">
        <v>45588.55075231481</v>
      </c>
      <c r="C734" s="1" t="n">
        <v>45893</v>
      </c>
      <c r="D734" t="inlineStr">
        <is>
          <t>SKÅNE LÄN</t>
        </is>
      </c>
      <c r="E734" t="inlineStr">
        <is>
          <t>HÄSSLEHOLM</t>
        </is>
      </c>
      <c r="G734" t="n">
        <v>5.5</v>
      </c>
      <c r="H734" t="n">
        <v>0</v>
      </c>
      <c r="I734" t="n">
        <v>0</v>
      </c>
      <c r="J734" t="n">
        <v>0</v>
      </c>
      <c r="K734" t="n">
        <v>0</v>
      </c>
      <c r="L734" t="n">
        <v>0</v>
      </c>
      <c r="M734" t="n">
        <v>0</v>
      </c>
      <c r="N734" t="n">
        <v>0</v>
      </c>
      <c r="O734" t="n">
        <v>0</v>
      </c>
      <c r="P734" t="n">
        <v>0</v>
      </c>
      <c r="Q734" t="n">
        <v>0</v>
      </c>
      <c r="R734" s="2" t="inlineStr"/>
    </row>
    <row r="735" ht="15" customHeight="1">
      <c r="A735" t="inlineStr">
        <is>
          <t>A 259-2024</t>
        </is>
      </c>
      <c r="B735" s="1" t="n">
        <v>45294</v>
      </c>
      <c r="C735" s="1" t="n">
        <v>45893</v>
      </c>
      <c r="D735" t="inlineStr">
        <is>
          <t>SKÅNE LÄN</t>
        </is>
      </c>
      <c r="E735" t="inlineStr">
        <is>
          <t>HÄSSLEHOLM</t>
        </is>
      </c>
      <c r="G735" t="n">
        <v>8</v>
      </c>
      <c r="H735" t="n">
        <v>0</v>
      </c>
      <c r="I735" t="n">
        <v>0</v>
      </c>
      <c r="J735" t="n">
        <v>0</v>
      </c>
      <c r="K735" t="n">
        <v>0</v>
      </c>
      <c r="L735" t="n">
        <v>0</v>
      </c>
      <c r="M735" t="n">
        <v>0</v>
      </c>
      <c r="N735" t="n">
        <v>0</v>
      </c>
      <c r="O735" t="n">
        <v>0</v>
      </c>
      <c r="P735" t="n">
        <v>0</v>
      </c>
      <c r="Q735" t="n">
        <v>0</v>
      </c>
      <c r="R735" s="2" t="inlineStr"/>
    </row>
    <row r="736" ht="15" customHeight="1">
      <c r="A736" t="inlineStr">
        <is>
          <t>A 16550-2025</t>
        </is>
      </c>
      <c r="B736" s="1" t="n">
        <v>45751.69412037037</v>
      </c>
      <c r="C736" s="1" t="n">
        <v>45893</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29659-2024</t>
        </is>
      </c>
      <c r="B737" s="1" t="n">
        <v>45484.92587962963</v>
      </c>
      <c r="C737" s="1" t="n">
        <v>45893</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27837-2024</t>
        </is>
      </c>
      <c r="B738" s="1" t="n">
        <v>45475</v>
      </c>
      <c r="C738" s="1" t="n">
        <v>45893</v>
      </c>
      <c r="D738" t="inlineStr">
        <is>
          <t>SKÅNE LÄN</t>
        </is>
      </c>
      <c r="E738" t="inlineStr">
        <is>
          <t>HÄSSLEHOLM</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41209-2023</t>
        </is>
      </c>
      <c r="B739" s="1" t="n">
        <v>45174.43481481481</v>
      </c>
      <c r="C739" s="1" t="n">
        <v>45893</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1679-2022</t>
        </is>
      </c>
      <c r="B740" s="1" t="n">
        <v>44573</v>
      </c>
      <c r="C740" s="1" t="n">
        <v>45893</v>
      </c>
      <c r="D740" t="inlineStr">
        <is>
          <t>SKÅNE LÄN</t>
        </is>
      </c>
      <c r="E740" t="inlineStr">
        <is>
          <t>HÄSSLEHOLM</t>
        </is>
      </c>
      <c r="F740" t="inlineStr">
        <is>
          <t>Kyrkan</t>
        </is>
      </c>
      <c r="G740" t="n">
        <v>4.3</v>
      </c>
      <c r="H740" t="n">
        <v>0</v>
      </c>
      <c r="I740" t="n">
        <v>0</v>
      </c>
      <c r="J740" t="n">
        <v>0</v>
      </c>
      <c r="K740" t="n">
        <v>0</v>
      </c>
      <c r="L740" t="n">
        <v>0</v>
      </c>
      <c r="M740" t="n">
        <v>0</v>
      </c>
      <c r="N740" t="n">
        <v>0</v>
      </c>
      <c r="O740" t="n">
        <v>0</v>
      </c>
      <c r="P740" t="n">
        <v>0</v>
      </c>
      <c r="Q740" t="n">
        <v>0</v>
      </c>
      <c r="R740" s="2" t="inlineStr"/>
    </row>
    <row r="741" ht="15" customHeight="1">
      <c r="A741" t="inlineStr">
        <is>
          <t>A 49865-2020</t>
        </is>
      </c>
      <c r="B741" s="1" t="n">
        <v>44107</v>
      </c>
      <c r="C741" s="1" t="n">
        <v>45893</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11116-2023</t>
        </is>
      </c>
      <c r="B742" s="1" t="n">
        <v>44986</v>
      </c>
      <c r="C742" s="1" t="n">
        <v>45893</v>
      </c>
      <c r="D742" t="inlineStr">
        <is>
          <t>SKÅNE LÄN</t>
        </is>
      </c>
      <c r="E742" t="inlineStr">
        <is>
          <t>HÄSSLEHOLM</t>
        </is>
      </c>
      <c r="F742" t="inlineStr">
        <is>
          <t>Kommuner</t>
        </is>
      </c>
      <c r="G742" t="n">
        <v>15.1</v>
      </c>
      <c r="H742" t="n">
        <v>0</v>
      </c>
      <c r="I742" t="n">
        <v>0</v>
      </c>
      <c r="J742" t="n">
        <v>0</v>
      </c>
      <c r="K742" t="n">
        <v>0</v>
      </c>
      <c r="L742" t="n">
        <v>0</v>
      </c>
      <c r="M742" t="n">
        <v>0</v>
      </c>
      <c r="N742" t="n">
        <v>0</v>
      </c>
      <c r="O742" t="n">
        <v>0</v>
      </c>
      <c r="P742" t="n">
        <v>0</v>
      </c>
      <c r="Q742" t="n">
        <v>0</v>
      </c>
      <c r="R742" s="2" t="inlineStr"/>
    </row>
    <row r="743" ht="15" customHeight="1">
      <c r="A743" t="inlineStr">
        <is>
          <t>A 51565-2023</t>
        </is>
      </c>
      <c r="B743" s="1" t="n">
        <v>45222</v>
      </c>
      <c r="C743" s="1" t="n">
        <v>45893</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57275-2023</t>
        </is>
      </c>
      <c r="B744" s="1" t="n">
        <v>45245.58886574074</v>
      </c>
      <c r="C744" s="1" t="n">
        <v>45893</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25615-2025</t>
        </is>
      </c>
      <c r="B745" s="1" t="n">
        <v>45803</v>
      </c>
      <c r="C745" s="1" t="n">
        <v>45893</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11412-2025</t>
        </is>
      </c>
      <c r="B746" s="1" t="n">
        <v>45726</v>
      </c>
      <c r="C746" s="1" t="n">
        <v>45893</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25430-2025</t>
        </is>
      </c>
      <c r="B747" s="1" t="n">
        <v>45800.78212962963</v>
      </c>
      <c r="C747" s="1" t="n">
        <v>45893</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11121-2023</t>
        </is>
      </c>
      <c r="B748" s="1" t="n">
        <v>44986</v>
      </c>
      <c r="C748" s="1" t="n">
        <v>45893</v>
      </c>
      <c r="D748" t="inlineStr">
        <is>
          <t>SKÅNE LÄN</t>
        </is>
      </c>
      <c r="E748" t="inlineStr">
        <is>
          <t>HÄSSLEHOLM</t>
        </is>
      </c>
      <c r="F748" t="inlineStr">
        <is>
          <t>Kommuner</t>
        </is>
      </c>
      <c r="G748" t="n">
        <v>5.8</v>
      </c>
      <c r="H748" t="n">
        <v>0</v>
      </c>
      <c r="I748" t="n">
        <v>0</v>
      </c>
      <c r="J748" t="n">
        <v>0</v>
      </c>
      <c r="K748" t="n">
        <v>0</v>
      </c>
      <c r="L748" t="n">
        <v>0</v>
      </c>
      <c r="M748" t="n">
        <v>0</v>
      </c>
      <c r="N748" t="n">
        <v>0</v>
      </c>
      <c r="O748" t="n">
        <v>0</v>
      </c>
      <c r="P748" t="n">
        <v>0</v>
      </c>
      <c r="Q748" t="n">
        <v>0</v>
      </c>
      <c r="R748" s="2" t="inlineStr"/>
    </row>
    <row r="749" ht="15" customHeight="1">
      <c r="A749" t="inlineStr">
        <is>
          <t>A 9678-2025</t>
        </is>
      </c>
      <c r="B749" s="1" t="n">
        <v>45716.34403935185</v>
      </c>
      <c r="C749" s="1" t="n">
        <v>45893</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11466-2025</t>
        </is>
      </c>
      <c r="B750" s="1" t="n">
        <v>45726</v>
      </c>
      <c r="C750" s="1" t="n">
        <v>45893</v>
      </c>
      <c r="D750" t="inlineStr">
        <is>
          <t>SKÅNE LÄN</t>
        </is>
      </c>
      <c r="E750" t="inlineStr">
        <is>
          <t>HÄSSLEHOLM</t>
        </is>
      </c>
      <c r="G750" t="n">
        <v>3.2</v>
      </c>
      <c r="H750" t="n">
        <v>0</v>
      </c>
      <c r="I750" t="n">
        <v>0</v>
      </c>
      <c r="J750" t="n">
        <v>0</v>
      </c>
      <c r="K750" t="n">
        <v>0</v>
      </c>
      <c r="L750" t="n">
        <v>0</v>
      </c>
      <c r="M750" t="n">
        <v>0</v>
      </c>
      <c r="N750" t="n">
        <v>0</v>
      </c>
      <c r="O750" t="n">
        <v>0</v>
      </c>
      <c r="P750" t="n">
        <v>0</v>
      </c>
      <c r="Q750" t="n">
        <v>0</v>
      </c>
      <c r="R750" s="2" t="inlineStr"/>
    </row>
    <row r="751" ht="15" customHeight="1">
      <c r="A751" t="inlineStr">
        <is>
          <t>A 25431-2025</t>
        </is>
      </c>
      <c r="B751" s="1" t="n">
        <v>45800.78340277778</v>
      </c>
      <c r="C751" s="1" t="n">
        <v>45893</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25432-2025</t>
        </is>
      </c>
      <c r="B752" s="1" t="n">
        <v>45800.7847800926</v>
      </c>
      <c r="C752" s="1" t="n">
        <v>45893</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11470-2025</t>
        </is>
      </c>
      <c r="B753" s="1" t="n">
        <v>45726</v>
      </c>
      <c r="C753" s="1" t="n">
        <v>45893</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53302-2022</t>
        </is>
      </c>
      <c r="B754" s="1" t="n">
        <v>44877</v>
      </c>
      <c r="C754" s="1" t="n">
        <v>45893</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27991-2024</t>
        </is>
      </c>
      <c r="B755" s="1" t="n">
        <v>45476</v>
      </c>
      <c r="C755" s="1" t="n">
        <v>45893</v>
      </c>
      <c r="D755" t="inlineStr">
        <is>
          <t>SKÅNE LÄN</t>
        </is>
      </c>
      <c r="E755" t="inlineStr">
        <is>
          <t>HÄSSLEHOLM</t>
        </is>
      </c>
      <c r="G755" t="n">
        <v>5.8</v>
      </c>
      <c r="H755" t="n">
        <v>0</v>
      </c>
      <c r="I755" t="n">
        <v>0</v>
      </c>
      <c r="J755" t="n">
        <v>0</v>
      </c>
      <c r="K755" t="n">
        <v>0</v>
      </c>
      <c r="L755" t="n">
        <v>0</v>
      </c>
      <c r="M755" t="n">
        <v>0</v>
      </c>
      <c r="N755" t="n">
        <v>0</v>
      </c>
      <c r="O755" t="n">
        <v>0</v>
      </c>
      <c r="P755" t="n">
        <v>0</v>
      </c>
      <c r="Q755" t="n">
        <v>0</v>
      </c>
      <c r="R755" s="2" t="inlineStr"/>
    </row>
    <row r="756" ht="15" customHeight="1">
      <c r="A756" t="inlineStr">
        <is>
          <t>A 31946-2023</t>
        </is>
      </c>
      <c r="B756" s="1" t="n">
        <v>45119.35158564815</v>
      </c>
      <c r="C756" s="1" t="n">
        <v>45893</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26536-2022</t>
        </is>
      </c>
      <c r="B757" s="1" t="n">
        <v>44739.45496527778</v>
      </c>
      <c r="C757" s="1" t="n">
        <v>45893</v>
      </c>
      <c r="D757" t="inlineStr">
        <is>
          <t>SKÅNE LÄN</t>
        </is>
      </c>
      <c r="E757" t="inlineStr">
        <is>
          <t>HÄSSLEHOLM</t>
        </is>
      </c>
      <c r="G757" t="n">
        <v>3.1</v>
      </c>
      <c r="H757" t="n">
        <v>0</v>
      </c>
      <c r="I757" t="n">
        <v>0</v>
      </c>
      <c r="J757" t="n">
        <v>0</v>
      </c>
      <c r="K757" t="n">
        <v>0</v>
      </c>
      <c r="L757" t="n">
        <v>0</v>
      </c>
      <c r="M757" t="n">
        <v>0</v>
      </c>
      <c r="N757" t="n">
        <v>0</v>
      </c>
      <c r="O757" t="n">
        <v>0</v>
      </c>
      <c r="P757" t="n">
        <v>0</v>
      </c>
      <c r="Q757" t="n">
        <v>0</v>
      </c>
      <c r="R757" s="2" t="inlineStr"/>
    </row>
    <row r="758" ht="15" customHeight="1">
      <c r="A758" t="inlineStr">
        <is>
          <t>A 25057-2024</t>
        </is>
      </c>
      <c r="B758" s="1" t="n">
        <v>45462</v>
      </c>
      <c r="C758" s="1" t="n">
        <v>45893</v>
      </c>
      <c r="D758" t="inlineStr">
        <is>
          <t>SKÅNE LÄN</t>
        </is>
      </c>
      <c r="E758" t="inlineStr">
        <is>
          <t>HÄSSLEHOLM</t>
        </is>
      </c>
      <c r="G758" t="n">
        <v>4.3</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45893</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48844-2023</t>
        </is>
      </c>
      <c r="B760" s="1" t="n">
        <v>45209</v>
      </c>
      <c r="C760" s="1" t="n">
        <v>45893</v>
      </c>
      <c r="D760" t="inlineStr">
        <is>
          <t>SKÅNE LÄN</t>
        </is>
      </c>
      <c r="E760" t="inlineStr">
        <is>
          <t>HÄSSLEHOLM</t>
        </is>
      </c>
      <c r="G760" t="n">
        <v>4</v>
      </c>
      <c r="H760" t="n">
        <v>0</v>
      </c>
      <c r="I760" t="n">
        <v>0</v>
      </c>
      <c r="J760" t="n">
        <v>0</v>
      </c>
      <c r="K760" t="n">
        <v>0</v>
      </c>
      <c r="L760" t="n">
        <v>0</v>
      </c>
      <c r="M760" t="n">
        <v>0</v>
      </c>
      <c r="N760" t="n">
        <v>0</v>
      </c>
      <c r="O760" t="n">
        <v>0</v>
      </c>
      <c r="P760" t="n">
        <v>0</v>
      </c>
      <c r="Q760" t="n">
        <v>0</v>
      </c>
      <c r="R760" s="2" t="inlineStr"/>
    </row>
    <row r="761" ht="15" customHeight="1">
      <c r="A761" t="inlineStr">
        <is>
          <t>A 48877-2024</t>
        </is>
      </c>
      <c r="B761" s="1" t="n">
        <v>45594.31729166667</v>
      </c>
      <c r="C761" s="1" t="n">
        <v>45893</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45984-2021</t>
        </is>
      </c>
      <c r="B762" s="1" t="n">
        <v>44441</v>
      </c>
      <c r="C762" s="1" t="n">
        <v>45893</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8378-2023</t>
        </is>
      </c>
      <c r="B763" s="1" t="n">
        <v>44971</v>
      </c>
      <c r="C763" s="1" t="n">
        <v>45893</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7494-2023</t>
        </is>
      </c>
      <c r="B764" s="1" t="n">
        <v>44971.70835648148</v>
      </c>
      <c r="C764" s="1" t="n">
        <v>45893</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26232-2025</t>
        </is>
      </c>
      <c r="B765" s="1" t="n">
        <v>45805.56642361111</v>
      </c>
      <c r="C765" s="1" t="n">
        <v>45893</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10115-2024</t>
        </is>
      </c>
      <c r="B766" s="1" t="n">
        <v>45364.55339120371</v>
      </c>
      <c r="C766" s="1" t="n">
        <v>45893</v>
      </c>
      <c r="D766" t="inlineStr">
        <is>
          <t>SKÅNE LÄN</t>
        </is>
      </c>
      <c r="E766" t="inlineStr">
        <is>
          <t>HÄSSLEHOLM</t>
        </is>
      </c>
      <c r="G766" t="n">
        <v>7</v>
      </c>
      <c r="H766" t="n">
        <v>0</v>
      </c>
      <c r="I766" t="n">
        <v>0</v>
      </c>
      <c r="J766" t="n">
        <v>0</v>
      </c>
      <c r="K766" t="n">
        <v>0</v>
      </c>
      <c r="L766" t="n">
        <v>0</v>
      </c>
      <c r="M766" t="n">
        <v>0</v>
      </c>
      <c r="N766" t="n">
        <v>0</v>
      </c>
      <c r="O766" t="n">
        <v>0</v>
      </c>
      <c r="P766" t="n">
        <v>0</v>
      </c>
      <c r="Q766" t="n">
        <v>0</v>
      </c>
      <c r="R766" s="2" t="inlineStr"/>
    </row>
    <row r="767" ht="15" customHeight="1">
      <c r="A767" t="inlineStr">
        <is>
          <t>A 26244-2025</t>
        </is>
      </c>
      <c r="B767" s="1" t="n">
        <v>45805.57364583333</v>
      </c>
      <c r="C767" s="1" t="n">
        <v>45893</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27481-2023</t>
        </is>
      </c>
      <c r="B768" s="1" t="n">
        <v>45097</v>
      </c>
      <c r="C768" s="1" t="n">
        <v>45893</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45398-2024</t>
        </is>
      </c>
      <c r="B769" s="1" t="n">
        <v>45576.56260416667</v>
      </c>
      <c r="C769" s="1" t="n">
        <v>45893</v>
      </c>
      <c r="D769" t="inlineStr">
        <is>
          <t>SKÅNE LÄN</t>
        </is>
      </c>
      <c r="E769" t="inlineStr">
        <is>
          <t>HÄSSLEHOLM</t>
        </is>
      </c>
      <c r="G769" t="n">
        <v>4.2</v>
      </c>
      <c r="H769" t="n">
        <v>0</v>
      </c>
      <c r="I769" t="n">
        <v>0</v>
      </c>
      <c r="J769" t="n">
        <v>0</v>
      </c>
      <c r="K769" t="n">
        <v>0</v>
      </c>
      <c r="L769" t="n">
        <v>0</v>
      </c>
      <c r="M769" t="n">
        <v>0</v>
      </c>
      <c r="N769" t="n">
        <v>0</v>
      </c>
      <c r="O769" t="n">
        <v>0</v>
      </c>
      <c r="P769" t="n">
        <v>0</v>
      </c>
      <c r="Q769" t="n">
        <v>0</v>
      </c>
      <c r="R769" s="2" t="inlineStr"/>
    </row>
    <row r="770" ht="15" customHeight="1">
      <c r="A770" t="inlineStr">
        <is>
          <t>A 4140-2023</t>
        </is>
      </c>
      <c r="B770" s="1" t="n">
        <v>44953</v>
      </c>
      <c r="C770" s="1" t="n">
        <v>45893</v>
      </c>
      <c r="D770" t="inlineStr">
        <is>
          <t>SKÅNE LÄN</t>
        </is>
      </c>
      <c r="E770" t="inlineStr">
        <is>
          <t>HÄSSLEHOLM</t>
        </is>
      </c>
      <c r="G770" t="n">
        <v>10.6</v>
      </c>
      <c r="H770" t="n">
        <v>0</v>
      </c>
      <c r="I770" t="n">
        <v>0</v>
      </c>
      <c r="J770" t="n">
        <v>0</v>
      </c>
      <c r="K770" t="n">
        <v>0</v>
      </c>
      <c r="L770" t="n">
        <v>0</v>
      </c>
      <c r="M770" t="n">
        <v>0</v>
      </c>
      <c r="N770" t="n">
        <v>0</v>
      </c>
      <c r="O770" t="n">
        <v>0</v>
      </c>
      <c r="P770" t="n">
        <v>0</v>
      </c>
      <c r="Q770" t="n">
        <v>0</v>
      </c>
      <c r="R770" s="2" t="inlineStr"/>
    </row>
    <row r="771" ht="15" customHeight="1">
      <c r="A771" t="inlineStr">
        <is>
          <t>A 21328-2023</t>
        </is>
      </c>
      <c r="B771" s="1" t="n">
        <v>45062</v>
      </c>
      <c r="C771" s="1" t="n">
        <v>45893</v>
      </c>
      <c r="D771" t="inlineStr">
        <is>
          <t>SKÅNE LÄN</t>
        </is>
      </c>
      <c r="E771" t="inlineStr">
        <is>
          <t>HÄSSLEHOLM</t>
        </is>
      </c>
      <c r="G771" t="n">
        <v>2.1</v>
      </c>
      <c r="H771" t="n">
        <v>0</v>
      </c>
      <c r="I771" t="n">
        <v>0</v>
      </c>
      <c r="J771" t="n">
        <v>0</v>
      </c>
      <c r="K771" t="n">
        <v>0</v>
      </c>
      <c r="L771" t="n">
        <v>0</v>
      </c>
      <c r="M771" t="n">
        <v>0</v>
      </c>
      <c r="N771" t="n">
        <v>0</v>
      </c>
      <c r="O771" t="n">
        <v>0</v>
      </c>
      <c r="P771" t="n">
        <v>0</v>
      </c>
      <c r="Q771" t="n">
        <v>0</v>
      </c>
      <c r="R771" s="2" t="inlineStr"/>
    </row>
    <row r="772" ht="15" customHeight="1">
      <c r="A772" t="inlineStr">
        <is>
          <t>A 3925-2021</t>
        </is>
      </c>
      <c r="B772" s="1" t="n">
        <v>44222</v>
      </c>
      <c r="C772" s="1" t="n">
        <v>45893</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50000-2023</t>
        </is>
      </c>
      <c r="B773" s="1" t="n">
        <v>45215.4434837963</v>
      </c>
      <c r="C773" s="1" t="n">
        <v>45893</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417-2022</t>
        </is>
      </c>
      <c r="B774" s="1" t="n">
        <v>44565.84615740741</v>
      </c>
      <c r="C774" s="1" t="n">
        <v>45893</v>
      </c>
      <c r="D774" t="inlineStr">
        <is>
          <t>SKÅNE LÄN</t>
        </is>
      </c>
      <c r="E774" t="inlineStr">
        <is>
          <t>HÄSSLEHOLM</t>
        </is>
      </c>
      <c r="G774" t="n">
        <v>0</v>
      </c>
      <c r="H774" t="n">
        <v>0</v>
      </c>
      <c r="I774" t="n">
        <v>0</v>
      </c>
      <c r="J774" t="n">
        <v>0</v>
      </c>
      <c r="K774" t="n">
        <v>0</v>
      </c>
      <c r="L774" t="n">
        <v>0</v>
      </c>
      <c r="M774" t="n">
        <v>0</v>
      </c>
      <c r="N774" t="n">
        <v>0</v>
      </c>
      <c r="O774" t="n">
        <v>0</v>
      </c>
      <c r="P774" t="n">
        <v>0</v>
      </c>
      <c r="Q774" t="n">
        <v>0</v>
      </c>
      <c r="R774" s="2" t="inlineStr"/>
    </row>
    <row r="775" ht="15" customHeight="1">
      <c r="A775" t="inlineStr">
        <is>
          <t>A 12570-2023</t>
        </is>
      </c>
      <c r="B775" s="1" t="n">
        <v>44999</v>
      </c>
      <c r="C775" s="1" t="n">
        <v>45893</v>
      </c>
      <c r="D775" t="inlineStr">
        <is>
          <t>SKÅNE LÄN</t>
        </is>
      </c>
      <c r="E775" t="inlineStr">
        <is>
          <t>HÄSSLEHOLM</t>
        </is>
      </c>
      <c r="G775" t="n">
        <v>3.4</v>
      </c>
      <c r="H775" t="n">
        <v>0</v>
      </c>
      <c r="I775" t="n">
        <v>0</v>
      </c>
      <c r="J775" t="n">
        <v>0</v>
      </c>
      <c r="K775" t="n">
        <v>0</v>
      </c>
      <c r="L775" t="n">
        <v>0</v>
      </c>
      <c r="M775" t="n">
        <v>0</v>
      </c>
      <c r="N775" t="n">
        <v>0</v>
      </c>
      <c r="O775" t="n">
        <v>0</v>
      </c>
      <c r="P775" t="n">
        <v>0</v>
      </c>
      <c r="Q775" t="n">
        <v>0</v>
      </c>
      <c r="R775" s="2" t="inlineStr"/>
    </row>
    <row r="776" ht="15" customHeight="1">
      <c r="A776" t="inlineStr">
        <is>
          <t>A 49824-2024</t>
        </is>
      </c>
      <c r="B776" s="1" t="n">
        <v>45597</v>
      </c>
      <c r="C776" s="1" t="n">
        <v>45893</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51040-2024</t>
        </is>
      </c>
      <c r="B777" s="1" t="n">
        <v>45603.43222222223</v>
      </c>
      <c r="C777" s="1" t="n">
        <v>45893</v>
      </c>
      <c r="D777" t="inlineStr">
        <is>
          <t>SKÅNE LÄN</t>
        </is>
      </c>
      <c r="E777" t="inlineStr">
        <is>
          <t>HÄSSLEHOLM</t>
        </is>
      </c>
      <c r="G777" t="n">
        <v>2.7</v>
      </c>
      <c r="H777" t="n">
        <v>0</v>
      </c>
      <c r="I777" t="n">
        <v>0</v>
      </c>
      <c r="J777" t="n">
        <v>0</v>
      </c>
      <c r="K777" t="n">
        <v>0</v>
      </c>
      <c r="L777" t="n">
        <v>0</v>
      </c>
      <c r="M777" t="n">
        <v>0</v>
      </c>
      <c r="N777" t="n">
        <v>0</v>
      </c>
      <c r="O777" t="n">
        <v>0</v>
      </c>
      <c r="P777" t="n">
        <v>0</v>
      </c>
      <c r="Q777" t="n">
        <v>0</v>
      </c>
      <c r="R777" s="2" t="inlineStr"/>
    </row>
    <row r="778" ht="15" customHeight="1">
      <c r="A778" t="inlineStr">
        <is>
          <t>A 50249-2024</t>
        </is>
      </c>
      <c r="B778" s="1" t="n">
        <v>45600.56866898148</v>
      </c>
      <c r="C778" s="1" t="n">
        <v>45893</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20435-2021</t>
        </is>
      </c>
      <c r="B779" s="1" t="n">
        <v>44315.5793287037</v>
      </c>
      <c r="C779" s="1" t="n">
        <v>45893</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25219-2023</t>
        </is>
      </c>
      <c r="B780" s="1" t="n">
        <v>45086.60541666667</v>
      </c>
      <c r="C780" s="1" t="n">
        <v>45893</v>
      </c>
      <c r="D780" t="inlineStr">
        <is>
          <t>SKÅNE LÄN</t>
        </is>
      </c>
      <c r="E780" t="inlineStr">
        <is>
          <t>HÄSSLEHOLM</t>
        </is>
      </c>
      <c r="G780" t="n">
        <v>6.9</v>
      </c>
      <c r="H780" t="n">
        <v>0</v>
      </c>
      <c r="I780" t="n">
        <v>0</v>
      </c>
      <c r="J780" t="n">
        <v>0</v>
      </c>
      <c r="K780" t="n">
        <v>0</v>
      </c>
      <c r="L780" t="n">
        <v>0</v>
      </c>
      <c r="M780" t="n">
        <v>0</v>
      </c>
      <c r="N780" t="n">
        <v>0</v>
      </c>
      <c r="O780" t="n">
        <v>0</v>
      </c>
      <c r="P780" t="n">
        <v>0</v>
      </c>
      <c r="Q780" t="n">
        <v>0</v>
      </c>
      <c r="R780" s="2" t="inlineStr"/>
    </row>
    <row r="781" ht="15" customHeight="1">
      <c r="A781" t="inlineStr">
        <is>
          <t>A 54326-2022</t>
        </is>
      </c>
      <c r="B781" s="1" t="n">
        <v>44882.42965277778</v>
      </c>
      <c r="C781" s="1" t="n">
        <v>45893</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54174-2022</t>
        </is>
      </c>
      <c r="B782" s="1" t="n">
        <v>44881</v>
      </c>
      <c r="C782" s="1" t="n">
        <v>45893</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16121-2025</t>
        </is>
      </c>
      <c r="B783" s="1" t="n">
        <v>45750.40384259259</v>
      </c>
      <c r="C783" s="1" t="n">
        <v>45893</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7306-2025</t>
        </is>
      </c>
      <c r="B784" s="1" t="n">
        <v>45702</v>
      </c>
      <c r="C784" s="1" t="n">
        <v>45893</v>
      </c>
      <c r="D784" t="inlineStr">
        <is>
          <t>SKÅNE LÄN</t>
        </is>
      </c>
      <c r="E784" t="inlineStr">
        <is>
          <t>HÄSSLEHOLM</t>
        </is>
      </c>
      <c r="F784" t="inlineStr">
        <is>
          <t>Övriga Aktiebolag</t>
        </is>
      </c>
      <c r="G784" t="n">
        <v>3.3</v>
      </c>
      <c r="H784" t="n">
        <v>0</v>
      </c>
      <c r="I784" t="n">
        <v>0</v>
      </c>
      <c r="J784" t="n">
        <v>0</v>
      </c>
      <c r="K784" t="n">
        <v>0</v>
      </c>
      <c r="L784" t="n">
        <v>0</v>
      </c>
      <c r="M784" t="n">
        <v>0</v>
      </c>
      <c r="N784" t="n">
        <v>0</v>
      </c>
      <c r="O784" t="n">
        <v>0</v>
      </c>
      <c r="P784" t="n">
        <v>0</v>
      </c>
      <c r="Q784" t="n">
        <v>0</v>
      </c>
      <c r="R784" s="2" t="inlineStr"/>
    </row>
    <row r="785" ht="15" customHeight="1">
      <c r="A785" t="inlineStr">
        <is>
          <t>A 7308-2025</t>
        </is>
      </c>
      <c r="B785" s="1" t="n">
        <v>45702</v>
      </c>
      <c r="C785" s="1" t="n">
        <v>45893</v>
      </c>
      <c r="D785" t="inlineStr">
        <is>
          <t>SKÅNE LÄN</t>
        </is>
      </c>
      <c r="E785" t="inlineStr">
        <is>
          <t>HÄSSLEHOLM</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7309-2025</t>
        </is>
      </c>
      <c r="B786" s="1" t="n">
        <v>45702</v>
      </c>
      <c r="C786" s="1" t="n">
        <v>45893</v>
      </c>
      <c r="D786" t="inlineStr">
        <is>
          <t>SKÅNE LÄN</t>
        </is>
      </c>
      <c r="E786" t="inlineStr">
        <is>
          <t>HÄSSLEHOLM</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58250-2024</t>
        </is>
      </c>
      <c r="B787" s="1" t="n">
        <v>45632.55643518519</v>
      </c>
      <c r="C787" s="1" t="n">
        <v>45893</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54671-2022</t>
        </is>
      </c>
      <c r="B788" s="1" t="n">
        <v>44883</v>
      </c>
      <c r="C788" s="1" t="n">
        <v>45893</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38376-2022</t>
        </is>
      </c>
      <c r="B789" s="1" t="n">
        <v>44812</v>
      </c>
      <c r="C789" s="1" t="n">
        <v>45893</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40739-2024</t>
        </is>
      </c>
      <c r="B790" s="1" t="n">
        <v>45558</v>
      </c>
      <c r="C790" s="1" t="n">
        <v>45893</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54659-2023</t>
        </is>
      </c>
      <c r="B791" s="1" t="n">
        <v>45235</v>
      </c>
      <c r="C791" s="1" t="n">
        <v>45893</v>
      </c>
      <c r="D791" t="inlineStr">
        <is>
          <t>SKÅNE LÄN</t>
        </is>
      </c>
      <c r="E791" t="inlineStr">
        <is>
          <t>HÄSSLEHOLM</t>
        </is>
      </c>
      <c r="G791" t="n">
        <v>5</v>
      </c>
      <c r="H791" t="n">
        <v>0</v>
      </c>
      <c r="I791" t="n">
        <v>0</v>
      </c>
      <c r="J791" t="n">
        <v>0</v>
      </c>
      <c r="K791" t="n">
        <v>0</v>
      </c>
      <c r="L791" t="n">
        <v>0</v>
      </c>
      <c r="M791" t="n">
        <v>0</v>
      </c>
      <c r="N791" t="n">
        <v>0</v>
      </c>
      <c r="O791" t="n">
        <v>0</v>
      </c>
      <c r="P791" t="n">
        <v>0</v>
      </c>
      <c r="Q791" t="n">
        <v>0</v>
      </c>
      <c r="R791" s="2" t="inlineStr"/>
    </row>
    <row r="792" ht="15" customHeight="1">
      <c r="A792" t="inlineStr">
        <is>
          <t>A 15036-2024</t>
        </is>
      </c>
      <c r="B792" s="1" t="n">
        <v>45399.48100694444</v>
      </c>
      <c r="C792" s="1" t="n">
        <v>45893</v>
      </c>
      <c r="D792" t="inlineStr">
        <is>
          <t>SKÅNE LÄN</t>
        </is>
      </c>
      <c r="E792" t="inlineStr">
        <is>
          <t>HÄSSLEHOLM</t>
        </is>
      </c>
      <c r="G792" t="n">
        <v>1.6</v>
      </c>
      <c r="H792" t="n">
        <v>0</v>
      </c>
      <c r="I792" t="n">
        <v>0</v>
      </c>
      <c r="J792" t="n">
        <v>0</v>
      </c>
      <c r="K792" t="n">
        <v>0</v>
      </c>
      <c r="L792" t="n">
        <v>0</v>
      </c>
      <c r="M792" t="n">
        <v>0</v>
      </c>
      <c r="N792" t="n">
        <v>0</v>
      </c>
      <c r="O792" t="n">
        <v>0</v>
      </c>
      <c r="P792" t="n">
        <v>0</v>
      </c>
      <c r="Q792" t="n">
        <v>0</v>
      </c>
      <c r="R792" s="2" t="inlineStr"/>
    </row>
    <row r="793" ht="15" customHeight="1">
      <c r="A793" t="inlineStr">
        <is>
          <t>A 13932-2023</t>
        </is>
      </c>
      <c r="B793" s="1" t="n">
        <v>45008.43935185186</v>
      </c>
      <c r="C793" s="1" t="n">
        <v>45893</v>
      </c>
      <c r="D793" t="inlineStr">
        <is>
          <t>SKÅNE LÄN</t>
        </is>
      </c>
      <c r="E793" t="inlineStr">
        <is>
          <t>HÄSSLEHOLM</t>
        </is>
      </c>
      <c r="G793" t="n">
        <v>3.3</v>
      </c>
      <c r="H793" t="n">
        <v>0</v>
      </c>
      <c r="I793" t="n">
        <v>0</v>
      </c>
      <c r="J793" t="n">
        <v>0</v>
      </c>
      <c r="K793" t="n">
        <v>0</v>
      </c>
      <c r="L793" t="n">
        <v>0</v>
      </c>
      <c r="M793" t="n">
        <v>0</v>
      </c>
      <c r="N793" t="n">
        <v>0</v>
      </c>
      <c r="O793" t="n">
        <v>0</v>
      </c>
      <c r="P793" t="n">
        <v>0</v>
      </c>
      <c r="Q793" t="n">
        <v>0</v>
      </c>
      <c r="R793" s="2" t="inlineStr"/>
    </row>
    <row r="794" ht="15" customHeight="1">
      <c r="A794" t="inlineStr">
        <is>
          <t>A 35889-2023</t>
        </is>
      </c>
      <c r="B794" s="1" t="n">
        <v>45148</v>
      </c>
      <c r="C794" s="1" t="n">
        <v>45893</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35894-2023</t>
        </is>
      </c>
      <c r="B795" s="1" t="n">
        <v>45148</v>
      </c>
      <c r="C795" s="1" t="n">
        <v>45893</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45299-2024</t>
        </is>
      </c>
      <c r="B796" s="1" t="n">
        <v>45576.40599537037</v>
      </c>
      <c r="C796" s="1" t="n">
        <v>45893</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25176-2024</t>
        </is>
      </c>
      <c r="B797" s="1" t="n">
        <v>45462.54582175926</v>
      </c>
      <c r="C797" s="1" t="n">
        <v>45893</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7771-2021</t>
        </is>
      </c>
      <c r="B798" s="1" t="n">
        <v>44242</v>
      </c>
      <c r="C798" s="1" t="n">
        <v>45893</v>
      </c>
      <c r="D798" t="inlineStr">
        <is>
          <t>SKÅNE LÄN</t>
        </is>
      </c>
      <c r="E798" t="inlineStr">
        <is>
          <t>HÄSSLEHOLM</t>
        </is>
      </c>
      <c r="G798" t="n">
        <v>4.2</v>
      </c>
      <c r="H798" t="n">
        <v>0</v>
      </c>
      <c r="I798" t="n">
        <v>0</v>
      </c>
      <c r="J798" t="n">
        <v>0</v>
      </c>
      <c r="K798" t="n">
        <v>0</v>
      </c>
      <c r="L798" t="n">
        <v>0</v>
      </c>
      <c r="M798" t="n">
        <v>0</v>
      </c>
      <c r="N798" t="n">
        <v>0</v>
      </c>
      <c r="O798" t="n">
        <v>0</v>
      </c>
      <c r="P798" t="n">
        <v>0</v>
      </c>
      <c r="Q798" t="n">
        <v>0</v>
      </c>
      <c r="R798" s="2" t="inlineStr"/>
    </row>
    <row r="799" ht="15" customHeight="1">
      <c r="A799" t="inlineStr">
        <is>
          <t>A 44741-2023</t>
        </is>
      </c>
      <c r="B799" s="1" t="n">
        <v>45190.38804398148</v>
      </c>
      <c r="C799" s="1" t="n">
        <v>45893</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7476-2025</t>
        </is>
      </c>
      <c r="B800" s="1" t="n">
        <v>45702</v>
      </c>
      <c r="C800" s="1" t="n">
        <v>45893</v>
      </c>
      <c r="D800" t="inlineStr">
        <is>
          <t>SKÅNE LÄN</t>
        </is>
      </c>
      <c r="E800" t="inlineStr">
        <is>
          <t>HÄSSLEHOLM</t>
        </is>
      </c>
      <c r="F800" t="inlineStr">
        <is>
          <t>Övriga Aktiebolag</t>
        </is>
      </c>
      <c r="G800" t="n">
        <v>2.1</v>
      </c>
      <c r="H800" t="n">
        <v>0</v>
      </c>
      <c r="I800" t="n">
        <v>0</v>
      </c>
      <c r="J800" t="n">
        <v>0</v>
      </c>
      <c r="K800" t="n">
        <v>0</v>
      </c>
      <c r="L800" t="n">
        <v>0</v>
      </c>
      <c r="M800" t="n">
        <v>0</v>
      </c>
      <c r="N800" t="n">
        <v>0</v>
      </c>
      <c r="O800" t="n">
        <v>0</v>
      </c>
      <c r="P800" t="n">
        <v>0</v>
      </c>
      <c r="Q800" t="n">
        <v>0</v>
      </c>
      <c r="R800" s="2" t="inlineStr"/>
    </row>
    <row r="801" ht="15" customHeight="1">
      <c r="A801" t="inlineStr">
        <is>
          <t>A 7513-2025</t>
        </is>
      </c>
      <c r="B801" s="1" t="n">
        <v>45702</v>
      </c>
      <c r="C801" s="1" t="n">
        <v>45893</v>
      </c>
      <c r="D801" t="inlineStr">
        <is>
          <t>SKÅNE LÄN</t>
        </is>
      </c>
      <c r="E801" t="inlineStr">
        <is>
          <t>HÄSSLEHOLM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31161-2024</t>
        </is>
      </c>
      <c r="B802" s="1" t="n">
        <v>45503</v>
      </c>
      <c r="C802" s="1" t="n">
        <v>45893</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22157-2024</t>
        </is>
      </c>
      <c r="B803" s="1" t="n">
        <v>45445.85290509259</v>
      </c>
      <c r="C803" s="1" t="n">
        <v>45893</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13316-2023</t>
        </is>
      </c>
      <c r="B804" s="1" t="n">
        <v>45005.39013888889</v>
      </c>
      <c r="C804" s="1" t="n">
        <v>45893</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13358-2023</t>
        </is>
      </c>
      <c r="B805" s="1" t="n">
        <v>45005</v>
      </c>
      <c r="C805" s="1" t="n">
        <v>45893</v>
      </c>
      <c r="D805" t="inlineStr">
        <is>
          <t>SKÅNE LÄN</t>
        </is>
      </c>
      <c r="E805" t="inlineStr">
        <is>
          <t>HÄSSLEHOLM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3245-2022</t>
        </is>
      </c>
      <c r="B806" s="1" t="n">
        <v>44583.39136574074</v>
      </c>
      <c r="C806" s="1" t="n">
        <v>45893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9709-2023</t>
        </is>
      </c>
      <c r="B807" s="1" t="n">
        <v>44984.48376157408</v>
      </c>
      <c r="C807" s="1" t="n">
        <v>45893</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9615-2025</t>
        </is>
      </c>
      <c r="B808" s="1" t="n">
        <v>45715</v>
      </c>
      <c r="C808" s="1" t="n">
        <v>45893</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8524-2024</t>
        </is>
      </c>
      <c r="B809" s="1" t="n">
        <v>45355.48570601852</v>
      </c>
      <c r="C809" s="1" t="n">
        <v>45893</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38228-2021</t>
        </is>
      </c>
      <c r="B810" s="1" t="n">
        <v>44405</v>
      </c>
      <c r="C810" s="1" t="n">
        <v>45893</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23987-2024</t>
        </is>
      </c>
      <c r="B811" s="1" t="n">
        <v>45456</v>
      </c>
      <c r="C811" s="1" t="n">
        <v>45893</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4042-2023</t>
        </is>
      </c>
      <c r="B812" s="1" t="n">
        <v>44952.59950231481</v>
      </c>
      <c r="C812" s="1" t="n">
        <v>45893</v>
      </c>
      <c r="D812" t="inlineStr">
        <is>
          <t>SKÅNE LÄN</t>
        </is>
      </c>
      <c r="E812" t="inlineStr">
        <is>
          <t>HÄSSLEHOLM</t>
        </is>
      </c>
      <c r="G812" t="n">
        <v>2.7</v>
      </c>
      <c r="H812" t="n">
        <v>0</v>
      </c>
      <c r="I812" t="n">
        <v>0</v>
      </c>
      <c r="J812" t="n">
        <v>0</v>
      </c>
      <c r="K812" t="n">
        <v>0</v>
      </c>
      <c r="L812" t="n">
        <v>0</v>
      </c>
      <c r="M812" t="n">
        <v>0</v>
      </c>
      <c r="N812" t="n">
        <v>0</v>
      </c>
      <c r="O812" t="n">
        <v>0</v>
      </c>
      <c r="P812" t="n">
        <v>0</v>
      </c>
      <c r="Q812" t="n">
        <v>0</v>
      </c>
      <c r="R812" s="2" t="inlineStr"/>
    </row>
    <row r="813" ht="15" customHeight="1">
      <c r="A813" t="inlineStr">
        <is>
          <t>A 3248-2022</t>
        </is>
      </c>
      <c r="B813" s="1" t="n">
        <v>44583</v>
      </c>
      <c r="C813" s="1" t="n">
        <v>45893</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25538-2024</t>
        </is>
      </c>
      <c r="B814" s="1" t="n">
        <v>45463</v>
      </c>
      <c r="C814" s="1" t="n">
        <v>45893</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31160-2024</t>
        </is>
      </c>
      <c r="B815" s="1" t="n">
        <v>45503</v>
      </c>
      <c r="C815" s="1" t="n">
        <v>45893</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5054-2022</t>
        </is>
      </c>
      <c r="B816" s="1" t="n">
        <v>44593.69065972222</v>
      </c>
      <c r="C816" s="1" t="n">
        <v>45893</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38358-2024</t>
        </is>
      </c>
      <c r="B817" s="1" t="n">
        <v>45545.79068287037</v>
      </c>
      <c r="C817" s="1" t="n">
        <v>45893</v>
      </c>
      <c r="D817" t="inlineStr">
        <is>
          <t>SKÅNE LÄN</t>
        </is>
      </c>
      <c r="E817" t="inlineStr">
        <is>
          <t>HÄSSLEHOLM</t>
        </is>
      </c>
      <c r="G817" t="n">
        <v>9</v>
      </c>
      <c r="H817" t="n">
        <v>0</v>
      </c>
      <c r="I817" t="n">
        <v>0</v>
      </c>
      <c r="J817" t="n">
        <v>0</v>
      </c>
      <c r="K817" t="n">
        <v>0</v>
      </c>
      <c r="L817" t="n">
        <v>0</v>
      </c>
      <c r="M817" t="n">
        <v>0</v>
      </c>
      <c r="N817" t="n">
        <v>0</v>
      </c>
      <c r="O817" t="n">
        <v>0</v>
      </c>
      <c r="P817" t="n">
        <v>0</v>
      </c>
      <c r="Q817" t="n">
        <v>0</v>
      </c>
      <c r="R817" s="2" t="inlineStr"/>
    </row>
    <row r="818" ht="15" customHeight="1">
      <c r="A818" t="inlineStr">
        <is>
          <t>A 36733-2023</t>
        </is>
      </c>
      <c r="B818" s="1" t="n">
        <v>45153.69989583334</v>
      </c>
      <c r="C818" s="1" t="n">
        <v>45893</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31391-2023</t>
        </is>
      </c>
      <c r="B819" s="1" t="n">
        <v>45114.56143518518</v>
      </c>
      <c r="C819" s="1" t="n">
        <v>45893</v>
      </c>
      <c r="D819" t="inlineStr">
        <is>
          <t>SKÅNE LÄN</t>
        </is>
      </c>
      <c r="E819" t="inlineStr">
        <is>
          <t>HÄSSLEHOLM</t>
        </is>
      </c>
      <c r="G819" t="n">
        <v>3.1</v>
      </c>
      <c r="H819" t="n">
        <v>0</v>
      </c>
      <c r="I819" t="n">
        <v>0</v>
      </c>
      <c r="J819" t="n">
        <v>0</v>
      </c>
      <c r="K819" t="n">
        <v>0</v>
      </c>
      <c r="L819" t="n">
        <v>0</v>
      </c>
      <c r="M819" t="n">
        <v>0</v>
      </c>
      <c r="N819" t="n">
        <v>0</v>
      </c>
      <c r="O819" t="n">
        <v>0</v>
      </c>
      <c r="P819" t="n">
        <v>0</v>
      </c>
      <c r="Q819" t="n">
        <v>0</v>
      </c>
      <c r="R819" s="2" t="inlineStr"/>
    </row>
    <row r="820" ht="15" customHeight="1">
      <c r="A820" t="inlineStr">
        <is>
          <t>A 23723-2023</t>
        </is>
      </c>
      <c r="B820" s="1" t="n">
        <v>45077</v>
      </c>
      <c r="C820" s="1" t="n">
        <v>45893</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60509-2023</t>
        </is>
      </c>
      <c r="B821" s="1" t="n">
        <v>45259</v>
      </c>
      <c r="C821" s="1" t="n">
        <v>45893</v>
      </c>
      <c r="D821" t="inlineStr">
        <is>
          <t>SKÅNE LÄN</t>
        </is>
      </c>
      <c r="E821" t="inlineStr">
        <is>
          <t>HÄSSLEHOLM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27393-2025</t>
        </is>
      </c>
      <c r="B822" s="1" t="n">
        <v>45812.68295138889</v>
      </c>
      <c r="C822" s="1" t="n">
        <v>45893</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1562-2023</t>
        </is>
      </c>
      <c r="B823" s="1" t="n">
        <v>44937.60450231482</v>
      </c>
      <c r="C823" s="1" t="n">
        <v>45893</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45220-2023</t>
        </is>
      </c>
      <c r="B824" s="1" t="n">
        <v>45191</v>
      </c>
      <c r="C824" s="1" t="n">
        <v>45893</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32967-2023</t>
        </is>
      </c>
      <c r="B825" s="1" t="n">
        <v>45125</v>
      </c>
      <c r="C825" s="1" t="n">
        <v>45893</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32968-2023</t>
        </is>
      </c>
      <c r="B826" s="1" t="n">
        <v>45125</v>
      </c>
      <c r="C826" s="1" t="n">
        <v>45893</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10277-2023</t>
        </is>
      </c>
      <c r="B827" s="1" t="n">
        <v>44986</v>
      </c>
      <c r="C827" s="1" t="n">
        <v>45893</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10290-2023</t>
        </is>
      </c>
      <c r="B828" s="1" t="n">
        <v>44986</v>
      </c>
      <c r="C828" s="1" t="n">
        <v>45893</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16368-2025</t>
        </is>
      </c>
      <c r="B829" s="1" t="n">
        <v>45751</v>
      </c>
      <c r="C829" s="1" t="n">
        <v>45893</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31933-2024</t>
        </is>
      </c>
      <c r="B830" s="1" t="n">
        <v>45510.41123842593</v>
      </c>
      <c r="C830" s="1" t="n">
        <v>45893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31581-2023</t>
        </is>
      </c>
      <c r="B831" s="1" t="n">
        <v>45117.45165509259</v>
      </c>
      <c r="C831" s="1" t="n">
        <v>45893</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27349-2025</t>
        </is>
      </c>
      <c r="B832" s="1" t="n">
        <v>45812</v>
      </c>
      <c r="C832" s="1" t="n">
        <v>45893</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55303-2024</t>
        </is>
      </c>
      <c r="B833" s="1" t="n">
        <v>45621.6434837963</v>
      </c>
      <c r="C833" s="1" t="n">
        <v>45893</v>
      </c>
      <c r="D833" t="inlineStr">
        <is>
          <t>SKÅNE LÄN</t>
        </is>
      </c>
      <c r="E833" t="inlineStr">
        <is>
          <t>HÄSSLEHOLM</t>
        </is>
      </c>
      <c r="G833" t="n">
        <v>3.3</v>
      </c>
      <c r="H833" t="n">
        <v>0</v>
      </c>
      <c r="I833" t="n">
        <v>0</v>
      </c>
      <c r="J833" t="n">
        <v>0</v>
      </c>
      <c r="K833" t="n">
        <v>0</v>
      </c>
      <c r="L833" t="n">
        <v>0</v>
      </c>
      <c r="M833" t="n">
        <v>0</v>
      </c>
      <c r="N833" t="n">
        <v>0</v>
      </c>
      <c r="O833" t="n">
        <v>0</v>
      </c>
      <c r="P833" t="n">
        <v>0</v>
      </c>
      <c r="Q833" t="n">
        <v>0</v>
      </c>
      <c r="R833" s="2" t="inlineStr"/>
    </row>
    <row r="834" ht="15" customHeight="1">
      <c r="A834" t="inlineStr">
        <is>
          <t>A 35259-2025</t>
        </is>
      </c>
      <c r="B834" s="1" t="n">
        <v>45853.76912037037</v>
      </c>
      <c r="C834" s="1" t="n">
        <v>45893</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35237-2023</t>
        </is>
      </c>
      <c r="B835" s="1" t="n">
        <v>45145.74532407407</v>
      </c>
      <c r="C835" s="1" t="n">
        <v>45893</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40202-2022</t>
        </is>
      </c>
      <c r="B836" s="1" t="n">
        <v>44820.60614583334</v>
      </c>
      <c r="C836" s="1" t="n">
        <v>45893</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28240-2025</t>
        </is>
      </c>
      <c r="B837" s="1" t="n">
        <v>45817</v>
      </c>
      <c r="C837" s="1" t="n">
        <v>45893</v>
      </c>
      <c r="D837" t="inlineStr">
        <is>
          <t>SKÅNE LÄN</t>
        </is>
      </c>
      <c r="E837" t="inlineStr">
        <is>
          <t>HÄSSLEHOLM</t>
        </is>
      </c>
      <c r="G837" t="n">
        <v>7.7</v>
      </c>
      <c r="H837" t="n">
        <v>0</v>
      </c>
      <c r="I837" t="n">
        <v>0</v>
      </c>
      <c r="J837" t="n">
        <v>0</v>
      </c>
      <c r="K837" t="n">
        <v>0</v>
      </c>
      <c r="L837" t="n">
        <v>0</v>
      </c>
      <c r="M837" t="n">
        <v>0</v>
      </c>
      <c r="N837" t="n">
        <v>0</v>
      </c>
      <c r="O837" t="n">
        <v>0</v>
      </c>
      <c r="P837" t="n">
        <v>0</v>
      </c>
      <c r="Q837" t="n">
        <v>0</v>
      </c>
      <c r="R837" s="2" t="inlineStr"/>
    </row>
    <row r="838" ht="15" customHeight="1">
      <c r="A838" t="inlineStr">
        <is>
          <t>A 27940-2025</t>
        </is>
      </c>
      <c r="B838" s="1" t="n">
        <v>45817.50439814815</v>
      </c>
      <c r="C838" s="1" t="n">
        <v>45893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32008-2024</t>
        </is>
      </c>
      <c r="B839" s="1" t="n">
        <v>45510</v>
      </c>
      <c r="C839" s="1" t="n">
        <v>45893</v>
      </c>
      <c r="D839" t="inlineStr">
        <is>
          <t>SKÅNE LÄN</t>
        </is>
      </c>
      <c r="E839" t="inlineStr">
        <is>
          <t>HÄSSLEHOLM</t>
        </is>
      </c>
      <c r="G839" t="n">
        <v>5.1</v>
      </c>
      <c r="H839" t="n">
        <v>0</v>
      </c>
      <c r="I839" t="n">
        <v>0</v>
      </c>
      <c r="J839" t="n">
        <v>0</v>
      </c>
      <c r="K839" t="n">
        <v>0</v>
      </c>
      <c r="L839" t="n">
        <v>0</v>
      </c>
      <c r="M839" t="n">
        <v>0</v>
      </c>
      <c r="N839" t="n">
        <v>0</v>
      </c>
      <c r="O839" t="n">
        <v>0</v>
      </c>
      <c r="P839" t="n">
        <v>0</v>
      </c>
      <c r="Q839" t="n">
        <v>0</v>
      </c>
      <c r="R839" s="2" t="inlineStr"/>
    </row>
    <row r="840" ht="15" customHeight="1">
      <c r="A840" t="inlineStr">
        <is>
          <t>A 4382-2023</t>
        </is>
      </c>
      <c r="B840" s="1" t="n">
        <v>44955.61152777778</v>
      </c>
      <c r="C840" s="1" t="n">
        <v>45893</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27934-2025</t>
        </is>
      </c>
      <c r="B841" s="1" t="n">
        <v>45817.49761574074</v>
      </c>
      <c r="C841" s="1" t="n">
        <v>45893</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52608-2023</t>
        </is>
      </c>
      <c r="B842" s="1" t="n">
        <v>45219</v>
      </c>
      <c r="C842" s="1" t="n">
        <v>45893</v>
      </c>
      <c r="D842" t="inlineStr">
        <is>
          <t>SKÅNE LÄN</t>
        </is>
      </c>
      <c r="E842" t="inlineStr">
        <is>
          <t>HÄSSLEHOLM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28251-2025</t>
        </is>
      </c>
      <c r="B843" s="1" t="n">
        <v>45817</v>
      </c>
      <c r="C843" s="1" t="n">
        <v>45893</v>
      </c>
      <c r="D843" t="inlineStr">
        <is>
          <t>SKÅNE LÄN</t>
        </is>
      </c>
      <c r="E843" t="inlineStr">
        <is>
          <t>HÄSSLEHOLM</t>
        </is>
      </c>
      <c r="G843" t="n">
        <v>7.2</v>
      </c>
      <c r="H843" t="n">
        <v>0</v>
      </c>
      <c r="I843" t="n">
        <v>0</v>
      </c>
      <c r="J843" t="n">
        <v>0</v>
      </c>
      <c r="K843" t="n">
        <v>0</v>
      </c>
      <c r="L843" t="n">
        <v>0</v>
      </c>
      <c r="M843" t="n">
        <v>0</v>
      </c>
      <c r="N843" t="n">
        <v>0</v>
      </c>
      <c r="O843" t="n">
        <v>0</v>
      </c>
      <c r="P843" t="n">
        <v>0</v>
      </c>
      <c r="Q843" t="n">
        <v>0</v>
      </c>
      <c r="R843" s="2" t="inlineStr"/>
    </row>
    <row r="844" ht="15" customHeight="1">
      <c r="A844" t="inlineStr">
        <is>
          <t>A 28122-2025</t>
        </is>
      </c>
      <c r="B844" s="1" t="n">
        <v>45817</v>
      </c>
      <c r="C844" s="1" t="n">
        <v>45893</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27887-2025</t>
        </is>
      </c>
      <c r="B845" s="1" t="n">
        <v>45817.45994212963</v>
      </c>
      <c r="C845" s="1" t="n">
        <v>45893</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57967-2023</t>
        </is>
      </c>
      <c r="B846" s="1" t="n">
        <v>45247.57984953704</v>
      </c>
      <c r="C846" s="1" t="n">
        <v>45893</v>
      </c>
      <c r="D846" t="inlineStr">
        <is>
          <t>SKÅNE LÄN</t>
        </is>
      </c>
      <c r="E846" t="inlineStr">
        <is>
          <t>HÄSSLEHOLM</t>
        </is>
      </c>
      <c r="G846" t="n">
        <v>8.6</v>
      </c>
      <c r="H846" t="n">
        <v>0</v>
      </c>
      <c r="I846" t="n">
        <v>0</v>
      </c>
      <c r="J846" t="n">
        <v>0</v>
      </c>
      <c r="K846" t="n">
        <v>0</v>
      </c>
      <c r="L846" t="n">
        <v>0</v>
      </c>
      <c r="M846" t="n">
        <v>0</v>
      </c>
      <c r="N846" t="n">
        <v>0</v>
      </c>
      <c r="O846" t="n">
        <v>0</v>
      </c>
      <c r="P846" t="n">
        <v>0</v>
      </c>
      <c r="Q846" t="n">
        <v>0</v>
      </c>
      <c r="R846" s="2" t="inlineStr"/>
    </row>
    <row r="847" ht="15" customHeight="1">
      <c r="A847" t="inlineStr">
        <is>
          <t>A 27954-2022</t>
        </is>
      </c>
      <c r="B847" s="1" t="n">
        <v>44743</v>
      </c>
      <c r="C847" s="1" t="n">
        <v>45893</v>
      </c>
      <c r="D847" t="inlineStr">
        <is>
          <t>SKÅNE LÄN</t>
        </is>
      </c>
      <c r="E847" t="inlineStr">
        <is>
          <t>HÄSSLEHOLM</t>
        </is>
      </c>
      <c r="G847" t="n">
        <v>9.4</v>
      </c>
      <c r="H847" t="n">
        <v>0</v>
      </c>
      <c r="I847" t="n">
        <v>0</v>
      </c>
      <c r="J847" t="n">
        <v>0</v>
      </c>
      <c r="K847" t="n">
        <v>0</v>
      </c>
      <c r="L847" t="n">
        <v>0</v>
      </c>
      <c r="M847" t="n">
        <v>0</v>
      </c>
      <c r="N847" t="n">
        <v>0</v>
      </c>
      <c r="O847" t="n">
        <v>0</v>
      </c>
      <c r="P847" t="n">
        <v>0</v>
      </c>
      <c r="Q847" t="n">
        <v>0</v>
      </c>
      <c r="R847" s="2" t="inlineStr"/>
    </row>
    <row r="848" ht="15" customHeight="1">
      <c r="A848" t="inlineStr">
        <is>
          <t>A 20493-2024</t>
        </is>
      </c>
      <c r="B848" s="1" t="n">
        <v>45435</v>
      </c>
      <c r="C848" s="1" t="n">
        <v>45893</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41873-2023</t>
        </is>
      </c>
      <c r="B849" s="1" t="n">
        <v>45176</v>
      </c>
      <c r="C849" s="1" t="n">
        <v>45893</v>
      </c>
      <c r="D849" t="inlineStr">
        <is>
          <t>SKÅNE LÄN</t>
        </is>
      </c>
      <c r="E849" t="inlineStr">
        <is>
          <t>HÄSSLEHOLM</t>
        </is>
      </c>
      <c r="G849" t="n">
        <v>2.8</v>
      </c>
      <c r="H849" t="n">
        <v>0</v>
      </c>
      <c r="I849" t="n">
        <v>0</v>
      </c>
      <c r="J849" t="n">
        <v>0</v>
      </c>
      <c r="K849" t="n">
        <v>0</v>
      </c>
      <c r="L849" t="n">
        <v>0</v>
      </c>
      <c r="M849" t="n">
        <v>0</v>
      </c>
      <c r="N849" t="n">
        <v>0</v>
      </c>
      <c r="O849" t="n">
        <v>0</v>
      </c>
      <c r="P849" t="n">
        <v>0</v>
      </c>
      <c r="Q849" t="n">
        <v>0</v>
      </c>
      <c r="R849" s="2" t="inlineStr"/>
    </row>
    <row r="850" ht="15" customHeight="1">
      <c r="A850" t="inlineStr">
        <is>
          <t>A 62041-2022</t>
        </is>
      </c>
      <c r="B850" s="1" t="n">
        <v>44918.55743055556</v>
      </c>
      <c r="C850" s="1" t="n">
        <v>45893</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41998-2021</t>
        </is>
      </c>
      <c r="B851" s="1" t="n">
        <v>44425</v>
      </c>
      <c r="C851" s="1" t="n">
        <v>45893</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35712-2024</t>
        </is>
      </c>
      <c r="B852" s="1" t="n">
        <v>45532</v>
      </c>
      <c r="C852" s="1" t="n">
        <v>45893</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61691-2021</t>
        </is>
      </c>
      <c r="B853" s="1" t="n">
        <v>44501</v>
      </c>
      <c r="C853" s="1" t="n">
        <v>45893</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12468-2024</t>
        </is>
      </c>
      <c r="B854" s="1" t="n">
        <v>45379</v>
      </c>
      <c r="C854" s="1" t="n">
        <v>45893</v>
      </c>
      <c r="D854" t="inlineStr">
        <is>
          <t>SKÅNE LÄN</t>
        </is>
      </c>
      <c r="E854" t="inlineStr">
        <is>
          <t>HÄSSLEHOLM</t>
        </is>
      </c>
      <c r="G854" t="n">
        <v>15.5</v>
      </c>
      <c r="H854" t="n">
        <v>0</v>
      </c>
      <c r="I854" t="n">
        <v>0</v>
      </c>
      <c r="J854" t="n">
        <v>0</v>
      </c>
      <c r="K854" t="n">
        <v>0</v>
      </c>
      <c r="L854" t="n">
        <v>0</v>
      </c>
      <c r="M854" t="n">
        <v>0</v>
      </c>
      <c r="N854" t="n">
        <v>0</v>
      </c>
      <c r="O854" t="n">
        <v>0</v>
      </c>
      <c r="P854" t="n">
        <v>0</v>
      </c>
      <c r="Q854" t="n">
        <v>0</v>
      </c>
      <c r="R854" s="2" t="inlineStr"/>
    </row>
    <row r="855" ht="15" customHeight="1">
      <c r="A855" t="inlineStr">
        <is>
          <t>A 28095-2025</t>
        </is>
      </c>
      <c r="B855" s="1" t="n">
        <v>45817</v>
      </c>
      <c r="C855" s="1" t="n">
        <v>45893</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1553-2023</t>
        </is>
      </c>
      <c r="B856" s="1" t="n">
        <v>44937</v>
      </c>
      <c r="C856" s="1" t="n">
        <v>45893</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22690-2022</t>
        </is>
      </c>
      <c r="B857" s="1" t="n">
        <v>44714.5421875</v>
      </c>
      <c r="C857" s="1" t="n">
        <v>45893</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57647-2024</t>
        </is>
      </c>
      <c r="B858" s="1" t="n">
        <v>45630</v>
      </c>
      <c r="C858" s="1" t="n">
        <v>45893</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53897-2023</t>
        </is>
      </c>
      <c r="B859" s="1" t="n">
        <v>45231.53934027778</v>
      </c>
      <c r="C859" s="1" t="n">
        <v>45893</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20564-2023</t>
        </is>
      </c>
      <c r="B860" s="1" t="n">
        <v>45057</v>
      </c>
      <c r="C860" s="1" t="n">
        <v>45893</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49827-2022</t>
        </is>
      </c>
      <c r="B861" s="1" t="n">
        <v>44859</v>
      </c>
      <c r="C861" s="1" t="n">
        <v>45893</v>
      </c>
      <c r="D861" t="inlineStr">
        <is>
          <t>SKÅNE LÄN</t>
        </is>
      </c>
      <c r="E861" t="inlineStr">
        <is>
          <t>HÄSSLEHOLM</t>
        </is>
      </c>
      <c r="G861" t="n">
        <v>6.1</v>
      </c>
      <c r="H861" t="n">
        <v>0</v>
      </c>
      <c r="I861" t="n">
        <v>0</v>
      </c>
      <c r="J861" t="n">
        <v>0</v>
      </c>
      <c r="K861" t="n">
        <v>0</v>
      </c>
      <c r="L861" t="n">
        <v>0</v>
      </c>
      <c r="M861" t="n">
        <v>0</v>
      </c>
      <c r="N861" t="n">
        <v>0</v>
      </c>
      <c r="O861" t="n">
        <v>0</v>
      </c>
      <c r="P861" t="n">
        <v>0</v>
      </c>
      <c r="Q861" t="n">
        <v>0</v>
      </c>
      <c r="R861" s="2" t="inlineStr"/>
    </row>
    <row r="862" ht="15" customHeight="1">
      <c r="A862" t="inlineStr">
        <is>
          <t>A 1170-2025</t>
        </is>
      </c>
      <c r="B862" s="1" t="n">
        <v>45667.29226851852</v>
      </c>
      <c r="C862" s="1" t="n">
        <v>45893</v>
      </c>
      <c r="D862" t="inlineStr">
        <is>
          <t>SKÅNE LÄN</t>
        </is>
      </c>
      <c r="E862" t="inlineStr">
        <is>
          <t>HÄSSLEHOLM</t>
        </is>
      </c>
      <c r="G862" t="n">
        <v>4.3</v>
      </c>
      <c r="H862" t="n">
        <v>0</v>
      </c>
      <c r="I862" t="n">
        <v>0</v>
      </c>
      <c r="J862" t="n">
        <v>0</v>
      </c>
      <c r="K862" t="n">
        <v>0</v>
      </c>
      <c r="L862" t="n">
        <v>0</v>
      </c>
      <c r="M862" t="n">
        <v>0</v>
      </c>
      <c r="N862" t="n">
        <v>0</v>
      </c>
      <c r="O862" t="n">
        <v>0</v>
      </c>
      <c r="P862" t="n">
        <v>0</v>
      </c>
      <c r="Q862" t="n">
        <v>0</v>
      </c>
      <c r="R862" s="2" t="inlineStr"/>
    </row>
    <row r="863" ht="15" customHeight="1">
      <c r="A863" t="inlineStr">
        <is>
          <t>A 46641-2023</t>
        </is>
      </c>
      <c r="B863" s="1" t="n">
        <v>45198.44523148148</v>
      </c>
      <c r="C863" s="1" t="n">
        <v>45893</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8239-2025</t>
        </is>
      </c>
      <c r="B864" s="1" t="n">
        <v>45708.47984953703</v>
      </c>
      <c r="C864" s="1" t="n">
        <v>45893</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46645-2023</t>
        </is>
      </c>
      <c r="B865" s="1" t="n">
        <v>45198.44686342592</v>
      </c>
      <c r="C865" s="1" t="n">
        <v>45893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22132-2024</t>
        </is>
      </c>
      <c r="B866" s="1" t="n">
        <v>45444.37234953704</v>
      </c>
      <c r="C866" s="1" t="n">
        <v>45893</v>
      </c>
      <c r="D866" t="inlineStr">
        <is>
          <t>SKÅNE LÄN</t>
        </is>
      </c>
      <c r="E866" t="inlineStr">
        <is>
          <t>HÄSSLEHOLM</t>
        </is>
      </c>
      <c r="G866" t="n">
        <v>3.1</v>
      </c>
      <c r="H866" t="n">
        <v>0</v>
      </c>
      <c r="I866" t="n">
        <v>0</v>
      </c>
      <c r="J866" t="n">
        <v>0</v>
      </c>
      <c r="K866" t="n">
        <v>0</v>
      </c>
      <c r="L866" t="n">
        <v>0</v>
      </c>
      <c r="M866" t="n">
        <v>0</v>
      </c>
      <c r="N866" t="n">
        <v>0</v>
      </c>
      <c r="O866" t="n">
        <v>0</v>
      </c>
      <c r="P866" t="n">
        <v>0</v>
      </c>
      <c r="Q866" t="n">
        <v>0</v>
      </c>
      <c r="R866" s="2" t="inlineStr"/>
    </row>
    <row r="867" ht="15" customHeight="1">
      <c r="A867" t="inlineStr">
        <is>
          <t>A 31986-2023</t>
        </is>
      </c>
      <c r="B867" s="1" t="n">
        <v>45119</v>
      </c>
      <c r="C867" s="1" t="n">
        <v>45893</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62044-2022</t>
        </is>
      </c>
      <c r="B868" s="1" t="n">
        <v>44918.55976851852</v>
      </c>
      <c r="C868" s="1" t="n">
        <v>45893</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32210-2024</t>
        </is>
      </c>
      <c r="B869" s="1" t="n">
        <v>45511.67777777778</v>
      </c>
      <c r="C869" s="1" t="n">
        <v>45893</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67974-2020</t>
        </is>
      </c>
      <c r="B870" s="1" t="n">
        <v>44182</v>
      </c>
      <c r="C870" s="1" t="n">
        <v>45893</v>
      </c>
      <c r="D870" t="inlineStr">
        <is>
          <t>SKÅNE LÄN</t>
        </is>
      </c>
      <c r="E870" t="inlineStr">
        <is>
          <t>HÄSSLEHOLM</t>
        </is>
      </c>
      <c r="G870" t="n">
        <v>9</v>
      </c>
      <c r="H870" t="n">
        <v>0</v>
      </c>
      <c r="I870" t="n">
        <v>0</v>
      </c>
      <c r="J870" t="n">
        <v>0</v>
      </c>
      <c r="K870" t="n">
        <v>0</v>
      </c>
      <c r="L870" t="n">
        <v>0</v>
      </c>
      <c r="M870" t="n">
        <v>0</v>
      </c>
      <c r="N870" t="n">
        <v>0</v>
      </c>
      <c r="O870" t="n">
        <v>0</v>
      </c>
      <c r="P870" t="n">
        <v>0</v>
      </c>
      <c r="Q870" t="n">
        <v>0</v>
      </c>
      <c r="R870" s="2" t="inlineStr"/>
    </row>
    <row r="871" ht="15" customHeight="1">
      <c r="A871" t="inlineStr">
        <is>
          <t>A 6619-2024</t>
        </is>
      </c>
      <c r="B871" s="1" t="n">
        <v>45341.6021412037</v>
      </c>
      <c r="C871" s="1" t="n">
        <v>45893</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29170-2025</t>
        </is>
      </c>
      <c r="B872" s="1" t="n">
        <v>45821.69766203704</v>
      </c>
      <c r="C872" s="1" t="n">
        <v>45893</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2743-2023</t>
        </is>
      </c>
      <c r="B873" s="1" t="n">
        <v>44944</v>
      </c>
      <c r="C873" s="1" t="n">
        <v>45893</v>
      </c>
      <c r="D873" t="inlineStr">
        <is>
          <t>SKÅNE LÄN</t>
        </is>
      </c>
      <c r="E873" t="inlineStr">
        <is>
          <t>HÄSSLEHOLM</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8749-2024</t>
        </is>
      </c>
      <c r="B874" s="1" t="n">
        <v>45356.50387731481</v>
      </c>
      <c r="C874" s="1" t="n">
        <v>45893</v>
      </c>
      <c r="D874" t="inlineStr">
        <is>
          <t>SKÅNE LÄN</t>
        </is>
      </c>
      <c r="E874" t="inlineStr">
        <is>
          <t>HÄSSLEHOLM</t>
        </is>
      </c>
      <c r="G874" t="n">
        <v>2.9</v>
      </c>
      <c r="H874" t="n">
        <v>0</v>
      </c>
      <c r="I874" t="n">
        <v>0</v>
      </c>
      <c r="J874" t="n">
        <v>0</v>
      </c>
      <c r="K874" t="n">
        <v>0</v>
      </c>
      <c r="L874" t="n">
        <v>0</v>
      </c>
      <c r="M874" t="n">
        <v>0</v>
      </c>
      <c r="N874" t="n">
        <v>0</v>
      </c>
      <c r="O874" t="n">
        <v>0</v>
      </c>
      <c r="P874" t="n">
        <v>0</v>
      </c>
      <c r="Q874" t="n">
        <v>0</v>
      </c>
      <c r="R874" s="2" t="inlineStr"/>
    </row>
    <row r="875" ht="15" customHeight="1">
      <c r="A875" t="inlineStr">
        <is>
          <t>A 8752-2024</t>
        </is>
      </c>
      <c r="B875" s="1" t="n">
        <v>45356</v>
      </c>
      <c r="C875" s="1" t="n">
        <v>45893</v>
      </c>
      <c r="D875" t="inlineStr">
        <is>
          <t>SKÅNE LÄN</t>
        </is>
      </c>
      <c r="E875" t="inlineStr">
        <is>
          <t>HÄSSLEHOLM</t>
        </is>
      </c>
      <c r="G875" t="n">
        <v>3.4</v>
      </c>
      <c r="H875" t="n">
        <v>0</v>
      </c>
      <c r="I875" t="n">
        <v>0</v>
      </c>
      <c r="J875" t="n">
        <v>0</v>
      </c>
      <c r="K875" t="n">
        <v>0</v>
      </c>
      <c r="L875" t="n">
        <v>0</v>
      </c>
      <c r="M875" t="n">
        <v>0</v>
      </c>
      <c r="N875" t="n">
        <v>0</v>
      </c>
      <c r="O875" t="n">
        <v>0</v>
      </c>
      <c r="P875" t="n">
        <v>0</v>
      </c>
      <c r="Q875" t="n">
        <v>0</v>
      </c>
      <c r="R875" s="2" t="inlineStr"/>
    </row>
    <row r="876" ht="15" customHeight="1">
      <c r="A876" t="inlineStr">
        <is>
          <t>A 8759-2024</t>
        </is>
      </c>
      <c r="B876" s="1" t="n">
        <v>45356.52271990741</v>
      </c>
      <c r="C876" s="1" t="n">
        <v>45893</v>
      </c>
      <c r="D876" t="inlineStr">
        <is>
          <t>SKÅNE LÄN</t>
        </is>
      </c>
      <c r="E876" t="inlineStr">
        <is>
          <t>HÄSSLEHOLM</t>
        </is>
      </c>
      <c r="G876" t="n">
        <v>5.7</v>
      </c>
      <c r="H876" t="n">
        <v>0</v>
      </c>
      <c r="I876" t="n">
        <v>0</v>
      </c>
      <c r="J876" t="n">
        <v>0</v>
      </c>
      <c r="K876" t="n">
        <v>0</v>
      </c>
      <c r="L876" t="n">
        <v>0</v>
      </c>
      <c r="M876" t="n">
        <v>0</v>
      </c>
      <c r="N876" t="n">
        <v>0</v>
      </c>
      <c r="O876" t="n">
        <v>0</v>
      </c>
      <c r="P876" t="n">
        <v>0</v>
      </c>
      <c r="Q876" t="n">
        <v>0</v>
      </c>
      <c r="R876" s="2" t="inlineStr"/>
    </row>
    <row r="877" ht="15" customHeight="1">
      <c r="A877" t="inlineStr">
        <is>
          <t>A 48624-2021</t>
        </is>
      </c>
      <c r="B877" s="1" t="n">
        <v>44452</v>
      </c>
      <c r="C877" s="1" t="n">
        <v>45893</v>
      </c>
      <c r="D877" t="inlineStr">
        <is>
          <t>SKÅNE LÄN</t>
        </is>
      </c>
      <c r="E877" t="inlineStr">
        <is>
          <t>HÄSSLEHOLM</t>
        </is>
      </c>
      <c r="G877" t="n">
        <v>2.2</v>
      </c>
      <c r="H877" t="n">
        <v>0</v>
      </c>
      <c r="I877" t="n">
        <v>0</v>
      </c>
      <c r="J877" t="n">
        <v>0</v>
      </c>
      <c r="K877" t="n">
        <v>0</v>
      </c>
      <c r="L877" t="n">
        <v>0</v>
      </c>
      <c r="M877" t="n">
        <v>0</v>
      </c>
      <c r="N877" t="n">
        <v>0</v>
      </c>
      <c r="O877" t="n">
        <v>0</v>
      </c>
      <c r="P877" t="n">
        <v>0</v>
      </c>
      <c r="Q877" t="n">
        <v>0</v>
      </c>
      <c r="R877" s="2" t="inlineStr"/>
    </row>
    <row r="878" ht="15" customHeight="1">
      <c r="A878" t="inlineStr">
        <is>
          <t>A 52341-2023</t>
        </is>
      </c>
      <c r="B878" s="1" t="n">
        <v>45224.67006944444</v>
      </c>
      <c r="C878" s="1" t="n">
        <v>45893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49389-2020</t>
        </is>
      </c>
      <c r="B879" s="1" t="n">
        <v>44105</v>
      </c>
      <c r="C879" s="1" t="n">
        <v>45893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29171-2025</t>
        </is>
      </c>
      <c r="B880" s="1" t="n">
        <v>45821.69863425926</v>
      </c>
      <c r="C880" s="1" t="n">
        <v>45893</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29168-2025</t>
        </is>
      </c>
      <c r="B881" s="1" t="n">
        <v>45821.69547453704</v>
      </c>
      <c r="C881" s="1" t="n">
        <v>45893</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36085-2025</t>
        </is>
      </c>
      <c r="B882" s="1" t="n">
        <v>45866.46190972222</v>
      </c>
      <c r="C882" s="1" t="n">
        <v>45893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45893</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59434-2023</t>
        </is>
      </c>
      <c r="B884" s="1" t="n">
        <v>45254.30440972222</v>
      </c>
      <c r="C884" s="1" t="n">
        <v>45893</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2290-2024</t>
        </is>
      </c>
      <c r="B885" s="1" t="n">
        <v>45310</v>
      </c>
      <c r="C885" s="1" t="n">
        <v>45893</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6798-2025</t>
        </is>
      </c>
      <c r="B886" s="1" t="n">
        <v>45700.668125</v>
      </c>
      <c r="C886" s="1" t="n">
        <v>45893</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33067-2024</t>
        </is>
      </c>
      <c r="B887" s="1" t="n">
        <v>45517.6520949074</v>
      </c>
      <c r="C887" s="1" t="n">
        <v>45893</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10752-2025</t>
        </is>
      </c>
      <c r="B888" s="1" t="n">
        <v>45722</v>
      </c>
      <c r="C888" s="1" t="n">
        <v>45893</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28236-2022</t>
        </is>
      </c>
      <c r="B889" s="1" t="n">
        <v>44746</v>
      </c>
      <c r="C889" s="1" t="n">
        <v>45893</v>
      </c>
      <c r="D889" t="inlineStr">
        <is>
          <t>SKÅNE LÄN</t>
        </is>
      </c>
      <c r="E889" t="inlineStr">
        <is>
          <t>HÄSSLEHOLM</t>
        </is>
      </c>
      <c r="G889" t="n">
        <v>3.5</v>
      </c>
      <c r="H889" t="n">
        <v>0</v>
      </c>
      <c r="I889" t="n">
        <v>0</v>
      </c>
      <c r="J889" t="n">
        <v>0</v>
      </c>
      <c r="K889" t="n">
        <v>0</v>
      </c>
      <c r="L889" t="n">
        <v>0</v>
      </c>
      <c r="M889" t="n">
        <v>0</v>
      </c>
      <c r="N889" t="n">
        <v>0</v>
      </c>
      <c r="O889" t="n">
        <v>0</v>
      </c>
      <c r="P889" t="n">
        <v>0</v>
      </c>
      <c r="Q889" t="n">
        <v>0</v>
      </c>
      <c r="R889" s="2" t="inlineStr"/>
    </row>
    <row r="890" ht="15" customHeight="1">
      <c r="A890" t="inlineStr">
        <is>
          <t>A 61625-2022</t>
        </is>
      </c>
      <c r="B890" s="1" t="n">
        <v>44916</v>
      </c>
      <c r="C890" s="1" t="n">
        <v>45893</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38829-2024</t>
        </is>
      </c>
      <c r="B891" s="1" t="n">
        <v>45547.57247685185</v>
      </c>
      <c r="C891" s="1" t="n">
        <v>45893</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36130-2025</t>
        </is>
      </c>
      <c r="B892" s="1" t="n">
        <v>45866.62273148148</v>
      </c>
      <c r="C892" s="1" t="n">
        <v>45893</v>
      </c>
      <c r="D892" t="inlineStr">
        <is>
          <t>SKÅNE LÄN</t>
        </is>
      </c>
      <c r="E892" t="inlineStr">
        <is>
          <t>HÄSSLEHOLM</t>
        </is>
      </c>
      <c r="G892" t="n">
        <v>4.7</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45008.56725694444</v>
      </c>
      <c r="C893" s="1" t="n">
        <v>45893</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13890-2024</t>
        </is>
      </c>
      <c r="B894" s="1" t="n">
        <v>45391</v>
      </c>
      <c r="C894" s="1" t="n">
        <v>45893</v>
      </c>
      <c r="D894" t="inlineStr">
        <is>
          <t>SKÅNE LÄN</t>
        </is>
      </c>
      <c r="E894" t="inlineStr">
        <is>
          <t>HÄSSLEHOLM</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55218-2023</t>
        </is>
      </c>
      <c r="B895" s="1" t="n">
        <v>45237</v>
      </c>
      <c r="C895" s="1" t="n">
        <v>45893</v>
      </c>
      <c r="D895" t="inlineStr">
        <is>
          <t>SKÅNE LÄN</t>
        </is>
      </c>
      <c r="E895" t="inlineStr">
        <is>
          <t>HÄSSLEHOLM</t>
        </is>
      </c>
      <c r="G895" t="n">
        <v>2</v>
      </c>
      <c r="H895" t="n">
        <v>0</v>
      </c>
      <c r="I895" t="n">
        <v>0</v>
      </c>
      <c r="J895" t="n">
        <v>0</v>
      </c>
      <c r="K895" t="n">
        <v>0</v>
      </c>
      <c r="L895" t="n">
        <v>0</v>
      </c>
      <c r="M895" t="n">
        <v>0</v>
      </c>
      <c r="N895" t="n">
        <v>0</v>
      </c>
      <c r="O895" t="n">
        <v>0</v>
      </c>
      <c r="P895" t="n">
        <v>0</v>
      </c>
      <c r="Q895" t="n">
        <v>0</v>
      </c>
      <c r="R895" s="2" t="inlineStr"/>
    </row>
    <row r="896" ht="15" customHeight="1">
      <c r="A896" t="inlineStr">
        <is>
          <t>A 315-2022</t>
        </is>
      </c>
      <c r="B896" s="1" t="n">
        <v>44565.55630787037</v>
      </c>
      <c r="C896" s="1" t="n">
        <v>45893</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36259-2025</t>
        </is>
      </c>
      <c r="B897" s="1" t="n">
        <v>45867.59799768519</v>
      </c>
      <c r="C897" s="1" t="n">
        <v>45893</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46288-2023</t>
        </is>
      </c>
      <c r="B898" s="1" t="n">
        <v>45197.30221064815</v>
      </c>
      <c r="C898" s="1" t="n">
        <v>45893</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42372-2024</t>
        </is>
      </c>
      <c r="B899" s="1" t="n">
        <v>45564.5127199074</v>
      </c>
      <c r="C899" s="1" t="n">
        <v>45893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30010-2025</t>
        </is>
      </c>
      <c r="B900" s="1" t="n">
        <v>45826</v>
      </c>
      <c r="C900" s="1" t="n">
        <v>45893</v>
      </c>
      <c r="D900" t="inlineStr">
        <is>
          <t>SKÅNE LÄN</t>
        </is>
      </c>
      <c r="E900" t="inlineStr">
        <is>
          <t>HÄSSLEHOLM</t>
        </is>
      </c>
      <c r="G900" t="n">
        <v>4.5</v>
      </c>
      <c r="H900" t="n">
        <v>0</v>
      </c>
      <c r="I900" t="n">
        <v>0</v>
      </c>
      <c r="J900" t="n">
        <v>0</v>
      </c>
      <c r="K900" t="n">
        <v>0</v>
      </c>
      <c r="L900" t="n">
        <v>0</v>
      </c>
      <c r="M900" t="n">
        <v>0</v>
      </c>
      <c r="N900" t="n">
        <v>0</v>
      </c>
      <c r="O900" t="n">
        <v>0</v>
      </c>
      <c r="P900" t="n">
        <v>0</v>
      </c>
      <c r="Q900" t="n">
        <v>0</v>
      </c>
      <c r="R900" s="2" t="inlineStr"/>
    </row>
    <row r="901" ht="15" customHeight="1">
      <c r="A901" t="inlineStr">
        <is>
          <t>A 49106-2023</t>
        </is>
      </c>
      <c r="B901" s="1" t="n">
        <v>45210</v>
      </c>
      <c r="C901" s="1" t="n">
        <v>45893</v>
      </c>
      <c r="D901" t="inlineStr">
        <is>
          <t>SKÅNE LÄN</t>
        </is>
      </c>
      <c r="E901" t="inlineStr">
        <is>
          <t>HÄSSLEHOLM</t>
        </is>
      </c>
      <c r="G901" t="n">
        <v>0.3</v>
      </c>
      <c r="H901" t="n">
        <v>0</v>
      </c>
      <c r="I901" t="n">
        <v>0</v>
      </c>
      <c r="J901" t="n">
        <v>0</v>
      </c>
      <c r="K901" t="n">
        <v>0</v>
      </c>
      <c r="L901" t="n">
        <v>0</v>
      </c>
      <c r="M901" t="n">
        <v>0</v>
      </c>
      <c r="N901" t="n">
        <v>0</v>
      </c>
      <c r="O901" t="n">
        <v>0</v>
      </c>
      <c r="P901" t="n">
        <v>0</v>
      </c>
      <c r="Q901" t="n">
        <v>0</v>
      </c>
      <c r="R901" s="2" t="inlineStr"/>
    </row>
    <row r="902" ht="15" customHeight="1">
      <c r="A902" t="inlineStr">
        <is>
          <t>A 10409-2024</t>
        </is>
      </c>
      <c r="B902" s="1" t="n">
        <v>45365.6978125</v>
      </c>
      <c r="C902" s="1" t="n">
        <v>45893</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6180-2021</t>
        </is>
      </c>
      <c r="B903" s="1" t="n">
        <v>44232</v>
      </c>
      <c r="C903" s="1" t="n">
        <v>45893</v>
      </c>
      <c r="D903" t="inlineStr">
        <is>
          <t>SKÅNE LÄN</t>
        </is>
      </c>
      <c r="E903" t="inlineStr">
        <is>
          <t>HÄSSLEHOLM</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47248-2023</t>
        </is>
      </c>
      <c r="B904" s="1" t="n">
        <v>45202</v>
      </c>
      <c r="C904" s="1" t="n">
        <v>45893</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17138-2025</t>
        </is>
      </c>
      <c r="B905" s="1" t="n">
        <v>45755.80378472222</v>
      </c>
      <c r="C905" s="1" t="n">
        <v>45893</v>
      </c>
      <c r="D905" t="inlineStr">
        <is>
          <t>SKÅNE LÄN</t>
        </is>
      </c>
      <c r="E905" t="inlineStr">
        <is>
          <t>HÄSSLEHOLM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36358-2025</t>
        </is>
      </c>
      <c r="B906" s="1" t="n">
        <v>45867</v>
      </c>
      <c r="C906" s="1" t="n">
        <v>45893</v>
      </c>
      <c r="D906" t="inlineStr">
        <is>
          <t>SKÅNE LÄN</t>
        </is>
      </c>
      <c r="E906" t="inlineStr">
        <is>
          <t>HÄSSLEHOLM</t>
        </is>
      </c>
      <c r="G906" t="n">
        <v>2.8</v>
      </c>
      <c r="H906" t="n">
        <v>0</v>
      </c>
      <c r="I906" t="n">
        <v>0</v>
      </c>
      <c r="J906" t="n">
        <v>0</v>
      </c>
      <c r="K906" t="n">
        <v>0</v>
      </c>
      <c r="L906" t="n">
        <v>0</v>
      </c>
      <c r="M906" t="n">
        <v>0</v>
      </c>
      <c r="N906" t="n">
        <v>0</v>
      </c>
      <c r="O906" t="n">
        <v>0</v>
      </c>
      <c r="P906" t="n">
        <v>0</v>
      </c>
      <c r="Q906" t="n">
        <v>0</v>
      </c>
      <c r="R906" s="2" t="inlineStr"/>
    </row>
    <row r="907" ht="15" customHeight="1">
      <c r="A907" t="inlineStr">
        <is>
          <t>A 57695-2023</t>
        </is>
      </c>
      <c r="B907" s="1" t="n">
        <v>45246</v>
      </c>
      <c r="C907" s="1" t="n">
        <v>45893</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20990-2023</t>
        </is>
      </c>
      <c r="B908" s="1" t="n">
        <v>45061.46186342592</v>
      </c>
      <c r="C908" s="1" t="n">
        <v>45893</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9541-2025</t>
        </is>
      </c>
      <c r="B909" s="1" t="n">
        <v>45714</v>
      </c>
      <c r="C909" s="1" t="n">
        <v>45893</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36359-2025</t>
        </is>
      </c>
      <c r="B910" s="1" t="n">
        <v>45867</v>
      </c>
      <c r="C910" s="1" t="n">
        <v>45893</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12162-2023</t>
        </is>
      </c>
      <c r="B911" s="1" t="n">
        <v>44998.49619212963</v>
      </c>
      <c r="C911" s="1" t="n">
        <v>45893</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36361-2025</t>
        </is>
      </c>
      <c r="B912" s="1" t="n">
        <v>45867</v>
      </c>
      <c r="C912" s="1" t="n">
        <v>45893</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13347-2025</t>
        </is>
      </c>
      <c r="B913" s="1" t="n">
        <v>45735.63175925926</v>
      </c>
      <c r="C913" s="1" t="n">
        <v>45893</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4916-2024</t>
        </is>
      </c>
      <c r="B914" s="1" t="n">
        <v>45329</v>
      </c>
      <c r="C914" s="1" t="n">
        <v>45893</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27175-2024</t>
        </is>
      </c>
      <c r="B915" s="1" t="n">
        <v>45471.57111111111</v>
      </c>
      <c r="C915" s="1" t="n">
        <v>45893</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54171-2022</t>
        </is>
      </c>
      <c r="B916" s="1" t="n">
        <v>44881</v>
      </c>
      <c r="C916" s="1" t="n">
        <v>45893</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57277-2023</t>
        </is>
      </c>
      <c r="B917" s="1" t="n">
        <v>45245.59104166667</v>
      </c>
      <c r="C917" s="1" t="n">
        <v>45893</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54658-2023</t>
        </is>
      </c>
      <c r="B918" s="1" t="n">
        <v>45235</v>
      </c>
      <c r="C918" s="1" t="n">
        <v>45893</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53055-2021</t>
        </is>
      </c>
      <c r="B919" s="1" t="n">
        <v>44467</v>
      </c>
      <c r="C919" s="1" t="n">
        <v>45893</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23666-2023</t>
        </is>
      </c>
      <c r="B920" s="1" t="n">
        <v>45077</v>
      </c>
      <c r="C920" s="1" t="n">
        <v>45893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3726-2024</t>
        </is>
      </c>
      <c r="B921" s="1" t="n">
        <v>45321</v>
      </c>
      <c r="C921" s="1" t="n">
        <v>45893</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53085-2022</t>
        </is>
      </c>
      <c r="B922" s="1" t="n">
        <v>44873</v>
      </c>
      <c r="C922" s="1" t="n">
        <v>45893</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28211-2022</t>
        </is>
      </c>
      <c r="B923" s="1" t="n">
        <v>44746</v>
      </c>
      <c r="C923" s="1" t="n">
        <v>45893</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32154-2024</t>
        </is>
      </c>
      <c r="B924" s="1" t="n">
        <v>45511</v>
      </c>
      <c r="C924" s="1" t="n">
        <v>45893</v>
      </c>
      <c r="D924" t="inlineStr">
        <is>
          <t>SKÅNE LÄN</t>
        </is>
      </c>
      <c r="E924" t="inlineStr">
        <is>
          <t>HÄSSLEHOLM</t>
        </is>
      </c>
      <c r="G924" t="n">
        <v>6.4</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45023.39584490741</v>
      </c>
      <c r="C925" s="1" t="n">
        <v>45893</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26207-2021</t>
        </is>
      </c>
      <c r="B926" s="1" t="n">
        <v>44347</v>
      </c>
      <c r="C926" s="1" t="n">
        <v>45893</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58883-2024</t>
        </is>
      </c>
      <c r="B927" s="1" t="n">
        <v>45636.44962962963</v>
      </c>
      <c r="C927" s="1" t="n">
        <v>45893</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62199-2022</t>
        </is>
      </c>
      <c r="B928" s="1" t="n">
        <v>44915</v>
      </c>
      <c r="C928" s="1" t="n">
        <v>45893</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31159-2025</t>
        </is>
      </c>
      <c r="B929" s="1" t="n">
        <v>45832.65322916667</v>
      </c>
      <c r="C929" s="1" t="n">
        <v>45893</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9098-2022</t>
        </is>
      </c>
      <c r="B930" s="1" t="n">
        <v>44615</v>
      </c>
      <c r="C930" s="1" t="n">
        <v>45893</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45893</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2688-2024</t>
        </is>
      </c>
      <c r="B932" s="1" t="n">
        <v>45314</v>
      </c>
      <c r="C932" s="1" t="n">
        <v>45893</v>
      </c>
      <c r="D932" t="inlineStr">
        <is>
          <t>SKÅNE LÄN</t>
        </is>
      </c>
      <c r="E932" t="inlineStr">
        <is>
          <t>HÄSSLEHOLM</t>
        </is>
      </c>
      <c r="F932" t="inlineStr">
        <is>
          <t>Övriga Aktiebolag</t>
        </is>
      </c>
      <c r="G932" t="n">
        <v>2.8</v>
      </c>
      <c r="H932" t="n">
        <v>0</v>
      </c>
      <c r="I932" t="n">
        <v>0</v>
      </c>
      <c r="J932" t="n">
        <v>0</v>
      </c>
      <c r="K932" t="n">
        <v>0</v>
      </c>
      <c r="L932" t="n">
        <v>0</v>
      </c>
      <c r="M932" t="n">
        <v>0</v>
      </c>
      <c r="N932" t="n">
        <v>0</v>
      </c>
      <c r="O932" t="n">
        <v>0</v>
      </c>
      <c r="P932" t="n">
        <v>0</v>
      </c>
      <c r="Q932" t="n">
        <v>0</v>
      </c>
      <c r="R932" s="2" t="inlineStr"/>
    </row>
    <row r="933" ht="15" customHeight="1">
      <c r="A933" t="inlineStr">
        <is>
          <t>A 35150-2023</t>
        </is>
      </c>
      <c r="B933" s="1" t="n">
        <v>45145</v>
      </c>
      <c r="C933" s="1" t="n">
        <v>45893</v>
      </c>
      <c r="D933" t="inlineStr">
        <is>
          <t>SKÅNE LÄN</t>
        </is>
      </c>
      <c r="E933" t="inlineStr">
        <is>
          <t>HÄSSLEHOLM</t>
        </is>
      </c>
      <c r="G933" t="n">
        <v>4.9</v>
      </c>
      <c r="H933" t="n">
        <v>0</v>
      </c>
      <c r="I933" t="n">
        <v>0</v>
      </c>
      <c r="J933" t="n">
        <v>0</v>
      </c>
      <c r="K933" t="n">
        <v>0</v>
      </c>
      <c r="L933" t="n">
        <v>0</v>
      </c>
      <c r="M933" t="n">
        <v>0</v>
      </c>
      <c r="N933" t="n">
        <v>0</v>
      </c>
      <c r="O933" t="n">
        <v>0</v>
      </c>
      <c r="P933" t="n">
        <v>0</v>
      </c>
      <c r="Q933" t="n">
        <v>0</v>
      </c>
      <c r="R933" s="2" t="inlineStr"/>
    </row>
    <row r="934" ht="15" customHeight="1">
      <c r="A934" t="inlineStr">
        <is>
          <t>A 29850-2024</t>
        </is>
      </c>
      <c r="B934" s="1" t="n">
        <v>45485.64620370371</v>
      </c>
      <c r="C934" s="1" t="n">
        <v>45893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30007-2023</t>
        </is>
      </c>
      <c r="B935" s="1" t="n">
        <v>45109.80349537037</v>
      </c>
      <c r="C935" s="1" t="n">
        <v>45893</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36938-2025</t>
        </is>
      </c>
      <c r="B936" s="1" t="n">
        <v>45874.58476851852</v>
      </c>
      <c r="C936" s="1" t="n">
        <v>45893</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4187-2023</t>
        </is>
      </c>
      <c r="B937" s="1" t="n">
        <v>44953</v>
      </c>
      <c r="C937" s="1" t="n">
        <v>45893</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42231-2022</t>
        </is>
      </c>
      <c r="B938" s="1" t="n">
        <v>44830.77003472222</v>
      </c>
      <c r="C938" s="1" t="n">
        <v>45893</v>
      </c>
      <c r="D938" t="inlineStr">
        <is>
          <t>SKÅNE LÄN</t>
        </is>
      </c>
      <c r="E938" t="inlineStr">
        <is>
          <t>HÄSSLEHOLM</t>
        </is>
      </c>
      <c r="G938" t="n">
        <v>2.7</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45893</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49250-2022</t>
        </is>
      </c>
      <c r="B940" s="1" t="n">
        <v>44858</v>
      </c>
      <c r="C940" s="1" t="n">
        <v>45893</v>
      </c>
      <c r="D940" t="inlineStr">
        <is>
          <t>SKÅNE LÄN</t>
        </is>
      </c>
      <c r="E940" t="inlineStr">
        <is>
          <t>HÄSSLEHOLM</t>
        </is>
      </c>
      <c r="F940" t="inlineStr">
        <is>
          <t>Kyrkan</t>
        </is>
      </c>
      <c r="G940" t="n">
        <v>1.5</v>
      </c>
      <c r="H940" t="n">
        <v>0</v>
      </c>
      <c r="I940" t="n">
        <v>0</v>
      </c>
      <c r="J940" t="n">
        <v>0</v>
      </c>
      <c r="K940" t="n">
        <v>0</v>
      </c>
      <c r="L940" t="n">
        <v>0</v>
      </c>
      <c r="M940" t="n">
        <v>0</v>
      </c>
      <c r="N940" t="n">
        <v>0</v>
      </c>
      <c r="O940" t="n">
        <v>0</v>
      </c>
      <c r="P940" t="n">
        <v>0</v>
      </c>
      <c r="Q940" t="n">
        <v>0</v>
      </c>
      <c r="R940" s="2" t="inlineStr"/>
    </row>
    <row r="941" ht="15" customHeight="1">
      <c r="A941" t="inlineStr">
        <is>
          <t>A 37271-2025</t>
        </is>
      </c>
      <c r="B941" s="1" t="n">
        <v>45876.47828703704</v>
      </c>
      <c r="C941" s="1" t="n">
        <v>45893</v>
      </c>
      <c r="D941" t="inlineStr">
        <is>
          <t>SKÅNE LÄN</t>
        </is>
      </c>
      <c r="E941" t="inlineStr">
        <is>
          <t>HÄSSLEHOLM</t>
        </is>
      </c>
      <c r="G941" t="n">
        <v>4.1</v>
      </c>
      <c r="H941" t="n">
        <v>0</v>
      </c>
      <c r="I941" t="n">
        <v>0</v>
      </c>
      <c r="J941" t="n">
        <v>0</v>
      </c>
      <c r="K941" t="n">
        <v>0</v>
      </c>
      <c r="L941" t="n">
        <v>0</v>
      </c>
      <c r="M941" t="n">
        <v>0</v>
      </c>
      <c r="N941" t="n">
        <v>0</v>
      </c>
      <c r="O941" t="n">
        <v>0</v>
      </c>
      <c r="P941" t="n">
        <v>0</v>
      </c>
      <c r="Q941" t="n">
        <v>0</v>
      </c>
      <c r="R941" s="2" t="inlineStr"/>
    </row>
    <row r="942" ht="15" customHeight="1">
      <c r="A942" t="inlineStr">
        <is>
          <t>A 59390-2021</t>
        </is>
      </c>
      <c r="B942" s="1" t="n">
        <v>44490</v>
      </c>
      <c r="C942" s="1" t="n">
        <v>45893</v>
      </c>
      <c r="D942" t="inlineStr">
        <is>
          <t>SKÅNE LÄN</t>
        </is>
      </c>
      <c r="E942" t="inlineStr">
        <is>
          <t>HÄSSLEHOLM</t>
        </is>
      </c>
      <c r="G942" t="n">
        <v>7.1</v>
      </c>
      <c r="H942" t="n">
        <v>0</v>
      </c>
      <c r="I942" t="n">
        <v>0</v>
      </c>
      <c r="J942" t="n">
        <v>0</v>
      </c>
      <c r="K942" t="n">
        <v>0</v>
      </c>
      <c r="L942" t="n">
        <v>0</v>
      </c>
      <c r="M942" t="n">
        <v>0</v>
      </c>
      <c r="N942" t="n">
        <v>0</v>
      </c>
      <c r="O942" t="n">
        <v>0</v>
      </c>
      <c r="P942" t="n">
        <v>0</v>
      </c>
      <c r="Q942" t="n">
        <v>0</v>
      </c>
      <c r="R942" s="2" t="inlineStr"/>
    </row>
    <row r="943" ht="15" customHeight="1">
      <c r="A943" t="inlineStr">
        <is>
          <t>A 27197-2021</t>
        </is>
      </c>
      <c r="B943" s="1" t="n">
        <v>44350</v>
      </c>
      <c r="C943" s="1" t="n">
        <v>45893</v>
      </c>
      <c r="D943" t="inlineStr">
        <is>
          <t>SKÅNE LÄN</t>
        </is>
      </c>
      <c r="E943" t="inlineStr">
        <is>
          <t>HÄSSLEHOLM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45222-2023</t>
        </is>
      </c>
      <c r="B944" s="1" t="n">
        <v>45191</v>
      </c>
      <c r="C944" s="1" t="n">
        <v>45893</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35890-2023</t>
        </is>
      </c>
      <c r="B945" s="1" t="n">
        <v>45148</v>
      </c>
      <c r="C945" s="1" t="n">
        <v>45893</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35895-2023</t>
        </is>
      </c>
      <c r="B946" s="1" t="n">
        <v>45148</v>
      </c>
      <c r="C946" s="1" t="n">
        <v>45893</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61569-2023</t>
        </is>
      </c>
      <c r="B947" s="1" t="n">
        <v>45265</v>
      </c>
      <c r="C947" s="1" t="n">
        <v>45893</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52235-2021</t>
        </is>
      </c>
      <c r="B948" s="1" t="n">
        <v>44463.60085648148</v>
      </c>
      <c r="C948" s="1" t="n">
        <v>45893</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3452-2023</t>
        </is>
      </c>
      <c r="B949" s="1" t="n">
        <v>44949</v>
      </c>
      <c r="C949" s="1" t="n">
        <v>45893</v>
      </c>
      <c r="D949" t="inlineStr">
        <is>
          <t>SKÅNE LÄN</t>
        </is>
      </c>
      <c r="E949" t="inlineStr">
        <is>
          <t>HÄSSLEHOLM</t>
        </is>
      </c>
      <c r="G949" t="n">
        <v>1.3</v>
      </c>
      <c r="H949" t="n">
        <v>0</v>
      </c>
      <c r="I949" t="n">
        <v>0</v>
      </c>
      <c r="J949" t="n">
        <v>0</v>
      </c>
      <c r="K949" t="n">
        <v>0</v>
      </c>
      <c r="L949" t="n">
        <v>0</v>
      </c>
      <c r="M949" t="n">
        <v>0</v>
      </c>
      <c r="N949" t="n">
        <v>0</v>
      </c>
      <c r="O949" t="n">
        <v>0</v>
      </c>
      <c r="P949" t="n">
        <v>0</v>
      </c>
      <c r="Q949" t="n">
        <v>0</v>
      </c>
      <c r="R949" s="2" t="inlineStr"/>
    </row>
    <row r="950" ht="15" customHeight="1">
      <c r="A950" t="inlineStr">
        <is>
          <t>A 50525-2024</t>
        </is>
      </c>
      <c r="B950" s="1" t="n">
        <v>45601</v>
      </c>
      <c r="C950" s="1" t="n">
        <v>45893</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260-2024</t>
        </is>
      </c>
      <c r="B951" s="1" t="n">
        <v>45294</v>
      </c>
      <c r="C951" s="1" t="n">
        <v>45893</v>
      </c>
      <c r="D951" t="inlineStr">
        <is>
          <t>SKÅNE LÄN</t>
        </is>
      </c>
      <c r="E951" t="inlineStr">
        <is>
          <t>HÄSSLEHOLM</t>
        </is>
      </c>
      <c r="G951" t="n">
        <v>0.2</v>
      </c>
      <c r="H951" t="n">
        <v>0</v>
      </c>
      <c r="I951" t="n">
        <v>0</v>
      </c>
      <c r="J951" t="n">
        <v>0</v>
      </c>
      <c r="K951" t="n">
        <v>0</v>
      </c>
      <c r="L951" t="n">
        <v>0</v>
      </c>
      <c r="M951" t="n">
        <v>0</v>
      </c>
      <c r="N951" t="n">
        <v>0</v>
      </c>
      <c r="O951" t="n">
        <v>0</v>
      </c>
      <c r="P951" t="n">
        <v>0</v>
      </c>
      <c r="Q951" t="n">
        <v>0</v>
      </c>
      <c r="R951" s="2" t="inlineStr"/>
    </row>
    <row r="952" ht="15" customHeight="1">
      <c r="A952" t="inlineStr">
        <is>
          <t>A 5016-2024</t>
        </is>
      </c>
      <c r="B952" s="1" t="n">
        <v>45329</v>
      </c>
      <c r="C952" s="1" t="n">
        <v>45893</v>
      </c>
      <c r="D952" t="inlineStr">
        <is>
          <t>SKÅNE LÄN</t>
        </is>
      </c>
      <c r="E952" t="inlineStr">
        <is>
          <t>HÄSSLEHOLM</t>
        </is>
      </c>
      <c r="G952" t="n">
        <v>3.2</v>
      </c>
      <c r="H952" t="n">
        <v>0</v>
      </c>
      <c r="I952" t="n">
        <v>0</v>
      </c>
      <c r="J952" t="n">
        <v>0</v>
      </c>
      <c r="K952" t="n">
        <v>0</v>
      </c>
      <c r="L952" t="n">
        <v>0</v>
      </c>
      <c r="M952" t="n">
        <v>0</v>
      </c>
      <c r="N952" t="n">
        <v>0</v>
      </c>
      <c r="O952" t="n">
        <v>0</v>
      </c>
      <c r="P952" t="n">
        <v>0</v>
      </c>
      <c r="Q952" t="n">
        <v>0</v>
      </c>
      <c r="R952" s="2" t="inlineStr"/>
    </row>
    <row r="953" ht="15" customHeight="1">
      <c r="A953" t="inlineStr">
        <is>
          <t>A 11603-2025</t>
        </is>
      </c>
      <c r="B953" s="1" t="n">
        <v>45727</v>
      </c>
      <c r="C953" s="1" t="n">
        <v>45893</v>
      </c>
      <c r="D953" t="inlineStr">
        <is>
          <t>SKÅNE LÄN</t>
        </is>
      </c>
      <c r="E953" t="inlineStr">
        <is>
          <t>HÄSSLEHOLM</t>
        </is>
      </c>
      <c r="G953" t="n">
        <v>5.6</v>
      </c>
      <c r="H953" t="n">
        <v>0</v>
      </c>
      <c r="I953" t="n">
        <v>0</v>
      </c>
      <c r="J953" t="n">
        <v>0</v>
      </c>
      <c r="K953" t="n">
        <v>0</v>
      </c>
      <c r="L953" t="n">
        <v>0</v>
      </c>
      <c r="M953" t="n">
        <v>0</v>
      </c>
      <c r="N953" t="n">
        <v>0</v>
      </c>
      <c r="O953" t="n">
        <v>0</v>
      </c>
      <c r="P953" t="n">
        <v>0</v>
      </c>
      <c r="Q953" t="n">
        <v>0</v>
      </c>
      <c r="R953" s="2" t="inlineStr"/>
    </row>
    <row r="954" ht="15" customHeight="1">
      <c r="A954" t="inlineStr">
        <is>
          <t>A 54471-2023</t>
        </is>
      </c>
      <c r="B954" s="1" t="n">
        <v>45233.4640162037</v>
      </c>
      <c r="C954" s="1" t="n">
        <v>45893</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25206-2023</t>
        </is>
      </c>
      <c r="B955" s="1" t="n">
        <v>45086.59318287037</v>
      </c>
      <c r="C955" s="1" t="n">
        <v>45893</v>
      </c>
      <c r="D955" t="inlineStr">
        <is>
          <t>SKÅNE LÄN</t>
        </is>
      </c>
      <c r="E955" t="inlineStr">
        <is>
          <t>HÄSSLEHOLM</t>
        </is>
      </c>
      <c r="G955" t="n">
        <v>2.9</v>
      </c>
      <c r="H955" t="n">
        <v>0</v>
      </c>
      <c r="I955" t="n">
        <v>0</v>
      </c>
      <c r="J955" t="n">
        <v>0</v>
      </c>
      <c r="K955" t="n">
        <v>0</v>
      </c>
      <c r="L955" t="n">
        <v>0</v>
      </c>
      <c r="M955" t="n">
        <v>0</v>
      </c>
      <c r="N955" t="n">
        <v>0</v>
      </c>
      <c r="O955" t="n">
        <v>0</v>
      </c>
      <c r="P955" t="n">
        <v>0</v>
      </c>
      <c r="Q955" t="n">
        <v>0</v>
      </c>
      <c r="R955" s="2" t="inlineStr"/>
    </row>
    <row r="956" ht="15" customHeight="1">
      <c r="A956" t="inlineStr">
        <is>
          <t>A 25221-2023</t>
        </is>
      </c>
      <c r="B956" s="1" t="n">
        <v>45086.60842592592</v>
      </c>
      <c r="C956" s="1" t="n">
        <v>45893</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57272-2023</t>
        </is>
      </c>
      <c r="B957" s="1" t="n">
        <v>45245</v>
      </c>
      <c r="C957" s="1" t="n">
        <v>45893</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13856-2025</t>
        </is>
      </c>
      <c r="B958" s="1" t="n">
        <v>45737.57289351852</v>
      </c>
      <c r="C958" s="1" t="n">
        <v>45893</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50607-2023</t>
        </is>
      </c>
      <c r="B959" s="1" t="n">
        <v>45210</v>
      </c>
      <c r="C959" s="1" t="n">
        <v>45893</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38148-2022</t>
        </is>
      </c>
      <c r="B960" s="1" t="n">
        <v>44811</v>
      </c>
      <c r="C960" s="1" t="n">
        <v>45893</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9239-2025</t>
        </is>
      </c>
      <c r="B961" s="1" t="n">
        <v>45714</v>
      </c>
      <c r="C961" s="1" t="n">
        <v>45893</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31944-2023</t>
        </is>
      </c>
      <c r="B962" s="1" t="n">
        <v>45119.34895833334</v>
      </c>
      <c r="C962" s="1" t="n">
        <v>45893</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1706-2025</t>
        </is>
      </c>
      <c r="B963" s="1" t="n">
        <v>45670</v>
      </c>
      <c r="C963" s="1" t="n">
        <v>45893</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54359-2020</t>
        </is>
      </c>
      <c r="B964" s="1" t="n">
        <v>44126</v>
      </c>
      <c r="C964" s="1" t="n">
        <v>45893</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55056-2021</t>
        </is>
      </c>
      <c r="B965" s="1" t="n">
        <v>44474.62072916667</v>
      </c>
      <c r="C965" s="1" t="n">
        <v>45893</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37286-2025</t>
        </is>
      </c>
      <c r="B966" s="1" t="n">
        <v>45876.50116898148</v>
      </c>
      <c r="C966" s="1" t="n">
        <v>45893</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48889-2024</t>
        </is>
      </c>
      <c r="B967" s="1" t="n">
        <v>45594.33754629629</v>
      </c>
      <c r="C967" s="1" t="n">
        <v>45893</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8209-2025</t>
        </is>
      </c>
      <c r="B968" s="1" t="n">
        <v>45708.44244212963</v>
      </c>
      <c r="C968" s="1" t="n">
        <v>45893</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8263-2025</t>
        </is>
      </c>
      <c r="B969" s="1" t="n">
        <v>45708.50398148148</v>
      </c>
      <c r="C969" s="1" t="n">
        <v>45893</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13544-2025</t>
        </is>
      </c>
      <c r="B970" s="1" t="n">
        <v>45736</v>
      </c>
      <c r="C970" s="1" t="n">
        <v>45893</v>
      </c>
      <c r="D970" t="inlineStr">
        <is>
          <t>SKÅNE LÄN</t>
        </is>
      </c>
      <c r="E970" t="inlineStr">
        <is>
          <t>HÄSSLEHOLM</t>
        </is>
      </c>
      <c r="G970" t="n">
        <v>2.5</v>
      </c>
      <c r="H970" t="n">
        <v>0</v>
      </c>
      <c r="I970" t="n">
        <v>0</v>
      </c>
      <c r="J970" t="n">
        <v>0</v>
      </c>
      <c r="K970" t="n">
        <v>0</v>
      </c>
      <c r="L970" t="n">
        <v>0</v>
      </c>
      <c r="M970" t="n">
        <v>0</v>
      </c>
      <c r="N970" t="n">
        <v>0</v>
      </c>
      <c r="O970" t="n">
        <v>0</v>
      </c>
      <c r="P970" t="n">
        <v>0</v>
      </c>
      <c r="Q970" t="n">
        <v>0</v>
      </c>
      <c r="R970" s="2" t="inlineStr"/>
    </row>
    <row r="971" ht="15" customHeight="1">
      <c r="A971" t="inlineStr">
        <is>
          <t>A 29275-2023</t>
        </is>
      </c>
      <c r="B971" s="1" t="n">
        <v>45105</v>
      </c>
      <c r="C971" s="1" t="n">
        <v>45893</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13018-2024</t>
        </is>
      </c>
      <c r="B972" s="1" t="n">
        <v>45385.58274305556</v>
      </c>
      <c r="C972" s="1" t="n">
        <v>45893</v>
      </c>
      <c r="D972" t="inlineStr">
        <is>
          <t>SKÅNE LÄN</t>
        </is>
      </c>
      <c r="E972" t="inlineStr">
        <is>
          <t>HÄSSLEHOLM</t>
        </is>
      </c>
      <c r="G972" t="n">
        <v>4.8</v>
      </c>
      <c r="H972" t="n">
        <v>0</v>
      </c>
      <c r="I972" t="n">
        <v>0</v>
      </c>
      <c r="J972" t="n">
        <v>0</v>
      </c>
      <c r="K972" t="n">
        <v>0</v>
      </c>
      <c r="L972" t="n">
        <v>0</v>
      </c>
      <c r="M972" t="n">
        <v>0</v>
      </c>
      <c r="N972" t="n">
        <v>0</v>
      </c>
      <c r="O972" t="n">
        <v>0</v>
      </c>
      <c r="P972" t="n">
        <v>0</v>
      </c>
      <c r="Q972" t="n">
        <v>0</v>
      </c>
      <c r="R972" s="2" t="inlineStr"/>
    </row>
    <row r="973" ht="15" customHeight="1">
      <c r="A973" t="inlineStr">
        <is>
          <t>A 8755-2024</t>
        </is>
      </c>
      <c r="B973" s="1" t="n">
        <v>45356</v>
      </c>
      <c r="C973" s="1" t="n">
        <v>45893</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8760-2024</t>
        </is>
      </c>
      <c r="B974" s="1" t="n">
        <v>45356.53420138889</v>
      </c>
      <c r="C974" s="1" t="n">
        <v>45893</v>
      </c>
      <c r="D974" t="inlineStr">
        <is>
          <t>SKÅNE LÄN</t>
        </is>
      </c>
      <c r="E974" t="inlineStr">
        <is>
          <t>HÄSSLEHOLM</t>
        </is>
      </c>
      <c r="G974" t="n">
        <v>6.1</v>
      </c>
      <c r="H974" t="n">
        <v>0</v>
      </c>
      <c r="I974" t="n">
        <v>0</v>
      </c>
      <c r="J974" t="n">
        <v>0</v>
      </c>
      <c r="K974" t="n">
        <v>0</v>
      </c>
      <c r="L974" t="n">
        <v>0</v>
      </c>
      <c r="M974" t="n">
        <v>0</v>
      </c>
      <c r="N974" t="n">
        <v>0</v>
      </c>
      <c r="O974" t="n">
        <v>0</v>
      </c>
      <c r="P974" t="n">
        <v>0</v>
      </c>
      <c r="Q974" t="n">
        <v>0</v>
      </c>
      <c r="R974" s="2" t="inlineStr"/>
    </row>
    <row r="975" ht="15" customHeight="1">
      <c r="A975" t="inlineStr">
        <is>
          <t>A 33257-2024</t>
        </is>
      </c>
      <c r="B975" s="1" t="n">
        <v>45518</v>
      </c>
      <c r="C975" s="1" t="n">
        <v>45893</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22595-2024</t>
        </is>
      </c>
      <c r="B976" s="1" t="n">
        <v>45447.61053240741</v>
      </c>
      <c r="C976" s="1" t="n">
        <v>45893</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29649-2025</t>
        </is>
      </c>
      <c r="B977" s="1" t="n">
        <v>45825.47446759259</v>
      </c>
      <c r="C977" s="1" t="n">
        <v>45893</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60704-2023</t>
        </is>
      </c>
      <c r="B978" s="1" t="n">
        <v>45260.51340277777</v>
      </c>
      <c r="C978" s="1" t="n">
        <v>45893</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24865-2024</t>
        </is>
      </c>
      <c r="B979" s="1" t="n">
        <v>45461.48974537037</v>
      </c>
      <c r="C979" s="1" t="n">
        <v>45893</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28599-2024</t>
        </is>
      </c>
      <c r="B980" s="1" t="n">
        <v>45478.4247800926</v>
      </c>
      <c r="C980" s="1" t="n">
        <v>45893</v>
      </c>
      <c r="D980" t="inlineStr">
        <is>
          <t>SKÅNE LÄN</t>
        </is>
      </c>
      <c r="E980" t="inlineStr">
        <is>
          <t>HÄSSLEHOLM</t>
        </is>
      </c>
      <c r="G980" t="n">
        <v>8.6</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45893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45893</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45893</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32585-2025</t>
        </is>
      </c>
      <c r="B984" s="1" t="n">
        <v>45838.60021990741</v>
      </c>
      <c r="C984" s="1" t="n">
        <v>45893</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32592-2025</t>
        </is>
      </c>
      <c r="B985" s="1" t="n">
        <v>45838.61020833333</v>
      </c>
      <c r="C985" s="1" t="n">
        <v>45893</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58272-2024</t>
        </is>
      </c>
      <c r="B986" s="1" t="n">
        <v>45632.57025462963</v>
      </c>
      <c r="C986" s="1" t="n">
        <v>45893</v>
      </c>
      <c r="D986" t="inlineStr">
        <is>
          <t>SKÅNE LÄN</t>
        </is>
      </c>
      <c r="E986" t="inlineStr">
        <is>
          <t>HÄSSLEHOLM</t>
        </is>
      </c>
      <c r="G986" t="n">
        <v>2.3</v>
      </c>
      <c r="H986" t="n">
        <v>0</v>
      </c>
      <c r="I986" t="n">
        <v>0</v>
      </c>
      <c r="J986" t="n">
        <v>0</v>
      </c>
      <c r="K986" t="n">
        <v>0</v>
      </c>
      <c r="L986" t="n">
        <v>0</v>
      </c>
      <c r="M986" t="n">
        <v>0</v>
      </c>
      <c r="N986" t="n">
        <v>0</v>
      </c>
      <c r="O986" t="n">
        <v>0</v>
      </c>
      <c r="P986" t="n">
        <v>0</v>
      </c>
      <c r="Q986" t="n">
        <v>0</v>
      </c>
      <c r="R986" s="2" t="inlineStr"/>
    </row>
    <row r="987" ht="15" customHeight="1">
      <c r="A987" t="inlineStr">
        <is>
          <t>A 55416-2021</t>
        </is>
      </c>
      <c r="B987" s="1" t="n">
        <v>44475</v>
      </c>
      <c r="C987" s="1" t="n">
        <v>45893</v>
      </c>
      <c r="D987" t="inlineStr">
        <is>
          <t>SKÅNE LÄN</t>
        </is>
      </c>
      <c r="E987" t="inlineStr">
        <is>
          <t>HÄSSLEHOLM</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18580-2023</t>
        </is>
      </c>
      <c r="B988" s="1" t="n">
        <v>45043.37037037037</v>
      </c>
      <c r="C988" s="1" t="n">
        <v>45893</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4579-2025</t>
        </is>
      </c>
      <c r="B989" s="1" t="n">
        <v>45687.5009375</v>
      </c>
      <c r="C989" s="1" t="n">
        <v>45893</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21141-2024</t>
        </is>
      </c>
      <c r="B990" s="1" t="n">
        <v>45440.39012731481</v>
      </c>
      <c r="C990" s="1" t="n">
        <v>45893</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49379-2021</t>
        </is>
      </c>
      <c r="B991" s="1" t="n">
        <v>44454</v>
      </c>
      <c r="C991" s="1" t="n">
        <v>45893</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36240-2023</t>
        </is>
      </c>
      <c r="B992" s="1" t="n">
        <v>45150.89295138889</v>
      </c>
      <c r="C992" s="1" t="n">
        <v>45893</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9555-2025</t>
        </is>
      </c>
      <c r="B993" s="1" t="n">
        <v>45714</v>
      </c>
      <c r="C993" s="1" t="n">
        <v>45893</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9611-2025</t>
        </is>
      </c>
      <c r="B994" s="1" t="n">
        <v>45715</v>
      </c>
      <c r="C994" s="1" t="n">
        <v>45893</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24906-2022</t>
        </is>
      </c>
      <c r="B995" s="1" t="n">
        <v>44728</v>
      </c>
      <c r="C995" s="1" t="n">
        <v>45893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13851-2025</t>
        </is>
      </c>
      <c r="B996" s="1" t="n">
        <v>45737.56777777777</v>
      </c>
      <c r="C996" s="1" t="n">
        <v>45893</v>
      </c>
      <c r="D996" t="inlineStr">
        <is>
          <t>SKÅNE LÄN</t>
        </is>
      </c>
      <c r="E996" t="inlineStr">
        <is>
          <t>HÄSSLEHOLM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3890-2024</t>
        </is>
      </c>
      <c r="B997" s="1" t="n">
        <v>45322.45366898148</v>
      </c>
      <c r="C997" s="1" t="n">
        <v>45893</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12469-2023</t>
        </is>
      </c>
      <c r="B998" s="1" t="n">
        <v>44999.62109953703</v>
      </c>
      <c r="C998" s="1" t="n">
        <v>45893</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33562-2025</t>
        </is>
      </c>
      <c r="B999" s="1" t="n">
        <v>45841.57803240741</v>
      </c>
      <c r="C999" s="1" t="n">
        <v>45893</v>
      </c>
      <c r="D999" t="inlineStr">
        <is>
          <t>SKÅNE LÄN</t>
        </is>
      </c>
      <c r="E999" t="inlineStr">
        <is>
          <t>HÄSSLEHOLM</t>
        </is>
      </c>
      <c r="G999" t="n">
        <v>2.8</v>
      </c>
      <c r="H999" t="n">
        <v>0</v>
      </c>
      <c r="I999" t="n">
        <v>0</v>
      </c>
      <c r="J999" t="n">
        <v>0</v>
      </c>
      <c r="K999" t="n">
        <v>0</v>
      </c>
      <c r="L999" t="n">
        <v>0</v>
      </c>
      <c r="M999" t="n">
        <v>0</v>
      </c>
      <c r="N999" t="n">
        <v>0</v>
      </c>
      <c r="O999" t="n">
        <v>0</v>
      </c>
      <c r="P999" t="n">
        <v>0</v>
      </c>
      <c r="Q999" t="n">
        <v>0</v>
      </c>
      <c r="R999" s="2" t="inlineStr"/>
    </row>
    <row r="1000" ht="15" customHeight="1">
      <c r="A1000" t="inlineStr">
        <is>
          <t>A 15800-2025</t>
        </is>
      </c>
      <c r="B1000" s="1" t="n">
        <v>45748.64831018518</v>
      </c>
      <c r="C1000" s="1" t="n">
        <v>45893</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32981-2025</t>
        </is>
      </c>
      <c r="B1001" s="1" t="n">
        <v>45839.86820601852</v>
      </c>
      <c r="C1001" s="1" t="n">
        <v>45893</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45400-2022</t>
        </is>
      </c>
      <c r="B1002" s="1" t="n">
        <v>44844.713125</v>
      </c>
      <c r="C1002" s="1" t="n">
        <v>45893</v>
      </c>
      <c r="D1002" t="inlineStr">
        <is>
          <t>SKÅNE LÄN</t>
        </is>
      </c>
      <c r="E1002" t="inlineStr">
        <is>
          <t>HÄSSLEHOLM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40319-2020</t>
        </is>
      </c>
      <c r="B1003" s="1" t="n">
        <v>44068</v>
      </c>
      <c r="C1003" s="1" t="n">
        <v>45893</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13961-2023</t>
        </is>
      </c>
      <c r="B1004" s="1" t="n">
        <v>45008</v>
      </c>
      <c r="C1004" s="1" t="n">
        <v>45893</v>
      </c>
      <c r="D1004" t="inlineStr">
        <is>
          <t>SKÅNE LÄN</t>
        </is>
      </c>
      <c r="E1004" t="inlineStr">
        <is>
          <t>HÄSSLEHOLM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13897-2024</t>
        </is>
      </c>
      <c r="B1005" s="1" t="n">
        <v>45391</v>
      </c>
      <c r="C1005" s="1" t="n">
        <v>45893</v>
      </c>
      <c r="D1005" t="inlineStr">
        <is>
          <t>SKÅNE LÄN</t>
        </is>
      </c>
      <c r="E1005" t="inlineStr">
        <is>
          <t>HÄSSLEHOLM</t>
        </is>
      </c>
      <c r="F1005" t="inlineStr">
        <is>
          <t>Kommuner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56355-2023</t>
        </is>
      </c>
      <c r="B1006" s="1" t="n">
        <v>45243.3702662037</v>
      </c>
      <c r="C1006" s="1" t="n">
        <v>45893</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7581-2023</t>
        </is>
      </c>
      <c r="B1007" s="1" t="n">
        <v>44972.39556712963</v>
      </c>
      <c r="C1007" s="1" t="n">
        <v>45893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48191-2021</t>
        </is>
      </c>
      <c r="B1008" s="1" t="n">
        <v>44449</v>
      </c>
      <c r="C1008" s="1" t="n">
        <v>45893</v>
      </c>
      <c r="D1008" t="inlineStr">
        <is>
          <t>SKÅNE LÄN</t>
        </is>
      </c>
      <c r="E1008" t="inlineStr">
        <is>
          <t>HÄSSLEHOLM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5282-2023</t>
        </is>
      </c>
      <c r="B1009" s="1" t="n">
        <v>44959.50471064815</v>
      </c>
      <c r="C1009" s="1" t="n">
        <v>45893</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52548-2023</t>
        </is>
      </c>
      <c r="B1010" s="1" t="n">
        <v>45218</v>
      </c>
      <c r="C1010" s="1" t="n">
        <v>45893</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33875-2025</t>
        </is>
      </c>
      <c r="B1011" s="1" t="n">
        <v>45842.55300925926</v>
      </c>
      <c r="C1011" s="1" t="n">
        <v>45893</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12503-2022</t>
        </is>
      </c>
      <c r="B1012" s="1" t="n">
        <v>44638</v>
      </c>
      <c r="C1012" s="1" t="n">
        <v>45893</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59246-2024</t>
        </is>
      </c>
      <c r="B1013" s="1" t="n">
        <v>45636</v>
      </c>
      <c r="C1013" s="1" t="n">
        <v>45893</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33877-2025</t>
        </is>
      </c>
      <c r="B1014" s="1" t="n">
        <v>45842.55564814815</v>
      </c>
      <c r="C1014" s="1" t="n">
        <v>45893</v>
      </c>
      <c r="D1014" t="inlineStr">
        <is>
          <t>SKÅNE LÄN</t>
        </is>
      </c>
      <c r="E1014" t="inlineStr">
        <is>
          <t>HÄSSLEHOLM</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33879-2025</t>
        </is>
      </c>
      <c r="B1015" s="1" t="n">
        <v>45842.55766203703</v>
      </c>
      <c r="C1015" s="1" t="n">
        <v>45893</v>
      </c>
      <c r="D1015" t="inlineStr">
        <is>
          <t>SKÅNE LÄN</t>
        </is>
      </c>
      <c r="E1015" t="inlineStr">
        <is>
          <t>HÄSSLEHOLM</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20800-2023</t>
        </is>
      </c>
      <c r="B1016" s="1" t="n">
        <v>45058.61640046296</v>
      </c>
      <c r="C1016" s="1" t="n">
        <v>45893</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11019-2025</t>
        </is>
      </c>
      <c r="B1017" s="1" t="n">
        <v>45723</v>
      </c>
      <c r="C1017" s="1" t="n">
        <v>45893</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9485-2023</t>
        </is>
      </c>
      <c r="B1018" s="1" t="n">
        <v>44981.60901620371</v>
      </c>
      <c r="C1018" s="1" t="n">
        <v>45893</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33948-2025</t>
        </is>
      </c>
      <c r="B1019" s="1" t="n">
        <v>45842.65945601852</v>
      </c>
      <c r="C1019" s="1" t="n">
        <v>45893</v>
      </c>
      <c r="D1019" t="inlineStr">
        <is>
          <t>SKÅNE LÄN</t>
        </is>
      </c>
      <c r="E1019" t="inlineStr">
        <is>
          <t>HÄSSLEHOLM</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45893</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61929-2023</t>
        </is>
      </c>
      <c r="B1021" s="1" t="n">
        <v>45266</v>
      </c>
      <c r="C1021" s="1" t="n">
        <v>45893</v>
      </c>
      <c r="D1021" t="inlineStr">
        <is>
          <t>SKÅNE LÄN</t>
        </is>
      </c>
      <c r="E1021" t="inlineStr">
        <is>
          <t>HÄSSLEHOLM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13555-2025</t>
        </is>
      </c>
      <c r="B1022" s="1" t="n">
        <v>45736</v>
      </c>
      <c r="C1022" s="1" t="n">
        <v>45893</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4734-2025</t>
        </is>
      </c>
      <c r="B1023" s="1" t="n">
        <v>45688.44030092593</v>
      </c>
      <c r="C1023" s="1" t="n">
        <v>45893</v>
      </c>
      <c r="D1023" t="inlineStr">
        <is>
          <t>SKÅNE LÄN</t>
        </is>
      </c>
      <c r="E1023" t="inlineStr">
        <is>
          <t>HÄSSLEHOLM</t>
        </is>
      </c>
      <c r="G1023" t="n">
        <v>19.6</v>
      </c>
      <c r="H1023" t="n">
        <v>0</v>
      </c>
      <c r="I1023" t="n">
        <v>0</v>
      </c>
      <c r="J1023" t="n">
        <v>0</v>
      </c>
      <c r="K1023" t="n">
        <v>0</v>
      </c>
      <c r="L1023" t="n">
        <v>0</v>
      </c>
      <c r="M1023" t="n">
        <v>0</v>
      </c>
      <c r="N1023" t="n">
        <v>0</v>
      </c>
      <c r="O1023" t="n">
        <v>0</v>
      </c>
      <c r="P1023" t="n">
        <v>0</v>
      </c>
      <c r="Q1023" t="n">
        <v>0</v>
      </c>
      <c r="R1023" s="2" t="inlineStr"/>
    </row>
    <row r="1024" ht="15" customHeight="1">
      <c r="A1024" t="inlineStr">
        <is>
          <t>A 22678-2025</t>
        </is>
      </c>
      <c r="B1024" s="1" t="n">
        <v>45789.49725694444</v>
      </c>
      <c r="C1024" s="1" t="n">
        <v>45893</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25726-2025</t>
        </is>
      </c>
      <c r="B1025" s="1" t="n">
        <v>45803</v>
      </c>
      <c r="C1025" s="1" t="n">
        <v>45893</v>
      </c>
      <c r="D1025" t="inlineStr">
        <is>
          <t>SKÅNE LÄN</t>
        </is>
      </c>
      <c r="E1025" t="inlineStr">
        <is>
          <t>HÄSSLEHOLM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11681-2023</t>
        </is>
      </c>
      <c r="B1026" s="1" t="n">
        <v>44992</v>
      </c>
      <c r="C1026" s="1" t="n">
        <v>45893</v>
      </c>
      <c r="D1026" t="inlineStr">
        <is>
          <t>SKÅNE LÄN</t>
        </is>
      </c>
      <c r="E1026" t="inlineStr">
        <is>
          <t>HÄSSLEHOLM</t>
        </is>
      </c>
      <c r="F1026" t="inlineStr">
        <is>
          <t>Övriga Aktiebolag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33927-2021</t>
        </is>
      </c>
      <c r="B1027" s="1" t="n">
        <v>44378</v>
      </c>
      <c r="C1027" s="1" t="n">
        <v>45893</v>
      </c>
      <c r="D1027" t="inlineStr">
        <is>
          <t>SKÅNE LÄN</t>
        </is>
      </c>
      <c r="E1027" t="inlineStr">
        <is>
          <t>HÄSSLEHOLM</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44940-2023</t>
        </is>
      </c>
      <c r="B1028" s="1" t="n">
        <v>45190.68653935185</v>
      </c>
      <c r="C1028" s="1" t="n">
        <v>45893</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7305-2025</t>
        </is>
      </c>
      <c r="B1029" s="1" t="n">
        <v>45702</v>
      </c>
      <c r="C1029" s="1" t="n">
        <v>45893</v>
      </c>
      <c r="D1029" t="inlineStr">
        <is>
          <t>SKÅNE LÄN</t>
        </is>
      </c>
      <c r="E1029" t="inlineStr">
        <is>
          <t>HÄSSLEHOLM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25533-2024</t>
        </is>
      </c>
      <c r="B1030" s="1" t="n">
        <v>45463</v>
      </c>
      <c r="C1030" s="1" t="n">
        <v>45893</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61498-2022</t>
        </is>
      </c>
      <c r="B1031" s="1" t="n">
        <v>44910</v>
      </c>
      <c r="C1031" s="1" t="n">
        <v>45893</v>
      </c>
      <c r="D1031" t="inlineStr">
        <is>
          <t>SKÅNE LÄN</t>
        </is>
      </c>
      <c r="E1031" t="inlineStr">
        <is>
          <t>HÄSSLEHOLM</t>
        </is>
      </c>
      <c r="F1031" t="inlineStr">
        <is>
          <t>Kyrkan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45125.52142361111</v>
      </c>
      <c r="C1032" s="1" t="n">
        <v>45893</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22696-2023</t>
        </is>
      </c>
      <c r="B1033" s="1" t="n">
        <v>45071.69464120371</v>
      </c>
      <c r="C1033" s="1" t="n">
        <v>45893</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5116-2023</t>
        </is>
      </c>
      <c r="B1034" s="1" t="n">
        <v>44958.67546296296</v>
      </c>
      <c r="C1034" s="1" t="n">
        <v>45893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52337-2023</t>
        </is>
      </c>
      <c r="B1035" s="1" t="n">
        <v>45224.66359953704</v>
      </c>
      <c r="C1035" s="1" t="n">
        <v>45893</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34174-2025</t>
        </is>
      </c>
      <c r="B1036" s="1" t="n">
        <v>45844</v>
      </c>
      <c r="C1036" s="1" t="n">
        <v>45893</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23955-2023</t>
        </is>
      </c>
      <c r="B1037" s="1" t="n">
        <v>45078.62217592593</v>
      </c>
      <c r="C1037" s="1" t="n">
        <v>45893</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34177-2025</t>
        </is>
      </c>
      <c r="B1038" s="1" t="n">
        <v>45844</v>
      </c>
      <c r="C1038" s="1" t="n">
        <v>45893</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33950-2025</t>
        </is>
      </c>
      <c r="B1039" s="1" t="n">
        <v>45842</v>
      </c>
      <c r="C1039" s="1" t="n">
        <v>45893</v>
      </c>
      <c r="D1039" t="inlineStr">
        <is>
          <t>SKÅNE LÄN</t>
        </is>
      </c>
      <c r="E1039" t="inlineStr">
        <is>
          <t>HÄSSLEHOLM</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10897-2023</t>
        </is>
      </c>
      <c r="B1040" s="1" t="n">
        <v>44985</v>
      </c>
      <c r="C1040" s="1" t="n">
        <v>45893</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45893</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18908-2023</t>
        </is>
      </c>
      <c r="B1042" s="1" t="n">
        <v>45044</v>
      </c>
      <c r="C1042" s="1" t="n">
        <v>45893</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10028-2024</t>
        </is>
      </c>
      <c r="B1043" s="1" t="n">
        <v>45363.97292824074</v>
      </c>
      <c r="C1043" s="1" t="n">
        <v>45893</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13084-2025</t>
        </is>
      </c>
      <c r="B1044" s="1" t="n">
        <v>45734</v>
      </c>
      <c r="C1044" s="1" t="n">
        <v>45893</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42364-2023</t>
        </is>
      </c>
      <c r="B1045" s="1" t="n">
        <v>45180.54754629629</v>
      </c>
      <c r="C1045" s="1" t="n">
        <v>45893</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16285-2025</t>
        </is>
      </c>
      <c r="B1046" s="1" t="n">
        <v>45751.30045138889</v>
      </c>
      <c r="C1046" s="1" t="n">
        <v>45893</v>
      </c>
      <c r="D1046" t="inlineStr">
        <is>
          <t>SKÅNE LÄN</t>
        </is>
      </c>
      <c r="E1046" t="inlineStr">
        <is>
          <t>HÄSSLEHOLM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54408-2024</t>
        </is>
      </c>
      <c r="B1047" s="1" t="n">
        <v>45617.47263888889</v>
      </c>
      <c r="C1047" s="1" t="n">
        <v>45893</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46000-2021</t>
        </is>
      </c>
      <c r="B1048" s="1" t="n">
        <v>44441</v>
      </c>
      <c r="C1048" s="1" t="n">
        <v>45893</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39366-2025</t>
        </is>
      </c>
      <c r="B1049" s="1" t="n">
        <v>45889</v>
      </c>
      <c r="C1049" s="1" t="n">
        <v>45893</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4009-2024</t>
        </is>
      </c>
      <c r="B1050" s="1" t="n">
        <v>45323</v>
      </c>
      <c r="C1050" s="1" t="n">
        <v>45893</v>
      </c>
      <c r="D1050" t="inlineStr">
        <is>
          <t>SKÅNE LÄN</t>
        </is>
      </c>
      <c r="E1050" t="inlineStr">
        <is>
          <t>HÄSSLEHOLM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5780-2024</t>
        </is>
      </c>
      <c r="B1051" s="1" t="n">
        <v>45335.41983796296</v>
      </c>
      <c r="C1051" s="1" t="n">
        <v>45893</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10928-2024</t>
        </is>
      </c>
      <c r="B1052" s="1" t="n">
        <v>45370</v>
      </c>
      <c r="C1052" s="1" t="n">
        <v>45893</v>
      </c>
      <c r="D1052" t="inlineStr">
        <is>
          <t>SKÅNE LÄN</t>
        </is>
      </c>
      <c r="E1052" t="inlineStr">
        <is>
          <t>HÄSSLEHOLM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10944-2024</t>
        </is>
      </c>
      <c r="B1053" s="1" t="n">
        <v>45370</v>
      </c>
      <c r="C1053" s="1" t="n">
        <v>45893</v>
      </c>
      <c r="D1053" t="inlineStr">
        <is>
          <t>SKÅNE LÄN</t>
        </is>
      </c>
      <c r="E1053" t="inlineStr">
        <is>
          <t>HÄSSLEHOLM</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39453-2025</t>
        </is>
      </c>
      <c r="B1054" s="1" t="n">
        <v>45889</v>
      </c>
      <c r="C1054" s="1" t="n">
        <v>45893</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6087-2025</t>
        </is>
      </c>
      <c r="B1055" s="1" t="n">
        <v>45697.69782407407</v>
      </c>
      <c r="C1055" s="1" t="n">
        <v>45893</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33466-2024</t>
        </is>
      </c>
      <c r="B1056" s="1" t="n">
        <v>45519</v>
      </c>
      <c r="C1056" s="1" t="n">
        <v>45893</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6612-2024</t>
        </is>
      </c>
      <c r="B1057" s="1" t="n">
        <v>45341.58859953703</v>
      </c>
      <c r="C1057" s="1" t="n">
        <v>45893</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7481-2023</t>
        </is>
      </c>
      <c r="B1058" s="1" t="n">
        <v>44971</v>
      </c>
      <c r="C1058" s="1" t="n">
        <v>45893</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59728-2022</t>
        </is>
      </c>
      <c r="B1059" s="1" t="n">
        <v>44900</v>
      </c>
      <c r="C1059" s="1" t="n">
        <v>45893</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6791-2021</t>
        </is>
      </c>
      <c r="B1060" s="1" t="n">
        <v>44236</v>
      </c>
      <c r="C1060" s="1" t="n">
        <v>45893</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39934-2025</t>
        </is>
      </c>
      <c r="B1061" s="1" t="n">
        <v>45891.71465277778</v>
      </c>
      <c r="C1061" s="1" t="n">
        <v>45893</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39937-2025</t>
        </is>
      </c>
      <c r="B1062" s="1" t="n">
        <v>45891.73162037037</v>
      </c>
      <c r="C1062" s="1" t="n">
        <v>45893</v>
      </c>
      <c r="D1062" t="inlineStr">
        <is>
          <t>SKÅNE LÄN</t>
        </is>
      </c>
      <c r="E1062" t="inlineStr">
        <is>
          <t>HÄSSLEHOLM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1886-2025</t>
        </is>
      </c>
      <c r="B1063" s="1" t="n">
        <v>45671</v>
      </c>
      <c r="C1063" s="1" t="n">
        <v>45893</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34869-2025</t>
        </is>
      </c>
      <c r="B1064" s="1" t="n">
        <v>45849</v>
      </c>
      <c r="C1064" s="1" t="n">
        <v>45893</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26879-2024</t>
        </is>
      </c>
      <c r="B1065" s="1" t="n">
        <v>45470</v>
      </c>
      <c r="C1065" s="1" t="n">
        <v>45893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54473-2023</t>
        </is>
      </c>
      <c r="B1066" s="1" t="n">
        <v>45233</v>
      </c>
      <c r="C1066" s="1" t="n">
        <v>45893</v>
      </c>
      <c r="D1066" t="inlineStr">
        <is>
          <t>SKÅNE LÄN</t>
        </is>
      </c>
      <c r="E1066" t="inlineStr">
        <is>
          <t>HÄSSLEHOLM</t>
        </is>
      </c>
      <c r="G1066" t="n">
        <v>24.5</v>
      </c>
      <c r="H1066" t="n">
        <v>0</v>
      </c>
      <c r="I1066" t="n">
        <v>0</v>
      </c>
      <c r="J1066" t="n">
        <v>0</v>
      </c>
      <c r="K1066" t="n">
        <v>0</v>
      </c>
      <c r="L1066" t="n">
        <v>0</v>
      </c>
      <c r="M1066" t="n">
        <v>0</v>
      </c>
      <c r="N1066" t="n">
        <v>0</v>
      </c>
      <c r="O1066" t="n">
        <v>0</v>
      </c>
      <c r="P1066" t="n">
        <v>0</v>
      </c>
      <c r="Q1066" t="n">
        <v>0</v>
      </c>
      <c r="R1066" s="2" t="inlineStr"/>
    </row>
    <row r="1067" ht="15" customHeight="1">
      <c r="A1067" t="inlineStr">
        <is>
          <t>A 11240-2023</t>
        </is>
      </c>
      <c r="B1067" s="1" t="n">
        <v>44992</v>
      </c>
      <c r="C1067" s="1" t="n">
        <v>45893</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23683-2023</t>
        </is>
      </c>
      <c r="B1068" s="1" t="n">
        <v>45077</v>
      </c>
      <c r="C1068" s="1" t="n">
        <v>45893</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16108-2025</t>
        </is>
      </c>
      <c r="B1069" s="1" t="n">
        <v>45750.34667824074</v>
      </c>
      <c r="C1069" s="1" t="n">
        <v>45893</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48326-2023</t>
        </is>
      </c>
      <c r="B1070" s="1" t="n">
        <v>45205</v>
      </c>
      <c r="C1070" s="1" t="n">
        <v>45893</v>
      </c>
      <c r="D1070" t="inlineStr">
        <is>
          <t>SKÅNE LÄN</t>
        </is>
      </c>
      <c r="E1070" t="inlineStr">
        <is>
          <t>HÄSSLEHOLM</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39457-2025</t>
        </is>
      </c>
      <c r="B1071" s="1" t="n">
        <v>45889.76887731482</v>
      </c>
      <c r="C1071" s="1" t="n">
        <v>45893</v>
      </c>
      <c r="D1071" t="inlineStr">
        <is>
          <t>SKÅNE LÄN</t>
        </is>
      </c>
      <c r="E1071" t="inlineStr">
        <is>
          <t>HÄSSLEHOLM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2663-2023</t>
        </is>
      </c>
      <c r="B1072" s="1" t="n">
        <v>44942</v>
      </c>
      <c r="C1072" s="1" t="n">
        <v>45893</v>
      </c>
      <c r="D1072" t="inlineStr">
        <is>
          <t>SKÅNE LÄN</t>
        </is>
      </c>
      <c r="E1072" t="inlineStr">
        <is>
          <t>HÄSSLEHOLM</t>
        </is>
      </c>
      <c r="F1072" t="inlineStr">
        <is>
          <t>Kyrkan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23172-2022</t>
        </is>
      </c>
      <c r="B1073" s="1" t="n">
        <v>44719</v>
      </c>
      <c r="C1073" s="1" t="n">
        <v>45893</v>
      </c>
      <c r="D1073" t="inlineStr">
        <is>
          <t>SKÅNE LÄN</t>
        </is>
      </c>
      <c r="E1073" t="inlineStr">
        <is>
          <t>HÄSSLEHOLM</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23173-2022</t>
        </is>
      </c>
      <c r="B1074" s="1" t="n">
        <v>44719.72155092593</v>
      </c>
      <c r="C1074" s="1" t="n">
        <v>45893</v>
      </c>
      <c r="D1074" t="inlineStr">
        <is>
          <t>SKÅNE LÄN</t>
        </is>
      </c>
      <c r="E1074" t="inlineStr">
        <is>
          <t>HÄSSLEHOLM</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54518-2022</t>
        </is>
      </c>
      <c r="B1075" s="1" t="n">
        <v>44882</v>
      </c>
      <c r="C1075" s="1" t="n">
        <v>45893</v>
      </c>
      <c r="D1075" t="inlineStr">
        <is>
          <t>SKÅNE LÄN</t>
        </is>
      </c>
      <c r="E1075" t="inlineStr">
        <is>
          <t>HÄSSLEHOLM</t>
        </is>
      </c>
      <c r="F1075" t="inlineStr">
        <is>
          <t>Övriga Aktiebolag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57491-2024</t>
        </is>
      </c>
      <c r="B1076" s="1" t="n">
        <v>45629</v>
      </c>
      <c r="C1076" s="1" t="n">
        <v>45893</v>
      </c>
      <c r="D1076" t="inlineStr">
        <is>
          <t>SKÅNE LÄN</t>
        </is>
      </c>
      <c r="E1076" t="inlineStr">
        <is>
          <t>HÄSSLEHOLM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52912-2022</t>
        </is>
      </c>
      <c r="B1077" s="1" t="n">
        <v>44872</v>
      </c>
      <c r="C1077" s="1" t="n">
        <v>45893</v>
      </c>
      <c r="D1077" t="inlineStr">
        <is>
          <t>SKÅNE LÄN</t>
        </is>
      </c>
      <c r="E1077" t="inlineStr">
        <is>
          <t>HÄSSLEHOLM</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17492-2025</t>
        </is>
      </c>
      <c r="B1078" s="1" t="n">
        <v>45747</v>
      </c>
      <c r="C1078" s="1" t="n">
        <v>45893</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16950-2025</t>
        </is>
      </c>
      <c r="B1079" s="1" t="n">
        <v>45755</v>
      </c>
      <c r="C1079" s="1" t="n">
        <v>45893</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27502-2023</t>
        </is>
      </c>
      <c r="B1080" s="1" t="n">
        <v>45092</v>
      </c>
      <c r="C1080" s="1" t="n">
        <v>45893</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56158-2020</t>
        </is>
      </c>
      <c r="B1081" s="1" t="n">
        <v>44133</v>
      </c>
      <c r="C1081" s="1" t="n">
        <v>45893</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6836-2023</t>
        </is>
      </c>
      <c r="B1082" s="1" t="n">
        <v>44967</v>
      </c>
      <c r="C1082" s="1" t="n">
        <v>45893</v>
      </c>
      <c r="D1082" t="inlineStr">
        <is>
          <t>SKÅNE LÄN</t>
        </is>
      </c>
      <c r="E1082" t="inlineStr">
        <is>
          <t>HÄSSLEHOLM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6845-2023</t>
        </is>
      </c>
      <c r="B1083" s="1" t="n">
        <v>44967</v>
      </c>
      <c r="C1083" s="1" t="n">
        <v>45893</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53887-2023</t>
        </is>
      </c>
      <c r="B1084" s="1" t="n">
        <v>45231.52675925926</v>
      </c>
      <c r="C1084" s="1" t="n">
        <v>45893</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50664-2023</t>
        </is>
      </c>
      <c r="B1085" s="1" t="n">
        <v>45217</v>
      </c>
      <c r="C1085" s="1" t="n">
        <v>45893</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42428-2022</t>
        </is>
      </c>
      <c r="B1086" s="1" t="n">
        <v>44831</v>
      </c>
      <c r="C1086" s="1" t="n">
        <v>45893</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62171-2022</t>
        </is>
      </c>
      <c r="B1087" s="1" t="n">
        <v>44915</v>
      </c>
      <c r="C1087" s="1" t="n">
        <v>45893</v>
      </c>
      <c r="D1087" t="inlineStr">
        <is>
          <t>SKÅNE LÄN</t>
        </is>
      </c>
      <c r="E1087" t="inlineStr">
        <is>
          <t>HÄSSLEHOLM</t>
        </is>
      </c>
      <c r="F1087" t="inlineStr">
        <is>
          <t>Kyrkan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21329-2023</t>
        </is>
      </c>
      <c r="B1088" s="1" t="n">
        <v>45062</v>
      </c>
      <c r="C1088" s="1" t="n">
        <v>45893</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1543-2024</t>
        </is>
      </c>
      <c r="B1089" s="1" t="n">
        <v>45306</v>
      </c>
      <c r="C1089" s="1" t="n">
        <v>45893</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18800-2023</t>
        </is>
      </c>
      <c r="B1090" s="1" t="n">
        <v>45044</v>
      </c>
      <c r="C1090" s="1" t="n">
        <v>45893</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56956-2024</t>
        </is>
      </c>
      <c r="B1091" s="1" t="n">
        <v>45626</v>
      </c>
      <c r="C1091" s="1" t="n">
        <v>45893</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16357-2025</t>
        </is>
      </c>
      <c r="B1092" s="1" t="n">
        <v>45751.38916666667</v>
      </c>
      <c r="C1092" s="1" t="n">
        <v>45893</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9885-2021</t>
        </is>
      </c>
      <c r="B1093" s="1" t="n">
        <v>44253</v>
      </c>
      <c r="C1093" s="1" t="n">
        <v>45893</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25077-2024</t>
        </is>
      </c>
      <c r="B1094" s="1" t="n">
        <v>45462</v>
      </c>
      <c r="C1094" s="1" t="n">
        <v>45893</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35711-2024</t>
        </is>
      </c>
      <c r="B1095" s="1" t="n">
        <v>45532</v>
      </c>
      <c r="C1095" s="1" t="n">
        <v>45893</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22535-2024</t>
        </is>
      </c>
      <c r="B1096" s="1" t="n">
        <v>45447</v>
      </c>
      <c r="C1096" s="1" t="n">
        <v>45893</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56490-2021</t>
        </is>
      </c>
      <c r="B1097" s="1" t="n">
        <v>44480</v>
      </c>
      <c r="C1097" s="1" t="n">
        <v>45893</v>
      </c>
      <c r="D1097" t="inlineStr">
        <is>
          <t>SKÅNE LÄN</t>
        </is>
      </c>
      <c r="E1097" t="inlineStr">
        <is>
          <t>HÄSSLEHOLM</t>
        </is>
      </c>
      <c r="F1097" t="inlineStr">
        <is>
          <t>Kyrkan</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15060-2023</t>
        </is>
      </c>
      <c r="B1098" s="1" t="n">
        <v>45015.69832175926</v>
      </c>
      <c r="C1098" s="1" t="n">
        <v>45893</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4787-2023</t>
        </is>
      </c>
      <c r="B1099" s="1" t="n">
        <v>44957.60079861111</v>
      </c>
      <c r="C1099" s="1" t="n">
        <v>45893</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4788-2023</t>
        </is>
      </c>
      <c r="B1100" s="1" t="n">
        <v>44957.60130787037</v>
      </c>
      <c r="C1100" s="1" t="n">
        <v>45893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34348-2022</t>
        </is>
      </c>
      <c r="B1101" s="1" t="n">
        <v>44792</v>
      </c>
      <c r="C1101" s="1" t="n">
        <v>45893</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45399-2022</t>
        </is>
      </c>
      <c r="B1102" s="1" t="n">
        <v>44844.70513888889</v>
      </c>
      <c r="C1102" s="1" t="n">
        <v>45893</v>
      </c>
      <c r="D1102" t="inlineStr">
        <is>
          <t>SKÅNE LÄN</t>
        </is>
      </c>
      <c r="E1102" t="inlineStr">
        <is>
          <t>HÄSSLEHOLM</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35640-2023</t>
        </is>
      </c>
      <c r="B1103" s="1" t="n">
        <v>45147</v>
      </c>
      <c r="C1103" s="1" t="n">
        <v>45893</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2681-2024</t>
        </is>
      </c>
      <c r="B1104" s="1" t="n">
        <v>45314</v>
      </c>
      <c r="C1104" s="1" t="n">
        <v>45893</v>
      </c>
      <c r="D1104" t="inlineStr">
        <is>
          <t>SKÅNE LÄN</t>
        </is>
      </c>
      <c r="E1104" t="inlineStr">
        <is>
          <t>HÄSSLEHOLM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61680-2022</t>
        </is>
      </c>
      <c r="B1105" s="1" t="n">
        <v>44917.36372685185</v>
      </c>
      <c r="C1105" s="1" t="n">
        <v>45893</v>
      </c>
      <c r="D1105" t="inlineStr">
        <is>
          <t>SKÅNE LÄN</t>
        </is>
      </c>
      <c r="E1105" t="inlineStr">
        <is>
          <t>HÄSSLEHOLM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45893</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61489-2024</t>
        </is>
      </c>
      <c r="B1107" s="1" t="n">
        <v>45646.54875</v>
      </c>
      <c r="C1107" s="1" t="n">
        <v>45893</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17699-2024</t>
        </is>
      </c>
      <c r="B1108" s="1" t="n">
        <v>45418.46094907408</v>
      </c>
      <c r="C1108" s="1" t="n">
        <v>45893</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17702-2024</t>
        </is>
      </c>
      <c r="B1109" s="1" t="n">
        <v>45418.46534722222</v>
      </c>
      <c r="C1109" s="1" t="n">
        <v>45893</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6101-2022</t>
        </is>
      </c>
      <c r="B1110" s="1" t="n">
        <v>44599.63016203704</v>
      </c>
      <c r="C1110" s="1" t="n">
        <v>45893</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16951-2025</t>
        </is>
      </c>
      <c r="B1111" s="1" t="n">
        <v>45755</v>
      </c>
      <c r="C1111" s="1" t="n">
        <v>45893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16614-2025</t>
        </is>
      </c>
      <c r="B1112" s="1" t="n">
        <v>45754.283125</v>
      </c>
      <c r="C1112" s="1" t="n">
        <v>45893</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3888-2024</t>
        </is>
      </c>
      <c r="B1113" s="1" t="n">
        <v>45322.45089120371</v>
      </c>
      <c r="C1113" s="1" t="n">
        <v>45893</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3889-2024</t>
        </is>
      </c>
      <c r="B1114" s="1" t="n">
        <v>45322.45234953704</v>
      </c>
      <c r="C1114" s="1" t="n">
        <v>45893</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3294-2025</t>
        </is>
      </c>
      <c r="B1115" s="1" t="n">
        <v>45679.64125</v>
      </c>
      <c r="C1115" s="1" t="n">
        <v>45893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9669-2025</t>
        </is>
      </c>
      <c r="B1116" s="1" t="n">
        <v>45716.32921296296</v>
      </c>
      <c r="C1116" s="1" t="n">
        <v>45893</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31995-2023</t>
        </is>
      </c>
      <c r="B1117" s="1" t="n">
        <v>45107</v>
      </c>
      <c r="C1117" s="1" t="n">
        <v>45893</v>
      </c>
      <c r="D1117" t="inlineStr">
        <is>
          <t>SKÅNE LÄN</t>
        </is>
      </c>
      <c r="E1117" t="inlineStr">
        <is>
          <t>HÄSSLEHOLM</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31998-2023</t>
        </is>
      </c>
      <c r="B1118" s="1" t="n">
        <v>45119</v>
      </c>
      <c r="C1118" s="1" t="n">
        <v>45893</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5478-2021</t>
        </is>
      </c>
      <c r="B1119" s="1" t="n">
        <v>44230</v>
      </c>
      <c r="C1119" s="1" t="n">
        <v>45893</v>
      </c>
      <c r="D1119" t="inlineStr">
        <is>
          <t>SKÅNE LÄN</t>
        </is>
      </c>
      <c r="E1119" t="inlineStr">
        <is>
          <t>HÄSSLEHOLM</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7150-2025</t>
        </is>
      </c>
      <c r="B1120" s="1" t="n">
        <v>45702.38239583333</v>
      </c>
      <c r="C1120" s="1" t="n">
        <v>45893</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c r="A1121" t="inlineStr">
        <is>
          <t>A 20185-2023</t>
        </is>
      </c>
      <c r="B1121" s="1" t="n">
        <v>45055.56795138889</v>
      </c>
      <c r="C1121" s="1" t="n">
        <v>45893</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2025-08-24T08:27:37Z</dcterms:created>
  <dcterms:modified xmlns:dcterms="http://purl.org/dc/terms/" xmlns:xsi="http://www.w3.org/2001/XMLSchema-instance" xsi:type="dcterms:W3CDTF">2025-08-24T08:27:38Z</dcterms:modified>
</cp:coreProperties>
</file>