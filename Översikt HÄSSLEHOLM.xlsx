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46094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46094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46094</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46094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46094</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46094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46094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46094</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46094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46094</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46094</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46094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46094</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46094</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46094</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46094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46094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46094</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16107-2025</t>
        </is>
      </c>
      <c r="B20" s="1" t="n">
        <v>45750.34537037037</v>
      </c>
      <c r="C20" s="1" t="n">
        <v>46094</v>
      </c>
      <c r="D20" t="inlineStr">
        <is>
          <t>SKÅNE LÄN</t>
        </is>
      </c>
      <c r="E20" t="inlineStr">
        <is>
          <t>HÄSSLEHOLM</t>
        </is>
      </c>
      <c r="G20" t="n">
        <v>1.4</v>
      </c>
      <c r="H20" t="n">
        <v>1</v>
      </c>
      <c r="I20" t="n">
        <v>0</v>
      </c>
      <c r="J20" t="n">
        <v>1</v>
      </c>
      <c r="K20" t="n">
        <v>0</v>
      </c>
      <c r="L20" t="n">
        <v>0</v>
      </c>
      <c r="M20" t="n">
        <v>0</v>
      </c>
      <c r="N20" t="n">
        <v>0</v>
      </c>
      <c r="O20" t="n">
        <v>1</v>
      </c>
      <c r="P20" t="n">
        <v>0</v>
      </c>
      <c r="Q20" t="n">
        <v>1</v>
      </c>
      <c r="R20" s="2" t="inlineStr">
        <is>
          <t>Spillkråka</t>
        </is>
      </c>
      <c r="S20">
        <f>HYPERLINK("https://klasma.github.io/Logging_1293/artfynd/A 16107-2025 artfynd.xlsx", "A 16107-2025")</f>
        <v/>
      </c>
      <c r="T20">
        <f>HYPERLINK("https://klasma.github.io/Logging_1293/kartor/A 16107-2025 karta.png", "A 16107-2025")</f>
        <v/>
      </c>
      <c r="V20">
        <f>HYPERLINK("https://klasma.github.io/Logging_1293/klagomål/A 16107-2025 FSC-klagomål.docx", "A 16107-2025")</f>
        <v/>
      </c>
      <c r="W20">
        <f>HYPERLINK("https://klasma.github.io/Logging_1293/klagomålsmail/A 16107-2025 FSC-klagomål mail.docx", "A 16107-2025")</f>
        <v/>
      </c>
      <c r="X20">
        <f>HYPERLINK("https://klasma.github.io/Logging_1293/tillsyn/A 16107-2025 tillsynsbegäran.docx", "A 16107-2025")</f>
        <v/>
      </c>
      <c r="Y20">
        <f>HYPERLINK("https://klasma.github.io/Logging_1293/tillsynsmail/A 16107-2025 tillsynsbegäran mail.docx", "A 16107-2025")</f>
        <v/>
      </c>
      <c r="Z20">
        <f>HYPERLINK("https://klasma.github.io/Logging_1293/fåglar/A 16107-2025 prioriterade fågelarter.docx", "A 16107-2025")</f>
        <v/>
      </c>
    </row>
    <row r="21" ht="15" customHeight="1">
      <c r="A21" t="inlineStr">
        <is>
          <t>A 43874-2022</t>
        </is>
      </c>
      <c r="B21" s="1" t="n">
        <v>44838.44738425926</v>
      </c>
      <c r="C21" s="1" t="n">
        <v>46094</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6634-2024</t>
        </is>
      </c>
      <c r="B22" s="1" t="n">
        <v>45341</v>
      </c>
      <c r="C22" s="1" t="n">
        <v>46094</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46094</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54523-2024</t>
        </is>
      </c>
      <c r="B24" s="1" t="n">
        <v>45617</v>
      </c>
      <c r="C24" s="1" t="n">
        <v>46094</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46094</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4619-2025</t>
        </is>
      </c>
      <c r="B26" s="1" t="n">
        <v>45687</v>
      </c>
      <c r="C26" s="1" t="n">
        <v>46094</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9289-2025</t>
        </is>
      </c>
      <c r="B27" s="1" t="n">
        <v>45714</v>
      </c>
      <c r="C27" s="1" t="n">
        <v>46094</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49572-2022</t>
        </is>
      </c>
      <c r="B28" s="1" t="n">
        <v>44862.335</v>
      </c>
      <c r="C28" s="1" t="n">
        <v>46094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46094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36690-2025</t>
        </is>
      </c>
      <c r="B30" s="1" t="n">
        <v>45873.42915509259</v>
      </c>
      <c r="C30" s="1" t="n">
        <v>46094</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40613-2025</t>
        </is>
      </c>
      <c r="B31" s="1" t="n">
        <v>45896</v>
      </c>
      <c r="C31" s="1" t="n">
        <v>46094</v>
      </c>
      <c r="D31" t="inlineStr">
        <is>
          <t>SKÅNE LÄN</t>
        </is>
      </c>
      <c r="E31" t="inlineStr">
        <is>
          <t>HÄSSLEHOLM</t>
        </is>
      </c>
      <c r="F31" t="inlineStr">
        <is>
          <t>Kyrkan</t>
        </is>
      </c>
      <c r="G31" t="n">
        <v>3.4</v>
      </c>
      <c r="H31" t="n">
        <v>1</v>
      </c>
      <c r="I31" t="n">
        <v>0</v>
      </c>
      <c r="J31" t="n">
        <v>0</v>
      </c>
      <c r="K31" t="n">
        <v>0</v>
      </c>
      <c r="L31" t="n">
        <v>0</v>
      </c>
      <c r="M31" t="n">
        <v>0</v>
      </c>
      <c r="N31" t="n">
        <v>0</v>
      </c>
      <c r="O31" t="n">
        <v>0</v>
      </c>
      <c r="P31" t="n">
        <v>0</v>
      </c>
      <c r="Q31" t="n">
        <v>1</v>
      </c>
      <c r="R31" s="2" t="inlineStr">
        <is>
          <t>Revlummer</t>
        </is>
      </c>
      <c r="S31">
        <f>HYPERLINK("https://klasma.github.io/Logging_1293/artfynd/A 40613-2025 artfynd.xlsx", "A 40613-2025")</f>
        <v/>
      </c>
      <c r="T31">
        <f>HYPERLINK("https://klasma.github.io/Logging_1293/kartor/A 40613-2025 karta.png", "A 40613-2025")</f>
        <v/>
      </c>
      <c r="V31">
        <f>HYPERLINK("https://klasma.github.io/Logging_1293/klagomål/A 40613-2025 FSC-klagomål.docx", "A 40613-2025")</f>
        <v/>
      </c>
      <c r="W31">
        <f>HYPERLINK("https://klasma.github.io/Logging_1293/klagomålsmail/A 40613-2025 FSC-klagomål mail.docx", "A 40613-2025")</f>
        <v/>
      </c>
      <c r="X31">
        <f>HYPERLINK("https://klasma.github.io/Logging_1293/tillsyn/A 40613-2025 tillsynsbegäran.docx", "A 40613-2025")</f>
        <v/>
      </c>
      <c r="Y31">
        <f>HYPERLINK("https://klasma.github.io/Logging_1293/tillsynsmail/A 40613-2025 tillsynsbegäran mail.docx", "A 40613-2025")</f>
        <v/>
      </c>
    </row>
    <row r="32" ht="15" customHeight="1">
      <c r="A32" t="inlineStr">
        <is>
          <t>A 20280-2025</t>
        </is>
      </c>
      <c r="B32" s="1" t="n">
        <v>45774.38790509259</v>
      </c>
      <c r="C32" s="1" t="n">
        <v>46094</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7862-2024</t>
        </is>
      </c>
      <c r="B33" s="1" t="n">
        <v>45348</v>
      </c>
      <c r="C33" s="1" t="n">
        <v>46094</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8223-2025</t>
        </is>
      </c>
      <c r="B34" s="1" t="n">
        <v>45708.46127314815</v>
      </c>
      <c r="C34" s="1" t="n">
        <v>46094</v>
      </c>
      <c r="D34" t="inlineStr">
        <is>
          <t>SKÅNE LÄN</t>
        </is>
      </c>
      <c r="E34" t="inlineStr">
        <is>
          <t>HÄSSLEHOLM</t>
        </is>
      </c>
      <c r="G34" t="n">
        <v>0.8</v>
      </c>
      <c r="H34" t="n">
        <v>1</v>
      </c>
      <c r="I34" t="n">
        <v>0</v>
      </c>
      <c r="J34" t="n">
        <v>0</v>
      </c>
      <c r="K34" t="n">
        <v>0</v>
      </c>
      <c r="L34" t="n">
        <v>0</v>
      </c>
      <c r="M34" t="n">
        <v>0</v>
      </c>
      <c r="N34" t="n">
        <v>0</v>
      </c>
      <c r="O34" t="n">
        <v>0</v>
      </c>
      <c r="P34" t="n">
        <v>0</v>
      </c>
      <c r="Q34" t="n">
        <v>1</v>
      </c>
      <c r="R34" s="2" t="inlineStr">
        <is>
          <t>Kungsfågel</t>
        </is>
      </c>
      <c r="S34">
        <f>HYPERLINK("https://klasma.github.io/Logging_1293/artfynd/A 8223-2025 artfynd.xlsx", "A 8223-2025")</f>
        <v/>
      </c>
      <c r="T34">
        <f>HYPERLINK("https://klasma.github.io/Logging_1293/kartor/A 8223-2025 karta.png", "A 8223-2025")</f>
        <v/>
      </c>
      <c r="V34">
        <f>HYPERLINK("https://klasma.github.io/Logging_1293/klagomål/A 8223-2025 FSC-klagomål.docx", "A 8223-2025")</f>
        <v/>
      </c>
      <c r="W34">
        <f>HYPERLINK("https://klasma.github.io/Logging_1293/klagomålsmail/A 8223-2025 FSC-klagomål mail.docx", "A 8223-2025")</f>
        <v/>
      </c>
      <c r="X34">
        <f>HYPERLINK("https://klasma.github.io/Logging_1293/tillsyn/A 8223-2025 tillsynsbegäran.docx", "A 8223-2025")</f>
        <v/>
      </c>
      <c r="Y34">
        <f>HYPERLINK("https://klasma.github.io/Logging_1293/tillsynsmail/A 8223-2025 tillsynsbegäran mail.docx", "A 8223-2025")</f>
        <v/>
      </c>
      <c r="Z34">
        <f>HYPERLINK("https://klasma.github.io/Logging_1293/fåglar/A 8223-2025 prioriterade fågelarter.docx", "A 8223-2025")</f>
        <v/>
      </c>
    </row>
    <row r="35" ht="15" customHeight="1">
      <c r="A35" t="inlineStr">
        <is>
          <t>A 46602-2023</t>
        </is>
      </c>
      <c r="B35" s="1" t="n">
        <v>45194</v>
      </c>
      <c r="C35" s="1" t="n">
        <v>46094</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29272-2023</t>
        </is>
      </c>
      <c r="B36" s="1" t="n">
        <v>45105</v>
      </c>
      <c r="C36" s="1" t="n">
        <v>46094</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57533-2025</t>
        </is>
      </c>
      <c r="B37" s="1" t="n">
        <v>45980.63923611111</v>
      </c>
      <c r="C37" s="1" t="n">
        <v>46094</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46094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46094</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46094</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46094</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46094</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46094</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46094</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46094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46094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46094</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46094</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46094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46094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46094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46094</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46094</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46094</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46094</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46094</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46094</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46094</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46094</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46094</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46094</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46094</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46094</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46094</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46094</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46094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46094</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46094</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46094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46094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46094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46094</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46094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46094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46094</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46094</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46094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46094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46094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46094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46094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46094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46094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46094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46094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46094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46094</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46094</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46094</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46094</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46094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46094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46094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46094</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46094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46094</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46094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46094</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46094</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46094</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46094</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46094</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46094</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46094</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46094</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46094</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46094</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46094</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46094</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46094</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46094</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46094</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46094</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46094</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46094</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46094</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46094</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46094</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46094</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46094</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46094</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46094</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4161-2022</t>
        </is>
      </c>
      <c r="B123" s="1" t="n">
        <v>44588</v>
      </c>
      <c r="C123" s="1" t="n">
        <v>46094</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40702-2021</t>
        </is>
      </c>
      <c r="B124" s="1" t="n">
        <v>44420.61719907408</v>
      </c>
      <c r="C124" s="1" t="n">
        <v>46094</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46094</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46094</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46094</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46094</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46094</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46094</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46094</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46094</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6253-2022</t>
        </is>
      </c>
      <c r="B133" s="1" t="n">
        <v>44600</v>
      </c>
      <c r="C133" s="1" t="n">
        <v>46094</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23003-2021</t>
        </is>
      </c>
      <c r="B134" s="1" t="n">
        <v>44328</v>
      </c>
      <c r="C134" s="1" t="n">
        <v>46094</v>
      </c>
      <c r="D134" t="inlineStr">
        <is>
          <t>SKÅNE LÄN</t>
        </is>
      </c>
      <c r="E134" t="inlineStr">
        <is>
          <t>HÄSSLEHOLM</t>
        </is>
      </c>
      <c r="G134" t="n">
        <v>4.4</v>
      </c>
      <c r="H134" t="n">
        <v>0</v>
      </c>
      <c r="I134" t="n">
        <v>0</v>
      </c>
      <c r="J134" t="n">
        <v>0</v>
      </c>
      <c r="K134" t="n">
        <v>0</v>
      </c>
      <c r="L134" t="n">
        <v>0</v>
      </c>
      <c r="M134" t="n">
        <v>0</v>
      </c>
      <c r="N134" t="n">
        <v>0</v>
      </c>
      <c r="O134" t="n">
        <v>0</v>
      </c>
      <c r="P134" t="n">
        <v>0</v>
      </c>
      <c r="Q134" t="n">
        <v>0</v>
      </c>
      <c r="R134" s="2" t="inlineStr"/>
    </row>
    <row r="135" ht="15" customHeight="1">
      <c r="A135" t="inlineStr">
        <is>
          <t>A 5091-2022</t>
        </is>
      </c>
      <c r="B135" s="1" t="n">
        <v>44593.85114583333</v>
      </c>
      <c r="C135" s="1" t="n">
        <v>46094</v>
      </c>
      <c r="D135" t="inlineStr">
        <is>
          <t>SKÅNE LÄN</t>
        </is>
      </c>
      <c r="E135" t="inlineStr">
        <is>
          <t>HÄSSLEHOLM</t>
        </is>
      </c>
      <c r="G135" t="n">
        <v>2.5</v>
      </c>
      <c r="H135" t="n">
        <v>0</v>
      </c>
      <c r="I135" t="n">
        <v>0</v>
      </c>
      <c r="J135" t="n">
        <v>0</v>
      </c>
      <c r="K135" t="n">
        <v>0</v>
      </c>
      <c r="L135" t="n">
        <v>0</v>
      </c>
      <c r="M135" t="n">
        <v>0</v>
      </c>
      <c r="N135" t="n">
        <v>0</v>
      </c>
      <c r="O135" t="n">
        <v>0</v>
      </c>
      <c r="P135" t="n">
        <v>0</v>
      </c>
      <c r="Q135" t="n">
        <v>0</v>
      </c>
      <c r="R135" s="2" t="inlineStr"/>
    </row>
    <row r="136" ht="15" customHeight="1">
      <c r="A136" t="inlineStr">
        <is>
          <t>A 23830-2021</t>
        </is>
      </c>
      <c r="B136" s="1" t="n">
        <v>44335</v>
      </c>
      <c r="C136" s="1" t="n">
        <v>46094</v>
      </c>
      <c r="D136" t="inlineStr">
        <is>
          <t>SKÅNE LÄN</t>
        </is>
      </c>
      <c r="E136" t="inlineStr">
        <is>
          <t>HÄSSLEHOLM</t>
        </is>
      </c>
      <c r="G136" t="n">
        <v>18.7</v>
      </c>
      <c r="H136" t="n">
        <v>0</v>
      </c>
      <c r="I136" t="n">
        <v>0</v>
      </c>
      <c r="J136" t="n">
        <v>0</v>
      </c>
      <c r="K136" t="n">
        <v>0</v>
      </c>
      <c r="L136" t="n">
        <v>0</v>
      </c>
      <c r="M136" t="n">
        <v>0</v>
      </c>
      <c r="N136" t="n">
        <v>0</v>
      </c>
      <c r="O136" t="n">
        <v>0</v>
      </c>
      <c r="P136" t="n">
        <v>0</v>
      </c>
      <c r="Q136" t="n">
        <v>0</v>
      </c>
      <c r="R136" s="2" t="inlineStr"/>
    </row>
    <row r="137" ht="15" customHeight="1">
      <c r="A137" t="inlineStr">
        <is>
          <t>A 60260-2021</t>
        </is>
      </c>
      <c r="B137" s="1" t="n">
        <v>44495</v>
      </c>
      <c r="C137" s="1" t="n">
        <v>46094</v>
      </c>
      <c r="D137" t="inlineStr">
        <is>
          <t>SKÅNE LÄN</t>
        </is>
      </c>
      <c r="E137" t="inlineStr">
        <is>
          <t>HÄSSLEHOLM</t>
        </is>
      </c>
      <c r="G137" t="n">
        <v>2.1</v>
      </c>
      <c r="H137" t="n">
        <v>0</v>
      </c>
      <c r="I137" t="n">
        <v>0</v>
      </c>
      <c r="J137" t="n">
        <v>0</v>
      </c>
      <c r="K137" t="n">
        <v>0</v>
      </c>
      <c r="L137" t="n">
        <v>0</v>
      </c>
      <c r="M137" t="n">
        <v>0</v>
      </c>
      <c r="N137" t="n">
        <v>0</v>
      </c>
      <c r="O137" t="n">
        <v>0</v>
      </c>
      <c r="P137" t="n">
        <v>0</v>
      </c>
      <c r="Q137" t="n">
        <v>0</v>
      </c>
      <c r="R137" s="2" t="inlineStr"/>
    </row>
    <row r="138" ht="15" customHeight="1">
      <c r="A138" t="inlineStr">
        <is>
          <t>A 15986-2022</t>
        </is>
      </c>
      <c r="B138" s="1" t="n">
        <v>44664</v>
      </c>
      <c r="C138" s="1" t="n">
        <v>46094</v>
      </c>
      <c r="D138" t="inlineStr">
        <is>
          <t>SKÅNE LÄN</t>
        </is>
      </c>
      <c r="E138" t="inlineStr">
        <is>
          <t>HÄSSLEHOLM</t>
        </is>
      </c>
      <c r="F138" t="inlineStr">
        <is>
          <t>Kyrkan</t>
        </is>
      </c>
      <c r="G138" t="n">
        <v>6</v>
      </c>
      <c r="H138" t="n">
        <v>0</v>
      </c>
      <c r="I138" t="n">
        <v>0</v>
      </c>
      <c r="J138" t="n">
        <v>0</v>
      </c>
      <c r="K138" t="n">
        <v>0</v>
      </c>
      <c r="L138" t="n">
        <v>0</v>
      </c>
      <c r="M138" t="n">
        <v>0</v>
      </c>
      <c r="N138" t="n">
        <v>0</v>
      </c>
      <c r="O138" t="n">
        <v>0</v>
      </c>
      <c r="P138" t="n">
        <v>0</v>
      </c>
      <c r="Q138" t="n">
        <v>0</v>
      </c>
      <c r="R138" s="2" t="inlineStr"/>
    </row>
    <row r="139" ht="15" customHeight="1">
      <c r="A139" t="inlineStr">
        <is>
          <t>A 51893-2021</t>
        </is>
      </c>
      <c r="B139" s="1" t="n">
        <v>44462</v>
      </c>
      <c r="C139" s="1" t="n">
        <v>46094</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51888-2021</t>
        </is>
      </c>
      <c r="B140" s="1" t="n">
        <v>44462</v>
      </c>
      <c r="C140" s="1" t="n">
        <v>46094</v>
      </c>
      <c r="D140" t="inlineStr">
        <is>
          <t>SKÅNE LÄN</t>
        </is>
      </c>
      <c r="E140" t="inlineStr">
        <is>
          <t>HÄSSLEHOLM</t>
        </is>
      </c>
      <c r="G140" t="n">
        <v>5.6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46094</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55394-2022</t>
        </is>
      </c>
      <c r="B142" s="1" t="n">
        <v>44887.57112268519</v>
      </c>
      <c r="C142" s="1" t="n">
        <v>46094</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46094</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45357-2022</t>
        </is>
      </c>
      <c r="B144" s="1" t="n">
        <v>44844.61952546296</v>
      </c>
      <c r="C144" s="1" t="n">
        <v>46094</v>
      </c>
      <c r="D144" t="inlineStr">
        <is>
          <t>SKÅNE LÄN</t>
        </is>
      </c>
      <c r="E144" t="inlineStr">
        <is>
          <t>HÄSSLEHOLM</t>
        </is>
      </c>
      <c r="G144" t="n">
        <v>5.8</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46094</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44669-2022</t>
        </is>
      </c>
      <c r="B146" s="1" t="n">
        <v>44840</v>
      </c>
      <c r="C146" s="1" t="n">
        <v>46094</v>
      </c>
      <c r="D146" t="inlineStr">
        <is>
          <t>SKÅNE LÄN</t>
        </is>
      </c>
      <c r="E146" t="inlineStr">
        <is>
          <t>HÄSSLEHOLM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45989-2021</t>
        </is>
      </c>
      <c r="B147" s="1" t="n">
        <v>44441.74627314815</v>
      </c>
      <c r="C147" s="1" t="n">
        <v>46094</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46094</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51159-2021</t>
        </is>
      </c>
      <c r="B149" s="1" t="n">
        <v>44461</v>
      </c>
      <c r="C149" s="1" t="n">
        <v>46094</v>
      </c>
      <c r="D149" t="inlineStr">
        <is>
          <t>SKÅNE LÄN</t>
        </is>
      </c>
      <c r="E149" t="inlineStr">
        <is>
          <t>HÄSSLEHOLM</t>
        </is>
      </c>
      <c r="F149" t="inlineStr">
        <is>
          <t>Kommuner</t>
        </is>
      </c>
      <c r="G149" t="n">
        <v>0.8</v>
      </c>
      <c r="H149" t="n">
        <v>0</v>
      </c>
      <c r="I149" t="n">
        <v>0</v>
      </c>
      <c r="J149" t="n">
        <v>0</v>
      </c>
      <c r="K149" t="n">
        <v>0</v>
      </c>
      <c r="L149" t="n">
        <v>0</v>
      </c>
      <c r="M149" t="n">
        <v>0</v>
      </c>
      <c r="N149" t="n">
        <v>0</v>
      </c>
      <c r="O149" t="n">
        <v>0</v>
      </c>
      <c r="P149" t="n">
        <v>0</v>
      </c>
      <c r="Q149" t="n">
        <v>0</v>
      </c>
      <c r="R149" s="2" t="inlineStr"/>
    </row>
    <row r="150" ht="15" customHeight="1">
      <c r="A150" t="inlineStr">
        <is>
          <t>A 25469-2022</t>
        </is>
      </c>
      <c r="B150" s="1" t="n">
        <v>44732</v>
      </c>
      <c r="C150" s="1" t="n">
        <v>46094</v>
      </c>
      <c r="D150" t="inlineStr">
        <is>
          <t>SKÅNE LÄN</t>
        </is>
      </c>
      <c r="E150" t="inlineStr">
        <is>
          <t>HÄSSLEHOLM</t>
        </is>
      </c>
      <c r="G150" t="n">
        <v>4.2</v>
      </c>
      <c r="H150" t="n">
        <v>0</v>
      </c>
      <c r="I150" t="n">
        <v>0</v>
      </c>
      <c r="J150" t="n">
        <v>0</v>
      </c>
      <c r="K150" t="n">
        <v>0</v>
      </c>
      <c r="L150" t="n">
        <v>0</v>
      </c>
      <c r="M150" t="n">
        <v>0</v>
      </c>
      <c r="N150" t="n">
        <v>0</v>
      </c>
      <c r="O150" t="n">
        <v>0</v>
      </c>
      <c r="P150" t="n">
        <v>0</v>
      </c>
      <c r="Q150" t="n">
        <v>0</v>
      </c>
      <c r="R150" s="2" t="inlineStr"/>
    </row>
    <row r="151" ht="15" customHeight="1">
      <c r="A151" t="inlineStr">
        <is>
          <t>A 7262-2022</t>
        </is>
      </c>
      <c r="B151" s="1" t="n">
        <v>44606</v>
      </c>
      <c r="C151" s="1" t="n">
        <v>46094</v>
      </c>
      <c r="D151" t="inlineStr">
        <is>
          <t>SKÅNE LÄN</t>
        </is>
      </c>
      <c r="E151" t="inlineStr">
        <is>
          <t>HÄSSLEHOLM</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73513-2021</t>
        </is>
      </c>
      <c r="B152" s="1" t="n">
        <v>44551.69012731482</v>
      </c>
      <c r="C152" s="1" t="n">
        <v>46094</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25383-2021</t>
        </is>
      </c>
      <c r="B153" s="1" t="n">
        <v>44342</v>
      </c>
      <c r="C153" s="1" t="n">
        <v>46094</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13811-2021</t>
        </is>
      </c>
      <c r="B154" s="1" t="n">
        <v>44276</v>
      </c>
      <c r="C154" s="1" t="n">
        <v>46094</v>
      </c>
      <c r="D154" t="inlineStr">
        <is>
          <t>SKÅNE LÄN</t>
        </is>
      </c>
      <c r="E154" t="inlineStr">
        <is>
          <t>HÄSSLEHOLM</t>
        </is>
      </c>
      <c r="G154" t="n">
        <v>8</v>
      </c>
      <c r="H154" t="n">
        <v>0</v>
      </c>
      <c r="I154" t="n">
        <v>0</v>
      </c>
      <c r="J154" t="n">
        <v>0</v>
      </c>
      <c r="K154" t="n">
        <v>0</v>
      </c>
      <c r="L154" t="n">
        <v>0</v>
      </c>
      <c r="M154" t="n">
        <v>0</v>
      </c>
      <c r="N154" t="n">
        <v>0</v>
      </c>
      <c r="O154" t="n">
        <v>0</v>
      </c>
      <c r="P154" t="n">
        <v>0</v>
      </c>
      <c r="Q154" t="n">
        <v>0</v>
      </c>
      <c r="R154" s="2" t="inlineStr"/>
    </row>
    <row r="155" ht="15" customHeight="1">
      <c r="A155" t="inlineStr">
        <is>
          <t>A 27330-2021</t>
        </is>
      </c>
      <c r="B155" s="1" t="n">
        <v>44351</v>
      </c>
      <c r="C155" s="1" t="n">
        <v>46094</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2858-2022</t>
        </is>
      </c>
      <c r="B156" s="1" t="n">
        <v>44581</v>
      </c>
      <c r="C156" s="1" t="n">
        <v>46094</v>
      </c>
      <c r="D156" t="inlineStr">
        <is>
          <t>SKÅNE LÄN</t>
        </is>
      </c>
      <c r="E156" t="inlineStr">
        <is>
          <t>HÄSSLEHOLM</t>
        </is>
      </c>
      <c r="F156" t="inlineStr">
        <is>
          <t>Övriga Aktiebolag</t>
        </is>
      </c>
      <c r="G156" t="n">
        <v>1.3</v>
      </c>
      <c r="H156" t="n">
        <v>0</v>
      </c>
      <c r="I156" t="n">
        <v>0</v>
      </c>
      <c r="J156" t="n">
        <v>0</v>
      </c>
      <c r="K156" t="n">
        <v>0</v>
      </c>
      <c r="L156" t="n">
        <v>0</v>
      </c>
      <c r="M156" t="n">
        <v>0</v>
      </c>
      <c r="N156" t="n">
        <v>0</v>
      </c>
      <c r="O156" t="n">
        <v>0</v>
      </c>
      <c r="P156" t="n">
        <v>0</v>
      </c>
      <c r="Q156" t="n">
        <v>0</v>
      </c>
      <c r="R156" s="2" t="inlineStr"/>
    </row>
    <row r="157" ht="15" customHeight="1">
      <c r="A157" t="inlineStr">
        <is>
          <t>A 27959-2022</t>
        </is>
      </c>
      <c r="B157" s="1" t="n">
        <v>44744</v>
      </c>
      <c r="C157" s="1" t="n">
        <v>46094</v>
      </c>
      <c r="D157" t="inlineStr">
        <is>
          <t>SKÅNE LÄN</t>
        </is>
      </c>
      <c r="E157" t="inlineStr">
        <is>
          <t>HÄSSLEHOLM</t>
        </is>
      </c>
      <c r="G157" t="n">
        <v>3</v>
      </c>
      <c r="H157" t="n">
        <v>0</v>
      </c>
      <c r="I157" t="n">
        <v>0</v>
      </c>
      <c r="J157" t="n">
        <v>0</v>
      </c>
      <c r="K157" t="n">
        <v>0</v>
      </c>
      <c r="L157" t="n">
        <v>0</v>
      </c>
      <c r="M157" t="n">
        <v>0</v>
      </c>
      <c r="N157" t="n">
        <v>0</v>
      </c>
      <c r="O157" t="n">
        <v>0</v>
      </c>
      <c r="P157" t="n">
        <v>0</v>
      </c>
      <c r="Q157" t="n">
        <v>0</v>
      </c>
      <c r="R157" s="2" t="inlineStr"/>
    </row>
    <row r="158" ht="15" customHeight="1">
      <c r="A158" t="inlineStr">
        <is>
          <t>A 64826-2021</t>
        </is>
      </c>
      <c r="B158" s="1" t="n">
        <v>44512.55935185185</v>
      </c>
      <c r="C158" s="1" t="n">
        <v>46094</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23967-2022</t>
        </is>
      </c>
      <c r="B159" s="1" t="n">
        <v>44722.74079861111</v>
      </c>
      <c r="C159" s="1" t="n">
        <v>46094</v>
      </c>
      <c r="D159" t="inlineStr">
        <is>
          <t>SKÅNE LÄN</t>
        </is>
      </c>
      <c r="E159" t="inlineStr">
        <is>
          <t>HÄSSLEHOLM</t>
        </is>
      </c>
      <c r="F159" t="inlineStr">
        <is>
          <t>Kyrkan</t>
        </is>
      </c>
      <c r="G159" t="n">
        <v>12.4</v>
      </c>
      <c r="H159" t="n">
        <v>0</v>
      </c>
      <c r="I159" t="n">
        <v>0</v>
      </c>
      <c r="J159" t="n">
        <v>0</v>
      </c>
      <c r="K159" t="n">
        <v>0</v>
      </c>
      <c r="L159" t="n">
        <v>0</v>
      </c>
      <c r="M159" t="n">
        <v>0</v>
      </c>
      <c r="N159" t="n">
        <v>0</v>
      </c>
      <c r="O159" t="n">
        <v>0</v>
      </c>
      <c r="P159" t="n">
        <v>0</v>
      </c>
      <c r="Q159" t="n">
        <v>0</v>
      </c>
      <c r="R159" s="2" t="inlineStr"/>
    </row>
    <row r="160" ht="15" customHeight="1">
      <c r="A160" t="inlineStr">
        <is>
          <t>A 8177-2022</t>
        </is>
      </c>
      <c r="B160" s="1" t="n">
        <v>44607</v>
      </c>
      <c r="C160" s="1" t="n">
        <v>46094</v>
      </c>
      <c r="D160" t="inlineStr">
        <is>
          <t>SKÅNE LÄN</t>
        </is>
      </c>
      <c r="E160" t="inlineStr">
        <is>
          <t>HÄSSLEHOLM</t>
        </is>
      </c>
      <c r="F160" t="inlineStr">
        <is>
          <t>Kyrkan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25464-2022</t>
        </is>
      </c>
      <c r="B161" s="1" t="n">
        <v>44729</v>
      </c>
      <c r="C161" s="1" t="n">
        <v>46094</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7904-2022</t>
        </is>
      </c>
      <c r="B162" s="1" t="n">
        <v>44607</v>
      </c>
      <c r="C162" s="1" t="n">
        <v>46094</v>
      </c>
      <c r="D162" t="inlineStr">
        <is>
          <t>SKÅNE LÄN</t>
        </is>
      </c>
      <c r="E162" t="inlineStr">
        <is>
          <t>HÄSSLEHOLM</t>
        </is>
      </c>
      <c r="F162" t="inlineStr">
        <is>
          <t>Kyrkan</t>
        </is>
      </c>
      <c r="G162" t="n">
        <v>3.9</v>
      </c>
      <c r="H162" t="n">
        <v>0</v>
      </c>
      <c r="I162" t="n">
        <v>0</v>
      </c>
      <c r="J162" t="n">
        <v>0</v>
      </c>
      <c r="K162" t="n">
        <v>0</v>
      </c>
      <c r="L162" t="n">
        <v>0</v>
      </c>
      <c r="M162" t="n">
        <v>0</v>
      </c>
      <c r="N162" t="n">
        <v>0</v>
      </c>
      <c r="O162" t="n">
        <v>0</v>
      </c>
      <c r="P162" t="n">
        <v>0</v>
      </c>
      <c r="Q162" t="n">
        <v>0</v>
      </c>
      <c r="R162" s="2" t="inlineStr"/>
    </row>
    <row r="163" ht="15" customHeight="1">
      <c r="A163" t="inlineStr">
        <is>
          <t>A 418-2022</t>
        </is>
      </c>
      <c r="B163" s="1" t="n">
        <v>44565.84958333334</v>
      </c>
      <c r="C163" s="1" t="n">
        <v>46094</v>
      </c>
      <c r="D163" t="inlineStr">
        <is>
          <t>SKÅNE LÄN</t>
        </is>
      </c>
      <c r="E163" t="inlineStr">
        <is>
          <t>HÄSSLEHOLM</t>
        </is>
      </c>
      <c r="G163" t="n">
        <v>0</v>
      </c>
      <c r="H163" t="n">
        <v>0</v>
      </c>
      <c r="I163" t="n">
        <v>0</v>
      </c>
      <c r="J163" t="n">
        <v>0</v>
      </c>
      <c r="K163" t="n">
        <v>0</v>
      </c>
      <c r="L163" t="n">
        <v>0</v>
      </c>
      <c r="M163" t="n">
        <v>0</v>
      </c>
      <c r="N163" t="n">
        <v>0</v>
      </c>
      <c r="O163" t="n">
        <v>0</v>
      </c>
      <c r="P163" t="n">
        <v>0</v>
      </c>
      <c r="Q163" t="n">
        <v>0</v>
      </c>
      <c r="R163" s="2" t="inlineStr"/>
    </row>
    <row r="164" ht="15" customHeight="1">
      <c r="A164" t="inlineStr">
        <is>
          <t>A 7250-2022</t>
        </is>
      </c>
      <c r="B164" s="1" t="n">
        <v>44606</v>
      </c>
      <c r="C164" s="1" t="n">
        <v>46094</v>
      </c>
      <c r="D164" t="inlineStr">
        <is>
          <t>SKÅNE LÄN</t>
        </is>
      </c>
      <c r="E164" t="inlineStr">
        <is>
          <t>HÄSSLEHOLM</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51895-2021</t>
        </is>
      </c>
      <c r="B165" s="1" t="n">
        <v>44462</v>
      </c>
      <c r="C165" s="1" t="n">
        <v>46094</v>
      </c>
      <c r="D165" t="inlineStr">
        <is>
          <t>SKÅNE LÄN</t>
        </is>
      </c>
      <c r="E165" t="inlineStr">
        <is>
          <t>HÄSSLEHOLM</t>
        </is>
      </c>
      <c r="G165" t="n">
        <v>5.7</v>
      </c>
      <c r="H165" t="n">
        <v>0</v>
      </c>
      <c r="I165" t="n">
        <v>0</v>
      </c>
      <c r="J165" t="n">
        <v>0</v>
      </c>
      <c r="K165" t="n">
        <v>0</v>
      </c>
      <c r="L165" t="n">
        <v>0</v>
      </c>
      <c r="M165" t="n">
        <v>0</v>
      </c>
      <c r="N165" t="n">
        <v>0</v>
      </c>
      <c r="O165" t="n">
        <v>0</v>
      </c>
      <c r="P165" t="n">
        <v>0</v>
      </c>
      <c r="Q165" t="n">
        <v>0</v>
      </c>
      <c r="R165" s="2" t="inlineStr"/>
    </row>
    <row r="166" ht="15" customHeight="1">
      <c r="A166" t="inlineStr">
        <is>
          <t>A 30344-2022</t>
        </is>
      </c>
      <c r="B166" s="1" t="n">
        <v>44760.50783564815</v>
      </c>
      <c r="C166" s="1" t="n">
        <v>46094</v>
      </c>
      <c r="D166" t="inlineStr">
        <is>
          <t>SKÅNE LÄN</t>
        </is>
      </c>
      <c r="E166" t="inlineStr">
        <is>
          <t>HÄSSLEHOLM</t>
        </is>
      </c>
      <c r="G166" t="n">
        <v>0.6</v>
      </c>
      <c r="H166" t="n">
        <v>0</v>
      </c>
      <c r="I166" t="n">
        <v>0</v>
      </c>
      <c r="J166" t="n">
        <v>0</v>
      </c>
      <c r="K166" t="n">
        <v>0</v>
      </c>
      <c r="L166" t="n">
        <v>0</v>
      </c>
      <c r="M166" t="n">
        <v>0</v>
      </c>
      <c r="N166" t="n">
        <v>0</v>
      </c>
      <c r="O166" t="n">
        <v>0</v>
      </c>
      <c r="P166" t="n">
        <v>0</v>
      </c>
      <c r="Q166" t="n">
        <v>0</v>
      </c>
      <c r="R166" s="2" t="inlineStr"/>
    </row>
    <row r="167" ht="15" customHeight="1">
      <c r="A167" t="inlineStr">
        <is>
          <t>A 25788-2021</t>
        </is>
      </c>
      <c r="B167" s="1" t="n">
        <v>44343</v>
      </c>
      <c r="C167" s="1" t="n">
        <v>46094</v>
      </c>
      <c r="D167" t="inlineStr">
        <is>
          <t>SKÅNE LÄN</t>
        </is>
      </c>
      <c r="E167" t="inlineStr">
        <is>
          <t>HÄSSLEHOLM</t>
        </is>
      </c>
      <c r="G167" t="n">
        <v>4.8</v>
      </c>
      <c r="H167" t="n">
        <v>0</v>
      </c>
      <c r="I167" t="n">
        <v>0</v>
      </c>
      <c r="J167" t="n">
        <v>0</v>
      </c>
      <c r="K167" t="n">
        <v>0</v>
      </c>
      <c r="L167" t="n">
        <v>0</v>
      </c>
      <c r="M167" t="n">
        <v>0</v>
      </c>
      <c r="N167" t="n">
        <v>0</v>
      </c>
      <c r="O167" t="n">
        <v>0</v>
      </c>
      <c r="P167" t="n">
        <v>0</v>
      </c>
      <c r="Q167" t="n">
        <v>0</v>
      </c>
      <c r="R167" s="2" t="inlineStr"/>
    </row>
    <row r="168" ht="15" customHeight="1">
      <c r="A168" t="inlineStr">
        <is>
          <t>A 219-2022</t>
        </is>
      </c>
      <c r="B168" s="1" t="n">
        <v>44564</v>
      </c>
      <c r="C168" s="1" t="n">
        <v>46094</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6048-2022</t>
        </is>
      </c>
      <c r="B169" s="1" t="n">
        <v>44599.5174537037</v>
      </c>
      <c r="C169" s="1" t="n">
        <v>46094</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56527-2021</t>
        </is>
      </c>
      <c r="B170" s="1" t="n">
        <v>44480</v>
      </c>
      <c r="C170" s="1" t="n">
        <v>46094</v>
      </c>
      <c r="D170" t="inlineStr">
        <is>
          <t>SKÅNE LÄN</t>
        </is>
      </c>
      <c r="E170" t="inlineStr">
        <is>
          <t>HÄSSLEHOLM</t>
        </is>
      </c>
      <c r="F170" t="inlineStr">
        <is>
          <t>Kyrkan</t>
        </is>
      </c>
      <c r="G170" t="n">
        <v>2.7</v>
      </c>
      <c r="H170" t="n">
        <v>0</v>
      </c>
      <c r="I170" t="n">
        <v>0</v>
      </c>
      <c r="J170" t="n">
        <v>0</v>
      </c>
      <c r="K170" t="n">
        <v>0</v>
      </c>
      <c r="L170" t="n">
        <v>0</v>
      </c>
      <c r="M170" t="n">
        <v>0</v>
      </c>
      <c r="N170" t="n">
        <v>0</v>
      </c>
      <c r="O170" t="n">
        <v>0</v>
      </c>
      <c r="P170" t="n">
        <v>0</v>
      </c>
      <c r="Q170" t="n">
        <v>0</v>
      </c>
      <c r="R170" s="2" t="inlineStr"/>
    </row>
    <row r="171" ht="15" customHeight="1">
      <c r="A171" t="inlineStr">
        <is>
          <t>A 55412-2022</t>
        </is>
      </c>
      <c r="B171" s="1" t="n">
        <v>44882</v>
      </c>
      <c r="C171" s="1" t="n">
        <v>46094</v>
      </c>
      <c r="D171" t="inlineStr">
        <is>
          <t>SKÅNE LÄN</t>
        </is>
      </c>
      <c r="E171" t="inlineStr">
        <is>
          <t>HÄSSLEHOLM</t>
        </is>
      </c>
      <c r="F171" t="inlineStr">
        <is>
          <t>Övriga Aktiebolag</t>
        </is>
      </c>
      <c r="G171" t="n">
        <v>4</v>
      </c>
      <c r="H171" t="n">
        <v>0</v>
      </c>
      <c r="I171" t="n">
        <v>0</v>
      </c>
      <c r="J171" t="n">
        <v>0</v>
      </c>
      <c r="K171" t="n">
        <v>0</v>
      </c>
      <c r="L171" t="n">
        <v>0</v>
      </c>
      <c r="M171" t="n">
        <v>0</v>
      </c>
      <c r="N171" t="n">
        <v>0</v>
      </c>
      <c r="O171" t="n">
        <v>0</v>
      </c>
      <c r="P171" t="n">
        <v>0</v>
      </c>
      <c r="Q171" t="n">
        <v>0</v>
      </c>
      <c r="R171" s="2" t="inlineStr"/>
    </row>
    <row r="172" ht="15" customHeight="1">
      <c r="A172" t="inlineStr">
        <is>
          <t>A 53576-2022</t>
        </is>
      </c>
      <c r="B172" s="1" t="n">
        <v>44875</v>
      </c>
      <c r="C172" s="1" t="n">
        <v>46094</v>
      </c>
      <c r="D172" t="inlineStr">
        <is>
          <t>SKÅNE LÄN</t>
        </is>
      </c>
      <c r="E172" t="inlineStr">
        <is>
          <t>HÄSSLEHOLM</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3992-2022</t>
        </is>
      </c>
      <c r="B173" s="1" t="n">
        <v>44587</v>
      </c>
      <c r="C173" s="1" t="n">
        <v>46094</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3500-2024</t>
        </is>
      </c>
      <c r="B174" s="1" t="n">
        <v>45320</v>
      </c>
      <c r="C174" s="1" t="n">
        <v>46094</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58815-2023</t>
        </is>
      </c>
      <c r="B175" s="1" t="n">
        <v>45247</v>
      </c>
      <c r="C175" s="1" t="n">
        <v>46094</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3855-2023</t>
        </is>
      </c>
      <c r="B176" s="1" t="n">
        <v>44951.69708333333</v>
      </c>
      <c r="C176" s="1" t="n">
        <v>46094</v>
      </c>
      <c r="D176" t="inlineStr">
        <is>
          <t>SKÅNE LÄN</t>
        </is>
      </c>
      <c r="E176" t="inlineStr">
        <is>
          <t>HÄSSLEHOLM</t>
        </is>
      </c>
      <c r="G176" t="n">
        <v>2.3</v>
      </c>
      <c r="H176" t="n">
        <v>0</v>
      </c>
      <c r="I176" t="n">
        <v>0</v>
      </c>
      <c r="J176" t="n">
        <v>0</v>
      </c>
      <c r="K176" t="n">
        <v>0</v>
      </c>
      <c r="L176" t="n">
        <v>0</v>
      </c>
      <c r="M176" t="n">
        <v>0</v>
      </c>
      <c r="N176" t="n">
        <v>0</v>
      </c>
      <c r="O176" t="n">
        <v>0</v>
      </c>
      <c r="P176" t="n">
        <v>0</v>
      </c>
      <c r="Q176" t="n">
        <v>0</v>
      </c>
      <c r="R176" s="2" t="inlineStr"/>
    </row>
    <row r="177" ht="15" customHeight="1">
      <c r="A177" t="inlineStr">
        <is>
          <t>A 25955-2022</t>
        </is>
      </c>
      <c r="B177" s="1" t="n">
        <v>44734</v>
      </c>
      <c r="C177" s="1" t="n">
        <v>46094</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33481-2024</t>
        </is>
      </c>
      <c r="B178" s="1" t="n">
        <v>45519</v>
      </c>
      <c r="C178" s="1" t="n">
        <v>46094</v>
      </c>
      <c r="D178" t="inlineStr">
        <is>
          <t>SKÅNE LÄN</t>
        </is>
      </c>
      <c r="E178" t="inlineStr">
        <is>
          <t>HÄSSLEHOLM</t>
        </is>
      </c>
      <c r="G178" t="n">
        <v>3</v>
      </c>
      <c r="H178" t="n">
        <v>0</v>
      </c>
      <c r="I178" t="n">
        <v>0</v>
      </c>
      <c r="J178" t="n">
        <v>0</v>
      </c>
      <c r="K178" t="n">
        <v>0</v>
      </c>
      <c r="L178" t="n">
        <v>0</v>
      </c>
      <c r="M178" t="n">
        <v>0</v>
      </c>
      <c r="N178" t="n">
        <v>0</v>
      </c>
      <c r="O178" t="n">
        <v>0</v>
      </c>
      <c r="P178" t="n">
        <v>0</v>
      </c>
      <c r="Q178" t="n">
        <v>0</v>
      </c>
      <c r="R178" s="2" t="inlineStr"/>
    </row>
    <row r="179" ht="15" customHeight="1">
      <c r="A179" t="inlineStr">
        <is>
          <t>A 33597-2023</t>
        </is>
      </c>
      <c r="B179" s="1" t="n">
        <v>45132</v>
      </c>
      <c r="C179" s="1" t="n">
        <v>46094</v>
      </c>
      <c r="D179" t="inlineStr">
        <is>
          <t>SKÅNE LÄN</t>
        </is>
      </c>
      <c r="E179" t="inlineStr">
        <is>
          <t>HÄSSLEHOLM</t>
        </is>
      </c>
      <c r="G179" t="n">
        <v>3.9</v>
      </c>
      <c r="H179" t="n">
        <v>0</v>
      </c>
      <c r="I179" t="n">
        <v>0</v>
      </c>
      <c r="J179" t="n">
        <v>0</v>
      </c>
      <c r="K179" t="n">
        <v>0</v>
      </c>
      <c r="L179" t="n">
        <v>0</v>
      </c>
      <c r="M179" t="n">
        <v>0</v>
      </c>
      <c r="N179" t="n">
        <v>0</v>
      </c>
      <c r="O179" t="n">
        <v>0</v>
      </c>
      <c r="P179" t="n">
        <v>0</v>
      </c>
      <c r="Q179" t="n">
        <v>0</v>
      </c>
      <c r="R179" s="2" t="inlineStr"/>
    </row>
    <row r="180" ht="15" customHeight="1">
      <c r="A180" t="inlineStr">
        <is>
          <t>A 33599-2023</t>
        </is>
      </c>
      <c r="B180" s="1" t="n">
        <v>45132</v>
      </c>
      <c r="C180" s="1" t="n">
        <v>46094</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27173-2024</t>
        </is>
      </c>
      <c r="B181" s="1" t="n">
        <v>45471.57048611111</v>
      </c>
      <c r="C181" s="1" t="n">
        <v>46094</v>
      </c>
      <c r="D181" t="inlineStr">
        <is>
          <t>SKÅNE LÄN</t>
        </is>
      </c>
      <c r="E181" t="inlineStr">
        <is>
          <t>HÄSSLEHOLM</t>
        </is>
      </c>
      <c r="G181" t="n">
        <v>1.8</v>
      </c>
      <c r="H181" t="n">
        <v>0</v>
      </c>
      <c r="I181" t="n">
        <v>0</v>
      </c>
      <c r="J181" t="n">
        <v>0</v>
      </c>
      <c r="K181" t="n">
        <v>0</v>
      </c>
      <c r="L181" t="n">
        <v>0</v>
      </c>
      <c r="M181" t="n">
        <v>0</v>
      </c>
      <c r="N181" t="n">
        <v>0</v>
      </c>
      <c r="O181" t="n">
        <v>0</v>
      </c>
      <c r="P181" t="n">
        <v>0</v>
      </c>
      <c r="Q181" t="n">
        <v>0</v>
      </c>
      <c r="R181" s="2" t="inlineStr"/>
    </row>
    <row r="182" ht="15" customHeight="1">
      <c r="A182" t="inlineStr">
        <is>
          <t>A 20657-2022</t>
        </is>
      </c>
      <c r="B182" s="1" t="n">
        <v>44700</v>
      </c>
      <c r="C182" s="1" t="n">
        <v>46094</v>
      </c>
      <c r="D182" t="inlineStr">
        <is>
          <t>SKÅNE LÄN</t>
        </is>
      </c>
      <c r="E182" t="inlineStr">
        <is>
          <t>HÄSSLEHOLM</t>
        </is>
      </c>
      <c r="G182" t="n">
        <v>3.8</v>
      </c>
      <c r="H182" t="n">
        <v>0</v>
      </c>
      <c r="I182" t="n">
        <v>0</v>
      </c>
      <c r="J182" t="n">
        <v>0</v>
      </c>
      <c r="K182" t="n">
        <v>0</v>
      </c>
      <c r="L182" t="n">
        <v>0</v>
      </c>
      <c r="M182" t="n">
        <v>0</v>
      </c>
      <c r="N182" t="n">
        <v>0</v>
      </c>
      <c r="O182" t="n">
        <v>0</v>
      </c>
      <c r="P182" t="n">
        <v>0</v>
      </c>
      <c r="Q182" t="n">
        <v>0</v>
      </c>
      <c r="R182" s="2" t="inlineStr"/>
    </row>
    <row r="183" ht="15" customHeight="1">
      <c r="A183" t="inlineStr">
        <is>
          <t>A 1289-2024</t>
        </is>
      </c>
      <c r="B183" s="1" t="n">
        <v>45303.32234953704</v>
      </c>
      <c r="C183" s="1" t="n">
        <v>46094</v>
      </c>
      <c r="D183" t="inlineStr">
        <is>
          <t>SKÅNE LÄN</t>
        </is>
      </c>
      <c r="E183" t="inlineStr">
        <is>
          <t>HÄSSLEHOLM</t>
        </is>
      </c>
      <c r="G183" t="n">
        <v>4.6</v>
      </c>
      <c r="H183" t="n">
        <v>0</v>
      </c>
      <c r="I183" t="n">
        <v>0</v>
      </c>
      <c r="J183" t="n">
        <v>0</v>
      </c>
      <c r="K183" t="n">
        <v>0</v>
      </c>
      <c r="L183" t="n">
        <v>0</v>
      </c>
      <c r="M183" t="n">
        <v>0</v>
      </c>
      <c r="N183" t="n">
        <v>0</v>
      </c>
      <c r="O183" t="n">
        <v>0</v>
      </c>
      <c r="P183" t="n">
        <v>0</v>
      </c>
      <c r="Q183" t="n">
        <v>0</v>
      </c>
      <c r="R183" s="2" t="inlineStr"/>
    </row>
    <row r="184" ht="15" customHeight="1">
      <c r="A184" t="inlineStr">
        <is>
          <t>A 10020-2024</t>
        </is>
      </c>
      <c r="B184" s="1" t="n">
        <v>45363.96944444445</v>
      </c>
      <c r="C184" s="1" t="n">
        <v>46094</v>
      </c>
      <c r="D184" t="inlineStr">
        <is>
          <t>SKÅNE LÄN</t>
        </is>
      </c>
      <c r="E184" t="inlineStr">
        <is>
          <t>HÄSSLEHOLM</t>
        </is>
      </c>
      <c r="G184" t="n">
        <v>5.3</v>
      </c>
      <c r="H184" t="n">
        <v>0</v>
      </c>
      <c r="I184" t="n">
        <v>0</v>
      </c>
      <c r="J184" t="n">
        <v>0</v>
      </c>
      <c r="K184" t="n">
        <v>0</v>
      </c>
      <c r="L184" t="n">
        <v>0</v>
      </c>
      <c r="M184" t="n">
        <v>0</v>
      </c>
      <c r="N184" t="n">
        <v>0</v>
      </c>
      <c r="O184" t="n">
        <v>0</v>
      </c>
      <c r="P184" t="n">
        <v>0</v>
      </c>
      <c r="Q184" t="n">
        <v>0</v>
      </c>
      <c r="R184" s="2" t="inlineStr"/>
    </row>
    <row r="185" ht="15" customHeight="1">
      <c r="A185" t="inlineStr">
        <is>
          <t>A 70087-2021</t>
        </is>
      </c>
      <c r="B185" s="1" t="n">
        <v>44533</v>
      </c>
      <c r="C185" s="1" t="n">
        <v>46094</v>
      </c>
      <c r="D185" t="inlineStr">
        <is>
          <t>SKÅNE LÄN</t>
        </is>
      </c>
      <c r="E185" t="inlineStr">
        <is>
          <t>HÄSSLEHOLM</t>
        </is>
      </c>
      <c r="G185" t="n">
        <v>5</v>
      </c>
      <c r="H185" t="n">
        <v>0</v>
      </c>
      <c r="I185" t="n">
        <v>0</v>
      </c>
      <c r="J185" t="n">
        <v>0</v>
      </c>
      <c r="K185" t="n">
        <v>0</v>
      </c>
      <c r="L185" t="n">
        <v>0</v>
      </c>
      <c r="M185" t="n">
        <v>0</v>
      </c>
      <c r="N185" t="n">
        <v>0</v>
      </c>
      <c r="O185" t="n">
        <v>0</v>
      </c>
      <c r="P185" t="n">
        <v>0</v>
      </c>
      <c r="Q185" t="n">
        <v>0</v>
      </c>
      <c r="R185" s="2" t="inlineStr"/>
    </row>
    <row r="186" ht="15" customHeight="1">
      <c r="A186" t="inlineStr">
        <is>
          <t>A 54176-2022</t>
        </is>
      </c>
      <c r="B186" s="1" t="n">
        <v>44881</v>
      </c>
      <c r="C186" s="1" t="n">
        <v>46094</v>
      </c>
      <c r="D186" t="inlineStr">
        <is>
          <t>SKÅNE LÄN</t>
        </is>
      </c>
      <c r="E186" t="inlineStr">
        <is>
          <t>HÄSSLEHOLM</t>
        </is>
      </c>
      <c r="G186" t="n">
        <v>1.1</v>
      </c>
      <c r="H186" t="n">
        <v>0</v>
      </c>
      <c r="I186" t="n">
        <v>0</v>
      </c>
      <c r="J186" t="n">
        <v>0</v>
      </c>
      <c r="K186" t="n">
        <v>0</v>
      </c>
      <c r="L186" t="n">
        <v>0</v>
      </c>
      <c r="M186" t="n">
        <v>0</v>
      </c>
      <c r="N186" t="n">
        <v>0</v>
      </c>
      <c r="O186" t="n">
        <v>0</v>
      </c>
      <c r="P186" t="n">
        <v>0</v>
      </c>
      <c r="Q186" t="n">
        <v>0</v>
      </c>
      <c r="R186" s="2" t="inlineStr"/>
    </row>
    <row r="187" ht="15" customHeight="1">
      <c r="A187" t="inlineStr">
        <is>
          <t>A 354-2022</t>
        </is>
      </c>
      <c r="B187" s="1" t="n">
        <v>44565.62510416667</v>
      </c>
      <c r="C187" s="1" t="n">
        <v>46094</v>
      </c>
      <c r="D187" t="inlineStr">
        <is>
          <t>SKÅNE LÄN</t>
        </is>
      </c>
      <c r="E187" t="inlineStr">
        <is>
          <t>HÄSSLEHOLM</t>
        </is>
      </c>
      <c r="G187" t="n">
        <v>2.4</v>
      </c>
      <c r="H187" t="n">
        <v>0</v>
      </c>
      <c r="I187" t="n">
        <v>0</v>
      </c>
      <c r="J187" t="n">
        <v>0</v>
      </c>
      <c r="K187" t="n">
        <v>0</v>
      </c>
      <c r="L187" t="n">
        <v>0</v>
      </c>
      <c r="M187" t="n">
        <v>0</v>
      </c>
      <c r="N187" t="n">
        <v>0</v>
      </c>
      <c r="O187" t="n">
        <v>0</v>
      </c>
      <c r="P187" t="n">
        <v>0</v>
      </c>
      <c r="Q187" t="n">
        <v>0</v>
      </c>
      <c r="R187" s="2" t="inlineStr"/>
    </row>
    <row r="188" ht="15" customHeight="1">
      <c r="A188" t="inlineStr">
        <is>
          <t>A 7152-2025</t>
        </is>
      </c>
      <c r="B188" s="1" t="n">
        <v>45702.3837037037</v>
      </c>
      <c r="C188" s="1" t="n">
        <v>46094</v>
      </c>
      <c r="D188" t="inlineStr">
        <is>
          <t>SKÅNE LÄN</t>
        </is>
      </c>
      <c r="E188" t="inlineStr">
        <is>
          <t>HÄSSLEHOLM</t>
        </is>
      </c>
      <c r="G188" t="n">
        <v>1.3</v>
      </c>
      <c r="H188" t="n">
        <v>0</v>
      </c>
      <c r="I188" t="n">
        <v>0</v>
      </c>
      <c r="J188" t="n">
        <v>0</v>
      </c>
      <c r="K188" t="n">
        <v>0</v>
      </c>
      <c r="L188" t="n">
        <v>0</v>
      </c>
      <c r="M188" t="n">
        <v>0</v>
      </c>
      <c r="N188" t="n">
        <v>0</v>
      </c>
      <c r="O188" t="n">
        <v>0</v>
      </c>
      <c r="P188" t="n">
        <v>0</v>
      </c>
      <c r="Q188" t="n">
        <v>0</v>
      </c>
      <c r="R188" s="2" t="inlineStr"/>
    </row>
    <row r="189" ht="15" customHeight="1">
      <c r="A189" t="inlineStr">
        <is>
          <t>A 7160-2025</t>
        </is>
      </c>
      <c r="B189" s="1" t="n">
        <v>45702.3875462963</v>
      </c>
      <c r="C189" s="1" t="n">
        <v>46094</v>
      </c>
      <c r="D189" t="inlineStr">
        <is>
          <t>SKÅNE LÄN</t>
        </is>
      </c>
      <c r="E189" t="inlineStr">
        <is>
          <t>HÄSSLEHOLM</t>
        </is>
      </c>
      <c r="G189" t="n">
        <v>2.5</v>
      </c>
      <c r="H189" t="n">
        <v>0</v>
      </c>
      <c r="I189" t="n">
        <v>0</v>
      </c>
      <c r="J189" t="n">
        <v>0</v>
      </c>
      <c r="K189" t="n">
        <v>0</v>
      </c>
      <c r="L189" t="n">
        <v>0</v>
      </c>
      <c r="M189" t="n">
        <v>0</v>
      </c>
      <c r="N189" t="n">
        <v>0</v>
      </c>
      <c r="O189" t="n">
        <v>0</v>
      </c>
      <c r="P189" t="n">
        <v>0</v>
      </c>
      <c r="Q189" t="n">
        <v>0</v>
      </c>
      <c r="R189" s="2" t="inlineStr"/>
    </row>
    <row r="190" ht="15" customHeight="1">
      <c r="A190" t="inlineStr">
        <is>
          <t>A 32892-2021</t>
        </is>
      </c>
      <c r="B190" s="1" t="n">
        <v>44375</v>
      </c>
      <c r="C190" s="1" t="n">
        <v>46094</v>
      </c>
      <c r="D190" t="inlineStr">
        <is>
          <t>SKÅNE LÄN</t>
        </is>
      </c>
      <c r="E190" t="inlineStr">
        <is>
          <t>HÄSSLEHOLM</t>
        </is>
      </c>
      <c r="G190" t="n">
        <v>2.9</v>
      </c>
      <c r="H190" t="n">
        <v>0</v>
      </c>
      <c r="I190" t="n">
        <v>0</v>
      </c>
      <c r="J190" t="n">
        <v>0</v>
      </c>
      <c r="K190" t="n">
        <v>0</v>
      </c>
      <c r="L190" t="n">
        <v>0</v>
      </c>
      <c r="M190" t="n">
        <v>0</v>
      </c>
      <c r="N190" t="n">
        <v>0</v>
      </c>
      <c r="O190" t="n">
        <v>0</v>
      </c>
      <c r="P190" t="n">
        <v>0</v>
      </c>
      <c r="Q190" t="n">
        <v>0</v>
      </c>
      <c r="R190" s="2" t="inlineStr"/>
    </row>
    <row r="191" ht="15" customHeight="1">
      <c r="A191" t="inlineStr">
        <is>
          <t>A 27291-2023</t>
        </is>
      </c>
      <c r="B191" s="1" t="n">
        <v>45096</v>
      </c>
      <c r="C191" s="1" t="n">
        <v>46094</v>
      </c>
      <c r="D191" t="inlineStr">
        <is>
          <t>SKÅNE LÄN</t>
        </is>
      </c>
      <c r="E191" t="inlineStr">
        <is>
          <t>HÄSSLEHOLM</t>
        </is>
      </c>
      <c r="G191" t="n">
        <v>3.5</v>
      </c>
      <c r="H191" t="n">
        <v>0</v>
      </c>
      <c r="I191" t="n">
        <v>0</v>
      </c>
      <c r="J191" t="n">
        <v>0</v>
      </c>
      <c r="K191" t="n">
        <v>0</v>
      </c>
      <c r="L191" t="n">
        <v>0</v>
      </c>
      <c r="M191" t="n">
        <v>0</v>
      </c>
      <c r="N191" t="n">
        <v>0</v>
      </c>
      <c r="O191" t="n">
        <v>0</v>
      </c>
      <c r="P191" t="n">
        <v>0</v>
      </c>
      <c r="Q191" t="n">
        <v>0</v>
      </c>
      <c r="R191" s="2" t="inlineStr"/>
    </row>
    <row r="192" ht="15" customHeight="1">
      <c r="A192" t="inlineStr">
        <is>
          <t>A 21867-2023</t>
        </is>
      </c>
      <c r="B192" s="1" t="n">
        <v>45063</v>
      </c>
      <c r="C192" s="1" t="n">
        <v>46094</v>
      </c>
      <c r="D192" t="inlineStr">
        <is>
          <t>SKÅNE LÄN</t>
        </is>
      </c>
      <c r="E192" t="inlineStr">
        <is>
          <t>HÄSSLEHOLM</t>
        </is>
      </c>
      <c r="G192" t="n">
        <v>7.6</v>
      </c>
      <c r="H192" t="n">
        <v>0</v>
      </c>
      <c r="I192" t="n">
        <v>0</v>
      </c>
      <c r="J192" t="n">
        <v>0</v>
      </c>
      <c r="K192" t="n">
        <v>0</v>
      </c>
      <c r="L192" t="n">
        <v>0</v>
      </c>
      <c r="M192" t="n">
        <v>0</v>
      </c>
      <c r="N192" t="n">
        <v>0</v>
      </c>
      <c r="O192" t="n">
        <v>0</v>
      </c>
      <c r="P192" t="n">
        <v>0</v>
      </c>
      <c r="Q192" t="n">
        <v>0</v>
      </c>
      <c r="R192" s="2" t="inlineStr"/>
    </row>
    <row r="193" ht="15" customHeight="1">
      <c r="A193" t="inlineStr">
        <is>
          <t>A 23956-2023</t>
        </is>
      </c>
      <c r="B193" s="1" t="n">
        <v>45078.62302083334</v>
      </c>
      <c r="C193" s="1" t="n">
        <v>46094</v>
      </c>
      <c r="D193" t="inlineStr">
        <is>
          <t>SKÅNE LÄN</t>
        </is>
      </c>
      <c r="E193" t="inlineStr">
        <is>
          <t>HÄSSLEHOLM</t>
        </is>
      </c>
      <c r="G193" t="n">
        <v>0.1</v>
      </c>
      <c r="H193" t="n">
        <v>0</v>
      </c>
      <c r="I193" t="n">
        <v>0</v>
      </c>
      <c r="J193" t="n">
        <v>0</v>
      </c>
      <c r="K193" t="n">
        <v>0</v>
      </c>
      <c r="L193" t="n">
        <v>0</v>
      </c>
      <c r="M193" t="n">
        <v>0</v>
      </c>
      <c r="N193" t="n">
        <v>0</v>
      </c>
      <c r="O193" t="n">
        <v>0</v>
      </c>
      <c r="P193" t="n">
        <v>0</v>
      </c>
      <c r="Q193" t="n">
        <v>0</v>
      </c>
      <c r="R193" s="2" t="inlineStr"/>
    </row>
    <row r="194" ht="15" customHeight="1">
      <c r="A194" t="inlineStr">
        <is>
          <t>A 5284-2023</t>
        </is>
      </c>
      <c r="B194" s="1" t="n">
        <v>44959.50608796296</v>
      </c>
      <c r="C194" s="1" t="n">
        <v>46094</v>
      </c>
      <c r="D194" t="inlineStr">
        <is>
          <t>SKÅNE LÄN</t>
        </is>
      </c>
      <c r="E194" t="inlineStr">
        <is>
          <t>HÄSSLEHOLM</t>
        </is>
      </c>
      <c r="G194" t="n">
        <v>0.4</v>
      </c>
      <c r="H194" t="n">
        <v>0</v>
      </c>
      <c r="I194" t="n">
        <v>0</v>
      </c>
      <c r="J194" t="n">
        <v>0</v>
      </c>
      <c r="K194" t="n">
        <v>0</v>
      </c>
      <c r="L194" t="n">
        <v>0</v>
      </c>
      <c r="M194" t="n">
        <v>0</v>
      </c>
      <c r="N194" t="n">
        <v>0</v>
      </c>
      <c r="O194" t="n">
        <v>0</v>
      </c>
      <c r="P194" t="n">
        <v>0</v>
      </c>
      <c r="Q194" t="n">
        <v>0</v>
      </c>
      <c r="R194" s="2" t="inlineStr"/>
    </row>
    <row r="195" ht="15" customHeight="1">
      <c r="A195" t="inlineStr">
        <is>
          <t>A 5285-2023</t>
        </is>
      </c>
      <c r="B195" s="1" t="n">
        <v>44959.50783564815</v>
      </c>
      <c r="C195" s="1" t="n">
        <v>46094</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441-2022</t>
        </is>
      </c>
      <c r="B196" s="1" t="n">
        <v>44565.97125</v>
      </c>
      <c r="C196" s="1" t="n">
        <v>46094</v>
      </c>
      <c r="D196" t="inlineStr">
        <is>
          <t>SKÅNE LÄN</t>
        </is>
      </c>
      <c r="E196" t="inlineStr">
        <is>
          <t>HÄSSLEHOLM</t>
        </is>
      </c>
      <c r="G196" t="n">
        <v>2.1</v>
      </c>
      <c r="H196" t="n">
        <v>0</v>
      </c>
      <c r="I196" t="n">
        <v>0</v>
      </c>
      <c r="J196" t="n">
        <v>0</v>
      </c>
      <c r="K196" t="n">
        <v>0</v>
      </c>
      <c r="L196" t="n">
        <v>0</v>
      </c>
      <c r="M196" t="n">
        <v>0</v>
      </c>
      <c r="N196" t="n">
        <v>0</v>
      </c>
      <c r="O196" t="n">
        <v>0</v>
      </c>
      <c r="P196" t="n">
        <v>0</v>
      </c>
      <c r="Q196" t="n">
        <v>0</v>
      </c>
      <c r="R196" s="2" t="inlineStr"/>
    </row>
    <row r="197" ht="15" customHeight="1">
      <c r="A197" t="inlineStr">
        <is>
          <t>A 34888-2023</t>
        </is>
      </c>
      <c r="B197" s="1" t="n">
        <v>45142.388125</v>
      </c>
      <c r="C197" s="1" t="n">
        <v>46094</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39102-2022</t>
        </is>
      </c>
      <c r="B198" s="1" t="n">
        <v>44817.43260416666</v>
      </c>
      <c r="C198" s="1" t="n">
        <v>46094</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5887-2025</t>
        </is>
      </c>
      <c r="B199" s="1" t="n">
        <v>45695.37925925926</v>
      </c>
      <c r="C199" s="1" t="n">
        <v>46094</v>
      </c>
      <c r="D199" t="inlineStr">
        <is>
          <t>SKÅNE LÄN</t>
        </is>
      </c>
      <c r="E199" t="inlineStr">
        <is>
          <t>HÄSSLEHOLM</t>
        </is>
      </c>
      <c r="G199" t="n">
        <v>4.8</v>
      </c>
      <c r="H199" t="n">
        <v>0</v>
      </c>
      <c r="I199" t="n">
        <v>0</v>
      </c>
      <c r="J199" t="n">
        <v>0</v>
      </c>
      <c r="K199" t="n">
        <v>0</v>
      </c>
      <c r="L199" t="n">
        <v>0</v>
      </c>
      <c r="M199" t="n">
        <v>0</v>
      </c>
      <c r="N199" t="n">
        <v>0</v>
      </c>
      <c r="O199" t="n">
        <v>0</v>
      </c>
      <c r="P199" t="n">
        <v>0</v>
      </c>
      <c r="Q199" t="n">
        <v>0</v>
      </c>
      <c r="R199" s="2" t="inlineStr"/>
    </row>
    <row r="200" ht="15" customHeight="1">
      <c r="A200" t="inlineStr">
        <is>
          <t>A 54435-2024</t>
        </is>
      </c>
      <c r="B200" s="1" t="n">
        <v>45617.49494212963</v>
      </c>
      <c r="C200" s="1" t="n">
        <v>46094</v>
      </c>
      <c r="D200" t="inlineStr">
        <is>
          <t>SKÅNE LÄN</t>
        </is>
      </c>
      <c r="E200" t="inlineStr">
        <is>
          <t>HÄSSLEHOLM</t>
        </is>
      </c>
      <c r="G200" t="n">
        <v>2.3</v>
      </c>
      <c r="H200" t="n">
        <v>0</v>
      </c>
      <c r="I200" t="n">
        <v>0</v>
      </c>
      <c r="J200" t="n">
        <v>0</v>
      </c>
      <c r="K200" t="n">
        <v>0</v>
      </c>
      <c r="L200" t="n">
        <v>0</v>
      </c>
      <c r="M200" t="n">
        <v>0</v>
      </c>
      <c r="N200" t="n">
        <v>0</v>
      </c>
      <c r="O200" t="n">
        <v>0</v>
      </c>
      <c r="P200" t="n">
        <v>0</v>
      </c>
      <c r="Q200" t="n">
        <v>0</v>
      </c>
      <c r="R200" s="2" t="inlineStr"/>
    </row>
    <row r="201" ht="15" customHeight="1">
      <c r="A201" t="inlineStr">
        <is>
          <t>A 58886-2024</t>
        </is>
      </c>
      <c r="B201" s="1" t="n">
        <v>45636.45380787037</v>
      </c>
      <c r="C201" s="1" t="n">
        <v>46094</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13087-2023</t>
        </is>
      </c>
      <c r="B202" s="1" t="n">
        <v>45001</v>
      </c>
      <c r="C202" s="1" t="n">
        <v>46094</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14674-2025</t>
        </is>
      </c>
      <c r="B203" s="1" t="n">
        <v>45742.55548611111</v>
      </c>
      <c r="C203" s="1" t="n">
        <v>46094</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14702-2025</t>
        </is>
      </c>
      <c r="B204" s="1" t="n">
        <v>45742.60403935185</v>
      </c>
      <c r="C204" s="1" t="n">
        <v>46094</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16388-2025</t>
        </is>
      </c>
      <c r="B205" s="1" t="n">
        <v>45751.42787037037</v>
      </c>
      <c r="C205" s="1" t="n">
        <v>46094</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23950-2023</t>
        </is>
      </c>
      <c r="B206" s="1" t="n">
        <v>45078.61771990741</v>
      </c>
      <c r="C206" s="1" t="n">
        <v>46094</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14157-2021</t>
        </is>
      </c>
      <c r="B207" s="1" t="n">
        <v>44278.43246527778</v>
      </c>
      <c r="C207" s="1" t="n">
        <v>46094</v>
      </c>
      <c r="D207" t="inlineStr">
        <is>
          <t>SKÅNE LÄN</t>
        </is>
      </c>
      <c r="E207" t="inlineStr">
        <is>
          <t>HÄSSLEHOLM</t>
        </is>
      </c>
      <c r="G207" t="n">
        <v>10.5</v>
      </c>
      <c r="H207" t="n">
        <v>0</v>
      </c>
      <c r="I207" t="n">
        <v>0</v>
      </c>
      <c r="J207" t="n">
        <v>0</v>
      </c>
      <c r="K207" t="n">
        <v>0</v>
      </c>
      <c r="L207" t="n">
        <v>0</v>
      </c>
      <c r="M207" t="n">
        <v>0</v>
      </c>
      <c r="N207" t="n">
        <v>0</v>
      </c>
      <c r="O207" t="n">
        <v>0</v>
      </c>
      <c r="P207" t="n">
        <v>0</v>
      </c>
      <c r="Q207" t="n">
        <v>0</v>
      </c>
      <c r="R207" s="2" t="inlineStr"/>
    </row>
    <row r="208" ht="15" customHeight="1">
      <c r="A208" t="inlineStr">
        <is>
          <t>A 23952-2023</t>
        </is>
      </c>
      <c r="B208" s="1" t="n">
        <v>45078.62064814815</v>
      </c>
      <c r="C208" s="1" t="n">
        <v>46094</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35974-2022</t>
        </is>
      </c>
      <c r="B209" s="1" t="n">
        <v>44802</v>
      </c>
      <c r="C209" s="1" t="n">
        <v>46094</v>
      </c>
      <c r="D209" t="inlineStr">
        <is>
          <t>SKÅNE LÄN</t>
        </is>
      </c>
      <c r="E209" t="inlineStr">
        <is>
          <t>HÄSSLEHOLM</t>
        </is>
      </c>
      <c r="G209" t="n">
        <v>3.8</v>
      </c>
      <c r="H209" t="n">
        <v>0</v>
      </c>
      <c r="I209" t="n">
        <v>0</v>
      </c>
      <c r="J209" t="n">
        <v>0</v>
      </c>
      <c r="K209" t="n">
        <v>0</v>
      </c>
      <c r="L209" t="n">
        <v>0</v>
      </c>
      <c r="M209" t="n">
        <v>0</v>
      </c>
      <c r="N209" t="n">
        <v>0</v>
      </c>
      <c r="O209" t="n">
        <v>0</v>
      </c>
      <c r="P209" t="n">
        <v>0</v>
      </c>
      <c r="Q209" t="n">
        <v>0</v>
      </c>
      <c r="R209" s="2" t="inlineStr"/>
    </row>
    <row r="210" ht="15" customHeight="1">
      <c r="A210" t="inlineStr">
        <is>
          <t>A 47112-2021</t>
        </is>
      </c>
      <c r="B210" s="1" t="n">
        <v>44446</v>
      </c>
      <c r="C210" s="1" t="n">
        <v>46094</v>
      </c>
      <c r="D210" t="inlineStr">
        <is>
          <t>SKÅNE LÄN</t>
        </is>
      </c>
      <c r="E210" t="inlineStr">
        <is>
          <t>HÄSSLEHOLM</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20666-2023</t>
        </is>
      </c>
      <c r="B211" s="1" t="n">
        <v>45058.35664351852</v>
      </c>
      <c r="C211" s="1" t="n">
        <v>46094</v>
      </c>
      <c r="D211" t="inlineStr">
        <is>
          <t>SKÅNE LÄN</t>
        </is>
      </c>
      <c r="E211" t="inlineStr">
        <is>
          <t>HÄSSLEHOLM</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1619-2022</t>
        </is>
      </c>
      <c r="B212" s="1" t="n">
        <v>44573</v>
      </c>
      <c r="C212" s="1" t="n">
        <v>46094</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59028-2023</t>
        </is>
      </c>
      <c r="B213" s="1" t="n">
        <v>45252.67900462963</v>
      </c>
      <c r="C213" s="1" t="n">
        <v>46094</v>
      </c>
      <c r="D213" t="inlineStr">
        <is>
          <t>SKÅNE LÄN</t>
        </is>
      </c>
      <c r="E213" t="inlineStr">
        <is>
          <t>HÄSSLEHOLM</t>
        </is>
      </c>
      <c r="G213" t="n">
        <v>2.5</v>
      </c>
      <c r="H213" t="n">
        <v>0</v>
      </c>
      <c r="I213" t="n">
        <v>0</v>
      </c>
      <c r="J213" t="n">
        <v>0</v>
      </c>
      <c r="K213" t="n">
        <v>0</v>
      </c>
      <c r="L213" t="n">
        <v>0</v>
      </c>
      <c r="M213" t="n">
        <v>0</v>
      </c>
      <c r="N213" t="n">
        <v>0</v>
      </c>
      <c r="O213" t="n">
        <v>0</v>
      </c>
      <c r="P213" t="n">
        <v>0</v>
      </c>
      <c r="Q213" t="n">
        <v>0</v>
      </c>
      <c r="R213" s="2" t="inlineStr"/>
    </row>
    <row r="214" ht="15" customHeight="1">
      <c r="A214" t="inlineStr">
        <is>
          <t>A 41874-2024</t>
        </is>
      </c>
      <c r="B214" s="1" t="n">
        <v>45561</v>
      </c>
      <c r="C214" s="1" t="n">
        <v>46094</v>
      </c>
      <c r="D214" t="inlineStr">
        <is>
          <t>SKÅNE LÄN</t>
        </is>
      </c>
      <c r="E214" t="inlineStr">
        <is>
          <t>HÄSSLEHOLM</t>
        </is>
      </c>
      <c r="G214" t="n">
        <v>1</v>
      </c>
      <c r="H214" t="n">
        <v>0</v>
      </c>
      <c r="I214" t="n">
        <v>0</v>
      </c>
      <c r="J214" t="n">
        <v>0</v>
      </c>
      <c r="K214" t="n">
        <v>0</v>
      </c>
      <c r="L214" t="n">
        <v>0</v>
      </c>
      <c r="M214" t="n">
        <v>0</v>
      </c>
      <c r="N214" t="n">
        <v>0</v>
      </c>
      <c r="O214" t="n">
        <v>0</v>
      </c>
      <c r="P214" t="n">
        <v>0</v>
      </c>
      <c r="Q214" t="n">
        <v>0</v>
      </c>
      <c r="R214" s="2" t="inlineStr"/>
    </row>
    <row r="215" ht="15" customHeight="1">
      <c r="A215" t="inlineStr">
        <is>
          <t>A 54874-2022</t>
        </is>
      </c>
      <c r="B215" s="1" t="n">
        <v>44881</v>
      </c>
      <c r="C215" s="1" t="n">
        <v>46094</v>
      </c>
      <c r="D215" t="inlineStr">
        <is>
          <t>SKÅNE LÄN</t>
        </is>
      </c>
      <c r="E215" t="inlineStr">
        <is>
          <t>HÄSSLEHOLM</t>
        </is>
      </c>
      <c r="G215" t="n">
        <v>8.1</v>
      </c>
      <c r="H215" t="n">
        <v>0</v>
      </c>
      <c r="I215" t="n">
        <v>0</v>
      </c>
      <c r="J215" t="n">
        <v>0</v>
      </c>
      <c r="K215" t="n">
        <v>0</v>
      </c>
      <c r="L215" t="n">
        <v>0</v>
      </c>
      <c r="M215" t="n">
        <v>0</v>
      </c>
      <c r="N215" t="n">
        <v>0</v>
      </c>
      <c r="O215" t="n">
        <v>0</v>
      </c>
      <c r="P215" t="n">
        <v>0</v>
      </c>
      <c r="Q215" t="n">
        <v>0</v>
      </c>
      <c r="R215" s="2" t="inlineStr"/>
    </row>
    <row r="216" ht="15" customHeight="1">
      <c r="A216" t="inlineStr">
        <is>
          <t>A 8250-2023</t>
        </is>
      </c>
      <c r="B216" s="1" t="n">
        <v>44974</v>
      </c>
      <c r="C216" s="1" t="n">
        <v>46094</v>
      </c>
      <c r="D216" t="inlineStr">
        <is>
          <t>SKÅNE LÄN</t>
        </is>
      </c>
      <c r="E216" t="inlineStr">
        <is>
          <t>HÄSSLEHOLM</t>
        </is>
      </c>
      <c r="G216" t="n">
        <v>3</v>
      </c>
      <c r="H216" t="n">
        <v>0</v>
      </c>
      <c r="I216" t="n">
        <v>0</v>
      </c>
      <c r="J216" t="n">
        <v>0</v>
      </c>
      <c r="K216" t="n">
        <v>0</v>
      </c>
      <c r="L216" t="n">
        <v>0</v>
      </c>
      <c r="M216" t="n">
        <v>0</v>
      </c>
      <c r="N216" t="n">
        <v>0</v>
      </c>
      <c r="O216" t="n">
        <v>0</v>
      </c>
      <c r="P216" t="n">
        <v>0</v>
      </c>
      <c r="Q216" t="n">
        <v>0</v>
      </c>
      <c r="R216" s="2" t="inlineStr"/>
    </row>
    <row r="217" ht="15" customHeight="1">
      <c r="A217" t="inlineStr">
        <is>
          <t>A 55284-2023</t>
        </is>
      </c>
      <c r="B217" s="1" t="n">
        <v>45237.74259259259</v>
      </c>
      <c r="C217" s="1" t="n">
        <v>46094</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57079-2022</t>
        </is>
      </c>
      <c r="B218" s="1" t="n">
        <v>44895</v>
      </c>
      <c r="C218" s="1" t="n">
        <v>46094</v>
      </c>
      <c r="D218" t="inlineStr">
        <is>
          <t>SKÅNE LÄN</t>
        </is>
      </c>
      <c r="E218" t="inlineStr">
        <is>
          <t>HÄSSLEHOLM</t>
        </is>
      </c>
      <c r="G218" t="n">
        <v>2.6</v>
      </c>
      <c r="H218" t="n">
        <v>0</v>
      </c>
      <c r="I218" t="n">
        <v>0</v>
      </c>
      <c r="J218" t="n">
        <v>0</v>
      </c>
      <c r="K218" t="n">
        <v>0</v>
      </c>
      <c r="L218" t="n">
        <v>0</v>
      </c>
      <c r="M218" t="n">
        <v>0</v>
      </c>
      <c r="N218" t="n">
        <v>0</v>
      </c>
      <c r="O218" t="n">
        <v>0</v>
      </c>
      <c r="P218" t="n">
        <v>0</v>
      </c>
      <c r="Q218" t="n">
        <v>0</v>
      </c>
      <c r="R218" s="2" t="inlineStr"/>
    </row>
    <row r="219" ht="15" customHeight="1">
      <c r="A219" t="inlineStr">
        <is>
          <t>A 15698-2023</t>
        </is>
      </c>
      <c r="B219" s="1" t="n">
        <v>45021</v>
      </c>
      <c r="C219" s="1" t="n">
        <v>46094</v>
      </c>
      <c r="D219" t="inlineStr">
        <is>
          <t>SKÅNE LÄN</t>
        </is>
      </c>
      <c r="E219" t="inlineStr">
        <is>
          <t>HÄSSLEHOLM</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17152-2025</t>
        </is>
      </c>
      <c r="B220" s="1" t="n">
        <v>45756.33318287037</v>
      </c>
      <c r="C220" s="1" t="n">
        <v>46094</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20566-2023</t>
        </is>
      </c>
      <c r="B221" s="1" t="n">
        <v>45057</v>
      </c>
      <c r="C221" s="1" t="n">
        <v>46094</v>
      </c>
      <c r="D221" t="inlineStr">
        <is>
          <t>SKÅNE LÄN</t>
        </is>
      </c>
      <c r="E221" t="inlineStr">
        <is>
          <t>HÄSSLEHOLM</t>
        </is>
      </c>
      <c r="G221" t="n">
        <v>5.2</v>
      </c>
      <c r="H221" t="n">
        <v>0</v>
      </c>
      <c r="I221" t="n">
        <v>0</v>
      </c>
      <c r="J221" t="n">
        <v>0</v>
      </c>
      <c r="K221" t="n">
        <v>0</v>
      </c>
      <c r="L221" t="n">
        <v>0</v>
      </c>
      <c r="M221" t="n">
        <v>0</v>
      </c>
      <c r="N221" t="n">
        <v>0</v>
      </c>
      <c r="O221" t="n">
        <v>0</v>
      </c>
      <c r="P221" t="n">
        <v>0</v>
      </c>
      <c r="Q221" t="n">
        <v>0</v>
      </c>
      <c r="R221" s="2" t="inlineStr"/>
    </row>
    <row r="222" ht="15" customHeight="1">
      <c r="A222" t="inlineStr">
        <is>
          <t>A 34301-2024</t>
        </is>
      </c>
      <c r="B222" s="1" t="n">
        <v>45524</v>
      </c>
      <c r="C222" s="1" t="n">
        <v>46094</v>
      </c>
      <c r="D222" t="inlineStr">
        <is>
          <t>SKÅNE LÄN</t>
        </is>
      </c>
      <c r="E222" t="inlineStr">
        <is>
          <t>HÄSSLEHOLM</t>
        </is>
      </c>
      <c r="G222" t="n">
        <v>0.4</v>
      </c>
      <c r="H222" t="n">
        <v>0</v>
      </c>
      <c r="I222" t="n">
        <v>0</v>
      </c>
      <c r="J222" t="n">
        <v>0</v>
      </c>
      <c r="K222" t="n">
        <v>0</v>
      </c>
      <c r="L222" t="n">
        <v>0</v>
      </c>
      <c r="M222" t="n">
        <v>0</v>
      </c>
      <c r="N222" t="n">
        <v>0</v>
      </c>
      <c r="O222" t="n">
        <v>0</v>
      </c>
      <c r="P222" t="n">
        <v>0</v>
      </c>
      <c r="Q222" t="n">
        <v>0</v>
      </c>
      <c r="R222" s="2" t="inlineStr"/>
    </row>
    <row r="223" ht="15" customHeight="1">
      <c r="A223" t="inlineStr">
        <is>
          <t>A 27242-2022</t>
        </is>
      </c>
      <c r="B223" s="1" t="n">
        <v>44741</v>
      </c>
      <c r="C223" s="1" t="n">
        <v>46094</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61158-2022</t>
        </is>
      </c>
      <c r="B224" s="1" t="n">
        <v>44915.47112268519</v>
      </c>
      <c r="C224" s="1" t="n">
        <v>46094</v>
      </c>
      <c r="D224" t="inlineStr">
        <is>
          <t>SKÅNE LÄN</t>
        </is>
      </c>
      <c r="E224" t="inlineStr">
        <is>
          <t>HÄSSLEHOLM</t>
        </is>
      </c>
      <c r="G224" t="n">
        <v>8.4</v>
      </c>
      <c r="H224" t="n">
        <v>0</v>
      </c>
      <c r="I224" t="n">
        <v>0</v>
      </c>
      <c r="J224" t="n">
        <v>0</v>
      </c>
      <c r="K224" t="n">
        <v>0</v>
      </c>
      <c r="L224" t="n">
        <v>0</v>
      </c>
      <c r="M224" t="n">
        <v>0</v>
      </c>
      <c r="N224" t="n">
        <v>0</v>
      </c>
      <c r="O224" t="n">
        <v>0</v>
      </c>
      <c r="P224" t="n">
        <v>0</v>
      </c>
      <c r="Q224" t="n">
        <v>0</v>
      </c>
      <c r="R224" s="2" t="inlineStr"/>
    </row>
    <row r="225" ht="15" customHeight="1">
      <c r="A225" t="inlineStr">
        <is>
          <t>A 61186-2022</t>
        </is>
      </c>
      <c r="B225" s="1" t="n">
        <v>44915.50745370371</v>
      </c>
      <c r="C225" s="1" t="n">
        <v>46094</v>
      </c>
      <c r="D225" t="inlineStr">
        <is>
          <t>SKÅNE LÄN</t>
        </is>
      </c>
      <c r="E225" t="inlineStr">
        <is>
          <t>HÄSSLEHOLM</t>
        </is>
      </c>
      <c r="G225" t="n">
        <v>2.9</v>
      </c>
      <c r="H225" t="n">
        <v>0</v>
      </c>
      <c r="I225" t="n">
        <v>0</v>
      </c>
      <c r="J225" t="n">
        <v>0</v>
      </c>
      <c r="K225" t="n">
        <v>0</v>
      </c>
      <c r="L225" t="n">
        <v>0</v>
      </c>
      <c r="M225" t="n">
        <v>0</v>
      </c>
      <c r="N225" t="n">
        <v>0</v>
      </c>
      <c r="O225" t="n">
        <v>0</v>
      </c>
      <c r="P225" t="n">
        <v>0</v>
      </c>
      <c r="Q225" t="n">
        <v>0</v>
      </c>
      <c r="R225" s="2" t="inlineStr"/>
    </row>
    <row r="226" ht="15" customHeight="1">
      <c r="A226" t="inlineStr">
        <is>
          <t>A 7890-2024</t>
        </is>
      </c>
      <c r="B226" s="1" t="n">
        <v>45350.40780092592</v>
      </c>
      <c r="C226" s="1" t="n">
        <v>46094</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62055-2023</t>
        </is>
      </c>
      <c r="B227" s="1" t="n">
        <v>45266.70287037037</v>
      </c>
      <c r="C227" s="1" t="n">
        <v>46094</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34886-2023</t>
        </is>
      </c>
      <c r="B228" s="1" t="n">
        <v>45142.38450231482</v>
      </c>
      <c r="C228" s="1" t="n">
        <v>46094</v>
      </c>
      <c r="D228" t="inlineStr">
        <is>
          <t>SKÅNE LÄN</t>
        </is>
      </c>
      <c r="E228" t="inlineStr">
        <is>
          <t>HÄSSLEHOLM</t>
        </is>
      </c>
      <c r="G228" t="n">
        <v>1.3</v>
      </c>
      <c r="H228" t="n">
        <v>0</v>
      </c>
      <c r="I228" t="n">
        <v>0</v>
      </c>
      <c r="J228" t="n">
        <v>0</v>
      </c>
      <c r="K228" t="n">
        <v>0</v>
      </c>
      <c r="L228" t="n">
        <v>0</v>
      </c>
      <c r="M228" t="n">
        <v>0</v>
      </c>
      <c r="N228" t="n">
        <v>0</v>
      </c>
      <c r="O228" t="n">
        <v>0</v>
      </c>
      <c r="P228" t="n">
        <v>0</v>
      </c>
      <c r="Q228" t="n">
        <v>0</v>
      </c>
      <c r="R228" s="2" t="inlineStr"/>
    </row>
    <row r="229" ht="15" customHeight="1">
      <c r="A229" t="inlineStr">
        <is>
          <t>A 2596-2024</t>
        </is>
      </c>
      <c r="B229" s="1" t="n">
        <v>45313.69969907407</v>
      </c>
      <c r="C229" s="1" t="n">
        <v>46094</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24241-2023</t>
        </is>
      </c>
      <c r="B230" s="1" t="n">
        <v>45079.61476851852</v>
      </c>
      <c r="C230" s="1" t="n">
        <v>46094</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6842-2023</t>
        </is>
      </c>
      <c r="B231" s="1" t="n">
        <v>44967</v>
      </c>
      <c r="C231" s="1" t="n">
        <v>46094</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48747-2022</t>
        </is>
      </c>
      <c r="B232" s="1" t="n">
        <v>44859</v>
      </c>
      <c r="C232" s="1" t="n">
        <v>46094</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21310-2022</t>
        </is>
      </c>
      <c r="B233" s="1" t="n">
        <v>44705</v>
      </c>
      <c r="C233" s="1" t="n">
        <v>46094</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33465-2024</t>
        </is>
      </c>
      <c r="B234" s="1" t="n">
        <v>45519.59619212963</v>
      </c>
      <c r="C234" s="1" t="n">
        <v>46094</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7153-2025</t>
        </is>
      </c>
      <c r="B235" s="1" t="n">
        <v>45702.38512731482</v>
      </c>
      <c r="C235" s="1" t="n">
        <v>46094</v>
      </c>
      <c r="D235" t="inlineStr">
        <is>
          <t>SKÅNE LÄN</t>
        </is>
      </c>
      <c r="E235" t="inlineStr">
        <is>
          <t>HÄSSLEHOLM</t>
        </is>
      </c>
      <c r="G235" t="n">
        <v>2.7</v>
      </c>
      <c r="H235" t="n">
        <v>0</v>
      </c>
      <c r="I235" t="n">
        <v>0</v>
      </c>
      <c r="J235" t="n">
        <v>0</v>
      </c>
      <c r="K235" t="n">
        <v>0</v>
      </c>
      <c r="L235" t="n">
        <v>0</v>
      </c>
      <c r="M235" t="n">
        <v>0</v>
      </c>
      <c r="N235" t="n">
        <v>0</v>
      </c>
      <c r="O235" t="n">
        <v>0</v>
      </c>
      <c r="P235" t="n">
        <v>0</v>
      </c>
      <c r="Q235" t="n">
        <v>0</v>
      </c>
      <c r="R235" s="2" t="inlineStr"/>
    </row>
    <row r="236" ht="15" customHeight="1">
      <c r="A236" t="inlineStr">
        <is>
          <t>A 50899-2024</t>
        </is>
      </c>
      <c r="B236" s="1" t="n">
        <v>45602.68584490741</v>
      </c>
      <c r="C236" s="1" t="n">
        <v>46094</v>
      </c>
      <c r="D236" t="inlineStr">
        <is>
          <t>SKÅNE LÄN</t>
        </is>
      </c>
      <c r="E236" t="inlineStr">
        <is>
          <t>HÄSSLEHOLM</t>
        </is>
      </c>
      <c r="G236" t="n">
        <v>1.7</v>
      </c>
      <c r="H236" t="n">
        <v>0</v>
      </c>
      <c r="I236" t="n">
        <v>0</v>
      </c>
      <c r="J236" t="n">
        <v>0</v>
      </c>
      <c r="K236" t="n">
        <v>0</v>
      </c>
      <c r="L236" t="n">
        <v>0</v>
      </c>
      <c r="M236" t="n">
        <v>0</v>
      </c>
      <c r="N236" t="n">
        <v>0</v>
      </c>
      <c r="O236" t="n">
        <v>0</v>
      </c>
      <c r="P236" t="n">
        <v>0</v>
      </c>
      <c r="Q236" t="n">
        <v>0</v>
      </c>
      <c r="R236" s="2" t="inlineStr"/>
    </row>
    <row r="237" ht="15" customHeight="1">
      <c r="A237" t="inlineStr">
        <is>
          <t>A 26642-2023</t>
        </is>
      </c>
      <c r="B237" s="1" t="n">
        <v>45092.8975</v>
      </c>
      <c r="C237" s="1" t="n">
        <v>46094</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6414-2022</t>
        </is>
      </c>
      <c r="B238" s="1" t="n">
        <v>44600</v>
      </c>
      <c r="C238" s="1" t="n">
        <v>46094</v>
      </c>
      <c r="D238" t="inlineStr">
        <is>
          <t>SKÅNE LÄN</t>
        </is>
      </c>
      <c r="E238" t="inlineStr">
        <is>
          <t>HÄSSLEHOLM</t>
        </is>
      </c>
      <c r="G238" t="n">
        <v>2.9</v>
      </c>
      <c r="H238" t="n">
        <v>0</v>
      </c>
      <c r="I238" t="n">
        <v>0</v>
      </c>
      <c r="J238" t="n">
        <v>0</v>
      </c>
      <c r="K238" t="n">
        <v>0</v>
      </c>
      <c r="L238" t="n">
        <v>0</v>
      </c>
      <c r="M238" t="n">
        <v>0</v>
      </c>
      <c r="N238" t="n">
        <v>0</v>
      </c>
      <c r="O238" t="n">
        <v>0</v>
      </c>
      <c r="P238" t="n">
        <v>0</v>
      </c>
      <c r="Q238" t="n">
        <v>0</v>
      </c>
      <c r="R238" s="2" t="inlineStr"/>
    </row>
    <row r="239" ht="15" customHeight="1">
      <c r="A239" t="inlineStr">
        <is>
          <t>A 13198-2025</t>
        </is>
      </c>
      <c r="B239" s="1" t="n">
        <v>45735</v>
      </c>
      <c r="C239" s="1" t="n">
        <v>46094</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48771-2024</t>
        </is>
      </c>
      <c r="B240" s="1" t="n">
        <v>45593.61284722222</v>
      </c>
      <c r="C240" s="1" t="n">
        <v>46094</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66321-2021</t>
        </is>
      </c>
      <c r="B241" s="1" t="n">
        <v>44518</v>
      </c>
      <c r="C241" s="1" t="n">
        <v>46094</v>
      </c>
      <c r="D241" t="inlineStr">
        <is>
          <t>SKÅNE LÄN</t>
        </is>
      </c>
      <c r="E241" t="inlineStr">
        <is>
          <t>HÄSSLEHOLM</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16668-2025</t>
        </is>
      </c>
      <c r="B242" s="1" t="n">
        <v>45754.43009259259</v>
      </c>
      <c r="C242" s="1" t="n">
        <v>46094</v>
      </c>
      <c r="D242" t="inlineStr">
        <is>
          <t>SKÅNE LÄN</t>
        </is>
      </c>
      <c r="E242" t="inlineStr">
        <is>
          <t>HÄSSLEHOLM</t>
        </is>
      </c>
      <c r="G242" t="n">
        <v>4</v>
      </c>
      <c r="H242" t="n">
        <v>0</v>
      </c>
      <c r="I242" t="n">
        <v>0</v>
      </c>
      <c r="J242" t="n">
        <v>0</v>
      </c>
      <c r="K242" t="n">
        <v>0</v>
      </c>
      <c r="L242" t="n">
        <v>0</v>
      </c>
      <c r="M242" t="n">
        <v>0</v>
      </c>
      <c r="N242" t="n">
        <v>0</v>
      </c>
      <c r="O242" t="n">
        <v>0</v>
      </c>
      <c r="P242" t="n">
        <v>0</v>
      </c>
      <c r="Q242" t="n">
        <v>0</v>
      </c>
      <c r="R242" s="2" t="inlineStr"/>
    </row>
    <row r="243" ht="15" customHeight="1">
      <c r="A243" t="inlineStr">
        <is>
          <t>A 23857-2024</t>
        </is>
      </c>
      <c r="B243" s="1" t="n">
        <v>45455</v>
      </c>
      <c r="C243" s="1" t="n">
        <v>46094</v>
      </c>
      <c r="D243" t="inlineStr">
        <is>
          <t>SKÅNE LÄN</t>
        </is>
      </c>
      <c r="E243" t="inlineStr">
        <is>
          <t>HÄSSLEHOLM</t>
        </is>
      </c>
      <c r="G243" t="n">
        <v>3</v>
      </c>
      <c r="H243" t="n">
        <v>0</v>
      </c>
      <c r="I243" t="n">
        <v>0</v>
      </c>
      <c r="J243" t="n">
        <v>0</v>
      </c>
      <c r="K243" t="n">
        <v>0</v>
      </c>
      <c r="L243" t="n">
        <v>0</v>
      </c>
      <c r="M243" t="n">
        <v>0</v>
      </c>
      <c r="N243" t="n">
        <v>0</v>
      </c>
      <c r="O243" t="n">
        <v>0</v>
      </c>
      <c r="P243" t="n">
        <v>0</v>
      </c>
      <c r="Q243" t="n">
        <v>0</v>
      </c>
      <c r="R243" s="2" t="inlineStr"/>
    </row>
    <row r="244" ht="15" customHeight="1">
      <c r="A244" t="inlineStr">
        <is>
          <t>A 50616-2023</t>
        </is>
      </c>
      <c r="B244" s="1" t="n">
        <v>45210</v>
      </c>
      <c r="C244" s="1" t="n">
        <v>46094</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45361-2023</t>
        </is>
      </c>
      <c r="B245" s="1" t="n">
        <v>45192.49068287037</v>
      </c>
      <c r="C245" s="1" t="n">
        <v>46094</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12344-2023</t>
        </is>
      </c>
      <c r="B246" s="1" t="n">
        <v>44999</v>
      </c>
      <c r="C246" s="1" t="n">
        <v>46094</v>
      </c>
      <c r="D246" t="inlineStr">
        <is>
          <t>SKÅNE LÄN</t>
        </is>
      </c>
      <c r="E246" t="inlineStr">
        <is>
          <t>HÄSSLEHOLM</t>
        </is>
      </c>
      <c r="G246" t="n">
        <v>2.4</v>
      </c>
      <c r="H246" t="n">
        <v>0</v>
      </c>
      <c r="I246" t="n">
        <v>0</v>
      </c>
      <c r="J246" t="n">
        <v>0</v>
      </c>
      <c r="K246" t="n">
        <v>0</v>
      </c>
      <c r="L246" t="n">
        <v>0</v>
      </c>
      <c r="M246" t="n">
        <v>0</v>
      </c>
      <c r="N246" t="n">
        <v>0</v>
      </c>
      <c r="O246" t="n">
        <v>0</v>
      </c>
      <c r="P246" t="n">
        <v>0</v>
      </c>
      <c r="Q246" t="n">
        <v>0</v>
      </c>
      <c r="R246" s="2" t="inlineStr"/>
    </row>
    <row r="247" ht="15" customHeight="1">
      <c r="A247" t="inlineStr">
        <is>
          <t>A 31268-2024</t>
        </is>
      </c>
      <c r="B247" s="1" t="n">
        <v>45504</v>
      </c>
      <c r="C247" s="1" t="n">
        <v>46094</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51287-2022</t>
        </is>
      </c>
      <c r="B248" s="1" t="n">
        <v>44868.83146990741</v>
      </c>
      <c r="C248" s="1" t="n">
        <v>46094</v>
      </c>
      <c r="D248" t="inlineStr">
        <is>
          <t>SKÅNE LÄN</t>
        </is>
      </c>
      <c r="E248" t="inlineStr">
        <is>
          <t>HÄSSLEHOLM</t>
        </is>
      </c>
      <c r="G248" t="n">
        <v>2.2</v>
      </c>
      <c r="H248" t="n">
        <v>0</v>
      </c>
      <c r="I248" t="n">
        <v>0</v>
      </c>
      <c r="J248" t="n">
        <v>0</v>
      </c>
      <c r="K248" t="n">
        <v>0</v>
      </c>
      <c r="L248" t="n">
        <v>0</v>
      </c>
      <c r="M248" t="n">
        <v>0</v>
      </c>
      <c r="N248" t="n">
        <v>0</v>
      </c>
      <c r="O248" t="n">
        <v>0</v>
      </c>
      <c r="P248" t="n">
        <v>0</v>
      </c>
      <c r="Q248" t="n">
        <v>0</v>
      </c>
      <c r="R248" s="2" t="inlineStr"/>
    </row>
    <row r="249" ht="15" customHeight="1">
      <c r="A249" t="inlineStr">
        <is>
          <t>A 56431-2021</t>
        </is>
      </c>
      <c r="B249" s="1" t="n">
        <v>44480</v>
      </c>
      <c r="C249" s="1" t="n">
        <v>46094</v>
      </c>
      <c r="D249" t="inlineStr">
        <is>
          <t>SKÅNE LÄN</t>
        </is>
      </c>
      <c r="E249" t="inlineStr">
        <is>
          <t>HÄSSLEHOLM</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61197-2024</t>
        </is>
      </c>
      <c r="B250" s="1" t="n">
        <v>45645.63184027778</v>
      </c>
      <c r="C250" s="1" t="n">
        <v>46094</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6165-2023</t>
        </is>
      </c>
      <c r="B251" s="1" t="n">
        <v>44964.67114583333</v>
      </c>
      <c r="C251" s="1" t="n">
        <v>46094</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49107-2023</t>
        </is>
      </c>
      <c r="B252" s="1" t="n">
        <v>45210.44337962963</v>
      </c>
      <c r="C252" s="1" t="n">
        <v>46094</v>
      </c>
      <c r="D252" t="inlineStr">
        <is>
          <t>SKÅNE LÄN</t>
        </is>
      </c>
      <c r="E252" t="inlineStr">
        <is>
          <t>HÄSSLEHOLM</t>
        </is>
      </c>
      <c r="G252" t="n">
        <v>0.3</v>
      </c>
      <c r="H252" t="n">
        <v>0</v>
      </c>
      <c r="I252" t="n">
        <v>0</v>
      </c>
      <c r="J252" t="n">
        <v>0</v>
      </c>
      <c r="K252" t="n">
        <v>0</v>
      </c>
      <c r="L252" t="n">
        <v>0</v>
      </c>
      <c r="M252" t="n">
        <v>0</v>
      </c>
      <c r="N252" t="n">
        <v>0</v>
      </c>
      <c r="O252" t="n">
        <v>0</v>
      </c>
      <c r="P252" t="n">
        <v>0</v>
      </c>
      <c r="Q252" t="n">
        <v>0</v>
      </c>
      <c r="R252" s="2" t="inlineStr"/>
    </row>
    <row r="253" ht="15" customHeight="1">
      <c r="A253" t="inlineStr">
        <is>
          <t>A 33938-2023</t>
        </is>
      </c>
      <c r="B253" s="1" t="n">
        <v>45124</v>
      </c>
      <c r="C253" s="1" t="n">
        <v>46094</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20494-2024</t>
        </is>
      </c>
      <c r="B254" s="1" t="n">
        <v>45435</v>
      </c>
      <c r="C254" s="1" t="n">
        <v>46094</v>
      </c>
      <c r="D254" t="inlineStr">
        <is>
          <t>SKÅNE LÄN</t>
        </is>
      </c>
      <c r="E254" t="inlineStr">
        <is>
          <t>HÄSSLEHOLM</t>
        </is>
      </c>
      <c r="G254" t="n">
        <v>1.4</v>
      </c>
      <c r="H254" t="n">
        <v>0</v>
      </c>
      <c r="I254" t="n">
        <v>0</v>
      </c>
      <c r="J254" t="n">
        <v>0</v>
      </c>
      <c r="K254" t="n">
        <v>0</v>
      </c>
      <c r="L254" t="n">
        <v>0</v>
      </c>
      <c r="M254" t="n">
        <v>0</v>
      </c>
      <c r="N254" t="n">
        <v>0</v>
      </c>
      <c r="O254" t="n">
        <v>0</v>
      </c>
      <c r="P254" t="n">
        <v>0</v>
      </c>
      <c r="Q254" t="n">
        <v>0</v>
      </c>
      <c r="R254" s="2" t="inlineStr"/>
    </row>
    <row r="255" ht="15" customHeight="1">
      <c r="A255" t="inlineStr">
        <is>
          <t>A 55454-2021</t>
        </is>
      </c>
      <c r="B255" s="1" t="n">
        <v>44475</v>
      </c>
      <c r="C255" s="1" t="n">
        <v>46094</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61533-2022</t>
        </is>
      </c>
      <c r="B256" s="1" t="n">
        <v>44910</v>
      </c>
      <c r="C256" s="1" t="n">
        <v>46094</v>
      </c>
      <c r="D256" t="inlineStr">
        <is>
          <t>SKÅNE LÄN</t>
        </is>
      </c>
      <c r="E256" t="inlineStr">
        <is>
          <t>HÄSSLEHOLM</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31572-2022</t>
        </is>
      </c>
      <c r="B257" s="1" t="n">
        <v>44775</v>
      </c>
      <c r="C257" s="1" t="n">
        <v>46094</v>
      </c>
      <c r="D257" t="inlineStr">
        <is>
          <t>SKÅNE LÄN</t>
        </is>
      </c>
      <c r="E257" t="inlineStr">
        <is>
          <t>HÄSSLEHOLM</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677-2024</t>
        </is>
      </c>
      <c r="B258" s="1" t="n">
        <v>45300</v>
      </c>
      <c r="C258" s="1" t="n">
        <v>46094</v>
      </c>
      <c r="D258" t="inlineStr">
        <is>
          <t>SKÅNE LÄN</t>
        </is>
      </c>
      <c r="E258" t="inlineStr">
        <is>
          <t>HÄSSLEHOLM</t>
        </is>
      </c>
      <c r="G258" t="n">
        <v>6.8</v>
      </c>
      <c r="H258" t="n">
        <v>0</v>
      </c>
      <c r="I258" t="n">
        <v>0</v>
      </c>
      <c r="J258" t="n">
        <v>0</v>
      </c>
      <c r="K258" t="n">
        <v>0</v>
      </c>
      <c r="L258" t="n">
        <v>0</v>
      </c>
      <c r="M258" t="n">
        <v>0</v>
      </c>
      <c r="N258" t="n">
        <v>0</v>
      </c>
      <c r="O258" t="n">
        <v>0</v>
      </c>
      <c r="P258" t="n">
        <v>0</v>
      </c>
      <c r="Q258" t="n">
        <v>0</v>
      </c>
      <c r="R258" s="2" t="inlineStr"/>
    </row>
    <row r="259" ht="15" customHeight="1">
      <c r="A259" t="inlineStr">
        <is>
          <t>A 4356-2024</t>
        </is>
      </c>
      <c r="B259" s="1" t="n">
        <v>45325.36195601852</v>
      </c>
      <c r="C259" s="1" t="n">
        <v>46094</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3480-2024</t>
        </is>
      </c>
      <c r="B260" s="1" t="n">
        <v>45320.43998842593</v>
      </c>
      <c r="C260" s="1" t="n">
        <v>46094</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5980-2024</t>
        </is>
      </c>
      <c r="B261" s="1" t="n">
        <v>45335</v>
      </c>
      <c r="C261" s="1" t="n">
        <v>46094</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20872-2025</t>
        </is>
      </c>
      <c r="B262" s="1" t="n">
        <v>45777.34688657407</v>
      </c>
      <c r="C262" s="1" t="n">
        <v>46094</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65235-2021</t>
        </is>
      </c>
      <c r="B263" s="1" t="n">
        <v>44515</v>
      </c>
      <c r="C263" s="1" t="n">
        <v>46094</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10802-2024</t>
        </is>
      </c>
      <c r="B264" s="1" t="n">
        <v>45369</v>
      </c>
      <c r="C264" s="1" t="n">
        <v>46094</v>
      </c>
      <c r="D264" t="inlineStr">
        <is>
          <t>SKÅNE LÄN</t>
        </is>
      </c>
      <c r="E264" t="inlineStr">
        <is>
          <t>HÄSSLEHOLM</t>
        </is>
      </c>
      <c r="G264" t="n">
        <v>3.4</v>
      </c>
      <c r="H264" t="n">
        <v>0</v>
      </c>
      <c r="I264" t="n">
        <v>0</v>
      </c>
      <c r="J264" t="n">
        <v>0</v>
      </c>
      <c r="K264" t="n">
        <v>0</v>
      </c>
      <c r="L264" t="n">
        <v>0</v>
      </c>
      <c r="M264" t="n">
        <v>0</v>
      </c>
      <c r="N264" t="n">
        <v>0</v>
      </c>
      <c r="O264" t="n">
        <v>0</v>
      </c>
      <c r="P264" t="n">
        <v>0</v>
      </c>
      <c r="Q264" t="n">
        <v>0</v>
      </c>
      <c r="R264" s="2" t="inlineStr"/>
    </row>
    <row r="265" ht="15" customHeight="1">
      <c r="A265" t="inlineStr">
        <is>
          <t>A 13549-2025</t>
        </is>
      </c>
      <c r="B265" s="1" t="n">
        <v>45736</v>
      </c>
      <c r="C265" s="1" t="n">
        <v>46094</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51245-2023</t>
        </is>
      </c>
      <c r="B266" s="1" t="n">
        <v>45212</v>
      </c>
      <c r="C266" s="1" t="n">
        <v>46094</v>
      </c>
      <c r="D266" t="inlineStr">
        <is>
          <t>SKÅNE LÄN</t>
        </is>
      </c>
      <c r="E266" t="inlineStr">
        <is>
          <t>HÄSSLEHOLM</t>
        </is>
      </c>
      <c r="G266" t="n">
        <v>2.1</v>
      </c>
      <c r="H266" t="n">
        <v>0</v>
      </c>
      <c r="I266" t="n">
        <v>0</v>
      </c>
      <c r="J266" t="n">
        <v>0</v>
      </c>
      <c r="K266" t="n">
        <v>0</v>
      </c>
      <c r="L266" t="n">
        <v>0</v>
      </c>
      <c r="M266" t="n">
        <v>0</v>
      </c>
      <c r="N266" t="n">
        <v>0</v>
      </c>
      <c r="O266" t="n">
        <v>0</v>
      </c>
      <c r="P266" t="n">
        <v>0</v>
      </c>
      <c r="Q266" t="n">
        <v>0</v>
      </c>
      <c r="R266" s="2" t="inlineStr"/>
    </row>
    <row r="267" ht="15" customHeight="1">
      <c r="A267" t="inlineStr">
        <is>
          <t>A 45653-2024</t>
        </is>
      </c>
      <c r="B267" s="1" t="n">
        <v>45579.48872685185</v>
      </c>
      <c r="C267" s="1" t="n">
        <v>46094</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31934-2024</t>
        </is>
      </c>
      <c r="B268" s="1" t="n">
        <v>45510.41177083334</v>
      </c>
      <c r="C268" s="1" t="n">
        <v>46094</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52567-2021</t>
        </is>
      </c>
      <c r="B269" s="1" t="n">
        <v>44466</v>
      </c>
      <c r="C269" s="1" t="n">
        <v>46094</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29994-2023</t>
        </is>
      </c>
      <c r="B270" s="1" t="n">
        <v>45109.60038194444</v>
      </c>
      <c r="C270" s="1" t="n">
        <v>46094</v>
      </c>
      <c r="D270" t="inlineStr">
        <is>
          <t>SKÅNE LÄN</t>
        </is>
      </c>
      <c r="E270" t="inlineStr">
        <is>
          <t>HÄSSLEHOLM</t>
        </is>
      </c>
      <c r="G270" t="n">
        <v>2.8</v>
      </c>
      <c r="H270" t="n">
        <v>0</v>
      </c>
      <c r="I270" t="n">
        <v>0</v>
      </c>
      <c r="J270" t="n">
        <v>0</v>
      </c>
      <c r="K270" t="n">
        <v>0</v>
      </c>
      <c r="L270" t="n">
        <v>0</v>
      </c>
      <c r="M270" t="n">
        <v>0</v>
      </c>
      <c r="N270" t="n">
        <v>0</v>
      </c>
      <c r="O270" t="n">
        <v>0</v>
      </c>
      <c r="P270" t="n">
        <v>0</v>
      </c>
      <c r="Q270" t="n">
        <v>0</v>
      </c>
      <c r="R270" s="2" t="inlineStr"/>
    </row>
    <row r="271" ht="15" customHeight="1">
      <c r="A271" t="inlineStr">
        <is>
          <t>A 9322-2025</t>
        </is>
      </c>
      <c r="B271" s="1" t="n">
        <v>45714.72241898148</v>
      </c>
      <c r="C271" s="1" t="n">
        <v>46094</v>
      </c>
      <c r="D271" t="inlineStr">
        <is>
          <t>SKÅNE LÄN</t>
        </is>
      </c>
      <c r="E271" t="inlineStr">
        <is>
          <t>HÄSSLEHOLM</t>
        </is>
      </c>
      <c r="G271" t="n">
        <v>2.6</v>
      </c>
      <c r="H271" t="n">
        <v>0</v>
      </c>
      <c r="I271" t="n">
        <v>0</v>
      </c>
      <c r="J271" t="n">
        <v>0</v>
      </c>
      <c r="K271" t="n">
        <v>0</v>
      </c>
      <c r="L271" t="n">
        <v>0</v>
      </c>
      <c r="M271" t="n">
        <v>0</v>
      </c>
      <c r="N271" t="n">
        <v>0</v>
      </c>
      <c r="O271" t="n">
        <v>0</v>
      </c>
      <c r="P271" t="n">
        <v>0</v>
      </c>
      <c r="Q271" t="n">
        <v>0</v>
      </c>
      <c r="R271" s="2" t="inlineStr"/>
    </row>
    <row r="272" ht="15" customHeight="1">
      <c r="A272" t="inlineStr">
        <is>
          <t>A 59429-2023</t>
        </is>
      </c>
      <c r="B272" s="1" t="n">
        <v>45254.2875</v>
      </c>
      <c r="C272" s="1" t="n">
        <v>46094</v>
      </c>
      <c r="D272" t="inlineStr">
        <is>
          <t>SKÅNE LÄN</t>
        </is>
      </c>
      <c r="E272" t="inlineStr">
        <is>
          <t>HÄSSLEHOLM</t>
        </is>
      </c>
      <c r="G272" t="n">
        <v>0</v>
      </c>
      <c r="H272" t="n">
        <v>0</v>
      </c>
      <c r="I272" t="n">
        <v>0</v>
      </c>
      <c r="J272" t="n">
        <v>0</v>
      </c>
      <c r="K272" t="n">
        <v>0</v>
      </c>
      <c r="L272" t="n">
        <v>0</v>
      </c>
      <c r="M272" t="n">
        <v>0</v>
      </c>
      <c r="N272" t="n">
        <v>0</v>
      </c>
      <c r="O272" t="n">
        <v>0</v>
      </c>
      <c r="P272" t="n">
        <v>0</v>
      </c>
      <c r="Q272" t="n">
        <v>0</v>
      </c>
      <c r="R272" s="2" t="inlineStr"/>
    </row>
    <row r="273" ht="15" customHeight="1">
      <c r="A273" t="inlineStr">
        <is>
          <t>A 21206-2025</t>
        </is>
      </c>
      <c r="B273" s="1" t="n">
        <v>45779.48318287037</v>
      </c>
      <c r="C273" s="1" t="n">
        <v>46094</v>
      </c>
      <c r="D273" t="inlineStr">
        <is>
          <t>SKÅNE LÄN</t>
        </is>
      </c>
      <c r="E273" t="inlineStr">
        <is>
          <t>HÄSSLEHOLM</t>
        </is>
      </c>
      <c r="G273" t="n">
        <v>2.2</v>
      </c>
      <c r="H273" t="n">
        <v>0</v>
      </c>
      <c r="I273" t="n">
        <v>0</v>
      </c>
      <c r="J273" t="n">
        <v>0</v>
      </c>
      <c r="K273" t="n">
        <v>0</v>
      </c>
      <c r="L273" t="n">
        <v>0</v>
      </c>
      <c r="M273" t="n">
        <v>0</v>
      </c>
      <c r="N273" t="n">
        <v>0</v>
      </c>
      <c r="O273" t="n">
        <v>0</v>
      </c>
      <c r="P273" t="n">
        <v>0</v>
      </c>
      <c r="Q273" t="n">
        <v>0</v>
      </c>
      <c r="R273" s="2" t="inlineStr"/>
    </row>
    <row r="274" ht="15" customHeight="1">
      <c r="A274" t="inlineStr">
        <is>
          <t>A 60959-2022</t>
        </is>
      </c>
      <c r="B274" s="1" t="n">
        <v>44914.64777777778</v>
      </c>
      <c r="C274" s="1" t="n">
        <v>46094</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260-2024</t>
        </is>
      </c>
      <c r="B275" s="1" t="n">
        <v>45294</v>
      </c>
      <c r="C275" s="1" t="n">
        <v>46094</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40780-2022</t>
        </is>
      </c>
      <c r="B276" s="1" t="n">
        <v>44820</v>
      </c>
      <c r="C276" s="1" t="n">
        <v>46094</v>
      </c>
      <c r="D276" t="inlineStr">
        <is>
          <t>SKÅNE LÄN</t>
        </is>
      </c>
      <c r="E276" t="inlineStr">
        <is>
          <t>HÄSSLEHOLM</t>
        </is>
      </c>
      <c r="G276" t="n">
        <v>7.4</v>
      </c>
      <c r="H276" t="n">
        <v>0</v>
      </c>
      <c r="I276" t="n">
        <v>0</v>
      </c>
      <c r="J276" t="n">
        <v>0</v>
      </c>
      <c r="K276" t="n">
        <v>0</v>
      </c>
      <c r="L276" t="n">
        <v>0</v>
      </c>
      <c r="M276" t="n">
        <v>0</v>
      </c>
      <c r="N276" t="n">
        <v>0</v>
      </c>
      <c r="O276" t="n">
        <v>0</v>
      </c>
      <c r="P276" t="n">
        <v>0</v>
      </c>
      <c r="Q276" t="n">
        <v>0</v>
      </c>
      <c r="R276" s="2" t="inlineStr"/>
    </row>
    <row r="277" ht="15" customHeight="1">
      <c r="A277" t="inlineStr">
        <is>
          <t>A 42906-2022</t>
        </is>
      </c>
      <c r="B277" s="1" t="n">
        <v>44833</v>
      </c>
      <c r="C277" s="1" t="n">
        <v>46094</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74297-2021</t>
        </is>
      </c>
      <c r="B278" s="1" t="n">
        <v>44558</v>
      </c>
      <c r="C278" s="1" t="n">
        <v>46094</v>
      </c>
      <c r="D278" t="inlineStr">
        <is>
          <t>SKÅNE LÄN</t>
        </is>
      </c>
      <c r="E278" t="inlineStr">
        <is>
          <t>HÄSSLEHOLM</t>
        </is>
      </c>
      <c r="F278" t="inlineStr">
        <is>
          <t>Kyrkan</t>
        </is>
      </c>
      <c r="G278" t="n">
        <v>3.8</v>
      </c>
      <c r="H278" t="n">
        <v>0</v>
      </c>
      <c r="I278" t="n">
        <v>0</v>
      </c>
      <c r="J278" t="n">
        <v>0</v>
      </c>
      <c r="K278" t="n">
        <v>0</v>
      </c>
      <c r="L278" t="n">
        <v>0</v>
      </c>
      <c r="M278" t="n">
        <v>0</v>
      </c>
      <c r="N278" t="n">
        <v>0</v>
      </c>
      <c r="O278" t="n">
        <v>0</v>
      </c>
      <c r="P278" t="n">
        <v>0</v>
      </c>
      <c r="Q278" t="n">
        <v>0</v>
      </c>
      <c r="R278" s="2" t="inlineStr"/>
    </row>
    <row r="279" ht="15" customHeight="1">
      <c r="A279" t="inlineStr">
        <is>
          <t>A 31931-2024</t>
        </is>
      </c>
      <c r="B279" s="1" t="n">
        <v>45510.40878472223</v>
      </c>
      <c r="C279" s="1" t="n">
        <v>46094</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15133-2023</t>
        </is>
      </c>
      <c r="B280" s="1" t="n">
        <v>45016</v>
      </c>
      <c r="C280" s="1" t="n">
        <v>46094</v>
      </c>
      <c r="D280" t="inlineStr">
        <is>
          <t>SKÅNE LÄN</t>
        </is>
      </c>
      <c r="E280" t="inlineStr">
        <is>
          <t>HÄSSLEHOLM</t>
        </is>
      </c>
      <c r="G280" t="n">
        <v>7.8</v>
      </c>
      <c r="H280" t="n">
        <v>0</v>
      </c>
      <c r="I280" t="n">
        <v>0</v>
      </c>
      <c r="J280" t="n">
        <v>0</v>
      </c>
      <c r="K280" t="n">
        <v>0</v>
      </c>
      <c r="L280" t="n">
        <v>0</v>
      </c>
      <c r="M280" t="n">
        <v>0</v>
      </c>
      <c r="N280" t="n">
        <v>0</v>
      </c>
      <c r="O280" t="n">
        <v>0</v>
      </c>
      <c r="P280" t="n">
        <v>0</v>
      </c>
      <c r="Q280" t="n">
        <v>0</v>
      </c>
      <c r="R280" s="2" t="inlineStr"/>
    </row>
    <row r="281" ht="15" customHeight="1">
      <c r="A281" t="inlineStr">
        <is>
          <t>A 34883-2023</t>
        </is>
      </c>
      <c r="B281" s="1" t="n">
        <v>45142.37902777778</v>
      </c>
      <c r="C281" s="1" t="n">
        <v>46094</v>
      </c>
      <c r="D281" t="inlineStr">
        <is>
          <t>SKÅNE LÄN</t>
        </is>
      </c>
      <c r="E281" t="inlineStr">
        <is>
          <t>HÄSSLEHOLM</t>
        </is>
      </c>
      <c r="G281" t="n">
        <v>2.5</v>
      </c>
      <c r="H281" t="n">
        <v>0</v>
      </c>
      <c r="I281" t="n">
        <v>0</v>
      </c>
      <c r="J281" t="n">
        <v>0</v>
      </c>
      <c r="K281" t="n">
        <v>0</v>
      </c>
      <c r="L281" t="n">
        <v>0</v>
      </c>
      <c r="M281" t="n">
        <v>0</v>
      </c>
      <c r="N281" t="n">
        <v>0</v>
      </c>
      <c r="O281" t="n">
        <v>0</v>
      </c>
      <c r="P281" t="n">
        <v>0</v>
      </c>
      <c r="Q281" t="n">
        <v>0</v>
      </c>
      <c r="R281" s="2" t="inlineStr"/>
    </row>
    <row r="282" ht="15" customHeight="1">
      <c r="A282" t="inlineStr">
        <is>
          <t>A 21091-2025</t>
        </is>
      </c>
      <c r="B282" s="1" t="n">
        <v>45777</v>
      </c>
      <c r="C282" s="1" t="n">
        <v>46094</v>
      </c>
      <c r="D282" t="inlineStr">
        <is>
          <t>SKÅNE LÄN</t>
        </is>
      </c>
      <c r="E282" t="inlineStr">
        <is>
          <t>HÄSSLEHOLM</t>
        </is>
      </c>
      <c r="G282" t="n">
        <v>3.4</v>
      </c>
      <c r="H282" t="n">
        <v>0</v>
      </c>
      <c r="I282" t="n">
        <v>0</v>
      </c>
      <c r="J282" t="n">
        <v>0</v>
      </c>
      <c r="K282" t="n">
        <v>0</v>
      </c>
      <c r="L282" t="n">
        <v>0</v>
      </c>
      <c r="M282" t="n">
        <v>0</v>
      </c>
      <c r="N282" t="n">
        <v>0</v>
      </c>
      <c r="O282" t="n">
        <v>0</v>
      </c>
      <c r="P282" t="n">
        <v>0</v>
      </c>
      <c r="Q282" t="n">
        <v>0</v>
      </c>
      <c r="R282" s="2" t="inlineStr"/>
    </row>
    <row r="283" ht="15" customHeight="1">
      <c r="A283" t="inlineStr">
        <is>
          <t>A 317-2025</t>
        </is>
      </c>
      <c r="B283" s="1" t="n">
        <v>45660</v>
      </c>
      <c r="C283" s="1" t="n">
        <v>46094</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21638-2025</t>
        </is>
      </c>
      <c r="B284" s="1" t="n">
        <v>45783.43087962963</v>
      </c>
      <c r="C284" s="1" t="n">
        <v>46094</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5316-2023</t>
        </is>
      </c>
      <c r="B285" s="1" t="n">
        <v>44959</v>
      </c>
      <c r="C285" s="1" t="n">
        <v>46094</v>
      </c>
      <c r="D285" t="inlineStr">
        <is>
          <t>SKÅNE LÄN</t>
        </is>
      </c>
      <c r="E285" t="inlineStr">
        <is>
          <t>HÄSSLEHOLM</t>
        </is>
      </c>
      <c r="G285" t="n">
        <v>2.1</v>
      </c>
      <c r="H285" t="n">
        <v>0</v>
      </c>
      <c r="I285" t="n">
        <v>0</v>
      </c>
      <c r="J285" t="n">
        <v>0</v>
      </c>
      <c r="K285" t="n">
        <v>0</v>
      </c>
      <c r="L285" t="n">
        <v>0</v>
      </c>
      <c r="M285" t="n">
        <v>0</v>
      </c>
      <c r="N285" t="n">
        <v>0</v>
      </c>
      <c r="O285" t="n">
        <v>0</v>
      </c>
      <c r="P285" t="n">
        <v>0</v>
      </c>
      <c r="Q285" t="n">
        <v>0</v>
      </c>
      <c r="R285" s="2" t="inlineStr"/>
    </row>
    <row r="286" ht="15" customHeight="1">
      <c r="A286" t="inlineStr">
        <is>
          <t>A 20187-2023</t>
        </is>
      </c>
      <c r="B286" s="1" t="n">
        <v>45055.57027777778</v>
      </c>
      <c r="C286" s="1" t="n">
        <v>46094</v>
      </c>
      <c r="D286" t="inlineStr">
        <is>
          <t>SKÅNE LÄN</t>
        </is>
      </c>
      <c r="E286" t="inlineStr">
        <is>
          <t>HÄSSLEHOLM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39111-2023</t>
        </is>
      </c>
      <c r="B287" s="1" t="n">
        <v>45164.87140046297</v>
      </c>
      <c r="C287" s="1" t="n">
        <v>46094</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60851-2024</t>
        </is>
      </c>
      <c r="B288" s="1" t="n">
        <v>45644.66182870371</v>
      </c>
      <c r="C288" s="1" t="n">
        <v>46094</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58618-2024</t>
        </is>
      </c>
      <c r="B289" s="1" t="n">
        <v>45635.56150462963</v>
      </c>
      <c r="C289" s="1" t="n">
        <v>46094</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21625-2025</t>
        </is>
      </c>
      <c r="B290" s="1" t="n">
        <v>45783.41252314814</v>
      </c>
      <c r="C290" s="1" t="n">
        <v>46094</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11266-2025</t>
        </is>
      </c>
      <c r="B291" s="1" t="n">
        <v>45726</v>
      </c>
      <c r="C291" s="1" t="n">
        <v>46094</v>
      </c>
      <c r="D291" t="inlineStr">
        <is>
          <t>SKÅNE LÄN</t>
        </is>
      </c>
      <c r="E291" t="inlineStr">
        <is>
          <t>HÄSSLEHOLM</t>
        </is>
      </c>
      <c r="G291" t="n">
        <v>0.3</v>
      </c>
      <c r="H291" t="n">
        <v>0</v>
      </c>
      <c r="I291" t="n">
        <v>0</v>
      </c>
      <c r="J291" t="n">
        <v>0</v>
      </c>
      <c r="K291" t="n">
        <v>0</v>
      </c>
      <c r="L291" t="n">
        <v>0</v>
      </c>
      <c r="M291" t="n">
        <v>0</v>
      </c>
      <c r="N291" t="n">
        <v>0</v>
      </c>
      <c r="O291" t="n">
        <v>0</v>
      </c>
      <c r="P291" t="n">
        <v>0</v>
      </c>
      <c r="Q291" t="n">
        <v>0</v>
      </c>
      <c r="R291" s="2" t="inlineStr"/>
    </row>
    <row r="292" ht="15" customHeight="1">
      <c r="A292" t="inlineStr">
        <is>
          <t>A 7818-2024</t>
        </is>
      </c>
      <c r="B292" s="1" t="n">
        <v>45349.68872685185</v>
      </c>
      <c r="C292" s="1" t="n">
        <v>46094</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64884-2023</t>
        </is>
      </c>
      <c r="B293" s="1" t="n">
        <v>45282.57809027778</v>
      </c>
      <c r="C293" s="1" t="n">
        <v>46094</v>
      </c>
      <c r="D293" t="inlineStr">
        <is>
          <t>SKÅNE LÄN</t>
        </is>
      </c>
      <c r="E293" t="inlineStr">
        <is>
          <t>HÄSSLEHOLM</t>
        </is>
      </c>
      <c r="G293" t="n">
        <v>4.6</v>
      </c>
      <c r="H293" t="n">
        <v>0</v>
      </c>
      <c r="I293" t="n">
        <v>0</v>
      </c>
      <c r="J293" t="n">
        <v>0</v>
      </c>
      <c r="K293" t="n">
        <v>0</v>
      </c>
      <c r="L293" t="n">
        <v>0</v>
      </c>
      <c r="M293" t="n">
        <v>0</v>
      </c>
      <c r="N293" t="n">
        <v>0</v>
      </c>
      <c r="O293" t="n">
        <v>0</v>
      </c>
      <c r="P293" t="n">
        <v>0</v>
      </c>
      <c r="Q293" t="n">
        <v>0</v>
      </c>
      <c r="R293" s="2" t="inlineStr"/>
    </row>
    <row r="294" ht="15" customHeight="1">
      <c r="A294" t="inlineStr">
        <is>
          <t>A 13149-2024</t>
        </is>
      </c>
      <c r="B294" s="1" t="n">
        <v>45386</v>
      </c>
      <c r="C294" s="1" t="n">
        <v>46094</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48112-2024</t>
        </is>
      </c>
      <c r="B295" s="1" t="n">
        <v>45589.6295949074</v>
      </c>
      <c r="C295" s="1" t="n">
        <v>46094</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32794-2021</t>
        </is>
      </c>
      <c r="B296" s="1" t="n">
        <v>44375</v>
      </c>
      <c r="C296" s="1" t="n">
        <v>46094</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6310-2025</t>
        </is>
      </c>
      <c r="B297" s="1" t="n">
        <v>45698</v>
      </c>
      <c r="C297" s="1" t="n">
        <v>46094</v>
      </c>
      <c r="D297" t="inlineStr">
        <is>
          <t>SKÅNE LÄN</t>
        </is>
      </c>
      <c r="E297" t="inlineStr">
        <is>
          <t>HÄSSLEHOLM</t>
        </is>
      </c>
      <c r="G297" t="n">
        <v>2.7</v>
      </c>
      <c r="H297" t="n">
        <v>0</v>
      </c>
      <c r="I297" t="n">
        <v>0</v>
      </c>
      <c r="J297" t="n">
        <v>0</v>
      </c>
      <c r="K297" t="n">
        <v>0</v>
      </c>
      <c r="L297" t="n">
        <v>0</v>
      </c>
      <c r="M297" t="n">
        <v>0</v>
      </c>
      <c r="N297" t="n">
        <v>0</v>
      </c>
      <c r="O297" t="n">
        <v>0</v>
      </c>
      <c r="P297" t="n">
        <v>0</v>
      </c>
      <c r="Q297" t="n">
        <v>0</v>
      </c>
      <c r="R297" s="2" t="inlineStr"/>
    </row>
    <row r="298" ht="15" customHeight="1">
      <c r="A298" t="inlineStr">
        <is>
          <t>A 29845-2024</t>
        </is>
      </c>
      <c r="B298" s="1" t="n">
        <v>45485.6212037037</v>
      </c>
      <c r="C298" s="1" t="n">
        <v>46094</v>
      </c>
      <c r="D298" t="inlineStr">
        <is>
          <t>SKÅNE LÄN</t>
        </is>
      </c>
      <c r="E298" t="inlineStr">
        <is>
          <t>HÄSSLEHOLM</t>
        </is>
      </c>
      <c r="G298" t="n">
        <v>1.3</v>
      </c>
      <c r="H298" t="n">
        <v>0</v>
      </c>
      <c r="I298" t="n">
        <v>0</v>
      </c>
      <c r="J298" t="n">
        <v>0</v>
      </c>
      <c r="K298" t="n">
        <v>0</v>
      </c>
      <c r="L298" t="n">
        <v>0</v>
      </c>
      <c r="M298" t="n">
        <v>0</v>
      </c>
      <c r="N298" t="n">
        <v>0</v>
      </c>
      <c r="O298" t="n">
        <v>0</v>
      </c>
      <c r="P298" t="n">
        <v>0</v>
      </c>
      <c r="Q298" t="n">
        <v>0</v>
      </c>
      <c r="R298" s="2" t="inlineStr"/>
    </row>
    <row r="299" ht="15" customHeight="1">
      <c r="A299" t="inlineStr">
        <is>
          <t>A 1703-2025</t>
        </is>
      </c>
      <c r="B299" s="1" t="n">
        <v>45670.80732638889</v>
      </c>
      <c r="C299" s="1" t="n">
        <v>46094</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12843-2023</t>
        </is>
      </c>
      <c r="B300" s="1" t="n">
        <v>45001.48423611111</v>
      </c>
      <c r="C300" s="1" t="n">
        <v>46094</v>
      </c>
      <c r="D300" t="inlineStr">
        <is>
          <t>SKÅNE LÄN</t>
        </is>
      </c>
      <c r="E300" t="inlineStr">
        <is>
          <t>HÄSSLEHOLM</t>
        </is>
      </c>
      <c r="G300" t="n">
        <v>3.9</v>
      </c>
      <c r="H300" t="n">
        <v>0</v>
      </c>
      <c r="I300" t="n">
        <v>0</v>
      </c>
      <c r="J300" t="n">
        <v>0</v>
      </c>
      <c r="K300" t="n">
        <v>0</v>
      </c>
      <c r="L300" t="n">
        <v>0</v>
      </c>
      <c r="M300" t="n">
        <v>0</v>
      </c>
      <c r="N300" t="n">
        <v>0</v>
      </c>
      <c r="O300" t="n">
        <v>0</v>
      </c>
      <c r="P300" t="n">
        <v>0</v>
      </c>
      <c r="Q300" t="n">
        <v>0</v>
      </c>
      <c r="R300" s="2" t="inlineStr"/>
    </row>
    <row r="301" ht="15" customHeight="1">
      <c r="A301" t="inlineStr">
        <is>
          <t>A 47647-2024</t>
        </is>
      </c>
      <c r="B301" s="1" t="n">
        <v>45588</v>
      </c>
      <c r="C301" s="1" t="n">
        <v>46094</v>
      </c>
      <c r="D301" t="inlineStr">
        <is>
          <t>SKÅNE LÄN</t>
        </is>
      </c>
      <c r="E301" t="inlineStr">
        <is>
          <t>HÄSSLEHOLM</t>
        </is>
      </c>
      <c r="G301" t="n">
        <v>6.5</v>
      </c>
      <c r="H301" t="n">
        <v>0</v>
      </c>
      <c r="I301" t="n">
        <v>0</v>
      </c>
      <c r="J301" t="n">
        <v>0</v>
      </c>
      <c r="K301" t="n">
        <v>0</v>
      </c>
      <c r="L301" t="n">
        <v>0</v>
      </c>
      <c r="M301" t="n">
        <v>0</v>
      </c>
      <c r="N301" t="n">
        <v>0</v>
      </c>
      <c r="O301" t="n">
        <v>0</v>
      </c>
      <c r="P301" t="n">
        <v>0</v>
      </c>
      <c r="Q301" t="n">
        <v>0</v>
      </c>
      <c r="R301" s="2" t="inlineStr"/>
    </row>
    <row r="302" ht="15" customHeight="1">
      <c r="A302" t="inlineStr">
        <is>
          <t>A 53466-2024</t>
        </is>
      </c>
      <c r="B302" s="1" t="n">
        <v>45614.55304398148</v>
      </c>
      <c r="C302" s="1" t="n">
        <v>46094</v>
      </c>
      <c r="D302" t="inlineStr">
        <is>
          <t>SKÅNE LÄN</t>
        </is>
      </c>
      <c r="E302" t="inlineStr">
        <is>
          <t>HÄSSLEHOLM</t>
        </is>
      </c>
      <c r="G302" t="n">
        <v>1.3</v>
      </c>
      <c r="H302" t="n">
        <v>0</v>
      </c>
      <c r="I302" t="n">
        <v>0</v>
      </c>
      <c r="J302" t="n">
        <v>0</v>
      </c>
      <c r="K302" t="n">
        <v>0</v>
      </c>
      <c r="L302" t="n">
        <v>0</v>
      </c>
      <c r="M302" t="n">
        <v>0</v>
      </c>
      <c r="N302" t="n">
        <v>0</v>
      </c>
      <c r="O302" t="n">
        <v>0</v>
      </c>
      <c r="P302" t="n">
        <v>0</v>
      </c>
      <c r="Q302" t="n">
        <v>0</v>
      </c>
      <c r="R302" s="2" t="inlineStr"/>
    </row>
    <row r="303" ht="15" customHeight="1">
      <c r="A303" t="inlineStr">
        <is>
          <t>A 61533-2024</t>
        </is>
      </c>
      <c r="B303" s="1" t="n">
        <v>45646</v>
      </c>
      <c r="C303" s="1" t="n">
        <v>46094</v>
      </c>
      <c r="D303" t="inlineStr">
        <is>
          <t>SKÅNE LÄN</t>
        </is>
      </c>
      <c r="E303" t="inlineStr">
        <is>
          <t>HÄSSLEHOLM</t>
        </is>
      </c>
      <c r="G303" t="n">
        <v>4.5</v>
      </c>
      <c r="H303" t="n">
        <v>0</v>
      </c>
      <c r="I303" t="n">
        <v>0</v>
      </c>
      <c r="J303" t="n">
        <v>0</v>
      </c>
      <c r="K303" t="n">
        <v>0</v>
      </c>
      <c r="L303" t="n">
        <v>0</v>
      </c>
      <c r="M303" t="n">
        <v>0</v>
      </c>
      <c r="N303" t="n">
        <v>0</v>
      </c>
      <c r="O303" t="n">
        <v>0</v>
      </c>
      <c r="P303" t="n">
        <v>0</v>
      </c>
      <c r="Q303" t="n">
        <v>0</v>
      </c>
      <c r="R303" s="2" t="inlineStr"/>
    </row>
    <row r="304" ht="15" customHeight="1">
      <c r="A304" t="inlineStr">
        <is>
          <t>A 52295-2021</t>
        </is>
      </c>
      <c r="B304" s="1" t="n">
        <v>44463</v>
      </c>
      <c r="C304" s="1" t="n">
        <v>46094</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19735-2023</t>
        </is>
      </c>
      <c r="B305" s="1" t="n">
        <v>45051.52199074074</v>
      </c>
      <c r="C305" s="1" t="n">
        <v>46094</v>
      </c>
      <c r="D305" t="inlineStr">
        <is>
          <t>SKÅNE LÄN</t>
        </is>
      </c>
      <c r="E305" t="inlineStr">
        <is>
          <t>HÄSSLEHOLM</t>
        </is>
      </c>
      <c r="G305" t="n">
        <v>4</v>
      </c>
      <c r="H305" t="n">
        <v>0</v>
      </c>
      <c r="I305" t="n">
        <v>0</v>
      </c>
      <c r="J305" t="n">
        <v>0</v>
      </c>
      <c r="K305" t="n">
        <v>0</v>
      </c>
      <c r="L305" t="n">
        <v>0</v>
      </c>
      <c r="M305" t="n">
        <v>0</v>
      </c>
      <c r="N305" t="n">
        <v>0</v>
      </c>
      <c r="O305" t="n">
        <v>0</v>
      </c>
      <c r="P305" t="n">
        <v>0</v>
      </c>
      <c r="Q305" t="n">
        <v>0</v>
      </c>
      <c r="R305" s="2" t="inlineStr"/>
    </row>
    <row r="306" ht="15" customHeight="1">
      <c r="A306" t="inlineStr">
        <is>
          <t>A 16474-2025</t>
        </is>
      </c>
      <c r="B306" s="1" t="n">
        <v>45751.56834490741</v>
      </c>
      <c r="C306" s="1" t="n">
        <v>46094</v>
      </c>
      <c r="D306" t="inlineStr">
        <is>
          <t>SKÅNE LÄN</t>
        </is>
      </c>
      <c r="E306" t="inlineStr">
        <is>
          <t>HÄSSLEHOLM</t>
        </is>
      </c>
      <c r="G306" t="n">
        <v>5.9</v>
      </c>
      <c r="H306" t="n">
        <v>0</v>
      </c>
      <c r="I306" t="n">
        <v>0</v>
      </c>
      <c r="J306" t="n">
        <v>0</v>
      </c>
      <c r="K306" t="n">
        <v>0</v>
      </c>
      <c r="L306" t="n">
        <v>0</v>
      </c>
      <c r="M306" t="n">
        <v>0</v>
      </c>
      <c r="N306" t="n">
        <v>0</v>
      </c>
      <c r="O306" t="n">
        <v>0</v>
      </c>
      <c r="P306" t="n">
        <v>0</v>
      </c>
      <c r="Q306" t="n">
        <v>0</v>
      </c>
      <c r="R306" s="2" t="inlineStr"/>
    </row>
    <row r="307" ht="15" customHeight="1">
      <c r="A307" t="inlineStr">
        <is>
          <t>A 2479-2024</t>
        </is>
      </c>
      <c r="B307" s="1" t="n">
        <v>45313.40148148148</v>
      </c>
      <c r="C307" s="1" t="n">
        <v>46094</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2490-2024</t>
        </is>
      </c>
      <c r="B308" s="1" t="n">
        <v>45313.43649305555</v>
      </c>
      <c r="C308" s="1" t="n">
        <v>46094</v>
      </c>
      <c r="D308" t="inlineStr">
        <is>
          <t>SKÅNE LÄN</t>
        </is>
      </c>
      <c r="E308" t="inlineStr">
        <is>
          <t>HÄSSLEHOLM</t>
        </is>
      </c>
      <c r="G308" t="n">
        <v>4</v>
      </c>
      <c r="H308" t="n">
        <v>0</v>
      </c>
      <c r="I308" t="n">
        <v>0</v>
      </c>
      <c r="J308" t="n">
        <v>0</v>
      </c>
      <c r="K308" t="n">
        <v>0</v>
      </c>
      <c r="L308" t="n">
        <v>0</v>
      </c>
      <c r="M308" t="n">
        <v>0</v>
      </c>
      <c r="N308" t="n">
        <v>0</v>
      </c>
      <c r="O308" t="n">
        <v>0</v>
      </c>
      <c r="P308" t="n">
        <v>0</v>
      </c>
      <c r="Q308" t="n">
        <v>0</v>
      </c>
      <c r="R308" s="2" t="inlineStr"/>
    </row>
    <row r="309" ht="15" customHeight="1">
      <c r="A309" t="inlineStr">
        <is>
          <t>A 26397-2023</t>
        </is>
      </c>
      <c r="B309" s="1" t="n">
        <v>45087</v>
      </c>
      <c r="C309" s="1" t="n">
        <v>46094</v>
      </c>
      <c r="D309" t="inlineStr">
        <is>
          <t>SKÅNE LÄN</t>
        </is>
      </c>
      <c r="E309" t="inlineStr">
        <is>
          <t>HÄSSLEHOLM</t>
        </is>
      </c>
      <c r="G309" t="n">
        <v>1.7</v>
      </c>
      <c r="H309" t="n">
        <v>0</v>
      </c>
      <c r="I309" t="n">
        <v>0</v>
      </c>
      <c r="J309" t="n">
        <v>0</v>
      </c>
      <c r="K309" t="n">
        <v>0</v>
      </c>
      <c r="L309" t="n">
        <v>0</v>
      </c>
      <c r="M309" t="n">
        <v>0</v>
      </c>
      <c r="N309" t="n">
        <v>0</v>
      </c>
      <c r="O309" t="n">
        <v>0</v>
      </c>
      <c r="P309" t="n">
        <v>0</v>
      </c>
      <c r="Q309" t="n">
        <v>0</v>
      </c>
      <c r="R309" s="2" t="inlineStr"/>
    </row>
    <row r="310" ht="15" customHeight="1">
      <c r="A310" t="inlineStr">
        <is>
          <t>A 61537-2024</t>
        </is>
      </c>
      <c r="B310" s="1" t="n">
        <v>45646</v>
      </c>
      <c r="C310" s="1" t="n">
        <v>46094</v>
      </c>
      <c r="D310" t="inlineStr">
        <is>
          <t>SKÅNE LÄN</t>
        </is>
      </c>
      <c r="E310" t="inlineStr">
        <is>
          <t>HÄSSLEHOLM</t>
        </is>
      </c>
      <c r="G310" t="n">
        <v>3.7</v>
      </c>
      <c r="H310" t="n">
        <v>0</v>
      </c>
      <c r="I310" t="n">
        <v>0</v>
      </c>
      <c r="J310" t="n">
        <v>0</v>
      </c>
      <c r="K310" t="n">
        <v>0</v>
      </c>
      <c r="L310" t="n">
        <v>0</v>
      </c>
      <c r="M310" t="n">
        <v>0</v>
      </c>
      <c r="N310" t="n">
        <v>0</v>
      </c>
      <c r="O310" t="n">
        <v>0</v>
      </c>
      <c r="P310" t="n">
        <v>0</v>
      </c>
      <c r="Q310" t="n">
        <v>0</v>
      </c>
      <c r="R310" s="2" t="inlineStr"/>
    </row>
    <row r="311" ht="15" customHeight="1">
      <c r="A311" t="inlineStr">
        <is>
          <t>A 1119-2024</t>
        </is>
      </c>
      <c r="B311" s="1" t="n">
        <v>45302</v>
      </c>
      <c r="C311" s="1" t="n">
        <v>46094</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48097-2024</t>
        </is>
      </c>
      <c r="B312" s="1" t="n">
        <v>45589.61413194444</v>
      </c>
      <c r="C312" s="1" t="n">
        <v>46094</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68909-2021</t>
        </is>
      </c>
      <c r="B313" s="1" t="n">
        <v>44530.46730324074</v>
      </c>
      <c r="C313" s="1" t="n">
        <v>46094</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58888-2024</t>
        </is>
      </c>
      <c r="B314" s="1" t="n">
        <v>45636.45962962963</v>
      </c>
      <c r="C314" s="1" t="n">
        <v>46094</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16334-2024</t>
        </is>
      </c>
      <c r="B315" s="1" t="n">
        <v>45407.54856481482</v>
      </c>
      <c r="C315" s="1" t="n">
        <v>46094</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34890-2023</t>
        </is>
      </c>
      <c r="B316" s="1" t="n">
        <v>45142.39475694444</v>
      </c>
      <c r="C316" s="1" t="n">
        <v>46094</v>
      </c>
      <c r="D316" t="inlineStr">
        <is>
          <t>SKÅNE LÄN</t>
        </is>
      </c>
      <c r="E316" t="inlineStr">
        <is>
          <t>HÄSSLEHOLM</t>
        </is>
      </c>
      <c r="G316" t="n">
        <v>4</v>
      </c>
      <c r="H316" t="n">
        <v>0</v>
      </c>
      <c r="I316" t="n">
        <v>0</v>
      </c>
      <c r="J316" t="n">
        <v>0</v>
      </c>
      <c r="K316" t="n">
        <v>0</v>
      </c>
      <c r="L316" t="n">
        <v>0</v>
      </c>
      <c r="M316" t="n">
        <v>0</v>
      </c>
      <c r="N316" t="n">
        <v>0</v>
      </c>
      <c r="O316" t="n">
        <v>0</v>
      </c>
      <c r="P316" t="n">
        <v>0</v>
      </c>
      <c r="Q316" t="n">
        <v>0</v>
      </c>
      <c r="R316" s="2" t="inlineStr"/>
    </row>
    <row r="317" ht="15" customHeight="1">
      <c r="A317" t="inlineStr">
        <is>
          <t>A 3663-2024</t>
        </is>
      </c>
      <c r="B317" s="1" t="n">
        <v>45321.34775462963</v>
      </c>
      <c r="C317" s="1" t="n">
        <v>46094</v>
      </c>
      <c r="D317" t="inlineStr">
        <is>
          <t>SKÅNE LÄN</t>
        </is>
      </c>
      <c r="E317" t="inlineStr">
        <is>
          <t>HÄSSLEHOLM</t>
        </is>
      </c>
      <c r="G317" t="n">
        <v>0.4</v>
      </c>
      <c r="H317" t="n">
        <v>0</v>
      </c>
      <c r="I317" t="n">
        <v>0</v>
      </c>
      <c r="J317" t="n">
        <v>0</v>
      </c>
      <c r="K317" t="n">
        <v>0</v>
      </c>
      <c r="L317" t="n">
        <v>0</v>
      </c>
      <c r="M317" t="n">
        <v>0</v>
      </c>
      <c r="N317" t="n">
        <v>0</v>
      </c>
      <c r="O317" t="n">
        <v>0</v>
      </c>
      <c r="P317" t="n">
        <v>0</v>
      </c>
      <c r="Q317" t="n">
        <v>0</v>
      </c>
      <c r="R317" s="2" t="inlineStr"/>
    </row>
    <row r="318" ht="15" customHeight="1">
      <c r="A318" t="inlineStr">
        <is>
          <t>A 60846-2022</t>
        </is>
      </c>
      <c r="B318" s="1" t="n">
        <v>44914</v>
      </c>
      <c r="C318" s="1" t="n">
        <v>46094</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42776-2021</t>
        </is>
      </c>
      <c r="B319" s="1" t="n">
        <v>44428</v>
      </c>
      <c r="C319" s="1" t="n">
        <v>46094</v>
      </c>
      <c r="D319" t="inlineStr">
        <is>
          <t>SKÅNE LÄN</t>
        </is>
      </c>
      <c r="E319" t="inlineStr">
        <is>
          <t>HÄSSLEHOLM</t>
        </is>
      </c>
      <c r="G319" t="n">
        <v>3.2</v>
      </c>
      <c r="H319" t="n">
        <v>0</v>
      </c>
      <c r="I319" t="n">
        <v>0</v>
      </c>
      <c r="J319" t="n">
        <v>0</v>
      </c>
      <c r="K319" t="n">
        <v>0</v>
      </c>
      <c r="L319" t="n">
        <v>0</v>
      </c>
      <c r="M319" t="n">
        <v>0</v>
      </c>
      <c r="N319" t="n">
        <v>0</v>
      </c>
      <c r="O319" t="n">
        <v>0</v>
      </c>
      <c r="P319" t="n">
        <v>0</v>
      </c>
      <c r="Q319" t="n">
        <v>0</v>
      </c>
      <c r="R319" s="2" t="inlineStr"/>
    </row>
    <row r="320" ht="15" customHeight="1">
      <c r="A320" t="inlineStr">
        <is>
          <t>A 22024-2025</t>
        </is>
      </c>
      <c r="B320" s="1" t="n">
        <v>45784.85322916666</v>
      </c>
      <c r="C320" s="1" t="n">
        <v>46094</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20006-2025</t>
        </is>
      </c>
      <c r="B321" s="1" t="n">
        <v>45772.05032407407</v>
      </c>
      <c r="C321" s="1" t="n">
        <v>46094</v>
      </c>
      <c r="D321" t="inlineStr">
        <is>
          <t>SKÅNE LÄN</t>
        </is>
      </c>
      <c r="E321" t="inlineStr">
        <is>
          <t>HÄSSLEHOLM</t>
        </is>
      </c>
      <c r="G321" t="n">
        <v>3.9</v>
      </c>
      <c r="H321" t="n">
        <v>0</v>
      </c>
      <c r="I321" t="n">
        <v>0</v>
      </c>
      <c r="J321" t="n">
        <v>0</v>
      </c>
      <c r="K321" t="n">
        <v>0</v>
      </c>
      <c r="L321" t="n">
        <v>0</v>
      </c>
      <c r="M321" t="n">
        <v>0</v>
      </c>
      <c r="N321" t="n">
        <v>0</v>
      </c>
      <c r="O321" t="n">
        <v>0</v>
      </c>
      <c r="P321" t="n">
        <v>0</v>
      </c>
      <c r="Q321" t="n">
        <v>0</v>
      </c>
      <c r="R321" s="2" t="inlineStr"/>
    </row>
    <row r="322" ht="15" customHeight="1">
      <c r="A322" t="inlineStr">
        <is>
          <t>A 56735-2024</t>
        </is>
      </c>
      <c r="B322" s="1" t="n">
        <v>45628.36234953703</v>
      </c>
      <c r="C322" s="1" t="n">
        <v>46094</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29844-2024</t>
        </is>
      </c>
      <c r="B323" s="1" t="n">
        <v>45485</v>
      </c>
      <c r="C323" s="1" t="n">
        <v>46094</v>
      </c>
      <c r="D323" t="inlineStr">
        <is>
          <t>SKÅNE LÄN</t>
        </is>
      </c>
      <c r="E323" t="inlineStr">
        <is>
          <t>HÄSSLEHOLM</t>
        </is>
      </c>
      <c r="G323" t="n">
        <v>1.9</v>
      </c>
      <c r="H323" t="n">
        <v>0</v>
      </c>
      <c r="I323" t="n">
        <v>0</v>
      </c>
      <c r="J323" t="n">
        <v>0</v>
      </c>
      <c r="K323" t="n">
        <v>0</v>
      </c>
      <c r="L323" t="n">
        <v>0</v>
      </c>
      <c r="M323" t="n">
        <v>0</v>
      </c>
      <c r="N323" t="n">
        <v>0</v>
      </c>
      <c r="O323" t="n">
        <v>0</v>
      </c>
      <c r="P323" t="n">
        <v>0</v>
      </c>
      <c r="Q323" t="n">
        <v>0</v>
      </c>
      <c r="R323" s="2" t="inlineStr"/>
    </row>
    <row r="324" ht="15" customHeight="1">
      <c r="A324" t="inlineStr">
        <is>
          <t>A 9393-2025</t>
        </is>
      </c>
      <c r="B324" s="1" t="n">
        <v>45715.36230324074</v>
      </c>
      <c r="C324" s="1" t="n">
        <v>46094</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15897-2025</t>
        </is>
      </c>
      <c r="B325" s="1" t="n">
        <v>45749.41598379629</v>
      </c>
      <c r="C325" s="1" t="n">
        <v>46094</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55662-2022</t>
        </is>
      </c>
      <c r="B326" s="1" t="n">
        <v>44883</v>
      </c>
      <c r="C326" s="1" t="n">
        <v>46094</v>
      </c>
      <c r="D326" t="inlineStr">
        <is>
          <t>SKÅNE LÄN</t>
        </is>
      </c>
      <c r="E326" t="inlineStr">
        <is>
          <t>HÄSSLEHOLM</t>
        </is>
      </c>
      <c r="F326" t="inlineStr">
        <is>
          <t>Övriga Aktiebolag</t>
        </is>
      </c>
      <c r="G326" t="n">
        <v>2.6</v>
      </c>
      <c r="H326" t="n">
        <v>0</v>
      </c>
      <c r="I326" t="n">
        <v>0</v>
      </c>
      <c r="J326" t="n">
        <v>0</v>
      </c>
      <c r="K326" t="n">
        <v>0</v>
      </c>
      <c r="L326" t="n">
        <v>0</v>
      </c>
      <c r="M326" t="n">
        <v>0</v>
      </c>
      <c r="N326" t="n">
        <v>0</v>
      </c>
      <c r="O326" t="n">
        <v>0</v>
      </c>
      <c r="P326" t="n">
        <v>0</v>
      </c>
      <c r="Q326" t="n">
        <v>0</v>
      </c>
      <c r="R326" s="2" t="inlineStr"/>
    </row>
    <row r="327" ht="15" customHeight="1">
      <c r="A327" t="inlineStr">
        <is>
          <t>A 54982-2024</t>
        </is>
      </c>
      <c r="B327" s="1" t="n">
        <v>45620.7580787037</v>
      </c>
      <c r="C327" s="1" t="n">
        <v>46094</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3886-2024</t>
        </is>
      </c>
      <c r="B328" s="1" t="n">
        <v>45322.44539351852</v>
      </c>
      <c r="C328" s="1" t="n">
        <v>46094</v>
      </c>
      <c r="D328" t="inlineStr">
        <is>
          <t>SKÅNE LÄN</t>
        </is>
      </c>
      <c r="E328" t="inlineStr">
        <is>
          <t>HÄSSLEHOLM</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14700-2023</t>
        </is>
      </c>
      <c r="B329" s="1" t="n">
        <v>45014.38376157408</v>
      </c>
      <c r="C329" s="1" t="n">
        <v>46094</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9924-2025</t>
        </is>
      </c>
      <c r="B330" s="1" t="n">
        <v>45717.72505787037</v>
      </c>
      <c r="C330" s="1" t="n">
        <v>46094</v>
      </c>
      <c r="D330" t="inlineStr">
        <is>
          <t>SKÅNE LÄN</t>
        </is>
      </c>
      <c r="E330" t="inlineStr">
        <is>
          <t>HÄSSLEHOLM</t>
        </is>
      </c>
      <c r="G330" t="n">
        <v>1.5</v>
      </c>
      <c r="H330" t="n">
        <v>0</v>
      </c>
      <c r="I330" t="n">
        <v>0</v>
      </c>
      <c r="J330" t="n">
        <v>0</v>
      </c>
      <c r="K330" t="n">
        <v>0</v>
      </c>
      <c r="L330" t="n">
        <v>0</v>
      </c>
      <c r="M330" t="n">
        <v>0</v>
      </c>
      <c r="N330" t="n">
        <v>0</v>
      </c>
      <c r="O330" t="n">
        <v>0</v>
      </c>
      <c r="P330" t="n">
        <v>0</v>
      </c>
      <c r="Q330" t="n">
        <v>0</v>
      </c>
      <c r="R330" s="2" t="inlineStr"/>
    </row>
    <row r="331" ht="15" customHeight="1">
      <c r="A331" t="inlineStr">
        <is>
          <t>A 22587-2025</t>
        </is>
      </c>
      <c r="B331" s="1" t="n">
        <v>45789.39974537037</v>
      </c>
      <c r="C331" s="1" t="n">
        <v>46094</v>
      </c>
      <c r="D331" t="inlineStr">
        <is>
          <t>SKÅNE LÄN</t>
        </is>
      </c>
      <c r="E331" t="inlineStr">
        <is>
          <t>HÄSSLEHOLM</t>
        </is>
      </c>
      <c r="G331" t="n">
        <v>5.7</v>
      </c>
      <c r="H331" t="n">
        <v>0</v>
      </c>
      <c r="I331" t="n">
        <v>0</v>
      </c>
      <c r="J331" t="n">
        <v>0</v>
      </c>
      <c r="K331" t="n">
        <v>0</v>
      </c>
      <c r="L331" t="n">
        <v>0</v>
      </c>
      <c r="M331" t="n">
        <v>0</v>
      </c>
      <c r="N331" t="n">
        <v>0</v>
      </c>
      <c r="O331" t="n">
        <v>0</v>
      </c>
      <c r="P331" t="n">
        <v>0</v>
      </c>
      <c r="Q331" t="n">
        <v>0</v>
      </c>
      <c r="R331" s="2" t="inlineStr"/>
    </row>
    <row r="332" ht="15" customHeight="1">
      <c r="A332" t="inlineStr">
        <is>
          <t>A 61182-2024</t>
        </is>
      </c>
      <c r="B332" s="1" t="n">
        <v>45645</v>
      </c>
      <c r="C332" s="1" t="n">
        <v>46094</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60920-2024</t>
        </is>
      </c>
      <c r="B333" s="1" t="n">
        <v>45645.34442129629</v>
      </c>
      <c r="C333" s="1" t="n">
        <v>46094</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40536-2024</t>
        </is>
      </c>
      <c r="B334" s="1" t="n">
        <v>45555.61314814815</v>
      </c>
      <c r="C334" s="1" t="n">
        <v>46094</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39915-2023</t>
        </is>
      </c>
      <c r="B335" s="1" t="n">
        <v>45168.4684375</v>
      </c>
      <c r="C335" s="1" t="n">
        <v>46094</v>
      </c>
      <c r="D335" t="inlineStr">
        <is>
          <t>SKÅNE LÄN</t>
        </is>
      </c>
      <c r="E335" t="inlineStr">
        <is>
          <t>HÄSSLEHOLM</t>
        </is>
      </c>
      <c r="G335" t="n">
        <v>0.4</v>
      </c>
      <c r="H335" t="n">
        <v>0</v>
      </c>
      <c r="I335" t="n">
        <v>0</v>
      </c>
      <c r="J335" t="n">
        <v>0</v>
      </c>
      <c r="K335" t="n">
        <v>0</v>
      </c>
      <c r="L335" t="n">
        <v>0</v>
      </c>
      <c r="M335" t="n">
        <v>0</v>
      </c>
      <c r="N335" t="n">
        <v>0</v>
      </c>
      <c r="O335" t="n">
        <v>0</v>
      </c>
      <c r="P335" t="n">
        <v>0</v>
      </c>
      <c r="Q335" t="n">
        <v>0</v>
      </c>
      <c r="R335" s="2" t="inlineStr"/>
    </row>
    <row r="336" ht="15" customHeight="1">
      <c r="A336" t="inlineStr">
        <is>
          <t>A 56386-2023</t>
        </is>
      </c>
      <c r="B336" s="1" t="n">
        <v>45243</v>
      </c>
      <c r="C336" s="1" t="n">
        <v>46094</v>
      </c>
      <c r="D336" t="inlineStr">
        <is>
          <t>SKÅNE LÄN</t>
        </is>
      </c>
      <c r="E336" t="inlineStr">
        <is>
          <t>HÄSSLEHOLM</t>
        </is>
      </c>
      <c r="G336" t="n">
        <v>2</v>
      </c>
      <c r="H336" t="n">
        <v>0</v>
      </c>
      <c r="I336" t="n">
        <v>0</v>
      </c>
      <c r="J336" t="n">
        <v>0</v>
      </c>
      <c r="K336" t="n">
        <v>0</v>
      </c>
      <c r="L336" t="n">
        <v>0</v>
      </c>
      <c r="M336" t="n">
        <v>0</v>
      </c>
      <c r="N336" t="n">
        <v>0</v>
      </c>
      <c r="O336" t="n">
        <v>0</v>
      </c>
      <c r="P336" t="n">
        <v>0</v>
      </c>
      <c r="Q336" t="n">
        <v>0</v>
      </c>
      <c r="R336" s="2" t="inlineStr"/>
    </row>
    <row r="337" ht="15" customHeight="1">
      <c r="A337" t="inlineStr">
        <is>
          <t>A 29274-2023</t>
        </is>
      </c>
      <c r="B337" s="1" t="n">
        <v>45105</v>
      </c>
      <c r="C337" s="1" t="n">
        <v>46094</v>
      </c>
      <c r="D337" t="inlineStr">
        <is>
          <t>SKÅNE LÄN</t>
        </is>
      </c>
      <c r="E337" t="inlineStr">
        <is>
          <t>HÄSSLEHOLM</t>
        </is>
      </c>
      <c r="G337" t="n">
        <v>3.4</v>
      </c>
      <c r="H337" t="n">
        <v>0</v>
      </c>
      <c r="I337" t="n">
        <v>0</v>
      </c>
      <c r="J337" t="n">
        <v>0</v>
      </c>
      <c r="K337" t="n">
        <v>0</v>
      </c>
      <c r="L337" t="n">
        <v>0</v>
      </c>
      <c r="M337" t="n">
        <v>0</v>
      </c>
      <c r="N337" t="n">
        <v>0</v>
      </c>
      <c r="O337" t="n">
        <v>0</v>
      </c>
      <c r="P337" t="n">
        <v>0</v>
      </c>
      <c r="Q337" t="n">
        <v>0</v>
      </c>
      <c r="R337" s="2" t="inlineStr"/>
    </row>
    <row r="338" ht="15" customHeight="1">
      <c r="A338" t="inlineStr">
        <is>
          <t>A 61932-2023</t>
        </is>
      </c>
      <c r="B338" s="1" t="n">
        <v>45266.53761574074</v>
      </c>
      <c r="C338" s="1" t="n">
        <v>46094</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27606-2024</t>
        </is>
      </c>
      <c r="B339" s="1" t="n">
        <v>45474</v>
      </c>
      <c r="C339" s="1" t="n">
        <v>46094</v>
      </c>
      <c r="D339" t="inlineStr">
        <is>
          <t>SKÅNE LÄN</t>
        </is>
      </c>
      <c r="E339" t="inlineStr">
        <is>
          <t>HÄSSLEHOLM</t>
        </is>
      </c>
      <c r="G339" t="n">
        <v>3.6</v>
      </c>
      <c r="H339" t="n">
        <v>0</v>
      </c>
      <c r="I339" t="n">
        <v>0</v>
      </c>
      <c r="J339" t="n">
        <v>0</v>
      </c>
      <c r="K339" t="n">
        <v>0</v>
      </c>
      <c r="L339" t="n">
        <v>0</v>
      </c>
      <c r="M339" t="n">
        <v>0</v>
      </c>
      <c r="N339" t="n">
        <v>0</v>
      </c>
      <c r="O339" t="n">
        <v>0</v>
      </c>
      <c r="P339" t="n">
        <v>0</v>
      </c>
      <c r="Q339" t="n">
        <v>0</v>
      </c>
      <c r="R339" s="2" t="inlineStr"/>
    </row>
    <row r="340" ht="15" customHeight="1">
      <c r="A340" t="inlineStr">
        <is>
          <t>A 50244-2024</t>
        </is>
      </c>
      <c r="B340" s="1" t="n">
        <v>45600.56502314815</v>
      </c>
      <c r="C340" s="1" t="n">
        <v>46094</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7221-2025</t>
        </is>
      </c>
      <c r="B341" s="1" t="n">
        <v>45701</v>
      </c>
      <c r="C341" s="1" t="n">
        <v>46094</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5532-2025</t>
        </is>
      </c>
      <c r="B342" s="1" t="n">
        <v>45693</v>
      </c>
      <c r="C342" s="1" t="n">
        <v>46094</v>
      </c>
      <c r="D342" t="inlineStr">
        <is>
          <t>SKÅNE LÄN</t>
        </is>
      </c>
      <c r="E342" t="inlineStr">
        <is>
          <t>HÄSSLEHOLM</t>
        </is>
      </c>
      <c r="G342" t="n">
        <v>2.4</v>
      </c>
      <c r="H342" t="n">
        <v>0</v>
      </c>
      <c r="I342" t="n">
        <v>0</v>
      </c>
      <c r="J342" t="n">
        <v>0</v>
      </c>
      <c r="K342" t="n">
        <v>0</v>
      </c>
      <c r="L342" t="n">
        <v>0</v>
      </c>
      <c r="M342" t="n">
        <v>0</v>
      </c>
      <c r="N342" t="n">
        <v>0</v>
      </c>
      <c r="O342" t="n">
        <v>0</v>
      </c>
      <c r="P342" t="n">
        <v>0</v>
      </c>
      <c r="Q342" t="n">
        <v>0</v>
      </c>
      <c r="R342" s="2" t="inlineStr"/>
    </row>
    <row r="343" ht="15" customHeight="1">
      <c r="A343" t="inlineStr">
        <is>
          <t>A 20058-2023</t>
        </is>
      </c>
      <c r="B343" s="1" t="n">
        <v>45054.68476851852</v>
      </c>
      <c r="C343" s="1" t="n">
        <v>46094</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14255-2024</t>
        </is>
      </c>
      <c r="B344" s="1" t="n">
        <v>45393</v>
      </c>
      <c r="C344" s="1" t="n">
        <v>46094</v>
      </c>
      <c r="D344" t="inlineStr">
        <is>
          <t>SKÅNE LÄN</t>
        </is>
      </c>
      <c r="E344" t="inlineStr">
        <is>
          <t>HÄSSLEHOLM</t>
        </is>
      </c>
      <c r="G344" t="n">
        <v>11.9</v>
      </c>
      <c r="H344" t="n">
        <v>0</v>
      </c>
      <c r="I344" t="n">
        <v>0</v>
      </c>
      <c r="J344" t="n">
        <v>0</v>
      </c>
      <c r="K344" t="n">
        <v>0</v>
      </c>
      <c r="L344" t="n">
        <v>0</v>
      </c>
      <c r="M344" t="n">
        <v>0</v>
      </c>
      <c r="N344" t="n">
        <v>0</v>
      </c>
      <c r="O344" t="n">
        <v>0</v>
      </c>
      <c r="P344" t="n">
        <v>0</v>
      </c>
      <c r="Q344" t="n">
        <v>0</v>
      </c>
      <c r="R344" s="2" t="inlineStr"/>
    </row>
    <row r="345" ht="15" customHeight="1">
      <c r="A345" t="inlineStr">
        <is>
          <t>A 8619-2023</t>
        </is>
      </c>
      <c r="B345" s="1" t="n">
        <v>44977.81979166667</v>
      </c>
      <c r="C345" s="1" t="n">
        <v>46094</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9543-2025</t>
        </is>
      </c>
      <c r="B346" s="1" t="n">
        <v>45715</v>
      </c>
      <c r="C346" s="1" t="n">
        <v>46094</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10230-2025</t>
        </is>
      </c>
      <c r="B347" s="1" t="n">
        <v>45720</v>
      </c>
      <c r="C347" s="1" t="n">
        <v>46094</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33266-2024</t>
        </is>
      </c>
      <c r="B348" s="1" t="n">
        <v>45518</v>
      </c>
      <c r="C348" s="1" t="n">
        <v>46094</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48797-2023</t>
        </is>
      </c>
      <c r="B349" s="1" t="n">
        <v>45209.24986111111</v>
      </c>
      <c r="C349" s="1" t="n">
        <v>46094</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53067-2022</t>
        </is>
      </c>
      <c r="B350" s="1" t="n">
        <v>44873</v>
      </c>
      <c r="C350" s="1" t="n">
        <v>46094</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22592-2025</t>
        </is>
      </c>
      <c r="B351" s="1" t="n">
        <v>45789.40502314815</v>
      </c>
      <c r="C351" s="1" t="n">
        <v>46094</v>
      </c>
      <c r="D351" t="inlineStr">
        <is>
          <t>SKÅNE LÄN</t>
        </is>
      </c>
      <c r="E351" t="inlineStr">
        <is>
          <t>HÄSSLEHOLM</t>
        </is>
      </c>
      <c r="G351" t="n">
        <v>7.1</v>
      </c>
      <c r="H351" t="n">
        <v>0</v>
      </c>
      <c r="I351" t="n">
        <v>0</v>
      </c>
      <c r="J351" t="n">
        <v>0</v>
      </c>
      <c r="K351" t="n">
        <v>0</v>
      </c>
      <c r="L351" t="n">
        <v>0</v>
      </c>
      <c r="M351" t="n">
        <v>0</v>
      </c>
      <c r="N351" t="n">
        <v>0</v>
      </c>
      <c r="O351" t="n">
        <v>0</v>
      </c>
      <c r="P351" t="n">
        <v>0</v>
      </c>
      <c r="Q351" t="n">
        <v>0</v>
      </c>
      <c r="R351" s="2" t="inlineStr"/>
    </row>
    <row r="352" ht="15" customHeight="1">
      <c r="A352" t="inlineStr">
        <is>
          <t>A 3349-2023</t>
        </is>
      </c>
      <c r="B352" s="1" t="n">
        <v>44949</v>
      </c>
      <c r="C352" s="1" t="n">
        <v>46094</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12338-2024</t>
        </is>
      </c>
      <c r="B353" s="1" t="n">
        <v>45378.72869212963</v>
      </c>
      <c r="C353" s="1" t="n">
        <v>46094</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23007-2025</t>
        </is>
      </c>
      <c r="B354" s="1" t="n">
        <v>45790</v>
      </c>
      <c r="C354" s="1" t="n">
        <v>46094</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17171-2025</t>
        </is>
      </c>
      <c r="B355" s="1" t="n">
        <v>45755</v>
      </c>
      <c r="C355" s="1" t="n">
        <v>46094</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16930-2024</t>
        </is>
      </c>
      <c r="B356" s="1" t="n">
        <v>45411</v>
      </c>
      <c r="C356" s="1" t="n">
        <v>46094</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27825-2024</t>
        </is>
      </c>
      <c r="B357" s="1" t="n">
        <v>45475</v>
      </c>
      <c r="C357" s="1" t="n">
        <v>46094</v>
      </c>
      <c r="D357" t="inlineStr">
        <is>
          <t>SKÅNE LÄN</t>
        </is>
      </c>
      <c r="E357" t="inlineStr">
        <is>
          <t>HÄSSLEHOLM</t>
        </is>
      </c>
      <c r="F357" t="inlineStr">
        <is>
          <t>Kommuner</t>
        </is>
      </c>
      <c r="G357" t="n">
        <v>1.1</v>
      </c>
      <c r="H357" t="n">
        <v>0</v>
      </c>
      <c r="I357" t="n">
        <v>0</v>
      </c>
      <c r="J357" t="n">
        <v>0</v>
      </c>
      <c r="K357" t="n">
        <v>0</v>
      </c>
      <c r="L357" t="n">
        <v>0</v>
      </c>
      <c r="M357" t="n">
        <v>0</v>
      </c>
      <c r="N357" t="n">
        <v>0</v>
      </c>
      <c r="O357" t="n">
        <v>0</v>
      </c>
      <c r="P357" t="n">
        <v>0</v>
      </c>
      <c r="Q357" t="n">
        <v>0</v>
      </c>
      <c r="R357" s="2" t="inlineStr"/>
    </row>
    <row r="358" ht="15" customHeight="1">
      <c r="A358" t="inlineStr">
        <is>
          <t>A 15055-2023</t>
        </is>
      </c>
      <c r="B358" s="1" t="n">
        <v>45015</v>
      </c>
      <c r="C358" s="1" t="n">
        <v>46094</v>
      </c>
      <c r="D358" t="inlineStr">
        <is>
          <t>SKÅNE LÄN</t>
        </is>
      </c>
      <c r="E358" t="inlineStr">
        <is>
          <t>HÄSSLEHOLM</t>
        </is>
      </c>
      <c r="G358" t="n">
        <v>1.9</v>
      </c>
      <c r="H358" t="n">
        <v>0</v>
      </c>
      <c r="I358" t="n">
        <v>0</v>
      </c>
      <c r="J358" t="n">
        <v>0</v>
      </c>
      <c r="K358" t="n">
        <v>0</v>
      </c>
      <c r="L358" t="n">
        <v>0</v>
      </c>
      <c r="M358" t="n">
        <v>0</v>
      </c>
      <c r="N358" t="n">
        <v>0</v>
      </c>
      <c r="O358" t="n">
        <v>0</v>
      </c>
      <c r="P358" t="n">
        <v>0</v>
      </c>
      <c r="Q358" t="n">
        <v>0</v>
      </c>
      <c r="R358" s="2" t="inlineStr"/>
    </row>
    <row r="359" ht="15" customHeight="1">
      <c r="A359" t="inlineStr">
        <is>
          <t>A 31254-2024</t>
        </is>
      </c>
      <c r="B359" s="1" t="n">
        <v>45503</v>
      </c>
      <c r="C359" s="1" t="n">
        <v>46094</v>
      </c>
      <c r="D359" t="inlineStr">
        <is>
          <t>SKÅNE LÄN</t>
        </is>
      </c>
      <c r="E359" t="inlineStr">
        <is>
          <t>HÄSSLEHOLM</t>
        </is>
      </c>
      <c r="G359" t="n">
        <v>2.2</v>
      </c>
      <c r="H359" t="n">
        <v>0</v>
      </c>
      <c r="I359" t="n">
        <v>0</v>
      </c>
      <c r="J359" t="n">
        <v>0</v>
      </c>
      <c r="K359" t="n">
        <v>0</v>
      </c>
      <c r="L359" t="n">
        <v>0</v>
      </c>
      <c r="M359" t="n">
        <v>0</v>
      </c>
      <c r="N359" t="n">
        <v>0</v>
      </c>
      <c r="O359" t="n">
        <v>0</v>
      </c>
      <c r="P359" t="n">
        <v>0</v>
      </c>
      <c r="Q359" t="n">
        <v>0</v>
      </c>
      <c r="R359" s="2" t="inlineStr"/>
    </row>
    <row r="360" ht="15" customHeight="1">
      <c r="A360" t="inlineStr">
        <is>
          <t>A 37486-2024</t>
        </is>
      </c>
      <c r="B360" s="1" t="n">
        <v>45541</v>
      </c>
      <c r="C360" s="1" t="n">
        <v>46094</v>
      </c>
      <c r="D360" t="inlineStr">
        <is>
          <t>SKÅNE LÄN</t>
        </is>
      </c>
      <c r="E360" t="inlineStr">
        <is>
          <t>HÄSSLEHOLM</t>
        </is>
      </c>
      <c r="G360" t="n">
        <v>8.5</v>
      </c>
      <c r="H360" t="n">
        <v>0</v>
      </c>
      <c r="I360" t="n">
        <v>0</v>
      </c>
      <c r="J360" t="n">
        <v>0</v>
      </c>
      <c r="K360" t="n">
        <v>0</v>
      </c>
      <c r="L360" t="n">
        <v>0</v>
      </c>
      <c r="M360" t="n">
        <v>0</v>
      </c>
      <c r="N360" t="n">
        <v>0</v>
      </c>
      <c r="O360" t="n">
        <v>0</v>
      </c>
      <c r="P360" t="n">
        <v>0</v>
      </c>
      <c r="Q360" t="n">
        <v>0</v>
      </c>
      <c r="R360" s="2" t="inlineStr"/>
    </row>
    <row r="361" ht="15" customHeight="1">
      <c r="A361" t="inlineStr">
        <is>
          <t>A 44838-2023</t>
        </is>
      </c>
      <c r="B361" s="1" t="n">
        <v>45190</v>
      </c>
      <c r="C361" s="1" t="n">
        <v>46094</v>
      </c>
      <c r="D361" t="inlineStr">
        <is>
          <t>SKÅNE LÄN</t>
        </is>
      </c>
      <c r="E361" t="inlineStr">
        <is>
          <t>HÄSSLEHOLM</t>
        </is>
      </c>
      <c r="F361" t="inlineStr">
        <is>
          <t>Kommuner</t>
        </is>
      </c>
      <c r="G361" t="n">
        <v>2</v>
      </c>
      <c r="H361" t="n">
        <v>0</v>
      </c>
      <c r="I361" t="n">
        <v>0</v>
      </c>
      <c r="J361" t="n">
        <v>0</v>
      </c>
      <c r="K361" t="n">
        <v>0</v>
      </c>
      <c r="L361" t="n">
        <v>0</v>
      </c>
      <c r="M361" t="n">
        <v>0</v>
      </c>
      <c r="N361" t="n">
        <v>0</v>
      </c>
      <c r="O361" t="n">
        <v>0</v>
      </c>
      <c r="P361" t="n">
        <v>0</v>
      </c>
      <c r="Q361" t="n">
        <v>0</v>
      </c>
      <c r="R361" s="2" t="inlineStr"/>
    </row>
    <row r="362" ht="15" customHeight="1">
      <c r="A362" t="inlineStr">
        <is>
          <t>A 46185-2022</t>
        </is>
      </c>
      <c r="B362" s="1" t="n">
        <v>44847</v>
      </c>
      <c r="C362" s="1" t="n">
        <v>46094</v>
      </c>
      <c r="D362" t="inlineStr">
        <is>
          <t>SKÅNE LÄN</t>
        </is>
      </c>
      <c r="E362" t="inlineStr">
        <is>
          <t>HÄSSLEHOLM</t>
        </is>
      </c>
      <c r="G362" t="n">
        <v>16.8</v>
      </c>
      <c r="H362" t="n">
        <v>0</v>
      </c>
      <c r="I362" t="n">
        <v>0</v>
      </c>
      <c r="J362" t="n">
        <v>0</v>
      </c>
      <c r="K362" t="n">
        <v>0</v>
      </c>
      <c r="L362" t="n">
        <v>0</v>
      </c>
      <c r="M362" t="n">
        <v>0</v>
      </c>
      <c r="N362" t="n">
        <v>0</v>
      </c>
      <c r="O362" t="n">
        <v>0</v>
      </c>
      <c r="P362" t="n">
        <v>0</v>
      </c>
      <c r="Q362" t="n">
        <v>0</v>
      </c>
      <c r="R362" s="2" t="inlineStr"/>
    </row>
    <row r="363" ht="15" customHeight="1">
      <c r="A363" t="inlineStr">
        <is>
          <t>A 34187-2023</t>
        </is>
      </c>
      <c r="B363" s="1" t="n">
        <v>45138</v>
      </c>
      <c r="C363" s="1" t="n">
        <v>46094</v>
      </c>
      <c r="D363" t="inlineStr">
        <is>
          <t>SKÅNE LÄN</t>
        </is>
      </c>
      <c r="E363" t="inlineStr">
        <is>
          <t>HÄSSLEHOLM</t>
        </is>
      </c>
      <c r="G363" t="n">
        <v>0.4</v>
      </c>
      <c r="H363" t="n">
        <v>0</v>
      </c>
      <c r="I363" t="n">
        <v>0</v>
      </c>
      <c r="J363" t="n">
        <v>0</v>
      </c>
      <c r="K363" t="n">
        <v>0</v>
      </c>
      <c r="L363" t="n">
        <v>0</v>
      </c>
      <c r="M363" t="n">
        <v>0</v>
      </c>
      <c r="N363" t="n">
        <v>0</v>
      </c>
      <c r="O363" t="n">
        <v>0</v>
      </c>
      <c r="P363" t="n">
        <v>0</v>
      </c>
      <c r="Q363" t="n">
        <v>0</v>
      </c>
      <c r="R363" s="2" t="inlineStr"/>
    </row>
    <row r="364" ht="15" customHeight="1">
      <c r="A364" t="inlineStr">
        <is>
          <t>A 13954-2023</t>
        </is>
      </c>
      <c r="B364" s="1" t="n">
        <v>45008</v>
      </c>
      <c r="C364" s="1" t="n">
        <v>46094</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18623-2023</t>
        </is>
      </c>
      <c r="B365" s="1" t="n">
        <v>45043</v>
      </c>
      <c r="C365" s="1" t="n">
        <v>46094</v>
      </c>
      <c r="D365" t="inlineStr">
        <is>
          <t>SKÅNE LÄN</t>
        </is>
      </c>
      <c r="E365" t="inlineStr">
        <is>
          <t>HÄSSLEHOLM</t>
        </is>
      </c>
      <c r="G365" t="n">
        <v>3.2</v>
      </c>
      <c r="H365" t="n">
        <v>0</v>
      </c>
      <c r="I365" t="n">
        <v>0</v>
      </c>
      <c r="J365" t="n">
        <v>0</v>
      </c>
      <c r="K365" t="n">
        <v>0</v>
      </c>
      <c r="L365" t="n">
        <v>0</v>
      </c>
      <c r="M365" t="n">
        <v>0</v>
      </c>
      <c r="N365" t="n">
        <v>0</v>
      </c>
      <c r="O365" t="n">
        <v>0</v>
      </c>
      <c r="P365" t="n">
        <v>0</v>
      </c>
      <c r="Q365" t="n">
        <v>0</v>
      </c>
      <c r="R365" s="2" t="inlineStr"/>
    </row>
    <row r="366" ht="15" customHeight="1">
      <c r="A366" t="inlineStr">
        <is>
          <t>A 33873-2021</t>
        </is>
      </c>
      <c r="B366" s="1" t="n">
        <v>44378</v>
      </c>
      <c r="C366" s="1" t="n">
        <v>46094</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15053-2023</t>
        </is>
      </c>
      <c r="B367" s="1" t="n">
        <v>45015</v>
      </c>
      <c r="C367" s="1" t="n">
        <v>46094</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13007-2024</t>
        </is>
      </c>
      <c r="B368" s="1" t="n">
        <v>45385.57092592592</v>
      </c>
      <c r="C368" s="1" t="n">
        <v>46094</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40152-2024</t>
        </is>
      </c>
      <c r="B369" s="1" t="n">
        <v>45554</v>
      </c>
      <c r="C369" s="1" t="n">
        <v>46094</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9302-2025</t>
        </is>
      </c>
      <c r="B370" s="1" t="n">
        <v>45714.67233796296</v>
      </c>
      <c r="C370" s="1" t="n">
        <v>46094</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74030-2021</t>
        </is>
      </c>
      <c r="B371" s="1" t="n">
        <v>44553</v>
      </c>
      <c r="C371" s="1" t="n">
        <v>46094</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15072-2024</t>
        </is>
      </c>
      <c r="B372" s="1" t="n">
        <v>45399.5996875</v>
      </c>
      <c r="C372" s="1" t="n">
        <v>46094</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47907-2021</t>
        </is>
      </c>
      <c r="B373" s="1" t="n">
        <v>44448</v>
      </c>
      <c r="C373" s="1" t="n">
        <v>46094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11262-2025</t>
        </is>
      </c>
      <c r="B374" s="1" t="n">
        <v>45726</v>
      </c>
      <c r="C374" s="1" t="n">
        <v>46094</v>
      </c>
      <c r="D374" t="inlineStr">
        <is>
          <t>SKÅNE LÄN</t>
        </is>
      </c>
      <c r="E374" t="inlineStr">
        <is>
          <t>HÄSSLEHOLM</t>
        </is>
      </c>
      <c r="G374" t="n">
        <v>1.9</v>
      </c>
      <c r="H374" t="n">
        <v>0</v>
      </c>
      <c r="I374" t="n">
        <v>0</v>
      </c>
      <c r="J374" t="n">
        <v>0</v>
      </c>
      <c r="K374" t="n">
        <v>0</v>
      </c>
      <c r="L374" t="n">
        <v>0</v>
      </c>
      <c r="M374" t="n">
        <v>0</v>
      </c>
      <c r="N374" t="n">
        <v>0</v>
      </c>
      <c r="O374" t="n">
        <v>0</v>
      </c>
      <c r="P374" t="n">
        <v>0</v>
      </c>
      <c r="Q374" t="n">
        <v>0</v>
      </c>
      <c r="R374" s="2" t="inlineStr"/>
    </row>
    <row r="375" ht="15" customHeight="1">
      <c r="A375" t="inlineStr">
        <is>
          <t>A 31255-2024</t>
        </is>
      </c>
      <c r="B375" s="1" t="n">
        <v>45503.69114583333</v>
      </c>
      <c r="C375" s="1" t="n">
        <v>46094</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5395-2024</t>
        </is>
      </c>
      <c r="B376" s="1" t="n">
        <v>45331</v>
      </c>
      <c r="C376" s="1" t="n">
        <v>46094</v>
      </c>
      <c r="D376" t="inlineStr">
        <is>
          <t>SKÅNE LÄN</t>
        </is>
      </c>
      <c r="E376" t="inlineStr">
        <is>
          <t>HÄSSLEHOLM</t>
        </is>
      </c>
      <c r="G376" t="n">
        <v>2.6</v>
      </c>
      <c r="H376" t="n">
        <v>0</v>
      </c>
      <c r="I376" t="n">
        <v>0</v>
      </c>
      <c r="J376" t="n">
        <v>0</v>
      </c>
      <c r="K376" t="n">
        <v>0</v>
      </c>
      <c r="L376" t="n">
        <v>0</v>
      </c>
      <c r="M376" t="n">
        <v>0</v>
      </c>
      <c r="N376" t="n">
        <v>0</v>
      </c>
      <c r="O376" t="n">
        <v>0</v>
      </c>
      <c r="P376" t="n">
        <v>0</v>
      </c>
      <c r="Q376" t="n">
        <v>0</v>
      </c>
      <c r="R376" s="2" t="inlineStr"/>
    </row>
    <row r="377" ht="15" customHeight="1">
      <c r="A377" t="inlineStr">
        <is>
          <t>A 44697-2021</t>
        </is>
      </c>
      <c r="B377" s="1" t="n">
        <v>44438</v>
      </c>
      <c r="C377" s="1" t="n">
        <v>46094</v>
      </c>
      <c r="D377" t="inlineStr">
        <is>
          <t>SKÅNE LÄN</t>
        </is>
      </c>
      <c r="E377" t="inlineStr">
        <is>
          <t>HÄSSLEHOLM</t>
        </is>
      </c>
      <c r="G377" t="n">
        <v>4.8</v>
      </c>
      <c r="H377" t="n">
        <v>0</v>
      </c>
      <c r="I377" t="n">
        <v>0</v>
      </c>
      <c r="J377" t="n">
        <v>0</v>
      </c>
      <c r="K377" t="n">
        <v>0</v>
      </c>
      <c r="L377" t="n">
        <v>0</v>
      </c>
      <c r="M377" t="n">
        <v>0</v>
      </c>
      <c r="N377" t="n">
        <v>0</v>
      </c>
      <c r="O377" t="n">
        <v>0</v>
      </c>
      <c r="P377" t="n">
        <v>0</v>
      </c>
      <c r="Q377" t="n">
        <v>0</v>
      </c>
      <c r="R377" s="2" t="inlineStr"/>
    </row>
    <row r="378" ht="15" customHeight="1">
      <c r="A378" t="inlineStr">
        <is>
          <t>A 1197-2024</t>
        </is>
      </c>
      <c r="B378" s="1" t="n">
        <v>45302</v>
      </c>
      <c r="C378" s="1" t="n">
        <v>46094</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2621-2025</t>
        </is>
      </c>
      <c r="B379" s="1" t="n">
        <v>45675.60765046296</v>
      </c>
      <c r="C379" s="1" t="n">
        <v>46094</v>
      </c>
      <c r="D379" t="inlineStr">
        <is>
          <t>SKÅNE LÄN</t>
        </is>
      </c>
      <c r="E379" t="inlineStr">
        <is>
          <t>HÄSSLEHOLM</t>
        </is>
      </c>
      <c r="F379" t="inlineStr">
        <is>
          <t>Kommuner</t>
        </is>
      </c>
      <c r="G379" t="n">
        <v>3</v>
      </c>
      <c r="H379" t="n">
        <v>0</v>
      </c>
      <c r="I379" t="n">
        <v>0</v>
      </c>
      <c r="J379" t="n">
        <v>0</v>
      </c>
      <c r="K379" t="n">
        <v>0</v>
      </c>
      <c r="L379" t="n">
        <v>0</v>
      </c>
      <c r="M379" t="n">
        <v>0</v>
      </c>
      <c r="N379" t="n">
        <v>0</v>
      </c>
      <c r="O379" t="n">
        <v>0</v>
      </c>
      <c r="P379" t="n">
        <v>0</v>
      </c>
      <c r="Q379" t="n">
        <v>0</v>
      </c>
      <c r="R379" s="2" t="inlineStr"/>
    </row>
    <row r="380" ht="15" customHeight="1">
      <c r="A380" t="inlineStr">
        <is>
          <t>A 8737-2025</t>
        </is>
      </c>
      <c r="B380" s="1" t="n">
        <v>45712.54578703704</v>
      </c>
      <c r="C380" s="1" t="n">
        <v>46094</v>
      </c>
      <c r="D380" t="inlineStr">
        <is>
          <t>SKÅNE LÄN</t>
        </is>
      </c>
      <c r="E380" t="inlineStr">
        <is>
          <t>HÄSSLEHOLM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13712-2025</t>
        </is>
      </c>
      <c r="B381" s="1" t="n">
        <v>45737</v>
      </c>
      <c r="C381" s="1" t="n">
        <v>46094</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8433-2024</t>
        </is>
      </c>
      <c r="B382" s="1" t="n">
        <v>45353.48434027778</v>
      </c>
      <c r="C382" s="1" t="n">
        <v>46094</v>
      </c>
      <c r="D382" t="inlineStr">
        <is>
          <t>SKÅNE LÄN</t>
        </is>
      </c>
      <c r="E382" t="inlineStr">
        <is>
          <t>HÄSSLEHOLM</t>
        </is>
      </c>
      <c r="G382" t="n">
        <v>1.9</v>
      </c>
      <c r="H382" t="n">
        <v>0</v>
      </c>
      <c r="I382" t="n">
        <v>0</v>
      </c>
      <c r="J382" t="n">
        <v>0</v>
      </c>
      <c r="K382" t="n">
        <v>0</v>
      </c>
      <c r="L382" t="n">
        <v>0</v>
      </c>
      <c r="M382" t="n">
        <v>0</v>
      </c>
      <c r="N382" t="n">
        <v>0</v>
      </c>
      <c r="O382" t="n">
        <v>0</v>
      </c>
      <c r="P382" t="n">
        <v>0</v>
      </c>
      <c r="Q382" t="n">
        <v>0</v>
      </c>
      <c r="R382" s="2" t="inlineStr"/>
    </row>
    <row r="383" ht="15" customHeight="1">
      <c r="A383" t="inlineStr">
        <is>
          <t>A 48807-2021</t>
        </is>
      </c>
      <c r="B383" s="1" t="n">
        <v>44452</v>
      </c>
      <c r="C383" s="1" t="n">
        <v>46094</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49950-2023</t>
        </is>
      </c>
      <c r="B384" s="1" t="n">
        <v>45215</v>
      </c>
      <c r="C384" s="1" t="n">
        <v>46094</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28457-2024</t>
        </is>
      </c>
      <c r="B385" s="1" t="n">
        <v>45477.68884259259</v>
      </c>
      <c r="C385" s="1" t="n">
        <v>46094</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37764-2022</t>
        </is>
      </c>
      <c r="B386" s="1" t="n">
        <v>44810</v>
      </c>
      <c r="C386" s="1" t="n">
        <v>46094</v>
      </c>
      <c r="D386" t="inlineStr">
        <is>
          <t>SKÅNE LÄN</t>
        </is>
      </c>
      <c r="E386" t="inlineStr">
        <is>
          <t>HÄSSLEHOLM</t>
        </is>
      </c>
      <c r="F386" t="inlineStr">
        <is>
          <t>Kyrkan</t>
        </is>
      </c>
      <c r="G386" t="n">
        <v>9.4</v>
      </c>
      <c r="H386" t="n">
        <v>0</v>
      </c>
      <c r="I386" t="n">
        <v>0</v>
      </c>
      <c r="J386" t="n">
        <v>0</v>
      </c>
      <c r="K386" t="n">
        <v>0</v>
      </c>
      <c r="L386" t="n">
        <v>0</v>
      </c>
      <c r="M386" t="n">
        <v>0</v>
      </c>
      <c r="N386" t="n">
        <v>0</v>
      </c>
      <c r="O386" t="n">
        <v>0</v>
      </c>
      <c r="P386" t="n">
        <v>0</v>
      </c>
      <c r="Q386" t="n">
        <v>0</v>
      </c>
      <c r="R386" s="2" t="inlineStr"/>
    </row>
    <row r="387" ht="15" customHeight="1">
      <c r="A387" t="inlineStr">
        <is>
          <t>A 51018-2023</t>
        </is>
      </c>
      <c r="B387" s="1" t="n">
        <v>45218</v>
      </c>
      <c r="C387" s="1" t="n">
        <v>46094</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23005-2025</t>
        </is>
      </c>
      <c r="B388" s="1" t="n">
        <v>45790</v>
      </c>
      <c r="C388" s="1" t="n">
        <v>46094</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41694-2024</t>
        </is>
      </c>
      <c r="B389" s="1" t="n">
        <v>45560.68341435185</v>
      </c>
      <c r="C389" s="1" t="n">
        <v>46094</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60797-2024</t>
        </is>
      </c>
      <c r="B390" s="1" t="n">
        <v>45644</v>
      </c>
      <c r="C390" s="1" t="n">
        <v>46094</v>
      </c>
      <c r="D390" t="inlineStr">
        <is>
          <t>SKÅNE LÄN</t>
        </is>
      </c>
      <c r="E390" t="inlineStr">
        <is>
          <t>HÄSSLEHOLM</t>
        </is>
      </c>
      <c r="G390" t="n">
        <v>3.4</v>
      </c>
      <c r="H390" t="n">
        <v>0</v>
      </c>
      <c r="I390" t="n">
        <v>0</v>
      </c>
      <c r="J390" t="n">
        <v>0</v>
      </c>
      <c r="K390" t="n">
        <v>0</v>
      </c>
      <c r="L390" t="n">
        <v>0</v>
      </c>
      <c r="M390" t="n">
        <v>0</v>
      </c>
      <c r="N390" t="n">
        <v>0</v>
      </c>
      <c r="O390" t="n">
        <v>0</v>
      </c>
      <c r="P390" t="n">
        <v>0</v>
      </c>
      <c r="Q390" t="n">
        <v>0</v>
      </c>
      <c r="R390" s="2" t="inlineStr"/>
    </row>
    <row r="391" ht="15" customHeight="1">
      <c r="A391" t="inlineStr">
        <is>
          <t>A 56069-2024</t>
        </is>
      </c>
      <c r="B391" s="1" t="n">
        <v>45624.38006944444</v>
      </c>
      <c r="C391" s="1" t="n">
        <v>46094</v>
      </c>
      <c r="D391" t="inlineStr">
        <is>
          <t>SKÅNE LÄN</t>
        </is>
      </c>
      <c r="E391" t="inlineStr">
        <is>
          <t>HÄSSLEHOLM</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36795-2023</t>
        </is>
      </c>
      <c r="B392" s="1" t="n">
        <v>45154.38245370371</v>
      </c>
      <c r="C392" s="1" t="n">
        <v>46094</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46942-2024</t>
        </is>
      </c>
      <c r="B393" s="1" t="n">
        <v>45585.6684375</v>
      </c>
      <c r="C393" s="1" t="n">
        <v>46094</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13309-2025</t>
        </is>
      </c>
      <c r="B394" s="1" t="n">
        <v>45735.58512731481</v>
      </c>
      <c r="C394" s="1" t="n">
        <v>46094</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51752-2023</t>
        </is>
      </c>
      <c r="B395" s="1" t="n">
        <v>45222</v>
      </c>
      <c r="C395" s="1" t="n">
        <v>46094</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43696-2024</t>
        </is>
      </c>
      <c r="B396" s="1" t="n">
        <v>45569.58855324074</v>
      </c>
      <c r="C396" s="1" t="n">
        <v>46094</v>
      </c>
      <c r="D396" t="inlineStr">
        <is>
          <t>SKÅNE LÄN</t>
        </is>
      </c>
      <c r="E396" t="inlineStr">
        <is>
          <t>HÄSSLEHOLM</t>
        </is>
      </c>
      <c r="G396" t="n">
        <v>2.9</v>
      </c>
      <c r="H396" t="n">
        <v>0</v>
      </c>
      <c r="I396" t="n">
        <v>0</v>
      </c>
      <c r="J396" t="n">
        <v>0</v>
      </c>
      <c r="K396" t="n">
        <v>0</v>
      </c>
      <c r="L396" t="n">
        <v>0</v>
      </c>
      <c r="M396" t="n">
        <v>0</v>
      </c>
      <c r="N396" t="n">
        <v>0</v>
      </c>
      <c r="O396" t="n">
        <v>0</v>
      </c>
      <c r="P396" t="n">
        <v>0</v>
      </c>
      <c r="Q396" t="n">
        <v>0</v>
      </c>
      <c r="R396" s="2" t="inlineStr"/>
    </row>
    <row r="397" ht="15" customHeight="1">
      <c r="A397" t="inlineStr">
        <is>
          <t>A 32834-2024</t>
        </is>
      </c>
      <c r="B397" s="1" t="n">
        <v>45516.6025</v>
      </c>
      <c r="C397" s="1" t="n">
        <v>46094</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36706-2022</t>
        </is>
      </c>
      <c r="B398" s="1" t="n">
        <v>44805.32891203704</v>
      </c>
      <c r="C398" s="1" t="n">
        <v>46094</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9397-2025</t>
        </is>
      </c>
      <c r="B399" s="1" t="n">
        <v>45715.37361111111</v>
      </c>
      <c r="C399" s="1" t="n">
        <v>46094</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22594-2024</t>
        </is>
      </c>
      <c r="B400" s="1" t="n">
        <v>45447.60892361111</v>
      </c>
      <c r="C400" s="1" t="n">
        <v>46094</v>
      </c>
      <c r="D400" t="inlineStr">
        <is>
          <t>SKÅNE LÄN</t>
        </is>
      </c>
      <c r="E400" t="inlineStr">
        <is>
          <t>HÄSSLEHOLM</t>
        </is>
      </c>
      <c r="G400" t="n">
        <v>1.1</v>
      </c>
      <c r="H400" t="n">
        <v>0</v>
      </c>
      <c r="I400" t="n">
        <v>0</v>
      </c>
      <c r="J400" t="n">
        <v>0</v>
      </c>
      <c r="K400" t="n">
        <v>0</v>
      </c>
      <c r="L400" t="n">
        <v>0</v>
      </c>
      <c r="M400" t="n">
        <v>0</v>
      </c>
      <c r="N400" t="n">
        <v>0</v>
      </c>
      <c r="O400" t="n">
        <v>0</v>
      </c>
      <c r="P400" t="n">
        <v>0</v>
      </c>
      <c r="Q400" t="n">
        <v>0</v>
      </c>
      <c r="R400" s="2" t="inlineStr"/>
    </row>
    <row r="401" ht="15" customHeight="1">
      <c r="A401" t="inlineStr">
        <is>
          <t>A 59109-2023</t>
        </is>
      </c>
      <c r="B401" s="1" t="n">
        <v>45253.30819444444</v>
      </c>
      <c r="C401" s="1" t="n">
        <v>46094</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49384-2021</t>
        </is>
      </c>
      <c r="B402" s="1" t="n">
        <v>44454</v>
      </c>
      <c r="C402" s="1" t="n">
        <v>46094</v>
      </c>
      <c r="D402" t="inlineStr">
        <is>
          <t>SKÅNE LÄN</t>
        </is>
      </c>
      <c r="E402" t="inlineStr">
        <is>
          <t>HÄSSLEHOLM</t>
        </is>
      </c>
      <c r="G402" t="n">
        <v>2.6</v>
      </c>
      <c r="H402" t="n">
        <v>0</v>
      </c>
      <c r="I402" t="n">
        <v>0</v>
      </c>
      <c r="J402" t="n">
        <v>0</v>
      </c>
      <c r="K402" t="n">
        <v>0</v>
      </c>
      <c r="L402" t="n">
        <v>0</v>
      </c>
      <c r="M402" t="n">
        <v>0</v>
      </c>
      <c r="N402" t="n">
        <v>0</v>
      </c>
      <c r="O402" t="n">
        <v>0</v>
      </c>
      <c r="P402" t="n">
        <v>0</v>
      </c>
      <c r="Q402" t="n">
        <v>0</v>
      </c>
      <c r="R402" s="2" t="inlineStr"/>
    </row>
    <row r="403" ht="15" customHeight="1">
      <c r="A403" t="inlineStr">
        <is>
          <t>A 54462-2022</t>
        </is>
      </c>
      <c r="B403" s="1" t="n">
        <v>44882</v>
      </c>
      <c r="C403" s="1" t="n">
        <v>46094</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25611-2024</t>
        </is>
      </c>
      <c r="B404" s="1" t="n">
        <v>45463</v>
      </c>
      <c r="C404" s="1" t="n">
        <v>46094</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7094-2023</t>
        </is>
      </c>
      <c r="B405" s="1" t="n">
        <v>44970.36958333333</v>
      </c>
      <c r="C405" s="1" t="n">
        <v>46094</v>
      </c>
      <c r="D405" t="inlineStr">
        <is>
          <t>SKÅNE LÄN</t>
        </is>
      </c>
      <c r="E405" t="inlineStr">
        <is>
          <t>HÄSSLEHOLM</t>
        </is>
      </c>
      <c r="G405" t="n">
        <v>3.6</v>
      </c>
      <c r="H405" t="n">
        <v>0</v>
      </c>
      <c r="I405" t="n">
        <v>0</v>
      </c>
      <c r="J405" t="n">
        <v>0</v>
      </c>
      <c r="K405" t="n">
        <v>0</v>
      </c>
      <c r="L405" t="n">
        <v>0</v>
      </c>
      <c r="M405" t="n">
        <v>0</v>
      </c>
      <c r="N405" t="n">
        <v>0</v>
      </c>
      <c r="O405" t="n">
        <v>0</v>
      </c>
      <c r="P405" t="n">
        <v>0</v>
      </c>
      <c r="Q405" t="n">
        <v>0</v>
      </c>
      <c r="R405" s="2" t="inlineStr"/>
    </row>
    <row r="406" ht="15" customHeight="1">
      <c r="A406" t="inlineStr">
        <is>
          <t>A 25213-2023</t>
        </is>
      </c>
      <c r="B406" s="1" t="n">
        <v>45086.60010416667</v>
      </c>
      <c r="C406" s="1" t="n">
        <v>46094</v>
      </c>
      <c r="D406" t="inlineStr">
        <is>
          <t>SKÅNE LÄN</t>
        </is>
      </c>
      <c r="E406" t="inlineStr">
        <is>
          <t>HÄSSLEHOLM</t>
        </is>
      </c>
      <c r="G406" t="n">
        <v>7.2</v>
      </c>
      <c r="H406" t="n">
        <v>0</v>
      </c>
      <c r="I406" t="n">
        <v>0</v>
      </c>
      <c r="J406" t="n">
        <v>0</v>
      </c>
      <c r="K406" t="n">
        <v>0</v>
      </c>
      <c r="L406" t="n">
        <v>0</v>
      </c>
      <c r="M406" t="n">
        <v>0</v>
      </c>
      <c r="N406" t="n">
        <v>0</v>
      </c>
      <c r="O406" t="n">
        <v>0</v>
      </c>
      <c r="P406" t="n">
        <v>0</v>
      </c>
      <c r="Q406" t="n">
        <v>0</v>
      </c>
      <c r="R406" s="2" t="inlineStr"/>
    </row>
    <row r="407" ht="15" customHeight="1">
      <c r="A407" t="inlineStr">
        <is>
          <t>A 32100-2024</t>
        </is>
      </c>
      <c r="B407" s="1" t="n">
        <v>45511.41451388889</v>
      </c>
      <c r="C407" s="1" t="n">
        <v>46094</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10220-2023</t>
        </is>
      </c>
      <c r="B408" s="1" t="n">
        <v>44986.60916666667</v>
      </c>
      <c r="C408" s="1" t="n">
        <v>46094</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35810-2023</t>
        </is>
      </c>
      <c r="B409" s="1" t="n">
        <v>45148.44046296296</v>
      </c>
      <c r="C409" s="1" t="n">
        <v>46094</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35833-2023</t>
        </is>
      </c>
      <c r="B410" s="1" t="n">
        <v>45148</v>
      </c>
      <c r="C410" s="1" t="n">
        <v>46094</v>
      </c>
      <c r="D410" t="inlineStr">
        <is>
          <t>SKÅNE LÄN</t>
        </is>
      </c>
      <c r="E410" t="inlineStr">
        <is>
          <t>HÄSSLEHOLM</t>
        </is>
      </c>
      <c r="F410" t="inlineStr">
        <is>
          <t>Kommuner</t>
        </is>
      </c>
      <c r="G410" t="n">
        <v>2</v>
      </c>
      <c r="H410" t="n">
        <v>0</v>
      </c>
      <c r="I410" t="n">
        <v>0</v>
      </c>
      <c r="J410" t="n">
        <v>0</v>
      </c>
      <c r="K410" t="n">
        <v>0</v>
      </c>
      <c r="L410" t="n">
        <v>0</v>
      </c>
      <c r="M410" t="n">
        <v>0</v>
      </c>
      <c r="N410" t="n">
        <v>0</v>
      </c>
      <c r="O410" t="n">
        <v>0</v>
      </c>
      <c r="P410" t="n">
        <v>0</v>
      </c>
      <c r="Q410" t="n">
        <v>0</v>
      </c>
      <c r="R410" s="2" t="inlineStr"/>
    </row>
    <row r="411" ht="15" customHeight="1">
      <c r="A411" t="inlineStr">
        <is>
          <t>A 18063-2023</t>
        </is>
      </c>
      <c r="B411" s="1" t="n">
        <v>45040.62850694444</v>
      </c>
      <c r="C411" s="1" t="n">
        <v>46094</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59556-2023</t>
        </is>
      </c>
      <c r="B412" s="1" t="n">
        <v>45254.56313657408</v>
      </c>
      <c r="C412" s="1" t="n">
        <v>46094</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53077-2022</t>
        </is>
      </c>
      <c r="B413" s="1" t="n">
        <v>44873</v>
      </c>
      <c r="C413" s="1" t="n">
        <v>46094</v>
      </c>
      <c r="D413" t="inlineStr">
        <is>
          <t>SKÅNE LÄN</t>
        </is>
      </c>
      <c r="E413" t="inlineStr">
        <is>
          <t>HÄSSLEHOLM</t>
        </is>
      </c>
      <c r="G413" t="n">
        <v>3</v>
      </c>
      <c r="H413" t="n">
        <v>0</v>
      </c>
      <c r="I413" t="n">
        <v>0</v>
      </c>
      <c r="J413" t="n">
        <v>0</v>
      </c>
      <c r="K413" t="n">
        <v>0</v>
      </c>
      <c r="L413" t="n">
        <v>0</v>
      </c>
      <c r="M413" t="n">
        <v>0</v>
      </c>
      <c r="N413" t="n">
        <v>0</v>
      </c>
      <c r="O413" t="n">
        <v>0</v>
      </c>
      <c r="P413" t="n">
        <v>0</v>
      </c>
      <c r="Q413" t="n">
        <v>0</v>
      </c>
      <c r="R413" s="2" t="inlineStr"/>
    </row>
    <row r="414" ht="15" customHeight="1">
      <c r="A414" t="inlineStr">
        <is>
          <t>A 61524-2022</t>
        </is>
      </c>
      <c r="B414" s="1" t="n">
        <v>44910</v>
      </c>
      <c r="C414" s="1" t="n">
        <v>46094</v>
      </c>
      <c r="D414" t="inlineStr">
        <is>
          <t>SKÅNE LÄN</t>
        </is>
      </c>
      <c r="E414" t="inlineStr">
        <is>
          <t>HÄSSLEHOLM</t>
        </is>
      </c>
      <c r="F414" t="inlineStr">
        <is>
          <t>Kyrkan</t>
        </is>
      </c>
      <c r="G414" t="n">
        <v>2.1</v>
      </c>
      <c r="H414" t="n">
        <v>0</v>
      </c>
      <c r="I414" t="n">
        <v>0</v>
      </c>
      <c r="J414" t="n">
        <v>0</v>
      </c>
      <c r="K414" t="n">
        <v>0</v>
      </c>
      <c r="L414" t="n">
        <v>0</v>
      </c>
      <c r="M414" t="n">
        <v>0</v>
      </c>
      <c r="N414" t="n">
        <v>0</v>
      </c>
      <c r="O414" t="n">
        <v>0</v>
      </c>
      <c r="P414" t="n">
        <v>0</v>
      </c>
      <c r="Q414" t="n">
        <v>0</v>
      </c>
      <c r="R414" s="2" t="inlineStr"/>
    </row>
    <row r="415" ht="15" customHeight="1">
      <c r="A415" t="inlineStr">
        <is>
          <t>A 61578-2023</t>
        </is>
      </c>
      <c r="B415" s="1" t="n">
        <v>45265.47399305556</v>
      </c>
      <c r="C415" s="1" t="n">
        <v>46094</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7681-2025</t>
        </is>
      </c>
      <c r="B416" s="1" t="n">
        <v>45706.36758101852</v>
      </c>
      <c r="C416" s="1" t="n">
        <v>46094</v>
      </c>
      <c r="D416" t="inlineStr">
        <is>
          <t>SKÅNE LÄN</t>
        </is>
      </c>
      <c r="E416" t="inlineStr">
        <is>
          <t>HÄSSLEHOLM</t>
        </is>
      </c>
      <c r="G416" t="n">
        <v>1.9</v>
      </c>
      <c r="H416" t="n">
        <v>0</v>
      </c>
      <c r="I416" t="n">
        <v>0</v>
      </c>
      <c r="J416" t="n">
        <v>0</v>
      </c>
      <c r="K416" t="n">
        <v>0</v>
      </c>
      <c r="L416" t="n">
        <v>0</v>
      </c>
      <c r="M416" t="n">
        <v>0</v>
      </c>
      <c r="N416" t="n">
        <v>0</v>
      </c>
      <c r="O416" t="n">
        <v>0</v>
      </c>
      <c r="P416" t="n">
        <v>0</v>
      </c>
      <c r="Q416" t="n">
        <v>0</v>
      </c>
      <c r="R416" s="2" t="inlineStr"/>
    </row>
    <row r="417" ht="15" customHeight="1">
      <c r="A417" t="inlineStr">
        <is>
          <t>A 25542-2024</t>
        </is>
      </c>
      <c r="B417" s="1" t="n">
        <v>45463</v>
      </c>
      <c r="C417" s="1" t="n">
        <v>46094</v>
      </c>
      <c r="D417" t="inlineStr">
        <is>
          <t>SKÅNE LÄN</t>
        </is>
      </c>
      <c r="E417" t="inlineStr">
        <is>
          <t>HÄSSLEHOLM</t>
        </is>
      </c>
      <c r="G417" t="n">
        <v>6.9</v>
      </c>
      <c r="H417" t="n">
        <v>0</v>
      </c>
      <c r="I417" t="n">
        <v>0</v>
      </c>
      <c r="J417" t="n">
        <v>0</v>
      </c>
      <c r="K417" t="n">
        <v>0</v>
      </c>
      <c r="L417" t="n">
        <v>0</v>
      </c>
      <c r="M417" t="n">
        <v>0</v>
      </c>
      <c r="N417" t="n">
        <v>0</v>
      </c>
      <c r="O417" t="n">
        <v>0</v>
      </c>
      <c r="P417" t="n">
        <v>0</v>
      </c>
      <c r="Q417" t="n">
        <v>0</v>
      </c>
      <c r="R417" s="2" t="inlineStr"/>
    </row>
    <row r="418" ht="15" customHeight="1">
      <c r="A418" t="inlineStr">
        <is>
          <t>A 24032-2025</t>
        </is>
      </c>
      <c r="B418" s="1" t="n">
        <v>45796.478125</v>
      </c>
      <c r="C418" s="1" t="n">
        <v>46094</v>
      </c>
      <c r="D418" t="inlineStr">
        <is>
          <t>SKÅNE LÄN</t>
        </is>
      </c>
      <c r="E418" t="inlineStr">
        <is>
          <t>HÄSSLEHOLM</t>
        </is>
      </c>
      <c r="G418" t="n">
        <v>2.2</v>
      </c>
      <c r="H418" t="n">
        <v>0</v>
      </c>
      <c r="I418" t="n">
        <v>0</v>
      </c>
      <c r="J418" t="n">
        <v>0</v>
      </c>
      <c r="K418" t="n">
        <v>0</v>
      </c>
      <c r="L418" t="n">
        <v>0</v>
      </c>
      <c r="M418" t="n">
        <v>0</v>
      </c>
      <c r="N418" t="n">
        <v>0</v>
      </c>
      <c r="O418" t="n">
        <v>0</v>
      </c>
      <c r="P418" t="n">
        <v>0</v>
      </c>
      <c r="Q418" t="n">
        <v>0</v>
      </c>
      <c r="R418" s="2" t="inlineStr"/>
    </row>
    <row r="419" ht="15" customHeight="1">
      <c r="A419" t="inlineStr">
        <is>
          <t>A 42370-2023</t>
        </is>
      </c>
      <c r="B419" s="1" t="n">
        <v>45180</v>
      </c>
      <c r="C419" s="1" t="n">
        <v>46094</v>
      </c>
      <c r="D419" t="inlineStr">
        <is>
          <t>SKÅNE LÄN</t>
        </is>
      </c>
      <c r="E419" t="inlineStr">
        <is>
          <t>HÄSSLEHOLM</t>
        </is>
      </c>
      <c r="G419" t="n">
        <v>2.6</v>
      </c>
      <c r="H419" t="n">
        <v>0</v>
      </c>
      <c r="I419" t="n">
        <v>0</v>
      </c>
      <c r="J419" t="n">
        <v>0</v>
      </c>
      <c r="K419" t="n">
        <v>0</v>
      </c>
      <c r="L419" t="n">
        <v>0</v>
      </c>
      <c r="M419" t="n">
        <v>0</v>
      </c>
      <c r="N419" t="n">
        <v>0</v>
      </c>
      <c r="O419" t="n">
        <v>0</v>
      </c>
      <c r="P419" t="n">
        <v>0</v>
      </c>
      <c r="Q419" t="n">
        <v>0</v>
      </c>
      <c r="R419" s="2" t="inlineStr"/>
    </row>
    <row r="420" ht="15" customHeight="1">
      <c r="A420" t="inlineStr">
        <is>
          <t>A 19744-2023</t>
        </is>
      </c>
      <c r="B420" s="1" t="n">
        <v>45051</v>
      </c>
      <c r="C420" s="1" t="n">
        <v>46094</v>
      </c>
      <c r="D420" t="inlineStr">
        <is>
          <t>SKÅNE LÄN</t>
        </is>
      </c>
      <c r="E420" t="inlineStr">
        <is>
          <t>HÄSSLEHOLM</t>
        </is>
      </c>
      <c r="G420" t="n">
        <v>0.4</v>
      </c>
      <c r="H420" t="n">
        <v>0</v>
      </c>
      <c r="I420" t="n">
        <v>0</v>
      </c>
      <c r="J420" t="n">
        <v>0</v>
      </c>
      <c r="K420" t="n">
        <v>0</v>
      </c>
      <c r="L420" t="n">
        <v>0</v>
      </c>
      <c r="M420" t="n">
        <v>0</v>
      </c>
      <c r="N420" t="n">
        <v>0</v>
      </c>
      <c r="O420" t="n">
        <v>0</v>
      </c>
      <c r="P420" t="n">
        <v>0</v>
      </c>
      <c r="Q420" t="n">
        <v>0</v>
      </c>
      <c r="R420" s="2" t="inlineStr"/>
    </row>
    <row r="421" ht="15" customHeight="1">
      <c r="A421" t="inlineStr">
        <is>
          <t>A 60789-2024</t>
        </is>
      </c>
      <c r="B421" s="1" t="n">
        <v>45644</v>
      </c>
      <c r="C421" s="1" t="n">
        <v>46094</v>
      </c>
      <c r="D421" t="inlineStr">
        <is>
          <t>SKÅNE LÄN</t>
        </is>
      </c>
      <c r="E421" t="inlineStr">
        <is>
          <t>HÄSSLEHOLM</t>
        </is>
      </c>
      <c r="G421" t="n">
        <v>3</v>
      </c>
      <c r="H421" t="n">
        <v>0</v>
      </c>
      <c r="I421" t="n">
        <v>0</v>
      </c>
      <c r="J421" t="n">
        <v>0</v>
      </c>
      <c r="K421" t="n">
        <v>0</v>
      </c>
      <c r="L421" t="n">
        <v>0</v>
      </c>
      <c r="M421" t="n">
        <v>0</v>
      </c>
      <c r="N421" t="n">
        <v>0</v>
      </c>
      <c r="O421" t="n">
        <v>0</v>
      </c>
      <c r="P421" t="n">
        <v>0</v>
      </c>
      <c r="Q421" t="n">
        <v>0</v>
      </c>
      <c r="R421" s="2" t="inlineStr"/>
    </row>
    <row r="422" ht="15" customHeight="1">
      <c r="A422" t="inlineStr">
        <is>
          <t>A 14655-2025</t>
        </is>
      </c>
      <c r="B422" s="1" t="n">
        <v>45742.5072337963</v>
      </c>
      <c r="C422" s="1" t="n">
        <v>46094</v>
      </c>
      <c r="D422" t="inlineStr">
        <is>
          <t>SKÅNE LÄN</t>
        </is>
      </c>
      <c r="E422" t="inlineStr">
        <is>
          <t>HÄSSLEHOLM</t>
        </is>
      </c>
      <c r="G422" t="n">
        <v>4.5</v>
      </c>
      <c r="H422" t="n">
        <v>0</v>
      </c>
      <c r="I422" t="n">
        <v>0</v>
      </c>
      <c r="J422" t="n">
        <v>0</v>
      </c>
      <c r="K422" t="n">
        <v>0</v>
      </c>
      <c r="L422" t="n">
        <v>0</v>
      </c>
      <c r="M422" t="n">
        <v>0</v>
      </c>
      <c r="N422" t="n">
        <v>0</v>
      </c>
      <c r="O422" t="n">
        <v>0</v>
      </c>
      <c r="P422" t="n">
        <v>0</v>
      </c>
      <c r="Q422" t="n">
        <v>0</v>
      </c>
      <c r="R422" s="2" t="inlineStr"/>
    </row>
    <row r="423" ht="15" customHeight="1">
      <c r="A423" t="inlineStr">
        <is>
          <t>A 14926-2024</t>
        </is>
      </c>
      <c r="B423" s="1" t="n">
        <v>45398</v>
      </c>
      <c r="C423" s="1" t="n">
        <v>46094</v>
      </c>
      <c r="D423" t="inlineStr">
        <is>
          <t>SKÅNE LÄN</t>
        </is>
      </c>
      <c r="E423" t="inlineStr">
        <is>
          <t>HÄSSLEHOLM</t>
        </is>
      </c>
      <c r="G423" t="n">
        <v>3.4</v>
      </c>
      <c r="H423" t="n">
        <v>0</v>
      </c>
      <c r="I423" t="n">
        <v>0</v>
      </c>
      <c r="J423" t="n">
        <v>0</v>
      </c>
      <c r="K423" t="n">
        <v>0</v>
      </c>
      <c r="L423" t="n">
        <v>0</v>
      </c>
      <c r="M423" t="n">
        <v>0</v>
      </c>
      <c r="N423" t="n">
        <v>0</v>
      </c>
      <c r="O423" t="n">
        <v>0</v>
      </c>
      <c r="P423" t="n">
        <v>0</v>
      </c>
      <c r="Q423" t="n">
        <v>0</v>
      </c>
      <c r="R423" s="2" t="inlineStr"/>
    </row>
    <row r="424" ht="15" customHeight="1">
      <c r="A424" t="inlineStr">
        <is>
          <t>A 60843-2022</t>
        </is>
      </c>
      <c r="B424" s="1" t="n">
        <v>44914</v>
      </c>
      <c r="C424" s="1" t="n">
        <v>46094</v>
      </c>
      <c r="D424" t="inlineStr">
        <is>
          <t>SKÅNE LÄN</t>
        </is>
      </c>
      <c r="E424" t="inlineStr">
        <is>
          <t>HÄSSLEHOLM</t>
        </is>
      </c>
      <c r="G424" t="n">
        <v>2.2</v>
      </c>
      <c r="H424" t="n">
        <v>0</v>
      </c>
      <c r="I424" t="n">
        <v>0</v>
      </c>
      <c r="J424" t="n">
        <v>0</v>
      </c>
      <c r="K424" t="n">
        <v>0</v>
      </c>
      <c r="L424" t="n">
        <v>0</v>
      </c>
      <c r="M424" t="n">
        <v>0</v>
      </c>
      <c r="N424" t="n">
        <v>0</v>
      </c>
      <c r="O424" t="n">
        <v>0</v>
      </c>
      <c r="P424" t="n">
        <v>0</v>
      </c>
      <c r="Q424" t="n">
        <v>0</v>
      </c>
      <c r="R424" s="2" t="inlineStr"/>
    </row>
    <row r="425" ht="15" customHeight="1">
      <c r="A425" t="inlineStr">
        <is>
          <t>A 11422-2025</t>
        </is>
      </c>
      <c r="B425" s="1" t="n">
        <v>45726</v>
      </c>
      <c r="C425" s="1" t="n">
        <v>46094</v>
      </c>
      <c r="D425" t="inlineStr">
        <is>
          <t>SKÅNE LÄN</t>
        </is>
      </c>
      <c r="E425" t="inlineStr">
        <is>
          <t>HÄSSLEHOLM</t>
        </is>
      </c>
      <c r="G425" t="n">
        <v>14.9</v>
      </c>
      <c r="H425" t="n">
        <v>0</v>
      </c>
      <c r="I425" t="n">
        <v>0</v>
      </c>
      <c r="J425" t="n">
        <v>0</v>
      </c>
      <c r="K425" t="n">
        <v>0</v>
      </c>
      <c r="L425" t="n">
        <v>0</v>
      </c>
      <c r="M425" t="n">
        <v>0</v>
      </c>
      <c r="N425" t="n">
        <v>0</v>
      </c>
      <c r="O425" t="n">
        <v>0</v>
      </c>
      <c r="P425" t="n">
        <v>0</v>
      </c>
      <c r="Q425" t="n">
        <v>0</v>
      </c>
      <c r="R425" s="2" t="inlineStr"/>
    </row>
    <row r="426" ht="15" customHeight="1">
      <c r="A426" t="inlineStr">
        <is>
          <t>A 61504-2022</t>
        </is>
      </c>
      <c r="B426" s="1" t="n">
        <v>44910</v>
      </c>
      <c r="C426" s="1" t="n">
        <v>46094</v>
      </c>
      <c r="D426" t="inlineStr">
        <is>
          <t>SKÅNE LÄN</t>
        </is>
      </c>
      <c r="E426" t="inlineStr">
        <is>
          <t>HÄSSLEHOLM</t>
        </is>
      </c>
      <c r="F426" t="inlineStr">
        <is>
          <t>Kyrkan</t>
        </is>
      </c>
      <c r="G426" t="n">
        <v>2.9</v>
      </c>
      <c r="H426" t="n">
        <v>0</v>
      </c>
      <c r="I426" t="n">
        <v>0</v>
      </c>
      <c r="J426" t="n">
        <v>0</v>
      </c>
      <c r="K426" t="n">
        <v>0</v>
      </c>
      <c r="L426" t="n">
        <v>0</v>
      </c>
      <c r="M426" t="n">
        <v>0</v>
      </c>
      <c r="N426" t="n">
        <v>0</v>
      </c>
      <c r="O426" t="n">
        <v>0</v>
      </c>
      <c r="P426" t="n">
        <v>0</v>
      </c>
      <c r="Q426" t="n">
        <v>0</v>
      </c>
      <c r="R426" s="2" t="inlineStr"/>
    </row>
    <row r="427" ht="15" customHeight="1">
      <c r="A427" t="inlineStr">
        <is>
          <t>A 5252-2025</t>
        </is>
      </c>
      <c r="B427" s="1" t="n">
        <v>45692.3449537037</v>
      </c>
      <c r="C427" s="1" t="n">
        <v>46094</v>
      </c>
      <c r="D427" t="inlineStr">
        <is>
          <t>SKÅNE LÄN</t>
        </is>
      </c>
      <c r="E427" t="inlineStr">
        <is>
          <t>HÄSSLEHOLM</t>
        </is>
      </c>
      <c r="G427" t="n">
        <v>2.1</v>
      </c>
      <c r="H427" t="n">
        <v>0</v>
      </c>
      <c r="I427" t="n">
        <v>0</v>
      </c>
      <c r="J427" t="n">
        <v>0</v>
      </c>
      <c r="K427" t="n">
        <v>0</v>
      </c>
      <c r="L427" t="n">
        <v>0</v>
      </c>
      <c r="M427" t="n">
        <v>0</v>
      </c>
      <c r="N427" t="n">
        <v>0</v>
      </c>
      <c r="O427" t="n">
        <v>0</v>
      </c>
      <c r="P427" t="n">
        <v>0</v>
      </c>
      <c r="Q427" t="n">
        <v>0</v>
      </c>
      <c r="R427" s="2" t="inlineStr"/>
    </row>
    <row r="428" ht="15" customHeight="1">
      <c r="A428" t="inlineStr">
        <is>
          <t>A 7604-2024</t>
        </is>
      </c>
      <c r="B428" s="1" t="n">
        <v>45348</v>
      </c>
      <c r="C428" s="1" t="n">
        <v>46094</v>
      </c>
      <c r="D428" t="inlineStr">
        <is>
          <t>SKÅNE LÄN</t>
        </is>
      </c>
      <c r="E428" t="inlineStr">
        <is>
          <t>HÄSSLEHOLM</t>
        </is>
      </c>
      <c r="G428" t="n">
        <v>11.1</v>
      </c>
      <c r="H428" t="n">
        <v>0</v>
      </c>
      <c r="I428" t="n">
        <v>0</v>
      </c>
      <c r="J428" t="n">
        <v>0</v>
      </c>
      <c r="K428" t="n">
        <v>0</v>
      </c>
      <c r="L428" t="n">
        <v>0</v>
      </c>
      <c r="M428" t="n">
        <v>0</v>
      </c>
      <c r="N428" t="n">
        <v>0</v>
      </c>
      <c r="O428" t="n">
        <v>0</v>
      </c>
      <c r="P428" t="n">
        <v>0</v>
      </c>
      <c r="Q428" t="n">
        <v>0</v>
      </c>
      <c r="R428" s="2" t="inlineStr"/>
    </row>
    <row r="429" ht="15" customHeight="1">
      <c r="A429" t="inlineStr">
        <is>
          <t>A 5242-2025</t>
        </is>
      </c>
      <c r="B429" s="1" t="n">
        <v>45692.32883101852</v>
      </c>
      <c r="C429" s="1" t="n">
        <v>46094</v>
      </c>
      <c r="D429" t="inlineStr">
        <is>
          <t>SKÅNE LÄN</t>
        </is>
      </c>
      <c r="E429" t="inlineStr">
        <is>
          <t>HÄSSLEHOLM</t>
        </is>
      </c>
      <c r="G429" t="n">
        <v>1.1</v>
      </c>
      <c r="H429" t="n">
        <v>0</v>
      </c>
      <c r="I429" t="n">
        <v>0</v>
      </c>
      <c r="J429" t="n">
        <v>0</v>
      </c>
      <c r="K429" t="n">
        <v>0</v>
      </c>
      <c r="L429" t="n">
        <v>0</v>
      </c>
      <c r="M429" t="n">
        <v>0</v>
      </c>
      <c r="N429" t="n">
        <v>0</v>
      </c>
      <c r="O429" t="n">
        <v>0</v>
      </c>
      <c r="P429" t="n">
        <v>0</v>
      </c>
      <c r="Q429" t="n">
        <v>0</v>
      </c>
      <c r="R429" s="2" t="inlineStr"/>
    </row>
    <row r="430" ht="15" customHeight="1">
      <c r="A430" t="inlineStr">
        <is>
          <t>A 29853-2024</t>
        </is>
      </c>
      <c r="B430" s="1" t="n">
        <v>45485.65844907407</v>
      </c>
      <c r="C430" s="1" t="n">
        <v>46094</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19739-2023</t>
        </is>
      </c>
      <c r="B431" s="1" t="n">
        <v>45051</v>
      </c>
      <c r="C431" s="1" t="n">
        <v>46094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29287-2023</t>
        </is>
      </c>
      <c r="B432" s="1" t="n">
        <v>45098</v>
      </c>
      <c r="C432" s="1" t="n">
        <v>46094</v>
      </c>
      <c r="D432" t="inlineStr">
        <is>
          <t>SKÅNE LÄN</t>
        </is>
      </c>
      <c r="E432" t="inlineStr">
        <is>
          <t>HÄSSLEHOLM</t>
        </is>
      </c>
      <c r="G432" t="n">
        <v>5.7</v>
      </c>
      <c r="H432" t="n">
        <v>0</v>
      </c>
      <c r="I432" t="n">
        <v>0</v>
      </c>
      <c r="J432" t="n">
        <v>0</v>
      </c>
      <c r="K432" t="n">
        <v>0</v>
      </c>
      <c r="L432" t="n">
        <v>0</v>
      </c>
      <c r="M432" t="n">
        <v>0</v>
      </c>
      <c r="N432" t="n">
        <v>0</v>
      </c>
      <c r="O432" t="n">
        <v>0</v>
      </c>
      <c r="P432" t="n">
        <v>0</v>
      </c>
      <c r="Q432" t="n">
        <v>0</v>
      </c>
      <c r="R432" s="2" t="inlineStr"/>
    </row>
    <row r="433" ht="15" customHeight="1">
      <c r="A433" t="inlineStr">
        <is>
          <t>A 52968-2022</t>
        </is>
      </c>
      <c r="B433" s="1" t="n">
        <v>44875</v>
      </c>
      <c r="C433" s="1" t="n">
        <v>46094</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5992-2022</t>
        </is>
      </c>
      <c r="B434" s="1" t="n">
        <v>44599</v>
      </c>
      <c r="C434" s="1" t="n">
        <v>46094</v>
      </c>
      <c r="D434" t="inlineStr">
        <is>
          <t>SKÅNE LÄN</t>
        </is>
      </c>
      <c r="E434" t="inlineStr">
        <is>
          <t>HÄSSLEHOLM</t>
        </is>
      </c>
      <c r="G434" t="n">
        <v>1</v>
      </c>
      <c r="H434" t="n">
        <v>0</v>
      </c>
      <c r="I434" t="n">
        <v>0</v>
      </c>
      <c r="J434" t="n">
        <v>0</v>
      </c>
      <c r="K434" t="n">
        <v>0</v>
      </c>
      <c r="L434" t="n">
        <v>0</v>
      </c>
      <c r="M434" t="n">
        <v>0</v>
      </c>
      <c r="N434" t="n">
        <v>0</v>
      </c>
      <c r="O434" t="n">
        <v>0</v>
      </c>
      <c r="P434" t="n">
        <v>0</v>
      </c>
      <c r="Q434" t="n">
        <v>0</v>
      </c>
      <c r="R434" s="2" t="inlineStr"/>
    </row>
    <row r="435" ht="15" customHeight="1">
      <c r="A435" t="inlineStr">
        <is>
          <t>A 24034-2025</t>
        </is>
      </c>
      <c r="B435" s="1" t="n">
        <v>45796.48251157408</v>
      </c>
      <c r="C435" s="1" t="n">
        <v>46094</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25324-2024</t>
        </is>
      </c>
      <c r="B436" s="1" t="n">
        <v>45462.804375</v>
      </c>
      <c r="C436" s="1" t="n">
        <v>46094</v>
      </c>
      <c r="D436" t="inlineStr">
        <is>
          <t>SKÅNE LÄN</t>
        </is>
      </c>
      <c r="E436" t="inlineStr">
        <is>
          <t>HÄSSLEHOLM</t>
        </is>
      </c>
      <c r="G436" t="n">
        <v>0.2</v>
      </c>
      <c r="H436" t="n">
        <v>0</v>
      </c>
      <c r="I436" t="n">
        <v>0</v>
      </c>
      <c r="J436" t="n">
        <v>0</v>
      </c>
      <c r="K436" t="n">
        <v>0</v>
      </c>
      <c r="L436" t="n">
        <v>0</v>
      </c>
      <c r="M436" t="n">
        <v>0</v>
      </c>
      <c r="N436" t="n">
        <v>0</v>
      </c>
      <c r="O436" t="n">
        <v>0</v>
      </c>
      <c r="P436" t="n">
        <v>0</v>
      </c>
      <c r="Q436" t="n">
        <v>0</v>
      </c>
      <c r="R436" s="2" t="inlineStr"/>
    </row>
    <row r="437" ht="15" customHeight="1">
      <c r="A437" t="inlineStr">
        <is>
          <t>A 59763-2022</t>
        </is>
      </c>
      <c r="B437" s="1" t="n">
        <v>44900</v>
      </c>
      <c r="C437" s="1" t="n">
        <v>46094</v>
      </c>
      <c r="D437" t="inlineStr">
        <is>
          <t>SKÅNE LÄN</t>
        </is>
      </c>
      <c r="E437" t="inlineStr">
        <is>
          <t>HÄSSLEHOLM</t>
        </is>
      </c>
      <c r="F437" t="inlineStr">
        <is>
          <t>Övriga Aktiebolag</t>
        </is>
      </c>
      <c r="G437" t="n">
        <v>1.2</v>
      </c>
      <c r="H437" t="n">
        <v>0</v>
      </c>
      <c r="I437" t="n">
        <v>0</v>
      </c>
      <c r="J437" t="n">
        <v>0</v>
      </c>
      <c r="K437" t="n">
        <v>0</v>
      </c>
      <c r="L437" t="n">
        <v>0</v>
      </c>
      <c r="M437" t="n">
        <v>0</v>
      </c>
      <c r="N437" t="n">
        <v>0</v>
      </c>
      <c r="O437" t="n">
        <v>0</v>
      </c>
      <c r="P437" t="n">
        <v>0</v>
      </c>
      <c r="Q437" t="n">
        <v>0</v>
      </c>
      <c r="R437" s="2" t="inlineStr"/>
    </row>
    <row r="438" ht="15" customHeight="1">
      <c r="A438" t="inlineStr">
        <is>
          <t>A 8803-2023</t>
        </is>
      </c>
      <c r="B438" s="1" t="n">
        <v>44978.61712962963</v>
      </c>
      <c r="C438" s="1" t="n">
        <v>46094</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3364-2023</t>
        </is>
      </c>
      <c r="B439" s="1" t="n">
        <v>44949</v>
      </c>
      <c r="C439" s="1" t="n">
        <v>46094</v>
      </c>
      <c r="D439" t="inlineStr">
        <is>
          <t>SKÅNE LÄN</t>
        </is>
      </c>
      <c r="E439" t="inlineStr">
        <is>
          <t>HÄSSLEHOLM</t>
        </is>
      </c>
      <c r="G439" t="n">
        <v>5.1</v>
      </c>
      <c r="H439" t="n">
        <v>0</v>
      </c>
      <c r="I439" t="n">
        <v>0</v>
      </c>
      <c r="J439" t="n">
        <v>0</v>
      </c>
      <c r="K439" t="n">
        <v>0</v>
      </c>
      <c r="L439" t="n">
        <v>0</v>
      </c>
      <c r="M439" t="n">
        <v>0</v>
      </c>
      <c r="N439" t="n">
        <v>0</v>
      </c>
      <c r="O439" t="n">
        <v>0</v>
      </c>
      <c r="P439" t="n">
        <v>0</v>
      </c>
      <c r="Q439" t="n">
        <v>0</v>
      </c>
      <c r="R439" s="2" t="inlineStr"/>
    </row>
    <row r="440" ht="15" customHeight="1">
      <c r="A440" t="inlineStr">
        <is>
          <t>A 24250-2025</t>
        </is>
      </c>
      <c r="B440" s="1" t="n">
        <v>45797.40260416667</v>
      </c>
      <c r="C440" s="1" t="n">
        <v>46094</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4809-2025</t>
        </is>
      </c>
      <c r="B441" s="1" t="n">
        <v>45688.60148148148</v>
      </c>
      <c r="C441" s="1" t="n">
        <v>46094</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12780-2024</t>
        </is>
      </c>
      <c r="B442" s="1" t="n">
        <v>45384.59726851852</v>
      </c>
      <c r="C442" s="1" t="n">
        <v>46094</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9375-2023</t>
        </is>
      </c>
      <c r="B443" s="1" t="n">
        <v>44981</v>
      </c>
      <c r="C443" s="1" t="n">
        <v>46094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52642-2021</t>
        </is>
      </c>
      <c r="B444" s="1" t="n">
        <v>44466.64298611111</v>
      </c>
      <c r="C444" s="1" t="n">
        <v>46094</v>
      </c>
      <c r="D444" t="inlineStr">
        <is>
          <t>SKÅNE LÄN</t>
        </is>
      </c>
      <c r="E444" t="inlineStr">
        <is>
          <t>HÄSSLEHOLM</t>
        </is>
      </c>
      <c r="G444" t="n">
        <v>3.7</v>
      </c>
      <c r="H444" t="n">
        <v>0</v>
      </c>
      <c r="I444" t="n">
        <v>0</v>
      </c>
      <c r="J444" t="n">
        <v>0</v>
      </c>
      <c r="K444" t="n">
        <v>0</v>
      </c>
      <c r="L444" t="n">
        <v>0</v>
      </c>
      <c r="M444" t="n">
        <v>0</v>
      </c>
      <c r="N444" t="n">
        <v>0</v>
      </c>
      <c r="O444" t="n">
        <v>0</v>
      </c>
      <c r="P444" t="n">
        <v>0</v>
      </c>
      <c r="Q444" t="n">
        <v>0</v>
      </c>
      <c r="R444" s="2" t="inlineStr"/>
    </row>
    <row r="445" ht="15" customHeight="1">
      <c r="A445" t="inlineStr">
        <is>
          <t>A 24029-2025</t>
        </is>
      </c>
      <c r="B445" s="1" t="n">
        <v>45796.47552083333</v>
      </c>
      <c r="C445" s="1" t="n">
        <v>46094</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34342-2021</t>
        </is>
      </c>
      <c r="B446" s="1" t="n">
        <v>44379</v>
      </c>
      <c r="C446" s="1" t="n">
        <v>46094</v>
      </c>
      <c r="D446" t="inlineStr">
        <is>
          <t>SKÅNE LÄN</t>
        </is>
      </c>
      <c r="E446" t="inlineStr">
        <is>
          <t>HÄSSLEHOLM</t>
        </is>
      </c>
      <c r="G446" t="n">
        <v>7</v>
      </c>
      <c r="H446" t="n">
        <v>0</v>
      </c>
      <c r="I446" t="n">
        <v>0</v>
      </c>
      <c r="J446" t="n">
        <v>0</v>
      </c>
      <c r="K446" t="n">
        <v>0</v>
      </c>
      <c r="L446" t="n">
        <v>0</v>
      </c>
      <c r="M446" t="n">
        <v>0</v>
      </c>
      <c r="N446" t="n">
        <v>0</v>
      </c>
      <c r="O446" t="n">
        <v>0</v>
      </c>
      <c r="P446" t="n">
        <v>0</v>
      </c>
      <c r="Q446" t="n">
        <v>0</v>
      </c>
      <c r="R446" s="2" t="inlineStr"/>
    </row>
    <row r="447" ht="15" customHeight="1">
      <c r="A447" t="inlineStr">
        <is>
          <t>A 1557-2023</t>
        </is>
      </c>
      <c r="B447" s="1" t="n">
        <v>44937</v>
      </c>
      <c r="C447" s="1" t="n">
        <v>46094</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24039-2025</t>
        </is>
      </c>
      <c r="B448" s="1" t="n">
        <v>45796.48675925926</v>
      </c>
      <c r="C448" s="1" t="n">
        <v>46094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15562-2024</t>
        </is>
      </c>
      <c r="B449" s="1" t="n">
        <v>45401.64975694445</v>
      </c>
      <c r="C449" s="1" t="n">
        <v>46094</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24047-2025</t>
        </is>
      </c>
      <c r="B450" s="1" t="n">
        <v>45796.49528935185</v>
      </c>
      <c r="C450" s="1" t="n">
        <v>46094</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24675-2025</t>
        </is>
      </c>
      <c r="B451" s="1" t="n">
        <v>45798.653125</v>
      </c>
      <c r="C451" s="1" t="n">
        <v>46094</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42735-2024</t>
        </is>
      </c>
      <c r="B452" s="1" t="n">
        <v>45566.47274305556</v>
      </c>
      <c r="C452" s="1" t="n">
        <v>46094</v>
      </c>
      <c r="D452" t="inlineStr">
        <is>
          <t>SKÅNE LÄN</t>
        </is>
      </c>
      <c r="E452" t="inlineStr">
        <is>
          <t>HÄSSLEHOLM</t>
        </is>
      </c>
      <c r="G452" t="n">
        <v>3.7</v>
      </c>
      <c r="H452" t="n">
        <v>0</v>
      </c>
      <c r="I452" t="n">
        <v>0</v>
      </c>
      <c r="J452" t="n">
        <v>0</v>
      </c>
      <c r="K452" t="n">
        <v>0</v>
      </c>
      <c r="L452" t="n">
        <v>0</v>
      </c>
      <c r="M452" t="n">
        <v>0</v>
      </c>
      <c r="N452" t="n">
        <v>0</v>
      </c>
      <c r="O452" t="n">
        <v>0</v>
      </c>
      <c r="P452" t="n">
        <v>0</v>
      </c>
      <c r="Q452" t="n">
        <v>0</v>
      </c>
      <c r="R452" s="2" t="inlineStr"/>
    </row>
    <row r="453" ht="15" customHeight="1">
      <c r="A453" t="inlineStr">
        <is>
          <t>A 9239-2025</t>
        </is>
      </c>
      <c r="B453" s="1" t="n">
        <v>45714</v>
      </c>
      <c r="C453" s="1" t="n">
        <v>46094</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30006-2023</t>
        </is>
      </c>
      <c r="B454" s="1" t="n">
        <v>45109.79962962963</v>
      </c>
      <c r="C454" s="1" t="n">
        <v>46094</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49167-2022</t>
        </is>
      </c>
      <c r="B455" s="1" t="n">
        <v>44860</v>
      </c>
      <c r="C455" s="1" t="n">
        <v>46094</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55522-2024</t>
        </is>
      </c>
      <c r="B456" s="1" t="n">
        <v>45622</v>
      </c>
      <c r="C456" s="1" t="n">
        <v>46094</v>
      </c>
      <c r="D456" t="inlineStr">
        <is>
          <t>SKÅNE LÄN</t>
        </is>
      </c>
      <c r="E456" t="inlineStr">
        <is>
          <t>HÄSSLEHOLM</t>
        </is>
      </c>
      <c r="G456" t="n">
        <v>5.6</v>
      </c>
      <c r="H456" t="n">
        <v>0</v>
      </c>
      <c r="I456" t="n">
        <v>0</v>
      </c>
      <c r="J456" t="n">
        <v>0</v>
      </c>
      <c r="K456" t="n">
        <v>0</v>
      </c>
      <c r="L456" t="n">
        <v>0</v>
      </c>
      <c r="M456" t="n">
        <v>0</v>
      </c>
      <c r="N456" t="n">
        <v>0</v>
      </c>
      <c r="O456" t="n">
        <v>0</v>
      </c>
      <c r="P456" t="n">
        <v>0</v>
      </c>
      <c r="Q456" t="n">
        <v>0</v>
      </c>
      <c r="R456" s="2" t="inlineStr"/>
    </row>
    <row r="457" ht="15" customHeight="1">
      <c r="A457" t="inlineStr">
        <is>
          <t>A 32826-2024</t>
        </is>
      </c>
      <c r="B457" s="1" t="n">
        <v>45516.59056712963</v>
      </c>
      <c r="C457" s="1" t="n">
        <v>46094</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57963-2023</t>
        </is>
      </c>
      <c r="B458" s="1" t="n">
        <v>45247.57732638889</v>
      </c>
      <c r="C458" s="1" t="n">
        <v>46094</v>
      </c>
      <c r="D458" t="inlineStr">
        <is>
          <t>SKÅNE LÄN</t>
        </is>
      </c>
      <c r="E458" t="inlineStr">
        <is>
          <t>HÄSSLEHOLM</t>
        </is>
      </c>
      <c r="G458" t="n">
        <v>4.6</v>
      </c>
      <c r="H458" t="n">
        <v>0</v>
      </c>
      <c r="I458" t="n">
        <v>0</v>
      </c>
      <c r="J458" t="n">
        <v>0</v>
      </c>
      <c r="K458" t="n">
        <v>0</v>
      </c>
      <c r="L458" t="n">
        <v>0</v>
      </c>
      <c r="M458" t="n">
        <v>0</v>
      </c>
      <c r="N458" t="n">
        <v>0</v>
      </c>
      <c r="O458" t="n">
        <v>0</v>
      </c>
      <c r="P458" t="n">
        <v>0</v>
      </c>
      <c r="Q458" t="n">
        <v>0</v>
      </c>
      <c r="R458" s="2" t="inlineStr"/>
    </row>
    <row r="459" ht="15" customHeight="1">
      <c r="A459" t="inlineStr">
        <is>
          <t>A 57033-2022</t>
        </is>
      </c>
      <c r="B459" s="1" t="n">
        <v>44895.31270833333</v>
      </c>
      <c r="C459" s="1" t="n">
        <v>46094</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35845-2022</t>
        </is>
      </c>
      <c r="B460" s="1" t="n">
        <v>44802</v>
      </c>
      <c r="C460" s="1" t="n">
        <v>46094</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28071-2023</t>
        </is>
      </c>
      <c r="B461" s="1" t="n">
        <v>45099.37755787037</v>
      </c>
      <c r="C461" s="1" t="n">
        <v>46094</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32512-2024</t>
        </is>
      </c>
      <c r="B462" s="1" t="n">
        <v>45513.45613425926</v>
      </c>
      <c r="C462" s="1" t="n">
        <v>46094</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18648-2021</t>
        </is>
      </c>
      <c r="B463" s="1" t="n">
        <v>44306.70583333333</v>
      </c>
      <c r="C463" s="1" t="n">
        <v>46094</v>
      </c>
      <c r="D463" t="inlineStr">
        <is>
          <t>SKÅNE LÄN</t>
        </is>
      </c>
      <c r="E463" t="inlineStr">
        <is>
          <t>HÄSSLEHOLM</t>
        </is>
      </c>
      <c r="G463" t="n">
        <v>2.5</v>
      </c>
      <c r="H463" t="n">
        <v>0</v>
      </c>
      <c r="I463" t="n">
        <v>0</v>
      </c>
      <c r="J463" t="n">
        <v>0</v>
      </c>
      <c r="K463" t="n">
        <v>0</v>
      </c>
      <c r="L463" t="n">
        <v>0</v>
      </c>
      <c r="M463" t="n">
        <v>0</v>
      </c>
      <c r="N463" t="n">
        <v>0</v>
      </c>
      <c r="O463" t="n">
        <v>0</v>
      </c>
      <c r="P463" t="n">
        <v>0</v>
      </c>
      <c r="Q463" t="n">
        <v>0</v>
      </c>
      <c r="R463" s="2" t="inlineStr"/>
    </row>
    <row r="464" ht="15" customHeight="1">
      <c r="A464" t="inlineStr">
        <is>
          <t>A 23946-2023</t>
        </is>
      </c>
      <c r="B464" s="1" t="n">
        <v>45078.61601851852</v>
      </c>
      <c r="C464" s="1" t="n">
        <v>46094</v>
      </c>
      <c r="D464" t="inlineStr">
        <is>
          <t>SKÅNE LÄN</t>
        </is>
      </c>
      <c r="E464" t="inlineStr">
        <is>
          <t>HÄSSLEHOLM</t>
        </is>
      </c>
      <c r="G464" t="n">
        <v>0.2</v>
      </c>
      <c r="H464" t="n">
        <v>0</v>
      </c>
      <c r="I464" t="n">
        <v>0</v>
      </c>
      <c r="J464" t="n">
        <v>0</v>
      </c>
      <c r="K464" t="n">
        <v>0</v>
      </c>
      <c r="L464" t="n">
        <v>0</v>
      </c>
      <c r="M464" t="n">
        <v>0</v>
      </c>
      <c r="N464" t="n">
        <v>0</v>
      </c>
      <c r="O464" t="n">
        <v>0</v>
      </c>
      <c r="P464" t="n">
        <v>0</v>
      </c>
      <c r="Q464" t="n">
        <v>0</v>
      </c>
      <c r="R464" s="2" t="inlineStr"/>
    </row>
    <row r="465" ht="15" customHeight="1">
      <c r="A465" t="inlineStr">
        <is>
          <t>A 41459-2022</t>
        </is>
      </c>
      <c r="B465" s="1" t="n">
        <v>44826.93372685185</v>
      </c>
      <c r="C465" s="1" t="n">
        <v>46094</v>
      </c>
      <c r="D465" t="inlineStr">
        <is>
          <t>SKÅNE LÄN</t>
        </is>
      </c>
      <c r="E465" t="inlineStr">
        <is>
          <t>HÄSSLEHOLM</t>
        </is>
      </c>
      <c r="G465" t="n">
        <v>2.3</v>
      </c>
      <c r="H465" t="n">
        <v>0</v>
      </c>
      <c r="I465" t="n">
        <v>0</v>
      </c>
      <c r="J465" t="n">
        <v>0</v>
      </c>
      <c r="K465" t="n">
        <v>0</v>
      </c>
      <c r="L465" t="n">
        <v>0</v>
      </c>
      <c r="M465" t="n">
        <v>0</v>
      </c>
      <c r="N465" t="n">
        <v>0</v>
      </c>
      <c r="O465" t="n">
        <v>0</v>
      </c>
      <c r="P465" t="n">
        <v>0</v>
      </c>
      <c r="Q465" t="n">
        <v>0</v>
      </c>
      <c r="R465" s="2" t="inlineStr"/>
    </row>
    <row r="466" ht="15" customHeight="1">
      <c r="A466" t="inlineStr">
        <is>
          <t>A 22140-2023</t>
        </is>
      </c>
      <c r="B466" s="1" t="n">
        <v>45065</v>
      </c>
      <c r="C466" s="1" t="n">
        <v>46094</v>
      </c>
      <c r="D466" t="inlineStr">
        <is>
          <t>SKÅNE LÄN</t>
        </is>
      </c>
      <c r="E466" t="inlineStr">
        <is>
          <t>HÄSSLEHOLM</t>
        </is>
      </c>
      <c r="G466" t="n">
        <v>6.7</v>
      </c>
      <c r="H466" t="n">
        <v>0</v>
      </c>
      <c r="I466" t="n">
        <v>0</v>
      </c>
      <c r="J466" t="n">
        <v>0</v>
      </c>
      <c r="K466" t="n">
        <v>0</v>
      </c>
      <c r="L466" t="n">
        <v>0</v>
      </c>
      <c r="M466" t="n">
        <v>0</v>
      </c>
      <c r="N466" t="n">
        <v>0</v>
      </c>
      <c r="O466" t="n">
        <v>0</v>
      </c>
      <c r="P466" t="n">
        <v>0</v>
      </c>
      <c r="Q466" t="n">
        <v>0</v>
      </c>
      <c r="R466" s="2" t="inlineStr"/>
    </row>
    <row r="467" ht="15" customHeight="1">
      <c r="A467" t="inlineStr">
        <is>
          <t>A 24985-2025</t>
        </is>
      </c>
      <c r="B467" s="1" t="n">
        <v>45799.60256944445</v>
      </c>
      <c r="C467" s="1" t="n">
        <v>46094</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7653-2024</t>
        </is>
      </c>
      <c r="B468" s="1" t="n">
        <v>45348.69043981482</v>
      </c>
      <c r="C468" s="1" t="n">
        <v>46094</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10562-2025</t>
        </is>
      </c>
      <c r="B469" s="1" t="n">
        <v>45721.52913194444</v>
      </c>
      <c r="C469" s="1" t="n">
        <v>46094</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26403-2024</t>
        </is>
      </c>
      <c r="B470" s="1" t="n">
        <v>45469.44505787037</v>
      </c>
      <c r="C470" s="1" t="n">
        <v>46094</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26403-2024</t>
        </is>
      </c>
      <c r="B471" s="1" t="n">
        <v>45469.44505787037</v>
      </c>
      <c r="C471" s="1" t="n">
        <v>46094</v>
      </c>
      <c r="D471" t="inlineStr">
        <is>
          <t>SKÅNE LÄN</t>
        </is>
      </c>
      <c r="E471" t="inlineStr">
        <is>
          <t>HÄSSLEHOLM</t>
        </is>
      </c>
      <c r="G471" t="n">
        <v>2.6</v>
      </c>
      <c r="H471" t="n">
        <v>0</v>
      </c>
      <c r="I471" t="n">
        <v>0</v>
      </c>
      <c r="J471" t="n">
        <v>0</v>
      </c>
      <c r="K471" t="n">
        <v>0</v>
      </c>
      <c r="L471" t="n">
        <v>0</v>
      </c>
      <c r="M471" t="n">
        <v>0</v>
      </c>
      <c r="N471" t="n">
        <v>0</v>
      </c>
      <c r="O471" t="n">
        <v>0</v>
      </c>
      <c r="P471" t="n">
        <v>0</v>
      </c>
      <c r="Q471" t="n">
        <v>0</v>
      </c>
      <c r="R471" s="2" t="inlineStr"/>
    </row>
    <row r="472" ht="15" customHeight="1">
      <c r="A472" t="inlineStr">
        <is>
          <t>A 24679-2023</t>
        </is>
      </c>
      <c r="B472" s="1" t="n">
        <v>45084</v>
      </c>
      <c r="C472" s="1" t="n">
        <v>46094</v>
      </c>
      <c r="D472" t="inlineStr">
        <is>
          <t>SKÅNE LÄN</t>
        </is>
      </c>
      <c r="E472" t="inlineStr">
        <is>
          <t>HÄSSLEHOLM</t>
        </is>
      </c>
      <c r="G472" t="n">
        <v>7.1</v>
      </c>
      <c r="H472" t="n">
        <v>0</v>
      </c>
      <c r="I472" t="n">
        <v>0</v>
      </c>
      <c r="J472" t="n">
        <v>0</v>
      </c>
      <c r="K472" t="n">
        <v>0</v>
      </c>
      <c r="L472" t="n">
        <v>0</v>
      </c>
      <c r="M472" t="n">
        <v>0</v>
      </c>
      <c r="N472" t="n">
        <v>0</v>
      </c>
      <c r="O472" t="n">
        <v>0</v>
      </c>
      <c r="P472" t="n">
        <v>0</v>
      </c>
      <c r="Q472" t="n">
        <v>0</v>
      </c>
      <c r="R472" s="2" t="inlineStr"/>
    </row>
    <row r="473" ht="15" customHeight="1">
      <c r="A473" t="inlineStr">
        <is>
          <t>A 9556-2025</t>
        </is>
      </c>
      <c r="B473" s="1" t="n">
        <v>45714</v>
      </c>
      <c r="C473" s="1" t="n">
        <v>46094</v>
      </c>
      <c r="D473" t="inlineStr">
        <is>
          <t>SKÅNE LÄN</t>
        </is>
      </c>
      <c r="E473" t="inlineStr">
        <is>
          <t>HÄSSLEHOLM</t>
        </is>
      </c>
      <c r="G473" t="n">
        <v>1.8</v>
      </c>
      <c r="H473" t="n">
        <v>0</v>
      </c>
      <c r="I473" t="n">
        <v>0</v>
      </c>
      <c r="J473" t="n">
        <v>0</v>
      </c>
      <c r="K473" t="n">
        <v>0</v>
      </c>
      <c r="L473" t="n">
        <v>0</v>
      </c>
      <c r="M473" t="n">
        <v>0</v>
      </c>
      <c r="N473" t="n">
        <v>0</v>
      </c>
      <c r="O473" t="n">
        <v>0</v>
      </c>
      <c r="P473" t="n">
        <v>0</v>
      </c>
      <c r="Q473" t="n">
        <v>0</v>
      </c>
      <c r="R473" s="2" t="inlineStr"/>
    </row>
    <row r="474" ht="15" customHeight="1">
      <c r="A474" t="inlineStr">
        <is>
          <t>A 49219-2021</t>
        </is>
      </c>
      <c r="B474" s="1" t="n">
        <v>44454</v>
      </c>
      <c r="C474" s="1" t="n">
        <v>46094</v>
      </c>
      <c r="D474" t="inlineStr">
        <is>
          <t>SKÅNE LÄN</t>
        </is>
      </c>
      <c r="E474" t="inlineStr">
        <is>
          <t>HÄSSLEHOLM</t>
        </is>
      </c>
      <c r="G474" t="n">
        <v>7.8</v>
      </c>
      <c r="H474" t="n">
        <v>0</v>
      </c>
      <c r="I474" t="n">
        <v>0</v>
      </c>
      <c r="J474" t="n">
        <v>0</v>
      </c>
      <c r="K474" t="n">
        <v>0</v>
      </c>
      <c r="L474" t="n">
        <v>0</v>
      </c>
      <c r="M474" t="n">
        <v>0</v>
      </c>
      <c r="N474" t="n">
        <v>0</v>
      </c>
      <c r="O474" t="n">
        <v>0</v>
      </c>
      <c r="P474" t="n">
        <v>0</v>
      </c>
      <c r="Q474" t="n">
        <v>0</v>
      </c>
      <c r="R474" s="2" t="inlineStr"/>
    </row>
    <row r="475" ht="15" customHeight="1">
      <c r="A475" t="inlineStr">
        <is>
          <t>A 5890-2023</t>
        </is>
      </c>
      <c r="B475" s="1" t="n">
        <v>44963.64527777778</v>
      </c>
      <c r="C475" s="1" t="n">
        <v>46094</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12936-2025</t>
        </is>
      </c>
      <c r="B476" s="1" t="n">
        <v>45734</v>
      </c>
      <c r="C476" s="1" t="n">
        <v>46094</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24658-2025</t>
        </is>
      </c>
      <c r="B477" s="1" t="n">
        <v>45798.64134259259</v>
      </c>
      <c r="C477" s="1" t="n">
        <v>46094</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56062-2024</t>
        </is>
      </c>
      <c r="B478" s="1" t="n">
        <v>45624.37105324074</v>
      </c>
      <c r="C478" s="1" t="n">
        <v>46094</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41209-2023</t>
        </is>
      </c>
      <c r="B479" s="1" t="n">
        <v>45174.43481481481</v>
      </c>
      <c r="C479" s="1" t="n">
        <v>46094</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29847-2024</t>
        </is>
      </c>
      <c r="B480" s="1" t="n">
        <v>45485.6278587963</v>
      </c>
      <c r="C480" s="1" t="n">
        <v>46094</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25372-2025</t>
        </is>
      </c>
      <c r="B481" s="1" t="n">
        <v>45799</v>
      </c>
      <c r="C481" s="1" t="n">
        <v>46094</v>
      </c>
      <c r="D481" t="inlineStr">
        <is>
          <t>SKÅNE LÄN</t>
        </is>
      </c>
      <c r="E481" t="inlineStr">
        <is>
          <t>HÄSSLEHOLM</t>
        </is>
      </c>
      <c r="G481" t="n">
        <v>3.1</v>
      </c>
      <c r="H481" t="n">
        <v>0</v>
      </c>
      <c r="I481" t="n">
        <v>0</v>
      </c>
      <c r="J481" t="n">
        <v>0</v>
      </c>
      <c r="K481" t="n">
        <v>0</v>
      </c>
      <c r="L481" t="n">
        <v>0</v>
      </c>
      <c r="M481" t="n">
        <v>0</v>
      </c>
      <c r="N481" t="n">
        <v>0</v>
      </c>
      <c r="O481" t="n">
        <v>0</v>
      </c>
      <c r="P481" t="n">
        <v>0</v>
      </c>
      <c r="Q481" t="n">
        <v>0</v>
      </c>
      <c r="R481" s="2" t="inlineStr"/>
    </row>
    <row r="482" ht="15" customHeight="1">
      <c r="A482" t="inlineStr">
        <is>
          <t>A 57275-2023</t>
        </is>
      </c>
      <c r="B482" s="1" t="n">
        <v>45245.58886574074</v>
      </c>
      <c r="C482" s="1" t="n">
        <v>46094</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9399-2025</t>
        </is>
      </c>
      <c r="B483" s="1" t="n">
        <v>45715.37861111111</v>
      </c>
      <c r="C483" s="1" t="n">
        <v>46094</v>
      </c>
      <c r="D483" t="inlineStr">
        <is>
          <t>SKÅNE LÄN</t>
        </is>
      </c>
      <c r="E483" t="inlineStr">
        <is>
          <t>HÄSSLEHOLM</t>
        </is>
      </c>
      <c r="G483" t="n">
        <v>5.2</v>
      </c>
      <c r="H483" t="n">
        <v>0</v>
      </c>
      <c r="I483" t="n">
        <v>0</v>
      </c>
      <c r="J483" t="n">
        <v>0</v>
      </c>
      <c r="K483" t="n">
        <v>0</v>
      </c>
      <c r="L483" t="n">
        <v>0</v>
      </c>
      <c r="M483" t="n">
        <v>0</v>
      </c>
      <c r="N483" t="n">
        <v>0</v>
      </c>
      <c r="O483" t="n">
        <v>0</v>
      </c>
      <c r="P483" t="n">
        <v>0</v>
      </c>
      <c r="Q483" t="n">
        <v>0</v>
      </c>
      <c r="R483" s="2" t="inlineStr"/>
    </row>
    <row r="484" ht="15" customHeight="1">
      <c r="A484" t="inlineStr">
        <is>
          <t>A 53302-2022</t>
        </is>
      </c>
      <c r="B484" s="1" t="n">
        <v>44877</v>
      </c>
      <c r="C484" s="1" t="n">
        <v>46094</v>
      </c>
      <c r="D484" t="inlineStr">
        <is>
          <t>SKÅNE LÄN</t>
        </is>
      </c>
      <c r="E484" t="inlineStr">
        <is>
          <t>HÄSSLEHOLM</t>
        </is>
      </c>
      <c r="G484" t="n">
        <v>0.1</v>
      </c>
      <c r="H484" t="n">
        <v>0</v>
      </c>
      <c r="I484" t="n">
        <v>0</v>
      </c>
      <c r="J484" t="n">
        <v>0</v>
      </c>
      <c r="K484" t="n">
        <v>0</v>
      </c>
      <c r="L484" t="n">
        <v>0</v>
      </c>
      <c r="M484" t="n">
        <v>0</v>
      </c>
      <c r="N484" t="n">
        <v>0</v>
      </c>
      <c r="O484" t="n">
        <v>0</v>
      </c>
      <c r="P484" t="n">
        <v>0</v>
      </c>
      <c r="Q484" t="n">
        <v>0</v>
      </c>
      <c r="R484" s="2" t="inlineStr"/>
    </row>
    <row r="485" ht="15" customHeight="1">
      <c r="A485" t="inlineStr">
        <is>
          <t>A 27991-2024</t>
        </is>
      </c>
      <c r="B485" s="1" t="n">
        <v>45476</v>
      </c>
      <c r="C485" s="1" t="n">
        <v>46094</v>
      </c>
      <c r="D485" t="inlineStr">
        <is>
          <t>SKÅNE LÄN</t>
        </is>
      </c>
      <c r="E485" t="inlineStr">
        <is>
          <t>HÄSSLEHOLM</t>
        </is>
      </c>
      <c r="G485" t="n">
        <v>5.8</v>
      </c>
      <c r="H485" t="n">
        <v>0</v>
      </c>
      <c r="I485" t="n">
        <v>0</v>
      </c>
      <c r="J485" t="n">
        <v>0</v>
      </c>
      <c r="K485" t="n">
        <v>0</v>
      </c>
      <c r="L485" t="n">
        <v>0</v>
      </c>
      <c r="M485" t="n">
        <v>0</v>
      </c>
      <c r="N485" t="n">
        <v>0</v>
      </c>
      <c r="O485" t="n">
        <v>0</v>
      </c>
      <c r="P485" t="n">
        <v>0</v>
      </c>
      <c r="Q485" t="n">
        <v>0</v>
      </c>
      <c r="R485" s="2" t="inlineStr"/>
    </row>
    <row r="486" ht="15" customHeight="1">
      <c r="A486" t="inlineStr">
        <is>
          <t>A 259-2024</t>
        </is>
      </c>
      <c r="B486" s="1" t="n">
        <v>45294</v>
      </c>
      <c r="C486" s="1" t="n">
        <v>46094</v>
      </c>
      <c r="D486" t="inlineStr">
        <is>
          <t>SKÅNE LÄN</t>
        </is>
      </c>
      <c r="E486" t="inlineStr">
        <is>
          <t>HÄSSLEHOLM</t>
        </is>
      </c>
      <c r="G486" t="n">
        <v>8</v>
      </c>
      <c r="H486" t="n">
        <v>0</v>
      </c>
      <c r="I486" t="n">
        <v>0</v>
      </c>
      <c r="J486" t="n">
        <v>0</v>
      </c>
      <c r="K486" t="n">
        <v>0</v>
      </c>
      <c r="L486" t="n">
        <v>0</v>
      </c>
      <c r="M486" t="n">
        <v>0</v>
      </c>
      <c r="N486" t="n">
        <v>0</v>
      </c>
      <c r="O486" t="n">
        <v>0</v>
      </c>
      <c r="P486" t="n">
        <v>0</v>
      </c>
      <c r="Q486" t="n">
        <v>0</v>
      </c>
      <c r="R486" s="2" t="inlineStr"/>
    </row>
    <row r="487" ht="15" customHeight="1">
      <c r="A487" t="inlineStr">
        <is>
          <t>A 29659-2024</t>
        </is>
      </c>
      <c r="B487" s="1" t="n">
        <v>45484.92587962963</v>
      </c>
      <c r="C487" s="1" t="n">
        <v>46094</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27837-2024</t>
        </is>
      </c>
      <c r="B488" s="1" t="n">
        <v>45475</v>
      </c>
      <c r="C488" s="1" t="n">
        <v>46094</v>
      </c>
      <c r="D488" t="inlineStr">
        <is>
          <t>SKÅNE LÄN</t>
        </is>
      </c>
      <c r="E488" t="inlineStr">
        <is>
          <t>HÄSSLEHOLM</t>
        </is>
      </c>
      <c r="F488" t="inlineStr">
        <is>
          <t>Kommuner</t>
        </is>
      </c>
      <c r="G488" t="n">
        <v>2.3</v>
      </c>
      <c r="H488" t="n">
        <v>0</v>
      </c>
      <c r="I488" t="n">
        <v>0</v>
      </c>
      <c r="J488" t="n">
        <v>0</v>
      </c>
      <c r="K488" t="n">
        <v>0</v>
      </c>
      <c r="L488" t="n">
        <v>0</v>
      </c>
      <c r="M488" t="n">
        <v>0</v>
      </c>
      <c r="N488" t="n">
        <v>0</v>
      </c>
      <c r="O488" t="n">
        <v>0</v>
      </c>
      <c r="P488" t="n">
        <v>0</v>
      </c>
      <c r="Q488" t="n">
        <v>0</v>
      </c>
      <c r="R488" s="2" t="inlineStr"/>
    </row>
    <row r="489" ht="15" customHeight="1">
      <c r="A489" t="inlineStr">
        <is>
          <t>A 22384-2024</t>
        </is>
      </c>
      <c r="B489" s="1" t="n">
        <v>45446.65592592592</v>
      </c>
      <c r="C489" s="1" t="n">
        <v>46094</v>
      </c>
      <c r="D489" t="inlineStr">
        <is>
          <t>SKÅNE LÄN</t>
        </is>
      </c>
      <c r="E489" t="inlineStr">
        <is>
          <t>HÄSSLEHOLM</t>
        </is>
      </c>
      <c r="G489" t="n">
        <v>2.4</v>
      </c>
      <c r="H489" t="n">
        <v>0</v>
      </c>
      <c r="I489" t="n">
        <v>0</v>
      </c>
      <c r="J489" t="n">
        <v>0</v>
      </c>
      <c r="K489" t="n">
        <v>0</v>
      </c>
      <c r="L489" t="n">
        <v>0</v>
      </c>
      <c r="M489" t="n">
        <v>0</v>
      </c>
      <c r="N489" t="n">
        <v>0</v>
      </c>
      <c r="O489" t="n">
        <v>0</v>
      </c>
      <c r="P489" t="n">
        <v>0</v>
      </c>
      <c r="Q489" t="n">
        <v>0</v>
      </c>
      <c r="R489" s="2" t="inlineStr"/>
    </row>
    <row r="490" ht="15" customHeight="1">
      <c r="A490" t="inlineStr">
        <is>
          <t>A 1679-2022</t>
        </is>
      </c>
      <c r="B490" s="1" t="n">
        <v>44573</v>
      </c>
      <c r="C490" s="1" t="n">
        <v>46094</v>
      </c>
      <c r="D490" t="inlineStr">
        <is>
          <t>SKÅNE LÄN</t>
        </is>
      </c>
      <c r="E490" t="inlineStr">
        <is>
          <t>HÄSSLEHOLM</t>
        </is>
      </c>
      <c r="F490" t="inlineStr">
        <is>
          <t>Kyrkan</t>
        </is>
      </c>
      <c r="G490" t="n">
        <v>4.3</v>
      </c>
      <c r="H490" t="n">
        <v>0</v>
      </c>
      <c r="I490" t="n">
        <v>0</v>
      </c>
      <c r="J490" t="n">
        <v>0</v>
      </c>
      <c r="K490" t="n">
        <v>0</v>
      </c>
      <c r="L490" t="n">
        <v>0</v>
      </c>
      <c r="M490" t="n">
        <v>0</v>
      </c>
      <c r="N490" t="n">
        <v>0</v>
      </c>
      <c r="O490" t="n">
        <v>0</v>
      </c>
      <c r="P490" t="n">
        <v>0</v>
      </c>
      <c r="Q490" t="n">
        <v>0</v>
      </c>
      <c r="R490" s="2" t="inlineStr"/>
    </row>
    <row r="491" ht="15" customHeight="1">
      <c r="A491" t="inlineStr">
        <is>
          <t>A 31946-2023</t>
        </is>
      </c>
      <c r="B491" s="1" t="n">
        <v>45119.35158564815</v>
      </c>
      <c r="C491" s="1" t="n">
        <v>46094</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16860-2025</t>
        </is>
      </c>
      <c r="B492" s="1" t="n">
        <v>45751</v>
      </c>
      <c r="C492" s="1" t="n">
        <v>46094</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51565-2023</t>
        </is>
      </c>
      <c r="B493" s="1" t="n">
        <v>45222</v>
      </c>
      <c r="C493" s="1" t="n">
        <v>46094</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25615-2025</t>
        </is>
      </c>
      <c r="B494" s="1" t="n">
        <v>45803</v>
      </c>
      <c r="C494" s="1" t="n">
        <v>46094</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48798-2023</t>
        </is>
      </c>
      <c r="B495" s="1" t="n">
        <v>45209.25318287037</v>
      </c>
      <c r="C495" s="1" t="n">
        <v>46094</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48844-2023</t>
        </is>
      </c>
      <c r="B496" s="1" t="n">
        <v>45209</v>
      </c>
      <c r="C496" s="1" t="n">
        <v>46094</v>
      </c>
      <c r="D496" t="inlineStr">
        <is>
          <t>SKÅNE LÄN</t>
        </is>
      </c>
      <c r="E496" t="inlineStr">
        <is>
          <t>HÄSSLEHOLM</t>
        </is>
      </c>
      <c r="G496" t="n">
        <v>4</v>
      </c>
      <c r="H496" t="n">
        <v>0</v>
      </c>
      <c r="I496" t="n">
        <v>0</v>
      </c>
      <c r="J496" t="n">
        <v>0</v>
      </c>
      <c r="K496" t="n">
        <v>0</v>
      </c>
      <c r="L496" t="n">
        <v>0</v>
      </c>
      <c r="M496" t="n">
        <v>0</v>
      </c>
      <c r="N496" t="n">
        <v>0</v>
      </c>
      <c r="O496" t="n">
        <v>0</v>
      </c>
      <c r="P496" t="n">
        <v>0</v>
      </c>
      <c r="Q496" t="n">
        <v>0</v>
      </c>
      <c r="R496" s="2" t="inlineStr"/>
    </row>
    <row r="497" ht="15" customHeight="1">
      <c r="A497" t="inlineStr">
        <is>
          <t>A 48877-2024</t>
        </is>
      </c>
      <c r="B497" s="1" t="n">
        <v>45594.31729166667</v>
      </c>
      <c r="C497" s="1" t="n">
        <v>46094</v>
      </c>
      <c r="D497" t="inlineStr">
        <is>
          <t>SKÅNE LÄN</t>
        </is>
      </c>
      <c r="E497" t="inlineStr">
        <is>
          <t>HÄSSLEHOLM</t>
        </is>
      </c>
      <c r="G497" t="n">
        <v>1.8</v>
      </c>
      <c r="H497" t="n">
        <v>0</v>
      </c>
      <c r="I497" t="n">
        <v>0</v>
      </c>
      <c r="J497" t="n">
        <v>0</v>
      </c>
      <c r="K497" t="n">
        <v>0</v>
      </c>
      <c r="L497" t="n">
        <v>0</v>
      </c>
      <c r="M497" t="n">
        <v>0</v>
      </c>
      <c r="N497" t="n">
        <v>0</v>
      </c>
      <c r="O497" t="n">
        <v>0</v>
      </c>
      <c r="P497" t="n">
        <v>0</v>
      </c>
      <c r="Q497" t="n">
        <v>0</v>
      </c>
      <c r="R497" s="2" t="inlineStr"/>
    </row>
    <row r="498" ht="15" customHeight="1">
      <c r="A498" t="inlineStr">
        <is>
          <t>A 11412-2025</t>
        </is>
      </c>
      <c r="B498" s="1" t="n">
        <v>45726</v>
      </c>
      <c r="C498" s="1" t="n">
        <v>46094</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25430-2025</t>
        </is>
      </c>
      <c r="B499" s="1" t="n">
        <v>45800.78212962963</v>
      </c>
      <c r="C499" s="1" t="n">
        <v>46094</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45984-2021</t>
        </is>
      </c>
      <c r="B500" s="1" t="n">
        <v>44441</v>
      </c>
      <c r="C500" s="1" t="n">
        <v>46094</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8378-2023</t>
        </is>
      </c>
      <c r="B501" s="1" t="n">
        <v>44971</v>
      </c>
      <c r="C501" s="1" t="n">
        <v>46094</v>
      </c>
      <c r="D501" t="inlineStr">
        <is>
          <t>SKÅNE LÄN</t>
        </is>
      </c>
      <c r="E501" t="inlineStr">
        <is>
          <t>HÄSSLEHOLM</t>
        </is>
      </c>
      <c r="G501" t="n">
        <v>1.2</v>
      </c>
      <c r="H501" t="n">
        <v>0</v>
      </c>
      <c r="I501" t="n">
        <v>0</v>
      </c>
      <c r="J501" t="n">
        <v>0</v>
      </c>
      <c r="K501" t="n">
        <v>0</v>
      </c>
      <c r="L501" t="n">
        <v>0</v>
      </c>
      <c r="M501" t="n">
        <v>0</v>
      </c>
      <c r="N501" t="n">
        <v>0</v>
      </c>
      <c r="O501" t="n">
        <v>0</v>
      </c>
      <c r="P501" t="n">
        <v>0</v>
      </c>
      <c r="Q501" t="n">
        <v>0</v>
      </c>
      <c r="R501" s="2" t="inlineStr"/>
    </row>
    <row r="502" ht="15" customHeight="1">
      <c r="A502" t="inlineStr">
        <is>
          <t>A 51571-2023</t>
        </is>
      </c>
      <c r="B502" s="1" t="n">
        <v>45222</v>
      </c>
      <c r="C502" s="1" t="n">
        <v>46094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11466-2025</t>
        </is>
      </c>
      <c r="B503" s="1" t="n">
        <v>45726</v>
      </c>
      <c r="C503" s="1" t="n">
        <v>46094</v>
      </c>
      <c r="D503" t="inlineStr">
        <is>
          <t>SKÅNE LÄN</t>
        </is>
      </c>
      <c r="E503" t="inlineStr">
        <is>
          <t>HÄSSLEHOLM</t>
        </is>
      </c>
      <c r="G503" t="n">
        <v>3.2</v>
      </c>
      <c r="H503" t="n">
        <v>0</v>
      </c>
      <c r="I503" t="n">
        <v>0</v>
      </c>
      <c r="J503" t="n">
        <v>0</v>
      </c>
      <c r="K503" t="n">
        <v>0</v>
      </c>
      <c r="L503" t="n">
        <v>0</v>
      </c>
      <c r="M503" t="n">
        <v>0</v>
      </c>
      <c r="N503" t="n">
        <v>0</v>
      </c>
      <c r="O503" t="n">
        <v>0</v>
      </c>
      <c r="P503" t="n">
        <v>0</v>
      </c>
      <c r="Q503" t="n">
        <v>0</v>
      </c>
      <c r="R503" s="2" t="inlineStr"/>
    </row>
    <row r="504" ht="15" customHeight="1">
      <c r="A504" t="inlineStr">
        <is>
          <t>A 25431-2025</t>
        </is>
      </c>
      <c r="B504" s="1" t="n">
        <v>45800.78340277778</v>
      </c>
      <c r="C504" s="1" t="n">
        <v>46094</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25432-2025</t>
        </is>
      </c>
      <c r="B505" s="1" t="n">
        <v>45800.7847800926</v>
      </c>
      <c r="C505" s="1" t="n">
        <v>46094</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11470-2025</t>
        </is>
      </c>
      <c r="B506" s="1" t="n">
        <v>45726</v>
      </c>
      <c r="C506" s="1" t="n">
        <v>46094</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49181-2024</t>
        </is>
      </c>
      <c r="B507" s="1" t="n">
        <v>45595</v>
      </c>
      <c r="C507" s="1" t="n">
        <v>46094</v>
      </c>
      <c r="D507" t="inlineStr">
        <is>
          <t>SKÅNE LÄN</t>
        </is>
      </c>
      <c r="E507" t="inlineStr">
        <is>
          <t>HÄSSLEHOLM</t>
        </is>
      </c>
      <c r="G507" t="n">
        <v>0.7</v>
      </c>
      <c r="H507" t="n">
        <v>0</v>
      </c>
      <c r="I507" t="n">
        <v>0</v>
      </c>
      <c r="J507" t="n">
        <v>0</v>
      </c>
      <c r="K507" t="n">
        <v>0</v>
      </c>
      <c r="L507" t="n">
        <v>0</v>
      </c>
      <c r="M507" t="n">
        <v>0</v>
      </c>
      <c r="N507" t="n">
        <v>0</v>
      </c>
      <c r="O507" t="n">
        <v>0</v>
      </c>
      <c r="P507" t="n">
        <v>0</v>
      </c>
      <c r="Q507" t="n">
        <v>0</v>
      </c>
      <c r="R507" s="2" t="inlineStr"/>
    </row>
    <row r="508" ht="15" customHeight="1">
      <c r="A508" t="inlineStr">
        <is>
          <t>A 32794-2023</t>
        </is>
      </c>
      <c r="B508" s="1" t="n">
        <v>45124.40446759259</v>
      </c>
      <c r="C508" s="1" t="n">
        <v>46094</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61436-2024</t>
        </is>
      </c>
      <c r="B509" s="1" t="n">
        <v>45646.46329861111</v>
      </c>
      <c r="C509" s="1" t="n">
        <v>46094</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37300-2023</t>
        </is>
      </c>
      <c r="B510" s="1" t="n">
        <v>45156</v>
      </c>
      <c r="C510" s="1" t="n">
        <v>46094</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35644-2023</t>
        </is>
      </c>
      <c r="B511" s="1" t="n">
        <v>45147</v>
      </c>
      <c r="C511" s="1" t="n">
        <v>46094</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45398-2024</t>
        </is>
      </c>
      <c r="B512" s="1" t="n">
        <v>45576.56260416667</v>
      </c>
      <c r="C512" s="1" t="n">
        <v>46094</v>
      </c>
      <c r="D512" t="inlineStr">
        <is>
          <t>SKÅNE LÄN</t>
        </is>
      </c>
      <c r="E512" t="inlineStr">
        <is>
          <t>HÄSSLEHOLM</t>
        </is>
      </c>
      <c r="G512" t="n">
        <v>4.2</v>
      </c>
      <c r="H512" t="n">
        <v>0</v>
      </c>
      <c r="I512" t="n">
        <v>0</v>
      </c>
      <c r="J512" t="n">
        <v>0</v>
      </c>
      <c r="K512" t="n">
        <v>0</v>
      </c>
      <c r="L512" t="n">
        <v>0</v>
      </c>
      <c r="M512" t="n">
        <v>0</v>
      </c>
      <c r="N512" t="n">
        <v>0</v>
      </c>
      <c r="O512" t="n">
        <v>0</v>
      </c>
      <c r="P512" t="n">
        <v>0</v>
      </c>
      <c r="Q512" t="n">
        <v>0</v>
      </c>
      <c r="R512" s="2" t="inlineStr"/>
    </row>
    <row r="513" ht="15" customHeight="1">
      <c r="A513" t="inlineStr">
        <is>
          <t>A 4140-2023</t>
        </is>
      </c>
      <c r="B513" s="1" t="n">
        <v>44953</v>
      </c>
      <c r="C513" s="1" t="n">
        <v>46094</v>
      </c>
      <c r="D513" t="inlineStr">
        <is>
          <t>SKÅNE LÄN</t>
        </is>
      </c>
      <c r="E513" t="inlineStr">
        <is>
          <t>HÄSSLEHOLM</t>
        </is>
      </c>
      <c r="G513" t="n">
        <v>10.6</v>
      </c>
      <c r="H513" t="n">
        <v>0</v>
      </c>
      <c r="I513" t="n">
        <v>0</v>
      </c>
      <c r="J513" t="n">
        <v>0</v>
      </c>
      <c r="K513" t="n">
        <v>0</v>
      </c>
      <c r="L513" t="n">
        <v>0</v>
      </c>
      <c r="M513" t="n">
        <v>0</v>
      </c>
      <c r="N513" t="n">
        <v>0</v>
      </c>
      <c r="O513" t="n">
        <v>0</v>
      </c>
      <c r="P513" t="n">
        <v>0</v>
      </c>
      <c r="Q513" t="n">
        <v>0</v>
      </c>
      <c r="R513" s="2" t="inlineStr"/>
    </row>
    <row r="514" ht="15" customHeight="1">
      <c r="A514" t="inlineStr">
        <is>
          <t>A 50000-2023</t>
        </is>
      </c>
      <c r="B514" s="1" t="n">
        <v>45215.4434837963</v>
      </c>
      <c r="C514" s="1" t="n">
        <v>46094</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26232-2025</t>
        </is>
      </c>
      <c r="B515" s="1" t="n">
        <v>45805.56642361111</v>
      </c>
      <c r="C515" s="1" t="n">
        <v>46094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417-2022</t>
        </is>
      </c>
      <c r="B516" s="1" t="n">
        <v>44565.84615740741</v>
      </c>
      <c r="C516" s="1" t="n">
        <v>46094</v>
      </c>
      <c r="D516" t="inlineStr">
        <is>
          <t>SKÅNE LÄN</t>
        </is>
      </c>
      <c r="E516" t="inlineStr">
        <is>
          <t>HÄSSLEHOLM</t>
        </is>
      </c>
      <c r="G516" t="n">
        <v>0</v>
      </c>
      <c r="H516" t="n">
        <v>0</v>
      </c>
      <c r="I516" t="n">
        <v>0</v>
      </c>
      <c r="J516" t="n">
        <v>0</v>
      </c>
      <c r="K516" t="n">
        <v>0</v>
      </c>
      <c r="L516" t="n">
        <v>0</v>
      </c>
      <c r="M516" t="n">
        <v>0</v>
      </c>
      <c r="N516" t="n">
        <v>0</v>
      </c>
      <c r="O516" t="n">
        <v>0</v>
      </c>
      <c r="P516" t="n">
        <v>0</v>
      </c>
      <c r="Q516" t="n">
        <v>0</v>
      </c>
      <c r="R516" s="2" t="inlineStr"/>
    </row>
    <row r="517" ht="15" customHeight="1">
      <c r="A517" t="inlineStr">
        <is>
          <t>A 51040-2024</t>
        </is>
      </c>
      <c r="B517" s="1" t="n">
        <v>45603.43222222223</v>
      </c>
      <c r="C517" s="1" t="n">
        <v>46094</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3123-2023</t>
        </is>
      </c>
      <c r="B518" s="1" t="n">
        <v>44946.4925</v>
      </c>
      <c r="C518" s="1" t="n">
        <v>46094</v>
      </c>
      <c r="D518" t="inlineStr">
        <is>
          <t>SKÅNE LÄN</t>
        </is>
      </c>
      <c r="E518" t="inlineStr">
        <is>
          <t>HÄSSLEHOLM</t>
        </is>
      </c>
      <c r="G518" t="n">
        <v>3.5</v>
      </c>
      <c r="H518" t="n">
        <v>0</v>
      </c>
      <c r="I518" t="n">
        <v>0</v>
      </c>
      <c r="J518" t="n">
        <v>0</v>
      </c>
      <c r="K518" t="n">
        <v>0</v>
      </c>
      <c r="L518" t="n">
        <v>0</v>
      </c>
      <c r="M518" t="n">
        <v>0</v>
      </c>
      <c r="N518" t="n">
        <v>0</v>
      </c>
      <c r="O518" t="n">
        <v>0</v>
      </c>
      <c r="P518" t="n">
        <v>0</v>
      </c>
      <c r="Q518" t="n">
        <v>0</v>
      </c>
      <c r="R518" s="2" t="inlineStr"/>
    </row>
    <row r="519" ht="15" customHeight="1">
      <c r="A519" t="inlineStr">
        <is>
          <t>A 3126-2023</t>
        </is>
      </c>
      <c r="B519" s="1" t="n">
        <v>44946.49570601852</v>
      </c>
      <c r="C519" s="1" t="n">
        <v>46094</v>
      </c>
      <c r="D519" t="inlineStr">
        <is>
          <t>SKÅNE LÄN</t>
        </is>
      </c>
      <c r="E519" t="inlineStr">
        <is>
          <t>HÄSSLEHOLM</t>
        </is>
      </c>
      <c r="G519" t="n">
        <v>2.2</v>
      </c>
      <c r="H519" t="n">
        <v>0</v>
      </c>
      <c r="I519" t="n">
        <v>0</v>
      </c>
      <c r="J519" t="n">
        <v>0</v>
      </c>
      <c r="K519" t="n">
        <v>0</v>
      </c>
      <c r="L519" t="n">
        <v>0</v>
      </c>
      <c r="M519" t="n">
        <v>0</v>
      </c>
      <c r="N519" t="n">
        <v>0</v>
      </c>
      <c r="O519" t="n">
        <v>0</v>
      </c>
      <c r="P519" t="n">
        <v>0</v>
      </c>
      <c r="Q519" t="n">
        <v>0</v>
      </c>
      <c r="R519" s="2" t="inlineStr"/>
    </row>
    <row r="520" ht="15" customHeight="1">
      <c r="A520" t="inlineStr">
        <is>
          <t>A 26244-2025</t>
        </is>
      </c>
      <c r="B520" s="1" t="n">
        <v>45805.57364583333</v>
      </c>
      <c r="C520" s="1" t="n">
        <v>46094</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50249-2024</t>
        </is>
      </c>
      <c r="B521" s="1" t="n">
        <v>45600.56866898148</v>
      </c>
      <c r="C521" s="1" t="n">
        <v>46094</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54326-2022</t>
        </is>
      </c>
      <c r="B522" s="1" t="n">
        <v>44882.42965277778</v>
      </c>
      <c r="C522" s="1" t="n">
        <v>46094</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37318-2024</t>
        </is>
      </c>
      <c r="B523" s="1" t="n">
        <v>45540</v>
      </c>
      <c r="C523" s="1" t="n">
        <v>46094</v>
      </c>
      <c r="D523" t="inlineStr">
        <is>
          <t>SKÅNE LÄN</t>
        </is>
      </c>
      <c r="E523" t="inlineStr">
        <is>
          <t>HÄSSLEHOLM</t>
        </is>
      </c>
      <c r="G523" t="n">
        <v>3.9</v>
      </c>
      <c r="H523" t="n">
        <v>0</v>
      </c>
      <c r="I523" t="n">
        <v>0</v>
      </c>
      <c r="J523" t="n">
        <v>0</v>
      </c>
      <c r="K523" t="n">
        <v>0</v>
      </c>
      <c r="L523" t="n">
        <v>0</v>
      </c>
      <c r="M523" t="n">
        <v>0</v>
      </c>
      <c r="N523" t="n">
        <v>0</v>
      </c>
      <c r="O523" t="n">
        <v>0</v>
      </c>
      <c r="P523" t="n">
        <v>0</v>
      </c>
      <c r="Q523" t="n">
        <v>0</v>
      </c>
      <c r="R523" s="2" t="inlineStr"/>
    </row>
    <row r="524" ht="15" customHeight="1">
      <c r="A524" t="inlineStr">
        <is>
          <t>A 37324-2024</t>
        </is>
      </c>
      <c r="B524" s="1" t="n">
        <v>45540.50104166667</v>
      </c>
      <c r="C524" s="1" t="n">
        <v>46094</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54174-2022</t>
        </is>
      </c>
      <c r="B525" s="1" t="n">
        <v>44881</v>
      </c>
      <c r="C525" s="1" t="n">
        <v>46094</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57656-2022</t>
        </is>
      </c>
      <c r="B526" s="1" t="n">
        <v>44897.4325925926</v>
      </c>
      <c r="C526" s="1" t="n">
        <v>46094</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32881-2024</t>
        </is>
      </c>
      <c r="B527" s="1" t="n">
        <v>45516</v>
      </c>
      <c r="C527" s="1" t="n">
        <v>46094</v>
      </c>
      <c r="D527" t="inlineStr">
        <is>
          <t>SKÅNE LÄN</t>
        </is>
      </c>
      <c r="E527" t="inlineStr">
        <is>
          <t>HÄSSLEHOLM</t>
        </is>
      </c>
      <c r="G527" t="n">
        <v>6.3</v>
      </c>
      <c r="H527" t="n">
        <v>0</v>
      </c>
      <c r="I527" t="n">
        <v>0</v>
      </c>
      <c r="J527" t="n">
        <v>0</v>
      </c>
      <c r="K527" t="n">
        <v>0</v>
      </c>
      <c r="L527" t="n">
        <v>0</v>
      </c>
      <c r="M527" t="n">
        <v>0</v>
      </c>
      <c r="N527" t="n">
        <v>0</v>
      </c>
      <c r="O527" t="n">
        <v>0</v>
      </c>
      <c r="P527" t="n">
        <v>0</v>
      </c>
      <c r="Q527" t="n">
        <v>0</v>
      </c>
      <c r="R527" s="2" t="inlineStr"/>
    </row>
    <row r="528" ht="15" customHeight="1">
      <c r="A528" t="inlineStr">
        <is>
          <t>A 23860-2024</t>
        </is>
      </c>
      <c r="B528" s="1" t="n">
        <v>45455</v>
      </c>
      <c r="C528" s="1" t="n">
        <v>46094</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23864-2024</t>
        </is>
      </c>
      <c r="B529" s="1" t="n">
        <v>45455</v>
      </c>
      <c r="C529" s="1" t="n">
        <v>46094</v>
      </c>
      <c r="D529" t="inlineStr">
        <is>
          <t>SKÅNE LÄN</t>
        </is>
      </c>
      <c r="E529" t="inlineStr">
        <is>
          <t>HÄSSLEHOLM</t>
        </is>
      </c>
      <c r="G529" t="n">
        <v>6.2</v>
      </c>
      <c r="H529" t="n">
        <v>0</v>
      </c>
      <c r="I529" t="n">
        <v>0</v>
      </c>
      <c r="J529" t="n">
        <v>0</v>
      </c>
      <c r="K529" t="n">
        <v>0</v>
      </c>
      <c r="L529" t="n">
        <v>0</v>
      </c>
      <c r="M529" t="n">
        <v>0</v>
      </c>
      <c r="N529" t="n">
        <v>0</v>
      </c>
      <c r="O529" t="n">
        <v>0</v>
      </c>
      <c r="P529" t="n">
        <v>0</v>
      </c>
      <c r="Q529" t="n">
        <v>0</v>
      </c>
      <c r="R529" s="2" t="inlineStr"/>
    </row>
    <row r="530" ht="15" customHeight="1">
      <c r="A530" t="inlineStr">
        <is>
          <t>A 38376-2022</t>
        </is>
      </c>
      <c r="B530" s="1" t="n">
        <v>44812</v>
      </c>
      <c r="C530" s="1" t="n">
        <v>46094</v>
      </c>
      <c r="D530" t="inlineStr">
        <is>
          <t>SKÅNE LÄN</t>
        </is>
      </c>
      <c r="E530" t="inlineStr">
        <is>
          <t>HÄSSLEHOLM</t>
        </is>
      </c>
      <c r="G530" t="n">
        <v>1.9</v>
      </c>
      <c r="H530" t="n">
        <v>0</v>
      </c>
      <c r="I530" t="n">
        <v>0</v>
      </c>
      <c r="J530" t="n">
        <v>0</v>
      </c>
      <c r="K530" t="n">
        <v>0</v>
      </c>
      <c r="L530" t="n">
        <v>0</v>
      </c>
      <c r="M530" t="n">
        <v>0</v>
      </c>
      <c r="N530" t="n">
        <v>0</v>
      </c>
      <c r="O530" t="n">
        <v>0</v>
      </c>
      <c r="P530" t="n">
        <v>0</v>
      </c>
      <c r="Q530" t="n">
        <v>0</v>
      </c>
      <c r="R530" s="2" t="inlineStr"/>
    </row>
    <row r="531" ht="15" customHeight="1">
      <c r="A531" t="inlineStr">
        <is>
          <t>A 7192-2025</t>
        </is>
      </c>
      <c r="B531" s="1" t="n">
        <v>45702.44746527778</v>
      </c>
      <c r="C531" s="1" t="n">
        <v>46094</v>
      </c>
      <c r="D531" t="inlineStr">
        <is>
          <t>SKÅNE LÄN</t>
        </is>
      </c>
      <c r="E531" t="inlineStr">
        <is>
          <t>HÄSSLEHOLM</t>
        </is>
      </c>
      <c r="G531" t="n">
        <v>1.2</v>
      </c>
      <c r="H531" t="n">
        <v>0</v>
      </c>
      <c r="I531" t="n">
        <v>0</v>
      </c>
      <c r="J531" t="n">
        <v>0</v>
      </c>
      <c r="K531" t="n">
        <v>0</v>
      </c>
      <c r="L531" t="n">
        <v>0</v>
      </c>
      <c r="M531" t="n">
        <v>0</v>
      </c>
      <c r="N531" t="n">
        <v>0</v>
      </c>
      <c r="O531" t="n">
        <v>0</v>
      </c>
      <c r="P531" t="n">
        <v>0</v>
      </c>
      <c r="Q531" t="n">
        <v>0</v>
      </c>
      <c r="R531" s="2" t="inlineStr"/>
    </row>
    <row r="532" ht="15" customHeight="1">
      <c r="A532" t="inlineStr">
        <is>
          <t>A 54659-2023</t>
        </is>
      </c>
      <c r="B532" s="1" t="n">
        <v>45235</v>
      </c>
      <c r="C532" s="1" t="n">
        <v>46094</v>
      </c>
      <c r="D532" t="inlineStr">
        <is>
          <t>SKÅNE LÄN</t>
        </is>
      </c>
      <c r="E532" t="inlineStr">
        <is>
          <t>HÄSSLEHOLM</t>
        </is>
      </c>
      <c r="G532" t="n">
        <v>5</v>
      </c>
      <c r="H532" t="n">
        <v>0</v>
      </c>
      <c r="I532" t="n">
        <v>0</v>
      </c>
      <c r="J532" t="n">
        <v>0</v>
      </c>
      <c r="K532" t="n">
        <v>0</v>
      </c>
      <c r="L532" t="n">
        <v>0</v>
      </c>
      <c r="M532" t="n">
        <v>0</v>
      </c>
      <c r="N532" t="n">
        <v>0</v>
      </c>
      <c r="O532" t="n">
        <v>0</v>
      </c>
      <c r="P532" t="n">
        <v>0</v>
      </c>
      <c r="Q532" t="n">
        <v>0</v>
      </c>
      <c r="R532" s="2" t="inlineStr"/>
    </row>
    <row r="533" ht="15" customHeight="1">
      <c r="A533" t="inlineStr">
        <is>
          <t>A 15036-2024</t>
        </is>
      </c>
      <c r="B533" s="1" t="n">
        <v>45399.48100694444</v>
      </c>
      <c r="C533" s="1" t="n">
        <v>46094</v>
      </c>
      <c r="D533" t="inlineStr">
        <is>
          <t>SKÅNE LÄN</t>
        </is>
      </c>
      <c r="E533" t="inlineStr">
        <is>
          <t>HÄSSLEHOLM</t>
        </is>
      </c>
      <c r="G533" t="n">
        <v>1.6</v>
      </c>
      <c r="H533" t="n">
        <v>0</v>
      </c>
      <c r="I533" t="n">
        <v>0</v>
      </c>
      <c r="J533" t="n">
        <v>0</v>
      </c>
      <c r="K533" t="n">
        <v>0</v>
      </c>
      <c r="L533" t="n">
        <v>0</v>
      </c>
      <c r="M533" t="n">
        <v>0</v>
      </c>
      <c r="N533" t="n">
        <v>0</v>
      </c>
      <c r="O533" t="n">
        <v>0</v>
      </c>
      <c r="P533" t="n">
        <v>0</v>
      </c>
      <c r="Q533" t="n">
        <v>0</v>
      </c>
      <c r="R533" s="2" t="inlineStr"/>
    </row>
    <row r="534" ht="15" customHeight="1">
      <c r="A534" t="inlineStr">
        <is>
          <t>A 1560-2023</t>
        </is>
      </c>
      <c r="B534" s="1" t="n">
        <v>44937</v>
      </c>
      <c r="C534" s="1" t="n">
        <v>46094</v>
      </c>
      <c r="D534" t="inlineStr">
        <is>
          <t>SKÅNE LÄN</t>
        </is>
      </c>
      <c r="E534" t="inlineStr">
        <is>
          <t>HÄSSLEHOLM</t>
        </is>
      </c>
      <c r="G534" t="n">
        <v>6.8</v>
      </c>
      <c r="H534" t="n">
        <v>0</v>
      </c>
      <c r="I534" t="n">
        <v>0</v>
      </c>
      <c r="J534" t="n">
        <v>0</v>
      </c>
      <c r="K534" t="n">
        <v>0</v>
      </c>
      <c r="L534" t="n">
        <v>0</v>
      </c>
      <c r="M534" t="n">
        <v>0</v>
      </c>
      <c r="N534" t="n">
        <v>0</v>
      </c>
      <c r="O534" t="n">
        <v>0</v>
      </c>
      <c r="P534" t="n">
        <v>0</v>
      </c>
      <c r="Q534" t="n">
        <v>0</v>
      </c>
      <c r="R534" s="2" t="inlineStr"/>
    </row>
    <row r="535" ht="15" customHeight="1">
      <c r="A535" t="inlineStr">
        <is>
          <t>A 11798-2022</t>
        </is>
      </c>
      <c r="B535" s="1" t="n">
        <v>44634.64900462963</v>
      </c>
      <c r="C535" s="1" t="n">
        <v>46094</v>
      </c>
      <c r="D535" t="inlineStr">
        <is>
          <t>SKÅNE LÄN</t>
        </is>
      </c>
      <c r="E535" t="inlineStr">
        <is>
          <t>HÄSSLEHOLM</t>
        </is>
      </c>
      <c r="G535" t="n">
        <v>2.8</v>
      </c>
      <c r="H535" t="n">
        <v>0</v>
      </c>
      <c r="I535" t="n">
        <v>0</v>
      </c>
      <c r="J535" t="n">
        <v>0</v>
      </c>
      <c r="K535" t="n">
        <v>0</v>
      </c>
      <c r="L535" t="n">
        <v>0</v>
      </c>
      <c r="M535" t="n">
        <v>0</v>
      </c>
      <c r="N535" t="n">
        <v>0</v>
      </c>
      <c r="O535" t="n">
        <v>0</v>
      </c>
      <c r="P535" t="n">
        <v>0</v>
      </c>
      <c r="Q535" t="n">
        <v>0</v>
      </c>
      <c r="R535" s="2" t="inlineStr"/>
    </row>
    <row r="536" ht="15" customHeight="1">
      <c r="A536" t="inlineStr">
        <is>
          <t>A 9709-2023</t>
        </is>
      </c>
      <c r="B536" s="1" t="n">
        <v>44984.48376157408</v>
      </c>
      <c r="C536" s="1" t="n">
        <v>46094</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56881-2021</t>
        </is>
      </c>
      <c r="B537" s="1" t="n">
        <v>44481</v>
      </c>
      <c r="C537" s="1" t="n">
        <v>46094</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9615-2025</t>
        </is>
      </c>
      <c r="B538" s="1" t="n">
        <v>45715</v>
      </c>
      <c r="C538" s="1" t="n">
        <v>46094</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8524-2024</t>
        </is>
      </c>
      <c r="B539" s="1" t="n">
        <v>45355.48570601852</v>
      </c>
      <c r="C539" s="1" t="n">
        <v>46094</v>
      </c>
      <c r="D539" t="inlineStr">
        <is>
          <t>SKÅNE LÄN</t>
        </is>
      </c>
      <c r="E539" t="inlineStr">
        <is>
          <t>HÄSSLEHOLM</t>
        </is>
      </c>
      <c r="G539" t="n">
        <v>4</v>
      </c>
      <c r="H539" t="n">
        <v>0</v>
      </c>
      <c r="I539" t="n">
        <v>0</v>
      </c>
      <c r="J539" t="n">
        <v>0</v>
      </c>
      <c r="K539" t="n">
        <v>0</v>
      </c>
      <c r="L539" t="n">
        <v>0</v>
      </c>
      <c r="M539" t="n">
        <v>0</v>
      </c>
      <c r="N539" t="n">
        <v>0</v>
      </c>
      <c r="O539" t="n">
        <v>0</v>
      </c>
      <c r="P539" t="n">
        <v>0</v>
      </c>
      <c r="Q539" t="n">
        <v>0</v>
      </c>
      <c r="R539" s="2" t="inlineStr"/>
    </row>
    <row r="540" ht="15" customHeight="1">
      <c r="A540" t="inlineStr">
        <is>
          <t>A 28599-2024</t>
        </is>
      </c>
      <c r="B540" s="1" t="n">
        <v>45478.4247800926</v>
      </c>
      <c r="C540" s="1" t="n">
        <v>46094</v>
      </c>
      <c r="D540" t="inlineStr">
        <is>
          <t>SKÅNE LÄN</t>
        </is>
      </c>
      <c r="E540" t="inlineStr">
        <is>
          <t>HÄSSLEHOLM</t>
        </is>
      </c>
      <c r="G540" t="n">
        <v>8.6</v>
      </c>
      <c r="H540" t="n">
        <v>0</v>
      </c>
      <c r="I540" t="n">
        <v>0</v>
      </c>
      <c r="J540" t="n">
        <v>0</v>
      </c>
      <c r="K540" t="n">
        <v>0</v>
      </c>
      <c r="L540" t="n">
        <v>0</v>
      </c>
      <c r="M540" t="n">
        <v>0</v>
      </c>
      <c r="N540" t="n">
        <v>0</v>
      </c>
      <c r="O540" t="n">
        <v>0</v>
      </c>
      <c r="P540" t="n">
        <v>0</v>
      </c>
      <c r="Q540" t="n">
        <v>0</v>
      </c>
      <c r="R540" s="2" t="inlineStr"/>
    </row>
    <row r="541" ht="15" customHeight="1">
      <c r="A541" t="inlineStr">
        <is>
          <t>A 13673-2023</t>
        </is>
      </c>
      <c r="B541" s="1" t="n">
        <v>45006.87957175926</v>
      </c>
      <c r="C541" s="1" t="n">
        <v>46094</v>
      </c>
      <c r="D541" t="inlineStr">
        <is>
          <t>SKÅNE LÄN</t>
        </is>
      </c>
      <c r="E541" t="inlineStr">
        <is>
          <t>HÄSSLEHOLM</t>
        </is>
      </c>
      <c r="G541" t="n">
        <v>3.2</v>
      </c>
      <c r="H541" t="n">
        <v>0</v>
      </c>
      <c r="I541" t="n">
        <v>0</v>
      </c>
      <c r="J541" t="n">
        <v>0</v>
      </c>
      <c r="K541" t="n">
        <v>0</v>
      </c>
      <c r="L541" t="n">
        <v>0</v>
      </c>
      <c r="M541" t="n">
        <v>0</v>
      </c>
      <c r="N541" t="n">
        <v>0</v>
      </c>
      <c r="O541" t="n">
        <v>0</v>
      </c>
      <c r="P541" t="n">
        <v>0</v>
      </c>
      <c r="Q541" t="n">
        <v>0</v>
      </c>
      <c r="R541" s="2" t="inlineStr"/>
    </row>
    <row r="542" ht="15" customHeight="1">
      <c r="A542" t="inlineStr">
        <is>
          <t>A 23987-2024</t>
        </is>
      </c>
      <c r="B542" s="1" t="n">
        <v>45456</v>
      </c>
      <c r="C542" s="1" t="n">
        <v>46094</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4042-2023</t>
        </is>
      </c>
      <c r="B543" s="1" t="n">
        <v>44952.59950231481</v>
      </c>
      <c r="C543" s="1" t="n">
        <v>46094</v>
      </c>
      <c r="D543" t="inlineStr">
        <is>
          <t>SKÅNE LÄN</t>
        </is>
      </c>
      <c r="E543" t="inlineStr">
        <is>
          <t>HÄSSLEHOLM</t>
        </is>
      </c>
      <c r="G543" t="n">
        <v>2.7</v>
      </c>
      <c r="H543" t="n">
        <v>0</v>
      </c>
      <c r="I543" t="n">
        <v>0</v>
      </c>
      <c r="J543" t="n">
        <v>0</v>
      </c>
      <c r="K543" t="n">
        <v>0</v>
      </c>
      <c r="L543" t="n">
        <v>0</v>
      </c>
      <c r="M543" t="n">
        <v>0</v>
      </c>
      <c r="N543" t="n">
        <v>0</v>
      </c>
      <c r="O543" t="n">
        <v>0</v>
      </c>
      <c r="P543" t="n">
        <v>0</v>
      </c>
      <c r="Q543" t="n">
        <v>0</v>
      </c>
      <c r="R543" s="2" t="inlineStr"/>
    </row>
    <row r="544" ht="15" customHeight="1">
      <c r="A544" t="inlineStr">
        <is>
          <t>A 38306-2022</t>
        </is>
      </c>
      <c r="B544" s="1" t="n">
        <v>44812.57515046297</v>
      </c>
      <c r="C544" s="1" t="n">
        <v>46094</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38358-2024</t>
        </is>
      </c>
      <c r="B545" s="1" t="n">
        <v>45545.79068287037</v>
      </c>
      <c r="C545" s="1" t="n">
        <v>46094</v>
      </c>
      <c r="D545" t="inlineStr">
        <is>
          <t>SKÅNE LÄN</t>
        </is>
      </c>
      <c r="E545" t="inlineStr">
        <is>
          <t>HÄSSLEHOLM</t>
        </is>
      </c>
      <c r="G545" t="n">
        <v>9</v>
      </c>
      <c r="H545" t="n">
        <v>0</v>
      </c>
      <c r="I545" t="n">
        <v>0</v>
      </c>
      <c r="J545" t="n">
        <v>0</v>
      </c>
      <c r="K545" t="n">
        <v>0</v>
      </c>
      <c r="L545" t="n">
        <v>0</v>
      </c>
      <c r="M545" t="n">
        <v>0</v>
      </c>
      <c r="N545" t="n">
        <v>0</v>
      </c>
      <c r="O545" t="n">
        <v>0</v>
      </c>
      <c r="P545" t="n">
        <v>0</v>
      </c>
      <c r="Q545" t="n">
        <v>0</v>
      </c>
      <c r="R545" s="2" t="inlineStr"/>
    </row>
    <row r="546" ht="15" customHeight="1">
      <c r="A546" t="inlineStr">
        <is>
          <t>A 38712-2024</t>
        </is>
      </c>
      <c r="B546" s="1" t="n">
        <v>45547</v>
      </c>
      <c r="C546" s="1" t="n">
        <v>46094</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27393-2025</t>
        </is>
      </c>
      <c r="B547" s="1" t="n">
        <v>45812.68295138889</v>
      </c>
      <c r="C547" s="1" t="n">
        <v>46094</v>
      </c>
      <c r="D547" t="inlineStr">
        <is>
          <t>SKÅNE LÄN</t>
        </is>
      </c>
      <c r="E547" t="inlineStr">
        <is>
          <t>HÄSSLEHOLM</t>
        </is>
      </c>
      <c r="G547" t="n">
        <v>1</v>
      </c>
      <c r="H547" t="n">
        <v>0</v>
      </c>
      <c r="I547" t="n">
        <v>0</v>
      </c>
      <c r="J547" t="n">
        <v>0</v>
      </c>
      <c r="K547" t="n">
        <v>0</v>
      </c>
      <c r="L547" t="n">
        <v>0</v>
      </c>
      <c r="M547" t="n">
        <v>0</v>
      </c>
      <c r="N547" t="n">
        <v>0</v>
      </c>
      <c r="O547" t="n">
        <v>0</v>
      </c>
      <c r="P547" t="n">
        <v>0</v>
      </c>
      <c r="Q547" t="n">
        <v>0</v>
      </c>
      <c r="R547" s="2" t="inlineStr"/>
    </row>
    <row r="548" ht="15" customHeight="1">
      <c r="A548" t="inlineStr">
        <is>
          <t>A 13310-2025</t>
        </is>
      </c>
      <c r="B548" s="1" t="n">
        <v>45735.58814814815</v>
      </c>
      <c r="C548" s="1" t="n">
        <v>46094</v>
      </c>
      <c r="D548" t="inlineStr">
        <is>
          <t>SKÅNE LÄN</t>
        </is>
      </c>
      <c r="E548" t="inlineStr">
        <is>
          <t>HÄSSLEHOLM</t>
        </is>
      </c>
      <c r="G548" t="n">
        <v>2</v>
      </c>
      <c r="H548" t="n">
        <v>0</v>
      </c>
      <c r="I548" t="n">
        <v>0</v>
      </c>
      <c r="J548" t="n">
        <v>0</v>
      </c>
      <c r="K548" t="n">
        <v>0</v>
      </c>
      <c r="L548" t="n">
        <v>0</v>
      </c>
      <c r="M548" t="n">
        <v>0</v>
      </c>
      <c r="N548" t="n">
        <v>0</v>
      </c>
      <c r="O548" t="n">
        <v>0</v>
      </c>
      <c r="P548" t="n">
        <v>0</v>
      </c>
      <c r="Q548" t="n">
        <v>0</v>
      </c>
      <c r="R548" s="2" t="inlineStr"/>
    </row>
    <row r="549" ht="15" customHeight="1">
      <c r="A549" t="inlineStr">
        <is>
          <t>A 31160-2024</t>
        </is>
      </c>
      <c r="B549" s="1" t="n">
        <v>45503</v>
      </c>
      <c r="C549" s="1" t="n">
        <v>46094</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3746-2024</t>
        </is>
      </c>
      <c r="B550" s="1" t="n">
        <v>45321.50745370371</v>
      </c>
      <c r="C550" s="1" t="n">
        <v>46094</v>
      </c>
      <c r="D550" t="inlineStr">
        <is>
          <t>SKÅNE LÄN</t>
        </is>
      </c>
      <c r="E550" t="inlineStr">
        <is>
          <t>HÄSSLEHOLM</t>
        </is>
      </c>
      <c r="G550" t="n">
        <v>3.4</v>
      </c>
      <c r="H550" t="n">
        <v>0</v>
      </c>
      <c r="I550" t="n">
        <v>0</v>
      </c>
      <c r="J550" t="n">
        <v>0</v>
      </c>
      <c r="K550" t="n">
        <v>0</v>
      </c>
      <c r="L550" t="n">
        <v>0</v>
      </c>
      <c r="M550" t="n">
        <v>0</v>
      </c>
      <c r="N550" t="n">
        <v>0</v>
      </c>
      <c r="O550" t="n">
        <v>0</v>
      </c>
      <c r="P550" t="n">
        <v>0</v>
      </c>
      <c r="Q550" t="n">
        <v>0</v>
      </c>
      <c r="R550" s="2" t="inlineStr"/>
    </row>
    <row r="551" ht="15" customHeight="1">
      <c r="A551" t="inlineStr">
        <is>
          <t>A 5054-2022</t>
        </is>
      </c>
      <c r="B551" s="1" t="n">
        <v>44593.69065972222</v>
      </c>
      <c r="C551" s="1" t="n">
        <v>46094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57649-2022</t>
        </is>
      </c>
      <c r="B552" s="1" t="n">
        <v>44897.42755787037</v>
      </c>
      <c r="C552" s="1" t="n">
        <v>46094</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57665-2022</t>
        </is>
      </c>
      <c r="B553" s="1" t="n">
        <v>44897.4494212963</v>
      </c>
      <c r="C553" s="1" t="n">
        <v>46094</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57676-2022</t>
        </is>
      </c>
      <c r="B554" s="1" t="n">
        <v>44897</v>
      </c>
      <c r="C554" s="1" t="n">
        <v>46094</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16368-2025</t>
        </is>
      </c>
      <c r="B555" s="1" t="n">
        <v>45751</v>
      </c>
      <c r="C555" s="1" t="n">
        <v>46094</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14145-2023</t>
        </is>
      </c>
      <c r="B556" s="1" t="n">
        <v>45009</v>
      </c>
      <c r="C556" s="1" t="n">
        <v>46094</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8244-2023</t>
        </is>
      </c>
      <c r="B557" s="1" t="n">
        <v>44974</v>
      </c>
      <c r="C557" s="1" t="n">
        <v>46094</v>
      </c>
      <c r="D557" t="inlineStr">
        <is>
          <t>SKÅNE LÄN</t>
        </is>
      </c>
      <c r="E557" t="inlineStr">
        <is>
          <t>HÄSSLEHOLM</t>
        </is>
      </c>
      <c r="G557" t="n">
        <v>1.2</v>
      </c>
      <c r="H557" t="n">
        <v>0</v>
      </c>
      <c r="I557" t="n">
        <v>0</v>
      </c>
      <c r="J557" t="n">
        <v>0</v>
      </c>
      <c r="K557" t="n">
        <v>0</v>
      </c>
      <c r="L557" t="n">
        <v>0</v>
      </c>
      <c r="M557" t="n">
        <v>0</v>
      </c>
      <c r="N557" t="n">
        <v>0</v>
      </c>
      <c r="O557" t="n">
        <v>0</v>
      </c>
      <c r="P557" t="n">
        <v>0</v>
      </c>
      <c r="Q557" t="n">
        <v>0</v>
      </c>
      <c r="R557" s="2" t="inlineStr"/>
    </row>
    <row r="558" ht="15" customHeight="1">
      <c r="A558" t="inlineStr">
        <is>
          <t>A 31391-2023</t>
        </is>
      </c>
      <c r="B558" s="1" t="n">
        <v>45114.56143518518</v>
      </c>
      <c r="C558" s="1" t="n">
        <v>46094</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8246-2023</t>
        </is>
      </c>
      <c r="B559" s="1" t="n">
        <v>44974</v>
      </c>
      <c r="C559" s="1" t="n">
        <v>46094</v>
      </c>
      <c r="D559" t="inlineStr">
        <is>
          <t>SKÅNE LÄN</t>
        </is>
      </c>
      <c r="E559" t="inlineStr">
        <is>
          <t>HÄSSLEHOLM</t>
        </is>
      </c>
      <c r="G559" t="n">
        <v>1.6</v>
      </c>
      <c r="H559" t="n">
        <v>0</v>
      </c>
      <c r="I559" t="n">
        <v>0</v>
      </c>
      <c r="J559" t="n">
        <v>0</v>
      </c>
      <c r="K559" t="n">
        <v>0</v>
      </c>
      <c r="L559" t="n">
        <v>0</v>
      </c>
      <c r="M559" t="n">
        <v>0</v>
      </c>
      <c r="N559" t="n">
        <v>0</v>
      </c>
      <c r="O559" t="n">
        <v>0</v>
      </c>
      <c r="P559" t="n">
        <v>0</v>
      </c>
      <c r="Q559" t="n">
        <v>0</v>
      </c>
      <c r="R559" s="2" t="inlineStr"/>
    </row>
    <row r="560" ht="15" customHeight="1">
      <c r="A560" t="inlineStr">
        <is>
          <t>A 23723-2023</t>
        </is>
      </c>
      <c r="B560" s="1" t="n">
        <v>45077</v>
      </c>
      <c r="C560" s="1" t="n">
        <v>46094</v>
      </c>
      <c r="D560" t="inlineStr">
        <is>
          <t>SKÅNE LÄN</t>
        </is>
      </c>
      <c r="E560" t="inlineStr">
        <is>
          <t>HÄSSLEHOLM</t>
        </is>
      </c>
      <c r="G560" t="n">
        <v>3.9</v>
      </c>
      <c r="H560" t="n">
        <v>0</v>
      </c>
      <c r="I560" t="n">
        <v>0</v>
      </c>
      <c r="J560" t="n">
        <v>0</v>
      </c>
      <c r="K560" t="n">
        <v>0</v>
      </c>
      <c r="L560" t="n">
        <v>0</v>
      </c>
      <c r="M560" t="n">
        <v>0</v>
      </c>
      <c r="N560" t="n">
        <v>0</v>
      </c>
      <c r="O560" t="n">
        <v>0</v>
      </c>
      <c r="P560" t="n">
        <v>0</v>
      </c>
      <c r="Q560" t="n">
        <v>0</v>
      </c>
      <c r="R560" s="2" t="inlineStr"/>
    </row>
    <row r="561" ht="15" customHeight="1">
      <c r="A561" t="inlineStr">
        <is>
          <t>A 12584-2025</t>
        </is>
      </c>
      <c r="B561" s="1" t="n">
        <v>45732</v>
      </c>
      <c r="C561" s="1" t="n">
        <v>46094</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25606-2024</t>
        </is>
      </c>
      <c r="B562" s="1" t="n">
        <v>45463.63179398148</v>
      </c>
      <c r="C562" s="1" t="n">
        <v>46094</v>
      </c>
      <c r="D562" t="inlineStr">
        <is>
          <t>SKÅNE LÄN</t>
        </is>
      </c>
      <c r="E562" t="inlineStr">
        <is>
          <t>HÄSSLEHOLM</t>
        </is>
      </c>
      <c r="G562" t="n">
        <v>1.5</v>
      </c>
      <c r="H562" t="n">
        <v>0</v>
      </c>
      <c r="I562" t="n">
        <v>0</v>
      </c>
      <c r="J562" t="n">
        <v>0</v>
      </c>
      <c r="K562" t="n">
        <v>0</v>
      </c>
      <c r="L562" t="n">
        <v>0</v>
      </c>
      <c r="M562" t="n">
        <v>0</v>
      </c>
      <c r="N562" t="n">
        <v>0</v>
      </c>
      <c r="O562" t="n">
        <v>0</v>
      </c>
      <c r="P562" t="n">
        <v>0</v>
      </c>
      <c r="Q562" t="n">
        <v>0</v>
      </c>
      <c r="R562" s="2" t="inlineStr"/>
    </row>
    <row r="563" ht="15" customHeight="1">
      <c r="A563" t="inlineStr">
        <is>
          <t>A 31933-2024</t>
        </is>
      </c>
      <c r="B563" s="1" t="n">
        <v>45510.41123842593</v>
      </c>
      <c r="C563" s="1" t="n">
        <v>46094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31581-2023</t>
        </is>
      </c>
      <c r="B564" s="1" t="n">
        <v>45117.45165509259</v>
      </c>
      <c r="C564" s="1" t="n">
        <v>46094</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55303-2024</t>
        </is>
      </c>
      <c r="B565" s="1" t="n">
        <v>45621.6434837963</v>
      </c>
      <c r="C565" s="1" t="n">
        <v>46094</v>
      </c>
      <c r="D565" t="inlineStr">
        <is>
          <t>SKÅNE LÄN</t>
        </is>
      </c>
      <c r="E565" t="inlineStr">
        <is>
          <t>HÄSSLEHOLM</t>
        </is>
      </c>
      <c r="G565" t="n">
        <v>3.3</v>
      </c>
      <c r="H565" t="n">
        <v>0</v>
      </c>
      <c r="I565" t="n">
        <v>0</v>
      </c>
      <c r="J565" t="n">
        <v>0</v>
      </c>
      <c r="K565" t="n">
        <v>0</v>
      </c>
      <c r="L565" t="n">
        <v>0</v>
      </c>
      <c r="M565" t="n">
        <v>0</v>
      </c>
      <c r="N565" t="n">
        <v>0</v>
      </c>
      <c r="O565" t="n">
        <v>0</v>
      </c>
      <c r="P565" t="n">
        <v>0</v>
      </c>
      <c r="Q565" t="n">
        <v>0</v>
      </c>
      <c r="R565" s="2" t="inlineStr"/>
    </row>
    <row r="566" ht="15" customHeight="1">
      <c r="A566" t="inlineStr">
        <is>
          <t>A 28240-2025</t>
        </is>
      </c>
      <c r="B566" s="1" t="n">
        <v>45817</v>
      </c>
      <c r="C566" s="1" t="n">
        <v>46094</v>
      </c>
      <c r="D566" t="inlineStr">
        <is>
          <t>SKÅNE LÄN</t>
        </is>
      </c>
      <c r="E566" t="inlineStr">
        <is>
          <t>HÄSSLEHOLM</t>
        </is>
      </c>
      <c r="G566" t="n">
        <v>7.7</v>
      </c>
      <c r="H566" t="n">
        <v>0</v>
      </c>
      <c r="I566" t="n">
        <v>0</v>
      </c>
      <c r="J566" t="n">
        <v>0</v>
      </c>
      <c r="K566" t="n">
        <v>0</v>
      </c>
      <c r="L566" t="n">
        <v>0</v>
      </c>
      <c r="M566" t="n">
        <v>0</v>
      </c>
      <c r="N566" t="n">
        <v>0</v>
      </c>
      <c r="O566" t="n">
        <v>0</v>
      </c>
      <c r="P566" t="n">
        <v>0</v>
      </c>
      <c r="Q566" t="n">
        <v>0</v>
      </c>
      <c r="R566" s="2" t="inlineStr"/>
    </row>
    <row r="567" ht="15" customHeight="1">
      <c r="A567" t="inlineStr">
        <is>
          <t>A 27940-2025</t>
        </is>
      </c>
      <c r="B567" s="1" t="n">
        <v>45817.50439814815</v>
      </c>
      <c r="C567" s="1" t="n">
        <v>46094</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27934-2025</t>
        </is>
      </c>
      <c r="B568" s="1" t="n">
        <v>45817.49761574074</v>
      </c>
      <c r="C568" s="1" t="n">
        <v>46094</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14939-2023</t>
        </is>
      </c>
      <c r="B569" s="1" t="n">
        <v>45014</v>
      </c>
      <c r="C569" s="1" t="n">
        <v>46094</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13345-2025</t>
        </is>
      </c>
      <c r="B570" s="1" t="n">
        <v>45735.63017361111</v>
      </c>
      <c r="C570" s="1" t="n">
        <v>46094</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28251-2025</t>
        </is>
      </c>
      <c r="B571" s="1" t="n">
        <v>45817</v>
      </c>
      <c r="C571" s="1" t="n">
        <v>46094</v>
      </c>
      <c r="D571" t="inlineStr">
        <is>
          <t>SKÅNE LÄN</t>
        </is>
      </c>
      <c r="E571" t="inlineStr">
        <is>
          <t>HÄSSLEHOLM</t>
        </is>
      </c>
      <c r="G571" t="n">
        <v>7.2</v>
      </c>
      <c r="H571" t="n">
        <v>0</v>
      </c>
      <c r="I571" t="n">
        <v>0</v>
      </c>
      <c r="J571" t="n">
        <v>0</v>
      </c>
      <c r="K571" t="n">
        <v>0</v>
      </c>
      <c r="L571" t="n">
        <v>0</v>
      </c>
      <c r="M571" t="n">
        <v>0</v>
      </c>
      <c r="N571" t="n">
        <v>0</v>
      </c>
      <c r="O571" t="n">
        <v>0</v>
      </c>
      <c r="P571" t="n">
        <v>0</v>
      </c>
      <c r="Q571" t="n">
        <v>0</v>
      </c>
      <c r="R571" s="2" t="inlineStr"/>
    </row>
    <row r="572" ht="15" customHeight="1">
      <c r="A572" t="inlineStr">
        <is>
          <t>A 4945-2022</t>
        </is>
      </c>
      <c r="B572" s="1" t="n">
        <v>44593</v>
      </c>
      <c r="C572" s="1" t="n">
        <v>46094</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28122-2025</t>
        </is>
      </c>
      <c r="B573" s="1" t="n">
        <v>45817</v>
      </c>
      <c r="C573" s="1" t="n">
        <v>46094</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27887-2025</t>
        </is>
      </c>
      <c r="B574" s="1" t="n">
        <v>45817.45994212963</v>
      </c>
      <c r="C574" s="1" t="n">
        <v>46094</v>
      </c>
      <c r="D574" t="inlineStr">
        <is>
          <t>SKÅNE LÄN</t>
        </is>
      </c>
      <c r="E574" t="inlineStr">
        <is>
          <t>HÄSSLEHOLM</t>
        </is>
      </c>
      <c r="G574" t="n">
        <v>4.8</v>
      </c>
      <c r="H574" t="n">
        <v>0</v>
      </c>
      <c r="I574" t="n">
        <v>0</v>
      </c>
      <c r="J574" t="n">
        <v>0</v>
      </c>
      <c r="K574" t="n">
        <v>0</v>
      </c>
      <c r="L574" t="n">
        <v>0</v>
      </c>
      <c r="M574" t="n">
        <v>0</v>
      </c>
      <c r="N574" t="n">
        <v>0</v>
      </c>
      <c r="O574" t="n">
        <v>0</v>
      </c>
      <c r="P574" t="n">
        <v>0</v>
      </c>
      <c r="Q574" t="n">
        <v>0</v>
      </c>
      <c r="R574" s="2" t="inlineStr"/>
    </row>
    <row r="575" ht="15" customHeight="1">
      <c r="A575" t="inlineStr">
        <is>
          <t>A 40202-2022</t>
        </is>
      </c>
      <c r="B575" s="1" t="n">
        <v>44820.60614583334</v>
      </c>
      <c r="C575" s="1" t="n">
        <v>46094</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39366-2025</t>
        </is>
      </c>
      <c r="B576" s="1" t="n">
        <v>45889</v>
      </c>
      <c r="C576" s="1" t="n">
        <v>46094</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28095-2025</t>
        </is>
      </c>
      <c r="B577" s="1" t="n">
        <v>45817</v>
      </c>
      <c r="C577" s="1" t="n">
        <v>46094</v>
      </c>
      <c r="D577" t="inlineStr">
        <is>
          <t>SKÅNE LÄN</t>
        </is>
      </c>
      <c r="E577" t="inlineStr">
        <is>
          <t>HÄSSLEHOLM</t>
        </is>
      </c>
      <c r="G577" t="n">
        <v>2.5</v>
      </c>
      <c r="H577" t="n">
        <v>0</v>
      </c>
      <c r="I577" t="n">
        <v>0</v>
      </c>
      <c r="J577" t="n">
        <v>0</v>
      </c>
      <c r="K577" t="n">
        <v>0</v>
      </c>
      <c r="L577" t="n">
        <v>0</v>
      </c>
      <c r="M577" t="n">
        <v>0</v>
      </c>
      <c r="N577" t="n">
        <v>0</v>
      </c>
      <c r="O577" t="n">
        <v>0</v>
      </c>
      <c r="P577" t="n">
        <v>0</v>
      </c>
      <c r="Q577" t="n">
        <v>0</v>
      </c>
      <c r="R577" s="2" t="inlineStr"/>
    </row>
    <row r="578" ht="15" customHeight="1">
      <c r="A578" t="inlineStr">
        <is>
          <t>A 4382-2023</t>
        </is>
      </c>
      <c r="B578" s="1" t="n">
        <v>44955.61152777778</v>
      </c>
      <c r="C578" s="1" t="n">
        <v>46094</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12558-2023</t>
        </is>
      </c>
      <c r="B579" s="1" t="n">
        <v>45000.36103009259</v>
      </c>
      <c r="C579" s="1" t="n">
        <v>46094</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49827-2022</t>
        </is>
      </c>
      <c r="B580" s="1" t="n">
        <v>44859</v>
      </c>
      <c r="C580" s="1" t="n">
        <v>46094</v>
      </c>
      <c r="D580" t="inlineStr">
        <is>
          <t>SKÅNE LÄN</t>
        </is>
      </c>
      <c r="E580" t="inlineStr">
        <is>
          <t>HÄSSLEHOLM</t>
        </is>
      </c>
      <c r="G580" t="n">
        <v>6.1</v>
      </c>
      <c r="H580" t="n">
        <v>0</v>
      </c>
      <c r="I580" t="n">
        <v>0</v>
      </c>
      <c r="J580" t="n">
        <v>0</v>
      </c>
      <c r="K580" t="n">
        <v>0</v>
      </c>
      <c r="L580" t="n">
        <v>0</v>
      </c>
      <c r="M580" t="n">
        <v>0</v>
      </c>
      <c r="N580" t="n">
        <v>0</v>
      </c>
      <c r="O580" t="n">
        <v>0</v>
      </c>
      <c r="P580" t="n">
        <v>0</v>
      </c>
      <c r="Q580" t="n">
        <v>0</v>
      </c>
      <c r="R580" s="2" t="inlineStr"/>
    </row>
    <row r="581" ht="15" customHeight="1">
      <c r="A581" t="inlineStr">
        <is>
          <t>A 52608-2023</t>
        </is>
      </c>
      <c r="B581" s="1" t="n">
        <v>45219</v>
      </c>
      <c r="C581" s="1" t="n">
        <v>46094</v>
      </c>
      <c r="D581" t="inlineStr">
        <is>
          <t>SKÅNE LÄN</t>
        </is>
      </c>
      <c r="E581" t="inlineStr">
        <is>
          <t>HÄSSLEHOLM</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16121-2025</t>
        </is>
      </c>
      <c r="B582" s="1" t="n">
        <v>45750.40384259259</v>
      </c>
      <c r="C582" s="1" t="n">
        <v>46094</v>
      </c>
      <c r="D582" t="inlineStr">
        <is>
          <t>SKÅNE LÄN</t>
        </is>
      </c>
      <c r="E582" t="inlineStr">
        <is>
          <t>HÄSSLEHOLM</t>
        </is>
      </c>
      <c r="G582" t="n">
        <v>1.6</v>
      </c>
      <c r="H582" t="n">
        <v>0</v>
      </c>
      <c r="I582" t="n">
        <v>0</v>
      </c>
      <c r="J582" t="n">
        <v>0</v>
      </c>
      <c r="K582" t="n">
        <v>0</v>
      </c>
      <c r="L582" t="n">
        <v>0</v>
      </c>
      <c r="M582" t="n">
        <v>0</v>
      </c>
      <c r="N582" t="n">
        <v>0</v>
      </c>
      <c r="O582" t="n">
        <v>0</v>
      </c>
      <c r="P582" t="n">
        <v>0</v>
      </c>
      <c r="Q582" t="n">
        <v>0</v>
      </c>
      <c r="R582" s="2" t="inlineStr"/>
    </row>
    <row r="583" ht="15" customHeight="1">
      <c r="A583" t="inlineStr">
        <is>
          <t>A 4119-2024</t>
        </is>
      </c>
      <c r="B583" s="1" t="n">
        <v>45323.67920138889</v>
      </c>
      <c r="C583" s="1" t="n">
        <v>46094</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6835-2023</t>
        </is>
      </c>
      <c r="B584" s="1" t="n">
        <v>44967</v>
      </c>
      <c r="C584" s="1" t="n">
        <v>46094</v>
      </c>
      <c r="D584" t="inlineStr">
        <is>
          <t>SKÅNE LÄN</t>
        </is>
      </c>
      <c r="E584" t="inlineStr">
        <is>
          <t>HÄSSLEHOLM</t>
        </is>
      </c>
      <c r="G584" t="n">
        <v>4.8</v>
      </c>
      <c r="H584" t="n">
        <v>0</v>
      </c>
      <c r="I584" t="n">
        <v>0</v>
      </c>
      <c r="J584" t="n">
        <v>0</v>
      </c>
      <c r="K584" t="n">
        <v>0</v>
      </c>
      <c r="L584" t="n">
        <v>0</v>
      </c>
      <c r="M584" t="n">
        <v>0</v>
      </c>
      <c r="N584" t="n">
        <v>0</v>
      </c>
      <c r="O584" t="n">
        <v>0</v>
      </c>
      <c r="P584" t="n">
        <v>0</v>
      </c>
      <c r="Q584" t="n">
        <v>0</v>
      </c>
      <c r="R584" s="2" t="inlineStr"/>
    </row>
    <row r="585" ht="15" customHeight="1">
      <c r="A585" t="inlineStr">
        <is>
          <t>A 47757-2024</t>
        </is>
      </c>
      <c r="B585" s="1" t="n">
        <v>45588.55075231481</v>
      </c>
      <c r="C585" s="1" t="n">
        <v>46094</v>
      </c>
      <c r="D585" t="inlineStr">
        <is>
          <t>SKÅNE LÄN</t>
        </is>
      </c>
      <c r="E585" t="inlineStr">
        <is>
          <t>HÄSSLEHOLM</t>
        </is>
      </c>
      <c r="G585" t="n">
        <v>5.5</v>
      </c>
      <c r="H585" t="n">
        <v>0</v>
      </c>
      <c r="I585" t="n">
        <v>0</v>
      </c>
      <c r="J585" t="n">
        <v>0</v>
      </c>
      <c r="K585" t="n">
        <v>0</v>
      </c>
      <c r="L585" t="n">
        <v>0</v>
      </c>
      <c r="M585" t="n">
        <v>0</v>
      </c>
      <c r="N585" t="n">
        <v>0</v>
      </c>
      <c r="O585" t="n">
        <v>0</v>
      </c>
      <c r="P585" t="n">
        <v>0</v>
      </c>
      <c r="Q585" t="n">
        <v>0</v>
      </c>
      <c r="R585" s="2" t="inlineStr"/>
    </row>
    <row r="586" ht="15" customHeight="1">
      <c r="A586" t="inlineStr">
        <is>
          <t>A 11446-2025</t>
        </is>
      </c>
      <c r="B586" s="1" t="n">
        <v>45726</v>
      </c>
      <c r="C586" s="1" t="n">
        <v>46094</v>
      </c>
      <c r="D586" t="inlineStr">
        <is>
          <t>SKÅNE LÄN</t>
        </is>
      </c>
      <c r="E586" t="inlineStr">
        <is>
          <t>HÄSSLEHOLM</t>
        </is>
      </c>
      <c r="G586" t="n">
        <v>1.9</v>
      </c>
      <c r="H586" t="n">
        <v>0</v>
      </c>
      <c r="I586" t="n">
        <v>0</v>
      </c>
      <c r="J586" t="n">
        <v>0</v>
      </c>
      <c r="K586" t="n">
        <v>0</v>
      </c>
      <c r="L586" t="n">
        <v>0</v>
      </c>
      <c r="M586" t="n">
        <v>0</v>
      </c>
      <c r="N586" t="n">
        <v>0</v>
      </c>
      <c r="O586" t="n">
        <v>0</v>
      </c>
      <c r="P586" t="n">
        <v>0</v>
      </c>
      <c r="Q586" t="n">
        <v>0</v>
      </c>
      <c r="R586" s="2" t="inlineStr"/>
    </row>
    <row r="587" ht="15" customHeight="1">
      <c r="A587" t="inlineStr">
        <is>
          <t>A 16550-2025</t>
        </is>
      </c>
      <c r="B587" s="1" t="n">
        <v>45751.69412037037</v>
      </c>
      <c r="C587" s="1" t="n">
        <v>46094</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29170-2025</t>
        </is>
      </c>
      <c r="B588" s="1" t="n">
        <v>45821.69766203704</v>
      </c>
      <c r="C588" s="1" t="n">
        <v>46094</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27954-2022</t>
        </is>
      </c>
      <c r="B589" s="1" t="n">
        <v>44743</v>
      </c>
      <c r="C589" s="1" t="n">
        <v>46094</v>
      </c>
      <c r="D589" t="inlineStr">
        <is>
          <t>SKÅNE LÄN</t>
        </is>
      </c>
      <c r="E589" t="inlineStr">
        <is>
          <t>HÄSSLEHOLM</t>
        </is>
      </c>
      <c r="G589" t="n">
        <v>9.4</v>
      </c>
      <c r="H589" t="n">
        <v>0</v>
      </c>
      <c r="I589" t="n">
        <v>0</v>
      </c>
      <c r="J589" t="n">
        <v>0</v>
      </c>
      <c r="K589" t="n">
        <v>0</v>
      </c>
      <c r="L589" t="n">
        <v>0</v>
      </c>
      <c r="M589" t="n">
        <v>0</v>
      </c>
      <c r="N589" t="n">
        <v>0</v>
      </c>
      <c r="O589" t="n">
        <v>0</v>
      </c>
      <c r="P589" t="n">
        <v>0</v>
      </c>
      <c r="Q589" t="n">
        <v>0</v>
      </c>
      <c r="R589" s="2" t="inlineStr"/>
    </row>
    <row r="590" ht="15" customHeight="1">
      <c r="A590" t="inlineStr">
        <is>
          <t>A 20493-2024</t>
        </is>
      </c>
      <c r="B590" s="1" t="n">
        <v>45435</v>
      </c>
      <c r="C590" s="1" t="n">
        <v>46094</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26536-2022</t>
        </is>
      </c>
      <c r="B591" s="1" t="n">
        <v>44739.45496527778</v>
      </c>
      <c r="C591" s="1" t="n">
        <v>46094</v>
      </c>
      <c r="D591" t="inlineStr">
        <is>
          <t>SKÅNE LÄN</t>
        </is>
      </c>
      <c r="E591" t="inlineStr">
        <is>
          <t>HÄSSLEHOLM</t>
        </is>
      </c>
      <c r="G591" t="n">
        <v>3.1</v>
      </c>
      <c r="H591" t="n">
        <v>0</v>
      </c>
      <c r="I591" t="n">
        <v>0</v>
      </c>
      <c r="J591" t="n">
        <v>0</v>
      </c>
      <c r="K591" t="n">
        <v>0</v>
      </c>
      <c r="L591" t="n">
        <v>0</v>
      </c>
      <c r="M591" t="n">
        <v>0</v>
      </c>
      <c r="N591" t="n">
        <v>0</v>
      </c>
      <c r="O591" t="n">
        <v>0</v>
      </c>
      <c r="P591" t="n">
        <v>0</v>
      </c>
      <c r="Q591" t="n">
        <v>0</v>
      </c>
      <c r="R591" s="2" t="inlineStr"/>
    </row>
    <row r="592" ht="15" customHeight="1">
      <c r="A592" t="inlineStr">
        <is>
          <t>A 41873-2023</t>
        </is>
      </c>
      <c r="B592" s="1" t="n">
        <v>45176</v>
      </c>
      <c r="C592" s="1" t="n">
        <v>46094</v>
      </c>
      <c r="D592" t="inlineStr">
        <is>
          <t>SKÅNE LÄN</t>
        </is>
      </c>
      <c r="E592" t="inlineStr">
        <is>
          <t>HÄSSLEHOLM</t>
        </is>
      </c>
      <c r="G592" t="n">
        <v>2.8</v>
      </c>
      <c r="H592" t="n">
        <v>0</v>
      </c>
      <c r="I592" t="n">
        <v>0</v>
      </c>
      <c r="J592" t="n">
        <v>0</v>
      </c>
      <c r="K592" t="n">
        <v>0</v>
      </c>
      <c r="L592" t="n">
        <v>0</v>
      </c>
      <c r="M592" t="n">
        <v>0</v>
      </c>
      <c r="N592" t="n">
        <v>0</v>
      </c>
      <c r="O592" t="n">
        <v>0</v>
      </c>
      <c r="P592" t="n">
        <v>0</v>
      </c>
      <c r="Q592" t="n">
        <v>0</v>
      </c>
      <c r="R592" s="2" t="inlineStr"/>
    </row>
    <row r="593" ht="15" customHeight="1">
      <c r="A593" t="inlineStr">
        <is>
          <t>A 41998-2021</t>
        </is>
      </c>
      <c r="B593" s="1" t="n">
        <v>44425</v>
      </c>
      <c r="C593" s="1" t="n">
        <v>46094</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35712-2024</t>
        </is>
      </c>
      <c r="B594" s="1" t="n">
        <v>45532</v>
      </c>
      <c r="C594" s="1" t="n">
        <v>46094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61691-2021</t>
        </is>
      </c>
      <c r="B595" s="1" t="n">
        <v>44501</v>
      </c>
      <c r="C595" s="1" t="n">
        <v>46094</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25057-2024</t>
        </is>
      </c>
      <c r="B596" s="1" t="n">
        <v>45462</v>
      </c>
      <c r="C596" s="1" t="n">
        <v>46094</v>
      </c>
      <c r="D596" t="inlineStr">
        <is>
          <t>SKÅNE LÄN</t>
        </is>
      </c>
      <c r="E596" t="inlineStr">
        <is>
          <t>HÄSSLEHOLM</t>
        </is>
      </c>
      <c r="G596" t="n">
        <v>4.3</v>
      </c>
      <c r="H596" t="n">
        <v>0</v>
      </c>
      <c r="I596" t="n">
        <v>0</v>
      </c>
      <c r="J596" t="n">
        <v>0</v>
      </c>
      <c r="K596" t="n">
        <v>0</v>
      </c>
      <c r="L596" t="n">
        <v>0</v>
      </c>
      <c r="M596" t="n">
        <v>0</v>
      </c>
      <c r="N596" t="n">
        <v>0</v>
      </c>
      <c r="O596" t="n">
        <v>0</v>
      </c>
      <c r="P596" t="n">
        <v>0</v>
      </c>
      <c r="Q596" t="n">
        <v>0</v>
      </c>
      <c r="R596" s="2" t="inlineStr"/>
    </row>
    <row r="597" ht="15" customHeight="1">
      <c r="A597" t="inlineStr">
        <is>
          <t>A 29171-2025</t>
        </is>
      </c>
      <c r="B597" s="1" t="n">
        <v>45821.69863425926</v>
      </c>
      <c r="C597" s="1" t="n">
        <v>46094</v>
      </c>
      <c r="D597" t="inlineStr">
        <is>
          <t>SKÅNE LÄN</t>
        </is>
      </c>
      <c r="E597" t="inlineStr">
        <is>
          <t>HÄSSLEHOLM</t>
        </is>
      </c>
      <c r="G597" t="n">
        <v>2.6</v>
      </c>
      <c r="H597" t="n">
        <v>0</v>
      </c>
      <c r="I597" t="n">
        <v>0</v>
      </c>
      <c r="J597" t="n">
        <v>0</v>
      </c>
      <c r="K597" t="n">
        <v>0</v>
      </c>
      <c r="L597" t="n">
        <v>0</v>
      </c>
      <c r="M597" t="n">
        <v>0</v>
      </c>
      <c r="N597" t="n">
        <v>0</v>
      </c>
      <c r="O597" t="n">
        <v>0</v>
      </c>
      <c r="P597" t="n">
        <v>0</v>
      </c>
      <c r="Q597" t="n">
        <v>0</v>
      </c>
      <c r="R597" s="2" t="inlineStr"/>
    </row>
    <row r="598" ht="15" customHeight="1">
      <c r="A598" t="inlineStr">
        <is>
          <t>A 29168-2025</t>
        </is>
      </c>
      <c r="B598" s="1" t="n">
        <v>45821.69547453704</v>
      </c>
      <c r="C598" s="1" t="n">
        <v>46094</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7494-2023</t>
        </is>
      </c>
      <c r="B599" s="1" t="n">
        <v>44971.70835648148</v>
      </c>
      <c r="C599" s="1" t="n">
        <v>46094</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10115-2024</t>
        </is>
      </c>
      <c r="B600" s="1" t="n">
        <v>45364.55339120371</v>
      </c>
      <c r="C600" s="1" t="n">
        <v>46094</v>
      </c>
      <c r="D600" t="inlineStr">
        <is>
          <t>SKÅNE LÄN</t>
        </is>
      </c>
      <c r="E600" t="inlineStr">
        <is>
          <t>HÄSSLEHOLM</t>
        </is>
      </c>
      <c r="G600" t="n">
        <v>7</v>
      </c>
      <c r="H600" t="n">
        <v>0</v>
      </c>
      <c r="I600" t="n">
        <v>0</v>
      </c>
      <c r="J600" t="n">
        <v>0</v>
      </c>
      <c r="K600" t="n">
        <v>0</v>
      </c>
      <c r="L600" t="n">
        <v>0</v>
      </c>
      <c r="M600" t="n">
        <v>0</v>
      </c>
      <c r="N600" t="n">
        <v>0</v>
      </c>
      <c r="O600" t="n">
        <v>0</v>
      </c>
      <c r="P600" t="n">
        <v>0</v>
      </c>
      <c r="Q600" t="n">
        <v>0</v>
      </c>
      <c r="R600" s="2" t="inlineStr"/>
    </row>
    <row r="601" ht="15" customHeight="1">
      <c r="A601" t="inlineStr">
        <is>
          <t>A 57647-2024</t>
        </is>
      </c>
      <c r="B601" s="1" t="n">
        <v>45630</v>
      </c>
      <c r="C601" s="1" t="n">
        <v>46094</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20564-2023</t>
        </is>
      </c>
      <c r="B602" s="1" t="n">
        <v>45057</v>
      </c>
      <c r="C602" s="1" t="n">
        <v>46094</v>
      </c>
      <c r="D602" t="inlineStr">
        <is>
          <t>SKÅNE LÄN</t>
        </is>
      </c>
      <c r="E602" t="inlineStr">
        <is>
          <t>HÄSSLEHOLM</t>
        </is>
      </c>
      <c r="G602" t="n">
        <v>2.6</v>
      </c>
      <c r="H602" t="n">
        <v>0</v>
      </c>
      <c r="I602" t="n">
        <v>0</v>
      </c>
      <c r="J602" t="n">
        <v>0</v>
      </c>
      <c r="K602" t="n">
        <v>0</v>
      </c>
      <c r="L602" t="n">
        <v>0</v>
      </c>
      <c r="M602" t="n">
        <v>0</v>
      </c>
      <c r="N602" t="n">
        <v>0</v>
      </c>
      <c r="O602" t="n">
        <v>0</v>
      </c>
      <c r="P602" t="n">
        <v>0</v>
      </c>
      <c r="Q602" t="n">
        <v>0</v>
      </c>
      <c r="R602" s="2" t="inlineStr"/>
    </row>
    <row r="603" ht="15" customHeight="1">
      <c r="A603" t="inlineStr">
        <is>
          <t>A 46641-2023</t>
        </is>
      </c>
      <c r="B603" s="1" t="n">
        <v>45198.44523148148</v>
      </c>
      <c r="C603" s="1" t="n">
        <v>46094</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8239-2025</t>
        </is>
      </c>
      <c r="B604" s="1" t="n">
        <v>45708.47984953703</v>
      </c>
      <c r="C604" s="1" t="n">
        <v>46094</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46645-2023</t>
        </is>
      </c>
      <c r="B605" s="1" t="n">
        <v>45198.44686342592</v>
      </c>
      <c r="C605" s="1" t="n">
        <v>46094</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31986-2023</t>
        </is>
      </c>
      <c r="B606" s="1" t="n">
        <v>45119</v>
      </c>
      <c r="C606" s="1" t="n">
        <v>46094</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62044-2022</t>
        </is>
      </c>
      <c r="B607" s="1" t="n">
        <v>44918.55976851852</v>
      </c>
      <c r="C607" s="1" t="n">
        <v>46094</v>
      </c>
      <c r="D607" t="inlineStr">
        <is>
          <t>SKÅNE LÄN</t>
        </is>
      </c>
      <c r="E607" t="inlineStr">
        <is>
          <t>HÄSSLEHOLM</t>
        </is>
      </c>
      <c r="G607" t="n">
        <v>2.1</v>
      </c>
      <c r="H607" t="n">
        <v>0</v>
      </c>
      <c r="I607" t="n">
        <v>0</v>
      </c>
      <c r="J607" t="n">
        <v>0</v>
      </c>
      <c r="K607" t="n">
        <v>0</v>
      </c>
      <c r="L607" t="n">
        <v>0</v>
      </c>
      <c r="M607" t="n">
        <v>0</v>
      </c>
      <c r="N607" t="n">
        <v>0</v>
      </c>
      <c r="O607" t="n">
        <v>0</v>
      </c>
      <c r="P607" t="n">
        <v>0</v>
      </c>
      <c r="Q607" t="n">
        <v>0</v>
      </c>
      <c r="R607" s="2" t="inlineStr"/>
    </row>
    <row r="608" ht="15" customHeight="1">
      <c r="A608" t="inlineStr">
        <is>
          <t>A 6619-2024</t>
        </is>
      </c>
      <c r="B608" s="1" t="n">
        <v>45341.6021412037</v>
      </c>
      <c r="C608" s="1" t="n">
        <v>46094</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21328-2023</t>
        </is>
      </c>
      <c r="B609" s="1" t="n">
        <v>45062</v>
      </c>
      <c r="C609" s="1" t="n">
        <v>46094</v>
      </c>
      <c r="D609" t="inlineStr">
        <is>
          <t>SKÅNE LÄN</t>
        </is>
      </c>
      <c r="E609" t="inlineStr">
        <is>
          <t>HÄSSLEHOLM</t>
        </is>
      </c>
      <c r="G609" t="n">
        <v>2.1</v>
      </c>
      <c r="H609" t="n">
        <v>0</v>
      </c>
      <c r="I609" t="n">
        <v>0</v>
      </c>
      <c r="J609" t="n">
        <v>0</v>
      </c>
      <c r="K609" t="n">
        <v>0</v>
      </c>
      <c r="L609" t="n">
        <v>0</v>
      </c>
      <c r="M609" t="n">
        <v>0</v>
      </c>
      <c r="N609" t="n">
        <v>0</v>
      </c>
      <c r="O609" t="n">
        <v>0</v>
      </c>
      <c r="P609" t="n">
        <v>0</v>
      </c>
      <c r="Q609" t="n">
        <v>0</v>
      </c>
      <c r="R609" s="2" t="inlineStr"/>
    </row>
    <row r="610" ht="15" customHeight="1">
      <c r="A610" t="inlineStr">
        <is>
          <t>A 52341-2023</t>
        </is>
      </c>
      <c r="B610" s="1" t="n">
        <v>45224.67006944444</v>
      </c>
      <c r="C610" s="1" t="n">
        <v>46094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12570-2023</t>
        </is>
      </c>
      <c r="B611" s="1" t="n">
        <v>44999</v>
      </c>
      <c r="C611" s="1" t="n">
        <v>46094</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20435-2021</t>
        </is>
      </c>
      <c r="B612" s="1" t="n">
        <v>44315.5793287037</v>
      </c>
      <c r="C612" s="1" t="n">
        <v>46094</v>
      </c>
      <c r="D612" t="inlineStr">
        <is>
          <t>SKÅNE LÄN</t>
        </is>
      </c>
      <c r="E612" t="inlineStr">
        <is>
          <t>HÄSSLEHOLM</t>
        </is>
      </c>
      <c r="G612" t="n">
        <v>4.8</v>
      </c>
      <c r="H612" t="n">
        <v>0</v>
      </c>
      <c r="I612" t="n">
        <v>0</v>
      </c>
      <c r="J612" t="n">
        <v>0</v>
      </c>
      <c r="K612" t="n">
        <v>0</v>
      </c>
      <c r="L612" t="n">
        <v>0</v>
      </c>
      <c r="M612" t="n">
        <v>0</v>
      </c>
      <c r="N612" t="n">
        <v>0</v>
      </c>
      <c r="O612" t="n">
        <v>0</v>
      </c>
      <c r="P612" t="n">
        <v>0</v>
      </c>
      <c r="Q612" t="n">
        <v>0</v>
      </c>
      <c r="R612" s="2" t="inlineStr"/>
    </row>
    <row r="613" ht="15" customHeight="1">
      <c r="A613" t="inlineStr">
        <is>
          <t>A 25219-2023</t>
        </is>
      </c>
      <c r="B613" s="1" t="n">
        <v>45086.60541666667</v>
      </c>
      <c r="C613" s="1" t="n">
        <v>46094</v>
      </c>
      <c r="D613" t="inlineStr">
        <is>
          <t>SKÅNE LÄN</t>
        </is>
      </c>
      <c r="E613" t="inlineStr">
        <is>
          <t>HÄSSLEHOLM</t>
        </is>
      </c>
      <c r="G613" t="n">
        <v>6.9</v>
      </c>
      <c r="H613" t="n">
        <v>0</v>
      </c>
      <c r="I613" t="n">
        <v>0</v>
      </c>
      <c r="J613" t="n">
        <v>0</v>
      </c>
      <c r="K613" t="n">
        <v>0</v>
      </c>
      <c r="L613" t="n">
        <v>0</v>
      </c>
      <c r="M613" t="n">
        <v>0</v>
      </c>
      <c r="N613" t="n">
        <v>0</v>
      </c>
      <c r="O613" t="n">
        <v>0</v>
      </c>
      <c r="P613" t="n">
        <v>0</v>
      </c>
      <c r="Q613" t="n">
        <v>0</v>
      </c>
      <c r="R613" s="2" t="inlineStr"/>
    </row>
    <row r="614" ht="15" customHeight="1">
      <c r="A614" t="inlineStr">
        <is>
          <t>A 30010-2025</t>
        </is>
      </c>
      <c r="B614" s="1" t="n">
        <v>45826</v>
      </c>
      <c r="C614" s="1" t="n">
        <v>46094</v>
      </c>
      <c r="D614" t="inlineStr">
        <is>
          <t>SKÅNE LÄN</t>
        </is>
      </c>
      <c r="E614" t="inlineStr">
        <is>
          <t>HÄSSLEHOLM</t>
        </is>
      </c>
      <c r="G614" t="n">
        <v>4.5</v>
      </c>
      <c r="H614" t="n">
        <v>0</v>
      </c>
      <c r="I614" t="n">
        <v>0</v>
      </c>
      <c r="J614" t="n">
        <v>0</v>
      </c>
      <c r="K614" t="n">
        <v>0</v>
      </c>
      <c r="L614" t="n">
        <v>0</v>
      </c>
      <c r="M614" t="n">
        <v>0</v>
      </c>
      <c r="N614" t="n">
        <v>0</v>
      </c>
      <c r="O614" t="n">
        <v>0</v>
      </c>
      <c r="P614" t="n">
        <v>0</v>
      </c>
      <c r="Q614" t="n">
        <v>0</v>
      </c>
      <c r="R614" s="2" t="inlineStr"/>
    </row>
    <row r="615" ht="15" customHeight="1">
      <c r="A615" t="inlineStr">
        <is>
          <t>A 7306-2025</t>
        </is>
      </c>
      <c r="B615" s="1" t="n">
        <v>45702</v>
      </c>
      <c r="C615" s="1" t="n">
        <v>46094</v>
      </c>
      <c r="D615" t="inlineStr">
        <is>
          <t>SKÅNE LÄN</t>
        </is>
      </c>
      <c r="E615" t="inlineStr">
        <is>
          <t>HÄSSLEHOLM</t>
        </is>
      </c>
      <c r="F615" t="inlineStr">
        <is>
          <t>Övriga Aktiebolag</t>
        </is>
      </c>
      <c r="G615" t="n">
        <v>3.3</v>
      </c>
      <c r="H615" t="n">
        <v>0</v>
      </c>
      <c r="I615" t="n">
        <v>0</v>
      </c>
      <c r="J615" t="n">
        <v>0</v>
      </c>
      <c r="K615" t="n">
        <v>0</v>
      </c>
      <c r="L615" t="n">
        <v>0</v>
      </c>
      <c r="M615" t="n">
        <v>0</v>
      </c>
      <c r="N615" t="n">
        <v>0</v>
      </c>
      <c r="O615" t="n">
        <v>0</v>
      </c>
      <c r="P615" t="n">
        <v>0</v>
      </c>
      <c r="Q615" t="n">
        <v>0</v>
      </c>
      <c r="R615" s="2" t="inlineStr"/>
    </row>
    <row r="616" ht="15" customHeight="1">
      <c r="A616" t="inlineStr">
        <is>
          <t>A 7308-2025</t>
        </is>
      </c>
      <c r="B616" s="1" t="n">
        <v>45702</v>
      </c>
      <c r="C616" s="1" t="n">
        <v>46094</v>
      </c>
      <c r="D616" t="inlineStr">
        <is>
          <t>SKÅNE LÄN</t>
        </is>
      </c>
      <c r="E616" t="inlineStr">
        <is>
          <t>HÄSSLEHOLM</t>
        </is>
      </c>
      <c r="F616" t="inlineStr">
        <is>
          <t>Övriga Aktiebolag</t>
        </is>
      </c>
      <c r="G616" t="n">
        <v>4.8</v>
      </c>
      <c r="H616" t="n">
        <v>0</v>
      </c>
      <c r="I616" t="n">
        <v>0</v>
      </c>
      <c r="J616" t="n">
        <v>0</v>
      </c>
      <c r="K616" t="n">
        <v>0</v>
      </c>
      <c r="L616" t="n">
        <v>0</v>
      </c>
      <c r="M616" t="n">
        <v>0</v>
      </c>
      <c r="N616" t="n">
        <v>0</v>
      </c>
      <c r="O616" t="n">
        <v>0</v>
      </c>
      <c r="P616" t="n">
        <v>0</v>
      </c>
      <c r="Q616" t="n">
        <v>0</v>
      </c>
      <c r="R616" s="2" t="inlineStr"/>
    </row>
    <row r="617" ht="15" customHeight="1">
      <c r="A617" t="inlineStr">
        <is>
          <t>A 27464-2022</t>
        </is>
      </c>
      <c r="B617" s="1" t="n">
        <v>44742.58704861111</v>
      </c>
      <c r="C617" s="1" t="n">
        <v>46094</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58250-2024</t>
        </is>
      </c>
      <c r="B618" s="1" t="n">
        <v>45632.55643518519</v>
      </c>
      <c r="C618" s="1" t="n">
        <v>46094</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54671-2022</t>
        </is>
      </c>
      <c r="B619" s="1" t="n">
        <v>44883</v>
      </c>
      <c r="C619" s="1" t="n">
        <v>46094</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6798-2025</t>
        </is>
      </c>
      <c r="B620" s="1" t="n">
        <v>45700.668125</v>
      </c>
      <c r="C620" s="1" t="n">
        <v>46094</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40739-2024</t>
        </is>
      </c>
      <c r="B621" s="1" t="n">
        <v>45558</v>
      </c>
      <c r="C621" s="1" t="n">
        <v>46094</v>
      </c>
      <c r="D621" t="inlineStr">
        <is>
          <t>SKÅNE LÄN</t>
        </is>
      </c>
      <c r="E621" t="inlineStr">
        <is>
          <t>HÄSSLEHOLM</t>
        </is>
      </c>
      <c r="G621" t="n">
        <v>1.6</v>
      </c>
      <c r="H621" t="n">
        <v>0</v>
      </c>
      <c r="I621" t="n">
        <v>0</v>
      </c>
      <c r="J621" t="n">
        <v>0</v>
      </c>
      <c r="K621" t="n">
        <v>0</v>
      </c>
      <c r="L621" t="n">
        <v>0</v>
      </c>
      <c r="M621" t="n">
        <v>0</v>
      </c>
      <c r="N621" t="n">
        <v>0</v>
      </c>
      <c r="O621" t="n">
        <v>0</v>
      </c>
      <c r="P621" t="n">
        <v>0</v>
      </c>
      <c r="Q621" t="n">
        <v>0</v>
      </c>
      <c r="R621" s="2" t="inlineStr"/>
    </row>
    <row r="622" ht="15" customHeight="1">
      <c r="A622" t="inlineStr">
        <is>
          <t>A 10752-2025</t>
        </is>
      </c>
      <c r="B622" s="1" t="n">
        <v>45722</v>
      </c>
      <c r="C622" s="1" t="n">
        <v>46094</v>
      </c>
      <c r="D622" t="inlineStr">
        <is>
          <t>SKÅNE LÄN</t>
        </is>
      </c>
      <c r="E622" t="inlineStr">
        <is>
          <t>HÄSSLEHOLM</t>
        </is>
      </c>
      <c r="G622" t="n">
        <v>1.2</v>
      </c>
      <c r="H622" t="n">
        <v>0</v>
      </c>
      <c r="I622" t="n">
        <v>0</v>
      </c>
      <c r="J622" t="n">
        <v>0</v>
      </c>
      <c r="K622" t="n">
        <v>0</v>
      </c>
      <c r="L622" t="n">
        <v>0</v>
      </c>
      <c r="M622" t="n">
        <v>0</v>
      </c>
      <c r="N622" t="n">
        <v>0</v>
      </c>
      <c r="O622" t="n">
        <v>0</v>
      </c>
      <c r="P622" t="n">
        <v>0</v>
      </c>
      <c r="Q622" t="n">
        <v>0</v>
      </c>
      <c r="R622" s="2" t="inlineStr"/>
    </row>
    <row r="623" ht="15" customHeight="1">
      <c r="A623" t="inlineStr">
        <is>
          <t>A 13932-2023</t>
        </is>
      </c>
      <c r="B623" s="1" t="n">
        <v>45008.43935185186</v>
      </c>
      <c r="C623" s="1" t="n">
        <v>46094</v>
      </c>
      <c r="D623" t="inlineStr">
        <is>
          <t>SKÅNE LÄN</t>
        </is>
      </c>
      <c r="E623" t="inlineStr">
        <is>
          <t>HÄSSLEHOLM</t>
        </is>
      </c>
      <c r="G623" t="n">
        <v>3.3</v>
      </c>
      <c r="H623" t="n">
        <v>0</v>
      </c>
      <c r="I623" t="n">
        <v>0</v>
      </c>
      <c r="J623" t="n">
        <v>0</v>
      </c>
      <c r="K623" t="n">
        <v>0</v>
      </c>
      <c r="L623" t="n">
        <v>0</v>
      </c>
      <c r="M623" t="n">
        <v>0</v>
      </c>
      <c r="N623" t="n">
        <v>0</v>
      </c>
      <c r="O623" t="n">
        <v>0</v>
      </c>
      <c r="P623" t="n">
        <v>0</v>
      </c>
      <c r="Q623" t="n">
        <v>0</v>
      </c>
      <c r="R623" s="2" t="inlineStr"/>
    </row>
    <row r="624" ht="15" customHeight="1">
      <c r="A624" t="inlineStr">
        <is>
          <t>A 35889-2023</t>
        </is>
      </c>
      <c r="B624" s="1" t="n">
        <v>45148</v>
      </c>
      <c r="C624" s="1" t="n">
        <v>46094</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35894-2023</t>
        </is>
      </c>
      <c r="B625" s="1" t="n">
        <v>45148</v>
      </c>
      <c r="C625" s="1" t="n">
        <v>46094</v>
      </c>
      <c r="D625" t="inlineStr">
        <is>
          <t>SKÅNE LÄN</t>
        </is>
      </c>
      <c r="E625" t="inlineStr">
        <is>
          <t>HÄSSLEHOLM</t>
        </is>
      </c>
      <c r="G625" t="n">
        <v>1.5</v>
      </c>
      <c r="H625" t="n">
        <v>0</v>
      </c>
      <c r="I625" t="n">
        <v>0</v>
      </c>
      <c r="J625" t="n">
        <v>0</v>
      </c>
      <c r="K625" t="n">
        <v>0</v>
      </c>
      <c r="L625" t="n">
        <v>0</v>
      </c>
      <c r="M625" t="n">
        <v>0</v>
      </c>
      <c r="N625" t="n">
        <v>0</v>
      </c>
      <c r="O625" t="n">
        <v>0</v>
      </c>
      <c r="P625" t="n">
        <v>0</v>
      </c>
      <c r="Q625" t="n">
        <v>0</v>
      </c>
      <c r="R625" s="2" t="inlineStr"/>
    </row>
    <row r="626" ht="15" customHeight="1">
      <c r="A626" t="inlineStr">
        <is>
          <t>A 45299-2024</t>
        </is>
      </c>
      <c r="B626" s="1" t="n">
        <v>45576.40599537037</v>
      </c>
      <c r="C626" s="1" t="n">
        <v>46094</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25176-2024</t>
        </is>
      </c>
      <c r="B627" s="1" t="n">
        <v>45462.54582175926</v>
      </c>
      <c r="C627" s="1" t="n">
        <v>46094</v>
      </c>
      <c r="D627" t="inlineStr">
        <is>
          <t>SKÅNE LÄN</t>
        </is>
      </c>
      <c r="E627" t="inlineStr">
        <is>
          <t>HÄSSLEHOLM</t>
        </is>
      </c>
      <c r="G627" t="n">
        <v>3.8</v>
      </c>
      <c r="H627" t="n">
        <v>0</v>
      </c>
      <c r="I627" t="n">
        <v>0</v>
      </c>
      <c r="J627" t="n">
        <v>0</v>
      </c>
      <c r="K627" t="n">
        <v>0</v>
      </c>
      <c r="L627" t="n">
        <v>0</v>
      </c>
      <c r="M627" t="n">
        <v>0</v>
      </c>
      <c r="N627" t="n">
        <v>0</v>
      </c>
      <c r="O627" t="n">
        <v>0</v>
      </c>
      <c r="P627" t="n">
        <v>0</v>
      </c>
      <c r="Q627" t="n">
        <v>0</v>
      </c>
      <c r="R627" s="2" t="inlineStr"/>
    </row>
    <row r="628" ht="15" customHeight="1">
      <c r="A628" t="inlineStr">
        <is>
          <t>A 44741-2023</t>
        </is>
      </c>
      <c r="B628" s="1" t="n">
        <v>45190.38804398148</v>
      </c>
      <c r="C628" s="1" t="n">
        <v>46094</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7476-2025</t>
        </is>
      </c>
      <c r="B629" s="1" t="n">
        <v>45702</v>
      </c>
      <c r="C629" s="1" t="n">
        <v>46094</v>
      </c>
      <c r="D629" t="inlineStr">
        <is>
          <t>SKÅNE LÄN</t>
        </is>
      </c>
      <c r="E629" t="inlineStr">
        <is>
          <t>HÄSSLEHOLM</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7513-2025</t>
        </is>
      </c>
      <c r="B630" s="1" t="n">
        <v>45702</v>
      </c>
      <c r="C630" s="1" t="n">
        <v>46094</v>
      </c>
      <c r="D630" t="inlineStr">
        <is>
          <t>SKÅNE LÄN</t>
        </is>
      </c>
      <c r="E630" t="inlineStr">
        <is>
          <t>HÄSSLEHOLM</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31161-2024</t>
        </is>
      </c>
      <c r="B631" s="1" t="n">
        <v>45503</v>
      </c>
      <c r="C631" s="1" t="n">
        <v>46094</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14008-2023</t>
        </is>
      </c>
      <c r="B632" s="1" t="n">
        <v>45008.56725694444</v>
      </c>
      <c r="C632" s="1" t="n">
        <v>46094</v>
      </c>
      <c r="D632" t="inlineStr">
        <is>
          <t>SKÅNE LÄN</t>
        </is>
      </c>
      <c r="E632" t="inlineStr">
        <is>
          <t>HÄSSLEHOLM</t>
        </is>
      </c>
      <c r="G632" t="n">
        <v>3.3</v>
      </c>
      <c r="H632" t="n">
        <v>0</v>
      </c>
      <c r="I632" t="n">
        <v>0</v>
      </c>
      <c r="J632" t="n">
        <v>0</v>
      </c>
      <c r="K632" t="n">
        <v>0</v>
      </c>
      <c r="L632" t="n">
        <v>0</v>
      </c>
      <c r="M632" t="n">
        <v>0</v>
      </c>
      <c r="N632" t="n">
        <v>0</v>
      </c>
      <c r="O632" t="n">
        <v>0</v>
      </c>
      <c r="P632" t="n">
        <v>0</v>
      </c>
      <c r="Q632" t="n">
        <v>0</v>
      </c>
      <c r="R632" s="2" t="inlineStr"/>
    </row>
    <row r="633" ht="15" customHeight="1">
      <c r="A633" t="inlineStr">
        <is>
          <t>A 31159-2025</t>
        </is>
      </c>
      <c r="B633" s="1" t="n">
        <v>45832.65322916667</v>
      </c>
      <c r="C633" s="1" t="n">
        <v>46094</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22157-2024</t>
        </is>
      </c>
      <c r="B634" s="1" t="n">
        <v>45445.85290509259</v>
      </c>
      <c r="C634" s="1" t="n">
        <v>46094</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13316-2023</t>
        </is>
      </c>
      <c r="B635" s="1" t="n">
        <v>45005.39013888889</v>
      </c>
      <c r="C635" s="1" t="n">
        <v>46094</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13358-2023</t>
        </is>
      </c>
      <c r="B636" s="1" t="n">
        <v>45005</v>
      </c>
      <c r="C636" s="1" t="n">
        <v>46094</v>
      </c>
      <c r="D636" t="inlineStr">
        <is>
          <t>SKÅNE LÄN</t>
        </is>
      </c>
      <c r="E636" t="inlineStr">
        <is>
          <t>HÄSSLEHOLM</t>
        </is>
      </c>
      <c r="F636" t="inlineStr">
        <is>
          <t>Övriga Aktiebolag</t>
        </is>
      </c>
      <c r="G636" t="n">
        <v>0.5</v>
      </c>
      <c r="H636" t="n">
        <v>0</v>
      </c>
      <c r="I636" t="n">
        <v>0</v>
      </c>
      <c r="J636" t="n">
        <v>0</v>
      </c>
      <c r="K636" t="n">
        <v>0</v>
      </c>
      <c r="L636" t="n">
        <v>0</v>
      </c>
      <c r="M636" t="n">
        <v>0</v>
      </c>
      <c r="N636" t="n">
        <v>0</v>
      </c>
      <c r="O636" t="n">
        <v>0</v>
      </c>
      <c r="P636" t="n">
        <v>0</v>
      </c>
      <c r="Q636" t="n">
        <v>0</v>
      </c>
      <c r="R636" s="2" t="inlineStr"/>
    </row>
    <row r="637" ht="15" customHeight="1">
      <c r="A637" t="inlineStr">
        <is>
          <t>A 315-2022</t>
        </is>
      </c>
      <c r="B637" s="1" t="n">
        <v>44565.55630787037</v>
      </c>
      <c r="C637" s="1" t="n">
        <v>46094</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42372-2024</t>
        </is>
      </c>
      <c r="B638" s="1" t="n">
        <v>45564.5127199074</v>
      </c>
      <c r="C638" s="1" t="n">
        <v>46094</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3245-2022</t>
        </is>
      </c>
      <c r="B639" s="1" t="n">
        <v>44583.39136574074</v>
      </c>
      <c r="C639" s="1" t="n">
        <v>46094</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17138-2025</t>
        </is>
      </c>
      <c r="B640" s="1" t="n">
        <v>45755.80378472222</v>
      </c>
      <c r="C640" s="1" t="n">
        <v>46094</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4734-2025</t>
        </is>
      </c>
      <c r="B641" s="1" t="n">
        <v>45688.44030092593</v>
      </c>
      <c r="C641" s="1" t="n">
        <v>46094</v>
      </c>
      <c r="D641" t="inlineStr">
        <is>
          <t>SKÅNE LÄN</t>
        </is>
      </c>
      <c r="E641" t="inlineStr">
        <is>
          <t>HÄSSLEHOLM</t>
        </is>
      </c>
      <c r="G641" t="n">
        <v>19.6</v>
      </c>
      <c r="H641" t="n">
        <v>0</v>
      </c>
      <c r="I641" t="n">
        <v>0</v>
      </c>
      <c r="J641" t="n">
        <v>0</v>
      </c>
      <c r="K641" t="n">
        <v>0</v>
      </c>
      <c r="L641" t="n">
        <v>0</v>
      </c>
      <c r="M641" t="n">
        <v>0</v>
      </c>
      <c r="N641" t="n">
        <v>0</v>
      </c>
      <c r="O641" t="n">
        <v>0</v>
      </c>
      <c r="P641" t="n">
        <v>0</v>
      </c>
      <c r="Q641" t="n">
        <v>0</v>
      </c>
      <c r="R641" s="2" t="inlineStr"/>
    </row>
    <row r="642" ht="15" customHeight="1">
      <c r="A642" t="inlineStr">
        <is>
          <t>A 38228-2021</t>
        </is>
      </c>
      <c r="B642" s="1" t="n">
        <v>44405</v>
      </c>
      <c r="C642" s="1" t="n">
        <v>46094</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57695-2023</t>
        </is>
      </c>
      <c r="B643" s="1" t="n">
        <v>45246</v>
      </c>
      <c r="C643" s="1" t="n">
        <v>46094</v>
      </c>
      <c r="D643" t="inlineStr">
        <is>
          <t>SKÅNE LÄN</t>
        </is>
      </c>
      <c r="E643" t="inlineStr">
        <is>
          <t>HÄSSLEHOLM</t>
        </is>
      </c>
      <c r="G643" t="n">
        <v>1.4</v>
      </c>
      <c r="H643" t="n">
        <v>0</v>
      </c>
      <c r="I643" t="n">
        <v>0</v>
      </c>
      <c r="J643" t="n">
        <v>0</v>
      </c>
      <c r="K643" t="n">
        <v>0</v>
      </c>
      <c r="L643" t="n">
        <v>0</v>
      </c>
      <c r="M643" t="n">
        <v>0</v>
      </c>
      <c r="N643" t="n">
        <v>0</v>
      </c>
      <c r="O643" t="n">
        <v>0</v>
      </c>
      <c r="P643" t="n">
        <v>0</v>
      </c>
      <c r="Q643" t="n">
        <v>0</v>
      </c>
      <c r="R643" s="2" t="inlineStr"/>
    </row>
    <row r="644" ht="15" customHeight="1">
      <c r="A644" t="inlineStr">
        <is>
          <t>A 12162-2023</t>
        </is>
      </c>
      <c r="B644" s="1" t="n">
        <v>44998.49619212963</v>
      </c>
      <c r="C644" s="1" t="n">
        <v>46094</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24776-2025</t>
        </is>
      </c>
      <c r="B645" s="1" t="n">
        <v>45799.40640046296</v>
      </c>
      <c r="C645" s="1" t="n">
        <v>46094</v>
      </c>
      <c r="D645" t="inlineStr">
        <is>
          <t>SKÅNE LÄN</t>
        </is>
      </c>
      <c r="E645" t="inlineStr">
        <is>
          <t>HÄSSLEHOLM</t>
        </is>
      </c>
      <c r="G645" t="n">
        <v>5.4</v>
      </c>
      <c r="H645" t="n">
        <v>0</v>
      </c>
      <c r="I645" t="n">
        <v>0</v>
      </c>
      <c r="J645" t="n">
        <v>0</v>
      </c>
      <c r="K645" t="n">
        <v>0</v>
      </c>
      <c r="L645" t="n">
        <v>0</v>
      </c>
      <c r="M645" t="n">
        <v>0</v>
      </c>
      <c r="N645" t="n">
        <v>0</v>
      </c>
      <c r="O645" t="n">
        <v>0</v>
      </c>
      <c r="P645" t="n">
        <v>0</v>
      </c>
      <c r="Q645" t="n">
        <v>0</v>
      </c>
      <c r="R645" s="2" t="inlineStr"/>
    </row>
    <row r="646" ht="15" customHeight="1">
      <c r="A646" t="inlineStr">
        <is>
          <t>A 3248-2022</t>
        </is>
      </c>
      <c r="B646" s="1" t="n">
        <v>44583</v>
      </c>
      <c r="C646" s="1" t="n">
        <v>46094</v>
      </c>
      <c r="D646" t="inlineStr">
        <is>
          <t>SKÅNE LÄN</t>
        </is>
      </c>
      <c r="E646" t="inlineStr">
        <is>
          <t>HÄSSLEHOLM</t>
        </is>
      </c>
      <c r="G646" t="n">
        <v>3</v>
      </c>
      <c r="H646" t="n">
        <v>0</v>
      </c>
      <c r="I646" t="n">
        <v>0</v>
      </c>
      <c r="J646" t="n">
        <v>0</v>
      </c>
      <c r="K646" t="n">
        <v>0</v>
      </c>
      <c r="L646" t="n">
        <v>0</v>
      </c>
      <c r="M646" t="n">
        <v>0</v>
      </c>
      <c r="N646" t="n">
        <v>0</v>
      </c>
      <c r="O646" t="n">
        <v>0</v>
      </c>
      <c r="P646" t="n">
        <v>0</v>
      </c>
      <c r="Q646" t="n">
        <v>0</v>
      </c>
      <c r="R646" s="2" t="inlineStr"/>
    </row>
    <row r="647" ht="15" customHeight="1">
      <c r="A647" t="inlineStr">
        <is>
          <t>A 13347-2025</t>
        </is>
      </c>
      <c r="B647" s="1" t="n">
        <v>45735.63175925926</v>
      </c>
      <c r="C647" s="1" t="n">
        <v>46094</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4916-2024</t>
        </is>
      </c>
      <c r="B648" s="1" t="n">
        <v>45329</v>
      </c>
      <c r="C648" s="1" t="n">
        <v>46094</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27175-2024</t>
        </is>
      </c>
      <c r="B649" s="1" t="n">
        <v>45471.57111111111</v>
      </c>
      <c r="C649" s="1" t="n">
        <v>46094</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25538-2024</t>
        </is>
      </c>
      <c r="B650" s="1" t="n">
        <v>45463</v>
      </c>
      <c r="C650" s="1" t="n">
        <v>46094</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39453-2025</t>
        </is>
      </c>
      <c r="B651" s="1" t="n">
        <v>45889</v>
      </c>
      <c r="C651" s="1" t="n">
        <v>46094</v>
      </c>
      <c r="D651" t="inlineStr">
        <is>
          <t>SKÅNE LÄN</t>
        </is>
      </c>
      <c r="E651" t="inlineStr">
        <is>
          <t>HÄSSLEHOLM</t>
        </is>
      </c>
      <c r="G651" t="n">
        <v>2.5</v>
      </c>
      <c r="H651" t="n">
        <v>0</v>
      </c>
      <c r="I651" t="n">
        <v>0</v>
      </c>
      <c r="J651" t="n">
        <v>0</v>
      </c>
      <c r="K651" t="n">
        <v>0</v>
      </c>
      <c r="L651" t="n">
        <v>0</v>
      </c>
      <c r="M651" t="n">
        <v>0</v>
      </c>
      <c r="N651" t="n">
        <v>0</v>
      </c>
      <c r="O651" t="n">
        <v>0</v>
      </c>
      <c r="P651" t="n">
        <v>0</v>
      </c>
      <c r="Q651" t="n">
        <v>0</v>
      </c>
      <c r="R651" s="2" t="inlineStr"/>
    </row>
    <row r="652" ht="15" customHeight="1">
      <c r="A652" t="inlineStr">
        <is>
          <t>A 54658-2023</t>
        </is>
      </c>
      <c r="B652" s="1" t="n">
        <v>45235</v>
      </c>
      <c r="C652" s="1" t="n">
        <v>46094</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36733-2023</t>
        </is>
      </c>
      <c r="B653" s="1" t="n">
        <v>45153.69989583334</v>
      </c>
      <c r="C653" s="1" t="n">
        <v>46094</v>
      </c>
      <c r="D653" t="inlineStr">
        <is>
          <t>SKÅNE LÄN</t>
        </is>
      </c>
      <c r="E653" t="inlineStr">
        <is>
          <t>HÄSSLEHOLM</t>
        </is>
      </c>
      <c r="G653" t="n">
        <v>4.8</v>
      </c>
      <c r="H653" t="n">
        <v>0</v>
      </c>
      <c r="I653" t="n">
        <v>0</v>
      </c>
      <c r="J653" t="n">
        <v>0</v>
      </c>
      <c r="K653" t="n">
        <v>0</v>
      </c>
      <c r="L653" t="n">
        <v>0</v>
      </c>
      <c r="M653" t="n">
        <v>0</v>
      </c>
      <c r="N653" t="n">
        <v>0</v>
      </c>
      <c r="O653" t="n">
        <v>0</v>
      </c>
      <c r="P653" t="n">
        <v>0</v>
      </c>
      <c r="Q653" t="n">
        <v>0</v>
      </c>
      <c r="R653" s="2" t="inlineStr"/>
    </row>
    <row r="654" ht="15" customHeight="1">
      <c r="A654" t="inlineStr">
        <is>
          <t>A 23666-2023</t>
        </is>
      </c>
      <c r="B654" s="1" t="n">
        <v>45077</v>
      </c>
      <c r="C654" s="1" t="n">
        <v>46094</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60509-2023</t>
        </is>
      </c>
      <c r="B655" s="1" t="n">
        <v>45259</v>
      </c>
      <c r="C655" s="1" t="n">
        <v>46094</v>
      </c>
      <c r="D655" t="inlineStr">
        <is>
          <t>SKÅNE LÄN</t>
        </is>
      </c>
      <c r="E655" t="inlineStr">
        <is>
          <t>HÄSSLEHOLM</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3726-2024</t>
        </is>
      </c>
      <c r="B656" s="1" t="n">
        <v>45321</v>
      </c>
      <c r="C656" s="1" t="n">
        <v>46094</v>
      </c>
      <c r="D656" t="inlineStr">
        <is>
          <t>SKÅNE LÄN</t>
        </is>
      </c>
      <c r="E656" t="inlineStr">
        <is>
          <t>HÄSSLEHOLM</t>
        </is>
      </c>
      <c r="G656" t="n">
        <v>0.3</v>
      </c>
      <c r="H656" t="n">
        <v>0</v>
      </c>
      <c r="I656" t="n">
        <v>0</v>
      </c>
      <c r="J656" t="n">
        <v>0</v>
      </c>
      <c r="K656" t="n">
        <v>0</v>
      </c>
      <c r="L656" t="n">
        <v>0</v>
      </c>
      <c r="M656" t="n">
        <v>0</v>
      </c>
      <c r="N656" t="n">
        <v>0</v>
      </c>
      <c r="O656" t="n">
        <v>0</v>
      </c>
      <c r="P656" t="n">
        <v>0</v>
      </c>
      <c r="Q656" t="n">
        <v>0</v>
      </c>
      <c r="R656" s="2" t="inlineStr"/>
    </row>
    <row r="657" ht="15" customHeight="1">
      <c r="A657" t="inlineStr">
        <is>
          <t>A 53085-2022</t>
        </is>
      </c>
      <c r="B657" s="1" t="n">
        <v>44873</v>
      </c>
      <c r="C657" s="1" t="n">
        <v>46094</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1562-2023</t>
        </is>
      </c>
      <c r="B658" s="1" t="n">
        <v>44937.60450231482</v>
      </c>
      <c r="C658" s="1" t="n">
        <v>46094</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45220-2023</t>
        </is>
      </c>
      <c r="B659" s="1" t="n">
        <v>45191</v>
      </c>
      <c r="C659" s="1" t="n">
        <v>46094</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28211-2022</t>
        </is>
      </c>
      <c r="B660" s="1" t="n">
        <v>44746</v>
      </c>
      <c r="C660" s="1" t="n">
        <v>46094</v>
      </c>
      <c r="D660" t="inlineStr">
        <is>
          <t>SKÅNE LÄN</t>
        </is>
      </c>
      <c r="E660" t="inlineStr">
        <is>
          <t>HÄSSLEHOLM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32967-2023</t>
        </is>
      </c>
      <c r="B661" s="1" t="n">
        <v>45125</v>
      </c>
      <c r="C661" s="1" t="n">
        <v>46094</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32968-2023</t>
        </is>
      </c>
      <c r="B662" s="1" t="n">
        <v>45125</v>
      </c>
      <c r="C662" s="1" t="n">
        <v>46094</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10277-2023</t>
        </is>
      </c>
      <c r="B663" s="1" t="n">
        <v>44986</v>
      </c>
      <c r="C663" s="1" t="n">
        <v>46094</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10290-2023</t>
        </is>
      </c>
      <c r="B664" s="1" t="n">
        <v>44986</v>
      </c>
      <c r="C664" s="1" t="n">
        <v>46094</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29649-2025</t>
        </is>
      </c>
      <c r="B665" s="1" t="n">
        <v>45825.47446759259</v>
      </c>
      <c r="C665" s="1" t="n">
        <v>46094</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15990-2023</t>
        </is>
      </c>
      <c r="B666" s="1" t="n">
        <v>45023.39584490741</v>
      </c>
      <c r="C666" s="1" t="n">
        <v>46094</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26207-2021</t>
        </is>
      </c>
      <c r="B667" s="1" t="n">
        <v>44347</v>
      </c>
      <c r="C667" s="1" t="n">
        <v>46094</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62199-2022</t>
        </is>
      </c>
      <c r="B668" s="1" t="n">
        <v>44915</v>
      </c>
      <c r="C668" s="1" t="n">
        <v>46094</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9098-2022</t>
        </is>
      </c>
      <c r="B669" s="1" t="n">
        <v>44615</v>
      </c>
      <c r="C669" s="1" t="n">
        <v>46094</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19151-2023</t>
        </is>
      </c>
      <c r="B670" s="1" t="n">
        <v>45044</v>
      </c>
      <c r="C670" s="1" t="n">
        <v>46094</v>
      </c>
      <c r="D670" t="inlineStr">
        <is>
          <t>SKÅNE LÄN</t>
        </is>
      </c>
      <c r="E670" t="inlineStr">
        <is>
          <t>HÄSSLEHOLM</t>
        </is>
      </c>
      <c r="G670" t="n">
        <v>1</v>
      </c>
      <c r="H670" t="n">
        <v>0</v>
      </c>
      <c r="I670" t="n">
        <v>0</v>
      </c>
      <c r="J670" t="n">
        <v>0</v>
      </c>
      <c r="K670" t="n">
        <v>0</v>
      </c>
      <c r="L670" t="n">
        <v>0</v>
      </c>
      <c r="M670" t="n">
        <v>0</v>
      </c>
      <c r="N670" t="n">
        <v>0</v>
      </c>
      <c r="O670" t="n">
        <v>0</v>
      </c>
      <c r="P670" t="n">
        <v>0</v>
      </c>
      <c r="Q670" t="n">
        <v>0</v>
      </c>
      <c r="R670" s="2" t="inlineStr"/>
    </row>
    <row r="671" ht="15" customHeight="1">
      <c r="A671" t="inlineStr">
        <is>
          <t>A 35237-2023</t>
        </is>
      </c>
      <c r="B671" s="1" t="n">
        <v>45145.74532407407</v>
      </c>
      <c r="C671" s="1" t="n">
        <v>46094</v>
      </c>
      <c r="D671" t="inlineStr">
        <is>
          <t>SKÅNE LÄN</t>
        </is>
      </c>
      <c r="E671" t="inlineStr">
        <is>
          <t>HÄSSLEHOLM</t>
        </is>
      </c>
      <c r="G671" t="n">
        <v>1.3</v>
      </c>
      <c r="H671" t="n">
        <v>0</v>
      </c>
      <c r="I671" t="n">
        <v>0</v>
      </c>
      <c r="J671" t="n">
        <v>0</v>
      </c>
      <c r="K671" t="n">
        <v>0</v>
      </c>
      <c r="L671" t="n">
        <v>0</v>
      </c>
      <c r="M671" t="n">
        <v>0</v>
      </c>
      <c r="N671" t="n">
        <v>0</v>
      </c>
      <c r="O671" t="n">
        <v>0</v>
      </c>
      <c r="P671" t="n">
        <v>0</v>
      </c>
      <c r="Q671" t="n">
        <v>0</v>
      </c>
      <c r="R671" s="2" t="inlineStr"/>
    </row>
    <row r="672" ht="15" customHeight="1">
      <c r="A672" t="inlineStr">
        <is>
          <t>A 2688-2024</t>
        </is>
      </c>
      <c r="B672" s="1" t="n">
        <v>45314</v>
      </c>
      <c r="C672" s="1" t="n">
        <v>46094</v>
      </c>
      <c r="D672" t="inlineStr">
        <is>
          <t>SKÅNE LÄN</t>
        </is>
      </c>
      <c r="E672" t="inlineStr">
        <is>
          <t>HÄSSLEHOLM</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32585-2025</t>
        </is>
      </c>
      <c r="B673" s="1" t="n">
        <v>45838.60021990741</v>
      </c>
      <c r="C673" s="1" t="n">
        <v>46094</v>
      </c>
      <c r="D673" t="inlineStr">
        <is>
          <t>SKÅNE LÄN</t>
        </is>
      </c>
      <c r="E673" t="inlineStr">
        <is>
          <t>HÄSSLEHOLM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32592-2025</t>
        </is>
      </c>
      <c r="B674" s="1" t="n">
        <v>45838.61020833333</v>
      </c>
      <c r="C674" s="1" t="n">
        <v>46094</v>
      </c>
      <c r="D674" t="inlineStr">
        <is>
          <t>SKÅNE LÄN</t>
        </is>
      </c>
      <c r="E674" t="inlineStr">
        <is>
          <t>HÄSSLEHOLM</t>
        </is>
      </c>
      <c r="G674" t="n">
        <v>2.1</v>
      </c>
      <c r="H674" t="n">
        <v>0</v>
      </c>
      <c r="I674" t="n">
        <v>0</v>
      </c>
      <c r="J674" t="n">
        <v>0</v>
      </c>
      <c r="K674" t="n">
        <v>0</v>
      </c>
      <c r="L674" t="n">
        <v>0</v>
      </c>
      <c r="M674" t="n">
        <v>0</v>
      </c>
      <c r="N674" t="n">
        <v>0</v>
      </c>
      <c r="O674" t="n">
        <v>0</v>
      </c>
      <c r="P674" t="n">
        <v>0</v>
      </c>
      <c r="Q674" t="n">
        <v>0</v>
      </c>
      <c r="R674" s="2" t="inlineStr"/>
    </row>
    <row r="675" ht="15" customHeight="1">
      <c r="A675" t="inlineStr">
        <is>
          <t>A 29850-2024</t>
        </is>
      </c>
      <c r="B675" s="1" t="n">
        <v>45485.64620370371</v>
      </c>
      <c r="C675" s="1" t="n">
        <v>46094</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30007-2023</t>
        </is>
      </c>
      <c r="B676" s="1" t="n">
        <v>45109.80349537037</v>
      </c>
      <c r="C676" s="1" t="n">
        <v>46094</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4187-2023</t>
        </is>
      </c>
      <c r="B677" s="1" t="n">
        <v>44953</v>
      </c>
      <c r="C677" s="1" t="n">
        <v>46094</v>
      </c>
      <c r="D677" t="inlineStr">
        <is>
          <t>SKÅNE LÄN</t>
        </is>
      </c>
      <c r="E677" t="inlineStr">
        <is>
          <t>HÄSSLEHOLM</t>
        </is>
      </c>
      <c r="G677" t="n">
        <v>3.2</v>
      </c>
      <c r="H677" t="n">
        <v>0</v>
      </c>
      <c r="I677" t="n">
        <v>0</v>
      </c>
      <c r="J677" t="n">
        <v>0</v>
      </c>
      <c r="K677" t="n">
        <v>0</v>
      </c>
      <c r="L677" t="n">
        <v>0</v>
      </c>
      <c r="M677" t="n">
        <v>0</v>
      </c>
      <c r="N677" t="n">
        <v>0</v>
      </c>
      <c r="O677" t="n">
        <v>0</v>
      </c>
      <c r="P677" t="n">
        <v>0</v>
      </c>
      <c r="Q677" t="n">
        <v>0</v>
      </c>
      <c r="R677" s="2" t="inlineStr"/>
    </row>
    <row r="678" ht="15" customHeight="1">
      <c r="A678" t="inlineStr">
        <is>
          <t>A 39934-2025</t>
        </is>
      </c>
      <c r="B678" s="1" t="n">
        <v>45891.71465277778</v>
      </c>
      <c r="C678" s="1" t="n">
        <v>46094</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42231-2022</t>
        </is>
      </c>
      <c r="B679" s="1" t="n">
        <v>44830.77003472222</v>
      </c>
      <c r="C679" s="1" t="n">
        <v>46094</v>
      </c>
      <c r="D679" t="inlineStr">
        <is>
          <t>SKÅNE LÄN</t>
        </is>
      </c>
      <c r="E679" t="inlineStr">
        <is>
          <t>HÄSSLEHOLM</t>
        </is>
      </c>
      <c r="G679" t="n">
        <v>2.7</v>
      </c>
      <c r="H679" t="n">
        <v>0</v>
      </c>
      <c r="I679" t="n">
        <v>0</v>
      </c>
      <c r="J679" t="n">
        <v>0</v>
      </c>
      <c r="K679" t="n">
        <v>0</v>
      </c>
      <c r="L679" t="n">
        <v>0</v>
      </c>
      <c r="M679" t="n">
        <v>0</v>
      </c>
      <c r="N679" t="n">
        <v>0</v>
      </c>
      <c r="O679" t="n">
        <v>0</v>
      </c>
      <c r="P679" t="n">
        <v>0</v>
      </c>
      <c r="Q679" t="n">
        <v>0</v>
      </c>
      <c r="R679" s="2" t="inlineStr"/>
    </row>
    <row r="680" ht="15" customHeight="1">
      <c r="A680" t="inlineStr">
        <is>
          <t>A 33562-2025</t>
        </is>
      </c>
      <c r="B680" s="1" t="n">
        <v>45841.57803240741</v>
      </c>
      <c r="C680" s="1" t="n">
        <v>46094</v>
      </c>
      <c r="D680" t="inlineStr">
        <is>
          <t>SKÅNE LÄN</t>
        </is>
      </c>
      <c r="E680" t="inlineStr">
        <is>
          <t>HÄSSLEHOLM</t>
        </is>
      </c>
      <c r="G680" t="n">
        <v>2.8</v>
      </c>
      <c r="H680" t="n">
        <v>0</v>
      </c>
      <c r="I680" t="n">
        <v>0</v>
      </c>
      <c r="J680" t="n">
        <v>0</v>
      </c>
      <c r="K680" t="n">
        <v>0</v>
      </c>
      <c r="L680" t="n">
        <v>0</v>
      </c>
      <c r="M680" t="n">
        <v>0</v>
      </c>
      <c r="N680" t="n">
        <v>0</v>
      </c>
      <c r="O680" t="n">
        <v>0</v>
      </c>
      <c r="P680" t="n">
        <v>0</v>
      </c>
      <c r="Q680" t="n">
        <v>0</v>
      </c>
      <c r="R680" s="2" t="inlineStr"/>
    </row>
    <row r="681" ht="15" customHeight="1">
      <c r="A681" t="inlineStr">
        <is>
          <t>A 59390-2021</t>
        </is>
      </c>
      <c r="B681" s="1" t="n">
        <v>44490</v>
      </c>
      <c r="C681" s="1" t="n">
        <v>46094</v>
      </c>
      <c r="D681" t="inlineStr">
        <is>
          <t>SKÅNE LÄN</t>
        </is>
      </c>
      <c r="E681" t="inlineStr">
        <is>
          <t>HÄSSLEHOLM</t>
        </is>
      </c>
      <c r="G681" t="n">
        <v>7.1</v>
      </c>
      <c r="H681" t="n">
        <v>0</v>
      </c>
      <c r="I681" t="n">
        <v>0</v>
      </c>
      <c r="J681" t="n">
        <v>0</v>
      </c>
      <c r="K681" t="n">
        <v>0</v>
      </c>
      <c r="L681" t="n">
        <v>0</v>
      </c>
      <c r="M681" t="n">
        <v>0</v>
      </c>
      <c r="N681" t="n">
        <v>0</v>
      </c>
      <c r="O681" t="n">
        <v>0</v>
      </c>
      <c r="P681" t="n">
        <v>0</v>
      </c>
      <c r="Q681" t="n">
        <v>0</v>
      </c>
      <c r="R681" s="2" t="inlineStr"/>
    </row>
    <row r="682" ht="15" customHeight="1">
      <c r="A682" t="inlineStr">
        <is>
          <t>A 57967-2023</t>
        </is>
      </c>
      <c r="B682" s="1" t="n">
        <v>45247.57984953704</v>
      </c>
      <c r="C682" s="1" t="n">
        <v>46094</v>
      </c>
      <c r="D682" t="inlineStr">
        <is>
          <t>SKÅNE LÄN</t>
        </is>
      </c>
      <c r="E682" t="inlineStr">
        <is>
          <t>HÄSSLEHOLM</t>
        </is>
      </c>
      <c r="G682" t="n">
        <v>8.6</v>
      </c>
      <c r="H682" t="n">
        <v>0</v>
      </c>
      <c r="I682" t="n">
        <v>0</v>
      </c>
      <c r="J682" t="n">
        <v>0</v>
      </c>
      <c r="K682" t="n">
        <v>0</v>
      </c>
      <c r="L682" t="n">
        <v>0</v>
      </c>
      <c r="M682" t="n">
        <v>0</v>
      </c>
      <c r="N682" t="n">
        <v>0</v>
      </c>
      <c r="O682" t="n">
        <v>0</v>
      </c>
      <c r="P682" t="n">
        <v>0</v>
      </c>
      <c r="Q682" t="n">
        <v>0</v>
      </c>
      <c r="R682" s="2" t="inlineStr"/>
    </row>
    <row r="683" ht="15" customHeight="1">
      <c r="A683" t="inlineStr">
        <is>
          <t>A 62041-2022</t>
        </is>
      </c>
      <c r="B683" s="1" t="n">
        <v>44918.55743055556</v>
      </c>
      <c r="C683" s="1" t="n">
        <v>46094</v>
      </c>
      <c r="D683" t="inlineStr">
        <is>
          <t>SKÅNE LÄN</t>
        </is>
      </c>
      <c r="E683" t="inlineStr">
        <is>
          <t>HÄSSLEHOLM</t>
        </is>
      </c>
      <c r="G683" t="n">
        <v>2.8</v>
      </c>
      <c r="H683" t="n">
        <v>0</v>
      </c>
      <c r="I683" t="n">
        <v>0</v>
      </c>
      <c r="J683" t="n">
        <v>0</v>
      </c>
      <c r="K683" t="n">
        <v>0</v>
      </c>
      <c r="L683" t="n">
        <v>0</v>
      </c>
      <c r="M683" t="n">
        <v>0</v>
      </c>
      <c r="N683" t="n">
        <v>0</v>
      </c>
      <c r="O683" t="n">
        <v>0</v>
      </c>
      <c r="P683" t="n">
        <v>0</v>
      </c>
      <c r="Q683" t="n">
        <v>0</v>
      </c>
      <c r="R683" s="2" t="inlineStr"/>
    </row>
    <row r="684" ht="15" customHeight="1">
      <c r="A684" t="inlineStr">
        <is>
          <t>A 39457-2025</t>
        </is>
      </c>
      <c r="B684" s="1" t="n">
        <v>45889.76887731482</v>
      </c>
      <c r="C684" s="1" t="n">
        <v>46094</v>
      </c>
      <c r="D684" t="inlineStr">
        <is>
          <t>SKÅNE LÄN</t>
        </is>
      </c>
      <c r="E684" t="inlineStr">
        <is>
          <t>HÄSSLEHOLM</t>
        </is>
      </c>
      <c r="G684" t="n">
        <v>6.6</v>
      </c>
      <c r="H684" t="n">
        <v>0</v>
      </c>
      <c r="I684" t="n">
        <v>0</v>
      </c>
      <c r="J684" t="n">
        <v>0</v>
      </c>
      <c r="K684" t="n">
        <v>0</v>
      </c>
      <c r="L684" t="n">
        <v>0</v>
      </c>
      <c r="M684" t="n">
        <v>0</v>
      </c>
      <c r="N684" t="n">
        <v>0</v>
      </c>
      <c r="O684" t="n">
        <v>0</v>
      </c>
      <c r="P684" t="n">
        <v>0</v>
      </c>
      <c r="Q684" t="n">
        <v>0</v>
      </c>
      <c r="R684" s="2" t="inlineStr"/>
    </row>
    <row r="685" ht="15" customHeight="1">
      <c r="A685" t="inlineStr">
        <is>
          <t>A 12468-2024</t>
        </is>
      </c>
      <c r="B685" s="1" t="n">
        <v>45379</v>
      </c>
      <c r="C685" s="1" t="n">
        <v>46094</v>
      </c>
      <c r="D685" t="inlineStr">
        <is>
          <t>SKÅNE LÄN</t>
        </is>
      </c>
      <c r="E685" t="inlineStr">
        <is>
          <t>HÄSSLEHOLM</t>
        </is>
      </c>
      <c r="G685" t="n">
        <v>15.5</v>
      </c>
      <c r="H685" t="n">
        <v>0</v>
      </c>
      <c r="I685" t="n">
        <v>0</v>
      </c>
      <c r="J685" t="n">
        <v>0</v>
      </c>
      <c r="K685" t="n">
        <v>0</v>
      </c>
      <c r="L685" t="n">
        <v>0</v>
      </c>
      <c r="M685" t="n">
        <v>0</v>
      </c>
      <c r="N685" t="n">
        <v>0</v>
      </c>
      <c r="O685" t="n">
        <v>0</v>
      </c>
      <c r="P685" t="n">
        <v>0</v>
      </c>
      <c r="Q685" t="n">
        <v>0</v>
      </c>
      <c r="R685" s="2" t="inlineStr"/>
    </row>
    <row r="686" ht="15" customHeight="1">
      <c r="A686" t="inlineStr">
        <is>
          <t>A 1553-2023</t>
        </is>
      </c>
      <c r="B686" s="1" t="n">
        <v>44937</v>
      </c>
      <c r="C686" s="1" t="n">
        <v>46094</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22690-2022</t>
        </is>
      </c>
      <c r="B687" s="1" t="n">
        <v>44714.5421875</v>
      </c>
      <c r="C687" s="1" t="n">
        <v>46094</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39937-2025</t>
        </is>
      </c>
      <c r="B688" s="1" t="n">
        <v>45891.73162037037</v>
      </c>
      <c r="C688" s="1" t="n">
        <v>46094</v>
      </c>
      <c r="D688" t="inlineStr">
        <is>
          <t>SKÅNE LÄN</t>
        </is>
      </c>
      <c r="E688" t="inlineStr">
        <is>
          <t>HÄSSLEHOLM</t>
        </is>
      </c>
      <c r="G688" t="n">
        <v>4.5</v>
      </c>
      <c r="H688" t="n">
        <v>0</v>
      </c>
      <c r="I688" t="n">
        <v>0</v>
      </c>
      <c r="J688" t="n">
        <v>0</v>
      </c>
      <c r="K688" t="n">
        <v>0</v>
      </c>
      <c r="L688" t="n">
        <v>0</v>
      </c>
      <c r="M688" t="n">
        <v>0</v>
      </c>
      <c r="N688" t="n">
        <v>0</v>
      </c>
      <c r="O688" t="n">
        <v>0</v>
      </c>
      <c r="P688" t="n">
        <v>0</v>
      </c>
      <c r="Q688" t="n">
        <v>0</v>
      </c>
      <c r="R688" s="2" t="inlineStr"/>
    </row>
    <row r="689" ht="15" customHeight="1">
      <c r="A689" t="inlineStr">
        <is>
          <t>A 53897-2023</t>
        </is>
      </c>
      <c r="B689" s="1" t="n">
        <v>45231.53934027778</v>
      </c>
      <c r="C689" s="1" t="n">
        <v>46094</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1170-2025</t>
        </is>
      </c>
      <c r="B690" s="1" t="n">
        <v>45667.29226851852</v>
      </c>
      <c r="C690" s="1" t="n">
        <v>46094</v>
      </c>
      <c r="D690" t="inlineStr">
        <is>
          <t>SKÅNE LÄN</t>
        </is>
      </c>
      <c r="E690" t="inlineStr">
        <is>
          <t>HÄSSLEHOLM</t>
        </is>
      </c>
      <c r="G690" t="n">
        <v>4.3</v>
      </c>
      <c r="H690" t="n">
        <v>0</v>
      </c>
      <c r="I690" t="n">
        <v>0</v>
      </c>
      <c r="J690" t="n">
        <v>0</v>
      </c>
      <c r="K690" t="n">
        <v>0</v>
      </c>
      <c r="L690" t="n">
        <v>0</v>
      </c>
      <c r="M690" t="n">
        <v>0</v>
      </c>
      <c r="N690" t="n">
        <v>0</v>
      </c>
      <c r="O690" t="n">
        <v>0</v>
      </c>
      <c r="P690" t="n">
        <v>0</v>
      </c>
      <c r="Q690" t="n">
        <v>0</v>
      </c>
      <c r="R690" s="2" t="inlineStr"/>
    </row>
    <row r="691" ht="15" customHeight="1">
      <c r="A691" t="inlineStr">
        <is>
          <t>A 33875-2025</t>
        </is>
      </c>
      <c r="B691" s="1" t="n">
        <v>45842.55300925926</v>
      </c>
      <c r="C691" s="1" t="n">
        <v>46094</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22132-2024</t>
        </is>
      </c>
      <c r="B692" s="1" t="n">
        <v>45444.37234953704</v>
      </c>
      <c r="C692" s="1" t="n">
        <v>46094</v>
      </c>
      <c r="D692" t="inlineStr">
        <is>
          <t>SKÅNE LÄN</t>
        </is>
      </c>
      <c r="E692" t="inlineStr">
        <is>
          <t>HÄSSLEHOLM</t>
        </is>
      </c>
      <c r="G692" t="n">
        <v>3.1</v>
      </c>
      <c r="H692" t="n">
        <v>0</v>
      </c>
      <c r="I692" t="n">
        <v>0</v>
      </c>
      <c r="J692" t="n">
        <v>0</v>
      </c>
      <c r="K692" t="n">
        <v>0</v>
      </c>
      <c r="L692" t="n">
        <v>0</v>
      </c>
      <c r="M692" t="n">
        <v>0</v>
      </c>
      <c r="N692" t="n">
        <v>0</v>
      </c>
      <c r="O692" t="n">
        <v>0</v>
      </c>
      <c r="P692" t="n">
        <v>0</v>
      </c>
      <c r="Q692" t="n">
        <v>0</v>
      </c>
      <c r="R692" s="2" t="inlineStr"/>
    </row>
    <row r="693" ht="15" customHeight="1">
      <c r="A693" t="inlineStr">
        <is>
          <t>A 3452-2023</t>
        </is>
      </c>
      <c r="B693" s="1" t="n">
        <v>44949</v>
      </c>
      <c r="C693" s="1" t="n">
        <v>46094</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50525-2024</t>
        </is>
      </c>
      <c r="B694" s="1" t="n">
        <v>45601</v>
      </c>
      <c r="C694" s="1" t="n">
        <v>46094</v>
      </c>
      <c r="D694" t="inlineStr">
        <is>
          <t>SKÅNE LÄN</t>
        </is>
      </c>
      <c r="E694" t="inlineStr">
        <is>
          <t>HÄSSLEHOLM</t>
        </is>
      </c>
      <c r="G694" t="n">
        <v>2.6</v>
      </c>
      <c r="H694" t="n">
        <v>0</v>
      </c>
      <c r="I694" t="n">
        <v>0</v>
      </c>
      <c r="J694" t="n">
        <v>0</v>
      </c>
      <c r="K694" t="n">
        <v>0</v>
      </c>
      <c r="L694" t="n">
        <v>0</v>
      </c>
      <c r="M694" t="n">
        <v>0</v>
      </c>
      <c r="N694" t="n">
        <v>0</v>
      </c>
      <c r="O694" t="n">
        <v>0</v>
      </c>
      <c r="P694" t="n">
        <v>0</v>
      </c>
      <c r="Q694" t="n">
        <v>0</v>
      </c>
      <c r="R694" s="2" t="inlineStr"/>
    </row>
    <row r="695" ht="15" customHeight="1">
      <c r="A695" t="inlineStr">
        <is>
          <t>A 260-2024</t>
        </is>
      </c>
      <c r="B695" s="1" t="n">
        <v>45294</v>
      </c>
      <c r="C695" s="1" t="n">
        <v>46094</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5016-2024</t>
        </is>
      </c>
      <c r="B696" s="1" t="n">
        <v>45329</v>
      </c>
      <c r="C696" s="1" t="n">
        <v>46094</v>
      </c>
      <c r="D696" t="inlineStr">
        <is>
          <t>SKÅNE LÄN</t>
        </is>
      </c>
      <c r="E696" t="inlineStr">
        <is>
          <t>HÄSSLEHOLM</t>
        </is>
      </c>
      <c r="G696" t="n">
        <v>3.2</v>
      </c>
      <c r="H696" t="n">
        <v>0</v>
      </c>
      <c r="I696" t="n">
        <v>0</v>
      </c>
      <c r="J696" t="n">
        <v>0</v>
      </c>
      <c r="K696" t="n">
        <v>0</v>
      </c>
      <c r="L696" t="n">
        <v>0</v>
      </c>
      <c r="M696" t="n">
        <v>0</v>
      </c>
      <c r="N696" t="n">
        <v>0</v>
      </c>
      <c r="O696" t="n">
        <v>0</v>
      </c>
      <c r="P696" t="n">
        <v>0</v>
      </c>
      <c r="Q696" t="n">
        <v>0</v>
      </c>
      <c r="R696" s="2" t="inlineStr"/>
    </row>
    <row r="697" ht="15" customHeight="1">
      <c r="A697" t="inlineStr">
        <is>
          <t>A 33877-2025</t>
        </is>
      </c>
      <c r="B697" s="1" t="n">
        <v>45842.55564814815</v>
      </c>
      <c r="C697" s="1" t="n">
        <v>46094</v>
      </c>
      <c r="D697" t="inlineStr">
        <is>
          <t>SKÅNE LÄN</t>
        </is>
      </c>
      <c r="E697" t="inlineStr">
        <is>
          <t>HÄSSLEHOLM</t>
        </is>
      </c>
      <c r="G697" t="n">
        <v>3.9</v>
      </c>
      <c r="H697" t="n">
        <v>0</v>
      </c>
      <c r="I697" t="n">
        <v>0</v>
      </c>
      <c r="J697" t="n">
        <v>0</v>
      </c>
      <c r="K697" t="n">
        <v>0</v>
      </c>
      <c r="L697" t="n">
        <v>0</v>
      </c>
      <c r="M697" t="n">
        <v>0</v>
      </c>
      <c r="N697" t="n">
        <v>0</v>
      </c>
      <c r="O697" t="n">
        <v>0</v>
      </c>
      <c r="P697" t="n">
        <v>0</v>
      </c>
      <c r="Q697" t="n">
        <v>0</v>
      </c>
      <c r="R697" s="2" t="inlineStr"/>
    </row>
    <row r="698" ht="15" customHeight="1">
      <c r="A698" t="inlineStr">
        <is>
          <t>A 33879-2025</t>
        </is>
      </c>
      <c r="B698" s="1" t="n">
        <v>45842.55766203703</v>
      </c>
      <c r="C698" s="1" t="n">
        <v>46094</v>
      </c>
      <c r="D698" t="inlineStr">
        <is>
          <t>SKÅNE LÄN</t>
        </is>
      </c>
      <c r="E698" t="inlineStr">
        <is>
          <t>HÄSSLEHOLM</t>
        </is>
      </c>
      <c r="G698" t="n">
        <v>6.1</v>
      </c>
      <c r="H698" t="n">
        <v>0</v>
      </c>
      <c r="I698" t="n">
        <v>0</v>
      </c>
      <c r="J698" t="n">
        <v>0</v>
      </c>
      <c r="K698" t="n">
        <v>0</v>
      </c>
      <c r="L698" t="n">
        <v>0</v>
      </c>
      <c r="M698" t="n">
        <v>0</v>
      </c>
      <c r="N698" t="n">
        <v>0</v>
      </c>
      <c r="O698" t="n">
        <v>0</v>
      </c>
      <c r="P698" t="n">
        <v>0</v>
      </c>
      <c r="Q698" t="n">
        <v>0</v>
      </c>
      <c r="R698" s="2" t="inlineStr"/>
    </row>
    <row r="699" ht="15" customHeight="1">
      <c r="A699" t="inlineStr">
        <is>
          <t>A 11603-2025</t>
        </is>
      </c>
      <c r="B699" s="1" t="n">
        <v>45727</v>
      </c>
      <c r="C699" s="1" t="n">
        <v>46094</v>
      </c>
      <c r="D699" t="inlineStr">
        <is>
          <t>SKÅNE LÄN</t>
        </is>
      </c>
      <c r="E699" t="inlineStr">
        <is>
          <t>HÄSSLEHOLM</t>
        </is>
      </c>
      <c r="G699" t="n">
        <v>5.6</v>
      </c>
      <c r="H699" t="n">
        <v>0</v>
      </c>
      <c r="I699" t="n">
        <v>0</v>
      </c>
      <c r="J699" t="n">
        <v>0</v>
      </c>
      <c r="K699" t="n">
        <v>0</v>
      </c>
      <c r="L699" t="n">
        <v>0</v>
      </c>
      <c r="M699" t="n">
        <v>0</v>
      </c>
      <c r="N699" t="n">
        <v>0</v>
      </c>
      <c r="O699" t="n">
        <v>0</v>
      </c>
      <c r="P699" t="n">
        <v>0</v>
      </c>
      <c r="Q699" t="n">
        <v>0</v>
      </c>
      <c r="R699" s="2" t="inlineStr"/>
    </row>
    <row r="700" ht="15" customHeight="1">
      <c r="A700" t="inlineStr">
        <is>
          <t>A 33948-2025</t>
        </is>
      </c>
      <c r="B700" s="1" t="n">
        <v>45842.65945601852</v>
      </c>
      <c r="C700" s="1" t="n">
        <v>46094</v>
      </c>
      <c r="D700" t="inlineStr">
        <is>
          <t>SKÅNE LÄN</t>
        </is>
      </c>
      <c r="E700" t="inlineStr">
        <is>
          <t>HÄSSLEHOLM</t>
        </is>
      </c>
      <c r="G700" t="n">
        <v>8.5</v>
      </c>
      <c r="H700" t="n">
        <v>0</v>
      </c>
      <c r="I700" t="n">
        <v>0</v>
      </c>
      <c r="J700" t="n">
        <v>0</v>
      </c>
      <c r="K700" t="n">
        <v>0</v>
      </c>
      <c r="L700" t="n">
        <v>0</v>
      </c>
      <c r="M700" t="n">
        <v>0</v>
      </c>
      <c r="N700" t="n">
        <v>0</v>
      </c>
      <c r="O700" t="n">
        <v>0</v>
      </c>
      <c r="P700" t="n">
        <v>0</v>
      </c>
      <c r="Q700" t="n">
        <v>0</v>
      </c>
      <c r="R700" s="2" t="inlineStr"/>
    </row>
    <row r="701" ht="15" customHeight="1">
      <c r="A701" t="inlineStr">
        <is>
          <t>A 32210-2024</t>
        </is>
      </c>
      <c r="B701" s="1" t="n">
        <v>45511.67777777778</v>
      </c>
      <c r="C701" s="1" t="n">
        <v>46094</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22678-2025</t>
        </is>
      </c>
      <c r="B702" s="1" t="n">
        <v>45789.49725694444</v>
      </c>
      <c r="C702" s="1" t="n">
        <v>46094</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2743-2023</t>
        </is>
      </c>
      <c r="B703" s="1" t="n">
        <v>44944</v>
      </c>
      <c r="C703" s="1" t="n">
        <v>46094</v>
      </c>
      <c r="D703" t="inlineStr">
        <is>
          <t>SKÅNE LÄN</t>
        </is>
      </c>
      <c r="E703" t="inlineStr">
        <is>
          <t>HÄSSLEHOLM</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32958-2023</t>
        </is>
      </c>
      <c r="B704" s="1" t="n">
        <v>45125.52142361111</v>
      </c>
      <c r="C704" s="1" t="n">
        <v>46094</v>
      </c>
      <c r="D704" t="inlineStr">
        <is>
          <t>SKÅNE LÄN</t>
        </is>
      </c>
      <c r="E704" t="inlineStr">
        <is>
          <t>HÄSSLEHOLM</t>
        </is>
      </c>
      <c r="G704" t="n">
        <v>7.9</v>
      </c>
      <c r="H704" t="n">
        <v>0</v>
      </c>
      <c r="I704" t="n">
        <v>0</v>
      </c>
      <c r="J704" t="n">
        <v>0</v>
      </c>
      <c r="K704" t="n">
        <v>0</v>
      </c>
      <c r="L704" t="n">
        <v>0</v>
      </c>
      <c r="M704" t="n">
        <v>0</v>
      </c>
      <c r="N704" t="n">
        <v>0</v>
      </c>
      <c r="O704" t="n">
        <v>0</v>
      </c>
      <c r="P704" t="n">
        <v>0</v>
      </c>
      <c r="Q704" t="n">
        <v>0</v>
      </c>
      <c r="R704" s="2" t="inlineStr"/>
    </row>
    <row r="705" ht="15" customHeight="1">
      <c r="A705" t="inlineStr">
        <is>
          <t>A 25206-2023</t>
        </is>
      </c>
      <c r="B705" s="1" t="n">
        <v>45086.59318287037</v>
      </c>
      <c r="C705" s="1" t="n">
        <v>46094</v>
      </c>
      <c r="D705" t="inlineStr">
        <is>
          <t>SKÅNE LÄN</t>
        </is>
      </c>
      <c r="E705" t="inlineStr">
        <is>
          <t>HÄSSLEHOLM</t>
        </is>
      </c>
      <c r="G705" t="n">
        <v>2.9</v>
      </c>
      <c r="H705" t="n">
        <v>0</v>
      </c>
      <c r="I705" t="n">
        <v>0</v>
      </c>
      <c r="J705" t="n">
        <v>0</v>
      </c>
      <c r="K705" t="n">
        <v>0</v>
      </c>
      <c r="L705" t="n">
        <v>0</v>
      </c>
      <c r="M705" t="n">
        <v>0</v>
      </c>
      <c r="N705" t="n">
        <v>0</v>
      </c>
      <c r="O705" t="n">
        <v>0</v>
      </c>
      <c r="P705" t="n">
        <v>0</v>
      </c>
      <c r="Q705" t="n">
        <v>0</v>
      </c>
      <c r="R705" s="2" t="inlineStr"/>
    </row>
    <row r="706" ht="15" customHeight="1">
      <c r="A706" t="inlineStr">
        <is>
          <t>A 25221-2023</t>
        </is>
      </c>
      <c r="B706" s="1" t="n">
        <v>45086.60842592592</v>
      </c>
      <c r="C706" s="1" t="n">
        <v>46094</v>
      </c>
      <c r="D706" t="inlineStr">
        <is>
          <t>SKÅNE LÄN</t>
        </is>
      </c>
      <c r="E706" t="inlineStr">
        <is>
          <t>HÄSSLEHOLM</t>
        </is>
      </c>
      <c r="G706" t="n">
        <v>2.5</v>
      </c>
      <c r="H706" t="n">
        <v>0</v>
      </c>
      <c r="I706" t="n">
        <v>0</v>
      </c>
      <c r="J706" t="n">
        <v>0</v>
      </c>
      <c r="K706" t="n">
        <v>0</v>
      </c>
      <c r="L706" t="n">
        <v>0</v>
      </c>
      <c r="M706" t="n">
        <v>0</v>
      </c>
      <c r="N706" t="n">
        <v>0</v>
      </c>
      <c r="O706" t="n">
        <v>0</v>
      </c>
      <c r="P706" t="n">
        <v>0</v>
      </c>
      <c r="Q706" t="n">
        <v>0</v>
      </c>
      <c r="R706" s="2" t="inlineStr"/>
    </row>
    <row r="707" ht="15" customHeight="1">
      <c r="A707" t="inlineStr">
        <is>
          <t>A 8749-2024</t>
        </is>
      </c>
      <c r="B707" s="1" t="n">
        <v>45356.50387731481</v>
      </c>
      <c r="C707" s="1" t="n">
        <v>46094</v>
      </c>
      <c r="D707" t="inlineStr">
        <is>
          <t>SKÅNE LÄN</t>
        </is>
      </c>
      <c r="E707" t="inlineStr">
        <is>
          <t>HÄSSLEHOLM</t>
        </is>
      </c>
      <c r="G707" t="n">
        <v>2.9</v>
      </c>
      <c r="H707" t="n">
        <v>0</v>
      </c>
      <c r="I707" t="n">
        <v>0</v>
      </c>
      <c r="J707" t="n">
        <v>0</v>
      </c>
      <c r="K707" t="n">
        <v>0</v>
      </c>
      <c r="L707" t="n">
        <v>0</v>
      </c>
      <c r="M707" t="n">
        <v>0</v>
      </c>
      <c r="N707" t="n">
        <v>0</v>
      </c>
      <c r="O707" t="n">
        <v>0</v>
      </c>
      <c r="P707" t="n">
        <v>0</v>
      </c>
      <c r="Q707" t="n">
        <v>0</v>
      </c>
      <c r="R707" s="2" t="inlineStr"/>
    </row>
    <row r="708" ht="15" customHeight="1">
      <c r="A708" t="inlineStr">
        <is>
          <t>A 8752-2024</t>
        </is>
      </c>
      <c r="B708" s="1" t="n">
        <v>45356</v>
      </c>
      <c r="C708" s="1" t="n">
        <v>46094</v>
      </c>
      <c r="D708" t="inlineStr">
        <is>
          <t>SKÅNE LÄN</t>
        </is>
      </c>
      <c r="E708" t="inlineStr">
        <is>
          <t>HÄSSLEHOLM</t>
        </is>
      </c>
      <c r="G708" t="n">
        <v>3.4</v>
      </c>
      <c r="H708" t="n">
        <v>0</v>
      </c>
      <c r="I708" t="n">
        <v>0</v>
      </c>
      <c r="J708" t="n">
        <v>0</v>
      </c>
      <c r="K708" t="n">
        <v>0</v>
      </c>
      <c r="L708" t="n">
        <v>0</v>
      </c>
      <c r="M708" t="n">
        <v>0</v>
      </c>
      <c r="N708" t="n">
        <v>0</v>
      </c>
      <c r="O708" t="n">
        <v>0</v>
      </c>
      <c r="P708" t="n">
        <v>0</v>
      </c>
      <c r="Q708" t="n">
        <v>0</v>
      </c>
      <c r="R708" s="2" t="inlineStr"/>
    </row>
    <row r="709" ht="15" customHeight="1">
      <c r="A709" t="inlineStr">
        <is>
          <t>A 8759-2024</t>
        </is>
      </c>
      <c r="B709" s="1" t="n">
        <v>45356.52271990741</v>
      </c>
      <c r="C709" s="1" t="n">
        <v>46094</v>
      </c>
      <c r="D709" t="inlineStr">
        <is>
          <t>SKÅNE LÄN</t>
        </is>
      </c>
      <c r="E709" t="inlineStr">
        <is>
          <t>HÄSSLEHOLM</t>
        </is>
      </c>
      <c r="G709" t="n">
        <v>5.7</v>
      </c>
      <c r="H709" t="n">
        <v>0</v>
      </c>
      <c r="I709" t="n">
        <v>0</v>
      </c>
      <c r="J709" t="n">
        <v>0</v>
      </c>
      <c r="K709" t="n">
        <v>0</v>
      </c>
      <c r="L709" t="n">
        <v>0</v>
      </c>
      <c r="M709" t="n">
        <v>0</v>
      </c>
      <c r="N709" t="n">
        <v>0</v>
      </c>
      <c r="O709" t="n">
        <v>0</v>
      </c>
      <c r="P709" t="n">
        <v>0</v>
      </c>
      <c r="Q709" t="n">
        <v>0</v>
      </c>
      <c r="R709" s="2" t="inlineStr"/>
    </row>
    <row r="710" ht="15" customHeight="1">
      <c r="A710" t="inlineStr">
        <is>
          <t>A 57272-2023</t>
        </is>
      </c>
      <c r="B710" s="1" t="n">
        <v>45245</v>
      </c>
      <c r="C710" s="1" t="n">
        <v>46094</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34174-2025</t>
        </is>
      </c>
      <c r="B711" s="1" t="n">
        <v>45844</v>
      </c>
      <c r="C711" s="1" t="n">
        <v>46094</v>
      </c>
      <c r="D711" t="inlineStr">
        <is>
          <t>SKÅNE LÄN</t>
        </is>
      </c>
      <c r="E711" t="inlineStr">
        <is>
          <t>HÄSSLEHOLM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48624-2021</t>
        </is>
      </c>
      <c r="B712" s="1" t="n">
        <v>44452</v>
      </c>
      <c r="C712" s="1" t="n">
        <v>46094</v>
      </c>
      <c r="D712" t="inlineStr">
        <is>
          <t>SKÅNE LÄN</t>
        </is>
      </c>
      <c r="E712" t="inlineStr">
        <is>
          <t>HÄSSLEHOLM</t>
        </is>
      </c>
      <c r="G712" t="n">
        <v>2.2</v>
      </c>
      <c r="H712" t="n">
        <v>0</v>
      </c>
      <c r="I712" t="n">
        <v>0</v>
      </c>
      <c r="J712" t="n">
        <v>0</v>
      </c>
      <c r="K712" t="n">
        <v>0</v>
      </c>
      <c r="L712" t="n">
        <v>0</v>
      </c>
      <c r="M712" t="n">
        <v>0</v>
      </c>
      <c r="N712" t="n">
        <v>0</v>
      </c>
      <c r="O712" t="n">
        <v>0</v>
      </c>
      <c r="P712" t="n">
        <v>0</v>
      </c>
      <c r="Q712" t="n">
        <v>0</v>
      </c>
      <c r="R712" s="2" t="inlineStr"/>
    </row>
    <row r="713" ht="15" customHeight="1">
      <c r="A713" t="inlineStr">
        <is>
          <t>A 34177-2025</t>
        </is>
      </c>
      <c r="B713" s="1" t="n">
        <v>45844</v>
      </c>
      <c r="C713" s="1" t="n">
        <v>46094</v>
      </c>
      <c r="D713" t="inlineStr">
        <is>
          <t>SKÅNE LÄN</t>
        </is>
      </c>
      <c r="E713" t="inlineStr">
        <is>
          <t>HÄSSLEHOLM</t>
        </is>
      </c>
      <c r="G713" t="n">
        <v>3</v>
      </c>
      <c r="H713" t="n">
        <v>0</v>
      </c>
      <c r="I713" t="n">
        <v>0</v>
      </c>
      <c r="J713" t="n">
        <v>0</v>
      </c>
      <c r="K713" t="n">
        <v>0</v>
      </c>
      <c r="L713" t="n">
        <v>0</v>
      </c>
      <c r="M713" t="n">
        <v>0</v>
      </c>
      <c r="N713" t="n">
        <v>0</v>
      </c>
      <c r="O713" t="n">
        <v>0</v>
      </c>
      <c r="P713" t="n">
        <v>0</v>
      </c>
      <c r="Q713" t="n">
        <v>0</v>
      </c>
      <c r="R713" s="2" t="inlineStr"/>
    </row>
    <row r="714" ht="15" customHeight="1">
      <c r="A714" t="inlineStr">
        <is>
          <t>A 13856-2025</t>
        </is>
      </c>
      <c r="B714" s="1" t="n">
        <v>45737.57289351852</v>
      </c>
      <c r="C714" s="1" t="n">
        <v>46094</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33950-2025</t>
        </is>
      </c>
      <c r="B715" s="1" t="n">
        <v>45842</v>
      </c>
      <c r="C715" s="1" t="n">
        <v>46094</v>
      </c>
      <c r="D715" t="inlineStr">
        <is>
          <t>SKÅNE LÄN</t>
        </is>
      </c>
      <c r="E715" t="inlineStr">
        <is>
          <t>HÄSSLEHOLM</t>
        </is>
      </c>
      <c r="G715" t="n">
        <v>5.7</v>
      </c>
      <c r="H715" t="n">
        <v>0</v>
      </c>
      <c r="I715" t="n">
        <v>0</v>
      </c>
      <c r="J715" t="n">
        <v>0</v>
      </c>
      <c r="K715" t="n">
        <v>0</v>
      </c>
      <c r="L715" t="n">
        <v>0</v>
      </c>
      <c r="M715" t="n">
        <v>0</v>
      </c>
      <c r="N715" t="n">
        <v>0</v>
      </c>
      <c r="O715" t="n">
        <v>0</v>
      </c>
      <c r="P715" t="n">
        <v>0</v>
      </c>
      <c r="Q715" t="n">
        <v>0</v>
      </c>
      <c r="R715" s="2" t="inlineStr"/>
    </row>
    <row r="716" ht="15" customHeight="1">
      <c r="A716" t="inlineStr">
        <is>
          <t>A 48889-2024</t>
        </is>
      </c>
      <c r="B716" s="1" t="n">
        <v>45594.33754629629</v>
      </c>
      <c r="C716" s="1" t="n">
        <v>46094</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8263-2025</t>
        </is>
      </c>
      <c r="B717" s="1" t="n">
        <v>45708.50398148148</v>
      </c>
      <c r="C717" s="1" t="n">
        <v>46094</v>
      </c>
      <c r="D717" t="inlineStr">
        <is>
          <t>SKÅNE LÄN</t>
        </is>
      </c>
      <c r="E717" t="inlineStr">
        <is>
          <t>HÄSSLEHOLM</t>
        </is>
      </c>
      <c r="G717" t="n">
        <v>2.9</v>
      </c>
      <c r="H717" t="n">
        <v>0</v>
      </c>
      <c r="I717" t="n">
        <v>0</v>
      </c>
      <c r="J717" t="n">
        <v>0</v>
      </c>
      <c r="K717" t="n">
        <v>0</v>
      </c>
      <c r="L717" t="n">
        <v>0</v>
      </c>
      <c r="M717" t="n">
        <v>0</v>
      </c>
      <c r="N717" t="n">
        <v>0</v>
      </c>
      <c r="O717" t="n">
        <v>0</v>
      </c>
      <c r="P717" t="n">
        <v>0</v>
      </c>
      <c r="Q717" t="n">
        <v>0</v>
      </c>
      <c r="R717" s="2" t="inlineStr"/>
    </row>
    <row r="718" ht="15" customHeight="1">
      <c r="A718" t="inlineStr">
        <is>
          <t>A 29275-2023</t>
        </is>
      </c>
      <c r="B718" s="1" t="n">
        <v>45105</v>
      </c>
      <c r="C718" s="1" t="n">
        <v>46094</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59434-2023</t>
        </is>
      </c>
      <c r="B719" s="1" t="n">
        <v>45254.30440972222</v>
      </c>
      <c r="C719" s="1" t="n">
        <v>46094</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2290-2024</t>
        </is>
      </c>
      <c r="B720" s="1" t="n">
        <v>45310</v>
      </c>
      <c r="C720" s="1" t="n">
        <v>46094</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13018-2024</t>
        </is>
      </c>
      <c r="B721" s="1" t="n">
        <v>45385.58274305556</v>
      </c>
      <c r="C721" s="1" t="n">
        <v>46094</v>
      </c>
      <c r="D721" t="inlineStr">
        <is>
          <t>SKÅNE LÄN</t>
        </is>
      </c>
      <c r="E721" t="inlineStr">
        <is>
          <t>HÄSSLEHOLM</t>
        </is>
      </c>
      <c r="G721" t="n">
        <v>4.8</v>
      </c>
      <c r="H721" t="n">
        <v>0</v>
      </c>
      <c r="I721" t="n">
        <v>0</v>
      </c>
      <c r="J721" t="n">
        <v>0</v>
      </c>
      <c r="K721" t="n">
        <v>0</v>
      </c>
      <c r="L721" t="n">
        <v>0</v>
      </c>
      <c r="M721" t="n">
        <v>0</v>
      </c>
      <c r="N721" t="n">
        <v>0</v>
      </c>
      <c r="O721" t="n">
        <v>0</v>
      </c>
      <c r="P721" t="n">
        <v>0</v>
      </c>
      <c r="Q721" t="n">
        <v>0</v>
      </c>
      <c r="R721" s="2" t="inlineStr"/>
    </row>
    <row r="722" ht="15" customHeight="1">
      <c r="A722" t="inlineStr">
        <is>
          <t>A 34869-2025</t>
        </is>
      </c>
      <c r="B722" s="1" t="n">
        <v>45849</v>
      </c>
      <c r="C722" s="1" t="n">
        <v>46094</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33067-2024</t>
        </is>
      </c>
      <c r="B723" s="1" t="n">
        <v>45517.6520949074</v>
      </c>
      <c r="C723" s="1" t="n">
        <v>46094</v>
      </c>
      <c r="D723" t="inlineStr">
        <is>
          <t>SKÅNE LÄN</t>
        </is>
      </c>
      <c r="E723" t="inlineStr">
        <is>
          <t>HÄSSLEHOLM</t>
        </is>
      </c>
      <c r="G723" t="n">
        <v>0.4</v>
      </c>
      <c r="H723" t="n">
        <v>0</v>
      </c>
      <c r="I723" t="n">
        <v>0</v>
      </c>
      <c r="J723" t="n">
        <v>0</v>
      </c>
      <c r="K723" t="n">
        <v>0</v>
      </c>
      <c r="L723" t="n">
        <v>0</v>
      </c>
      <c r="M723" t="n">
        <v>0</v>
      </c>
      <c r="N723" t="n">
        <v>0</v>
      </c>
      <c r="O723" t="n">
        <v>0</v>
      </c>
      <c r="P723" t="n">
        <v>0</v>
      </c>
      <c r="Q723" t="n">
        <v>0</v>
      </c>
      <c r="R723" s="2" t="inlineStr"/>
    </row>
    <row r="724" ht="15" customHeight="1">
      <c r="A724" t="inlineStr">
        <is>
          <t>A 22595-2024</t>
        </is>
      </c>
      <c r="B724" s="1" t="n">
        <v>45447.61053240741</v>
      </c>
      <c r="C724" s="1" t="n">
        <v>46094</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60704-2023</t>
        </is>
      </c>
      <c r="B725" s="1" t="n">
        <v>45260.51340277777</v>
      </c>
      <c r="C725" s="1" t="n">
        <v>46094</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28236-2022</t>
        </is>
      </c>
      <c r="B726" s="1" t="n">
        <v>44746</v>
      </c>
      <c r="C726" s="1" t="n">
        <v>46094</v>
      </c>
      <c r="D726" t="inlineStr">
        <is>
          <t>SKÅNE LÄN</t>
        </is>
      </c>
      <c r="E726" t="inlineStr">
        <is>
          <t>HÄSSLEHOLM</t>
        </is>
      </c>
      <c r="G726" t="n">
        <v>3.5</v>
      </c>
      <c r="H726" t="n">
        <v>0</v>
      </c>
      <c r="I726" t="n">
        <v>0</v>
      </c>
      <c r="J726" t="n">
        <v>0</v>
      </c>
      <c r="K726" t="n">
        <v>0</v>
      </c>
      <c r="L726" t="n">
        <v>0</v>
      </c>
      <c r="M726" t="n">
        <v>0</v>
      </c>
      <c r="N726" t="n">
        <v>0</v>
      </c>
      <c r="O726" t="n">
        <v>0</v>
      </c>
      <c r="P726" t="n">
        <v>0</v>
      </c>
      <c r="Q726" t="n">
        <v>0</v>
      </c>
      <c r="R726" s="2" t="inlineStr"/>
    </row>
    <row r="727" ht="15" customHeight="1">
      <c r="A727" t="inlineStr">
        <is>
          <t>A 61625-2022</t>
        </is>
      </c>
      <c r="B727" s="1" t="n">
        <v>44916</v>
      </c>
      <c r="C727" s="1" t="n">
        <v>46094</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38829-2024</t>
        </is>
      </c>
      <c r="B728" s="1" t="n">
        <v>45547.57247685185</v>
      </c>
      <c r="C728" s="1" t="n">
        <v>46094</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13890-2024</t>
        </is>
      </c>
      <c r="B729" s="1" t="n">
        <v>45391</v>
      </c>
      <c r="C729" s="1" t="n">
        <v>46094</v>
      </c>
      <c r="D729" t="inlineStr">
        <is>
          <t>SKÅNE LÄN</t>
        </is>
      </c>
      <c r="E729" t="inlineStr">
        <is>
          <t>HÄSSLEHOLM</t>
        </is>
      </c>
      <c r="F729" t="inlineStr">
        <is>
          <t>Kommuner</t>
        </is>
      </c>
      <c r="G729" t="n">
        <v>1.4</v>
      </c>
      <c r="H729" t="n">
        <v>0</v>
      </c>
      <c r="I729" t="n">
        <v>0</v>
      </c>
      <c r="J729" t="n">
        <v>0</v>
      </c>
      <c r="K729" t="n">
        <v>0</v>
      </c>
      <c r="L729" t="n">
        <v>0</v>
      </c>
      <c r="M729" t="n">
        <v>0</v>
      </c>
      <c r="N729" t="n">
        <v>0</v>
      </c>
      <c r="O729" t="n">
        <v>0</v>
      </c>
      <c r="P729" t="n">
        <v>0</v>
      </c>
      <c r="Q729" t="n">
        <v>0</v>
      </c>
      <c r="R729" s="2" t="inlineStr"/>
    </row>
    <row r="730" ht="15" customHeight="1">
      <c r="A730" t="inlineStr">
        <is>
          <t>A 55218-2023</t>
        </is>
      </c>
      <c r="B730" s="1" t="n">
        <v>45237</v>
      </c>
      <c r="C730" s="1" t="n">
        <v>46094</v>
      </c>
      <c r="D730" t="inlineStr">
        <is>
          <t>SKÅNE LÄN</t>
        </is>
      </c>
      <c r="E730" t="inlineStr">
        <is>
          <t>HÄSSLEHOLM</t>
        </is>
      </c>
      <c r="G730" t="n">
        <v>2</v>
      </c>
      <c r="H730" t="n">
        <v>0</v>
      </c>
      <c r="I730" t="n">
        <v>0</v>
      </c>
      <c r="J730" t="n">
        <v>0</v>
      </c>
      <c r="K730" t="n">
        <v>0</v>
      </c>
      <c r="L730" t="n">
        <v>0</v>
      </c>
      <c r="M730" t="n">
        <v>0</v>
      </c>
      <c r="N730" t="n">
        <v>0</v>
      </c>
      <c r="O730" t="n">
        <v>0</v>
      </c>
      <c r="P730" t="n">
        <v>0</v>
      </c>
      <c r="Q730" t="n">
        <v>0</v>
      </c>
      <c r="R730" s="2" t="inlineStr"/>
    </row>
    <row r="731" ht="15" customHeight="1">
      <c r="A731" t="inlineStr">
        <is>
          <t>A 20279-2025</t>
        </is>
      </c>
      <c r="B731" s="1" t="n">
        <v>45774.38643518519</v>
      </c>
      <c r="C731" s="1" t="n">
        <v>46094</v>
      </c>
      <c r="D731" t="inlineStr">
        <is>
          <t>SKÅNE LÄN</t>
        </is>
      </c>
      <c r="E731" t="inlineStr">
        <is>
          <t>HÄSSLEHOLM</t>
        </is>
      </c>
      <c r="G731" t="n">
        <v>0.8</v>
      </c>
      <c r="H731" t="n">
        <v>0</v>
      </c>
      <c r="I731" t="n">
        <v>0</v>
      </c>
      <c r="J731" t="n">
        <v>0</v>
      </c>
      <c r="K731" t="n">
        <v>0</v>
      </c>
      <c r="L731" t="n">
        <v>0</v>
      </c>
      <c r="M731" t="n">
        <v>0</v>
      </c>
      <c r="N731" t="n">
        <v>0</v>
      </c>
      <c r="O731" t="n">
        <v>0</v>
      </c>
      <c r="P731" t="n">
        <v>0</v>
      </c>
      <c r="Q731" t="n">
        <v>0</v>
      </c>
      <c r="R731" s="2" t="inlineStr"/>
    </row>
    <row r="732" ht="15" customHeight="1">
      <c r="A732" t="inlineStr">
        <is>
          <t>A 59431-2023</t>
        </is>
      </c>
      <c r="B732" s="1" t="n">
        <v>45254.29207175926</v>
      </c>
      <c r="C732" s="1" t="n">
        <v>46094</v>
      </c>
      <c r="D732" t="inlineStr">
        <is>
          <t>SKÅNE LÄN</t>
        </is>
      </c>
      <c r="E732" t="inlineStr">
        <is>
          <t>HÄSSLEHOLM</t>
        </is>
      </c>
      <c r="G732" t="n">
        <v>1.7</v>
      </c>
      <c r="H732" t="n">
        <v>0</v>
      </c>
      <c r="I732" t="n">
        <v>0</v>
      </c>
      <c r="J732" t="n">
        <v>0</v>
      </c>
      <c r="K732" t="n">
        <v>0</v>
      </c>
      <c r="L732" t="n">
        <v>0</v>
      </c>
      <c r="M732" t="n">
        <v>0</v>
      </c>
      <c r="N732" t="n">
        <v>0</v>
      </c>
      <c r="O732" t="n">
        <v>0</v>
      </c>
      <c r="P732" t="n">
        <v>0</v>
      </c>
      <c r="Q732" t="n">
        <v>0</v>
      </c>
      <c r="R732" s="2" t="inlineStr"/>
    </row>
    <row r="733" ht="15" customHeight="1">
      <c r="A733" t="inlineStr">
        <is>
          <t>A 59433-2023</t>
        </is>
      </c>
      <c r="B733" s="1" t="n">
        <v>45254.29768518519</v>
      </c>
      <c r="C733" s="1" t="n">
        <v>46094</v>
      </c>
      <c r="D733" t="inlineStr">
        <is>
          <t>SKÅNE LÄN</t>
        </is>
      </c>
      <c r="E733" t="inlineStr">
        <is>
          <t>HÄSSLEHOLM</t>
        </is>
      </c>
      <c r="G733" t="n">
        <v>3.1</v>
      </c>
      <c r="H733" t="n">
        <v>0</v>
      </c>
      <c r="I733" t="n">
        <v>0</v>
      </c>
      <c r="J733" t="n">
        <v>0</v>
      </c>
      <c r="K733" t="n">
        <v>0</v>
      </c>
      <c r="L733" t="n">
        <v>0</v>
      </c>
      <c r="M733" t="n">
        <v>0</v>
      </c>
      <c r="N733" t="n">
        <v>0</v>
      </c>
      <c r="O733" t="n">
        <v>0</v>
      </c>
      <c r="P733" t="n">
        <v>0</v>
      </c>
      <c r="Q733" t="n">
        <v>0</v>
      </c>
      <c r="R733" s="2" t="inlineStr"/>
    </row>
    <row r="734" ht="15" customHeight="1">
      <c r="A734" t="inlineStr">
        <is>
          <t>A 55416-2021</t>
        </is>
      </c>
      <c r="B734" s="1" t="n">
        <v>44475</v>
      </c>
      <c r="C734" s="1" t="n">
        <v>46094</v>
      </c>
      <c r="D734" t="inlineStr">
        <is>
          <t>SKÅNE LÄN</t>
        </is>
      </c>
      <c r="E734" t="inlineStr">
        <is>
          <t>HÄSSLEHOLM</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46288-2023</t>
        </is>
      </c>
      <c r="B735" s="1" t="n">
        <v>45197.30221064815</v>
      </c>
      <c r="C735" s="1" t="n">
        <v>46094</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49106-2023</t>
        </is>
      </c>
      <c r="B736" s="1" t="n">
        <v>45210</v>
      </c>
      <c r="C736" s="1" t="n">
        <v>46094</v>
      </c>
      <c r="D736" t="inlineStr">
        <is>
          <t>SKÅNE LÄN</t>
        </is>
      </c>
      <c r="E736" t="inlineStr">
        <is>
          <t>HÄSSLEHOLM</t>
        </is>
      </c>
      <c r="G736" t="n">
        <v>0.3</v>
      </c>
      <c r="H736" t="n">
        <v>0</v>
      </c>
      <c r="I736" t="n">
        <v>0</v>
      </c>
      <c r="J736" t="n">
        <v>0</v>
      </c>
      <c r="K736" t="n">
        <v>0</v>
      </c>
      <c r="L736" t="n">
        <v>0</v>
      </c>
      <c r="M736" t="n">
        <v>0</v>
      </c>
      <c r="N736" t="n">
        <v>0</v>
      </c>
      <c r="O736" t="n">
        <v>0</v>
      </c>
      <c r="P736" t="n">
        <v>0</v>
      </c>
      <c r="Q736" t="n">
        <v>0</v>
      </c>
      <c r="R736" s="2" t="inlineStr"/>
    </row>
    <row r="737" ht="15" customHeight="1">
      <c r="A737" t="inlineStr">
        <is>
          <t>A 20970-2025</t>
        </is>
      </c>
      <c r="B737" s="1" t="n">
        <v>45777.45417824074</v>
      </c>
      <c r="C737" s="1" t="n">
        <v>46094</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4579-2025</t>
        </is>
      </c>
      <c r="B738" s="1" t="n">
        <v>45687.5009375</v>
      </c>
      <c r="C738" s="1" t="n">
        <v>46094</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21141-2024</t>
        </is>
      </c>
      <c r="B739" s="1" t="n">
        <v>45440.39012731481</v>
      </c>
      <c r="C739" s="1" t="n">
        <v>46094</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49379-2021</t>
        </is>
      </c>
      <c r="B740" s="1" t="n">
        <v>44454</v>
      </c>
      <c r="C740" s="1" t="n">
        <v>46094</v>
      </c>
      <c r="D740" t="inlineStr">
        <is>
          <t>SKÅNE LÄN</t>
        </is>
      </c>
      <c r="E740" t="inlineStr">
        <is>
          <t>HÄSSLEHOLM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10409-2024</t>
        </is>
      </c>
      <c r="B741" s="1" t="n">
        <v>45365.6978125</v>
      </c>
      <c r="C741" s="1" t="n">
        <v>46094</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36240-2023</t>
        </is>
      </c>
      <c r="B742" s="1" t="n">
        <v>45150.89295138889</v>
      </c>
      <c r="C742" s="1" t="n">
        <v>46094</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35259-2025</t>
        </is>
      </c>
      <c r="B743" s="1" t="n">
        <v>45853.76912037037</v>
      </c>
      <c r="C743" s="1" t="n">
        <v>46094</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47248-2023</t>
        </is>
      </c>
      <c r="B744" s="1" t="n">
        <v>45202</v>
      </c>
      <c r="C744" s="1" t="n">
        <v>46094</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20990-2023</t>
        </is>
      </c>
      <c r="B745" s="1" t="n">
        <v>45061.46186342592</v>
      </c>
      <c r="C745" s="1" t="n">
        <v>46094</v>
      </c>
      <c r="D745" t="inlineStr">
        <is>
          <t>SKÅNE LÄN</t>
        </is>
      </c>
      <c r="E745" t="inlineStr">
        <is>
          <t>HÄSSLEHOLM</t>
        </is>
      </c>
      <c r="G745" t="n">
        <v>2.8</v>
      </c>
      <c r="H745" t="n">
        <v>0</v>
      </c>
      <c r="I745" t="n">
        <v>0</v>
      </c>
      <c r="J745" t="n">
        <v>0</v>
      </c>
      <c r="K745" t="n">
        <v>0</v>
      </c>
      <c r="L745" t="n">
        <v>0</v>
      </c>
      <c r="M745" t="n">
        <v>0</v>
      </c>
      <c r="N745" t="n">
        <v>0</v>
      </c>
      <c r="O745" t="n">
        <v>0</v>
      </c>
      <c r="P745" t="n">
        <v>0</v>
      </c>
      <c r="Q745" t="n">
        <v>0</v>
      </c>
      <c r="R745" s="2" t="inlineStr"/>
    </row>
    <row r="746" ht="15" customHeight="1">
      <c r="A746" t="inlineStr">
        <is>
          <t>A 17413-2025</t>
        </is>
      </c>
      <c r="B746" s="1" t="n">
        <v>45757.37480324074</v>
      </c>
      <c r="C746" s="1" t="n">
        <v>46094</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13851-2025</t>
        </is>
      </c>
      <c r="B747" s="1" t="n">
        <v>45737.56777777777</v>
      </c>
      <c r="C747" s="1" t="n">
        <v>46094</v>
      </c>
      <c r="D747" t="inlineStr">
        <is>
          <t>SKÅNE LÄN</t>
        </is>
      </c>
      <c r="E747" t="inlineStr">
        <is>
          <t>HÄSSLEHOLM</t>
        </is>
      </c>
      <c r="G747" t="n">
        <v>3</v>
      </c>
      <c r="H747" t="n">
        <v>0</v>
      </c>
      <c r="I747" t="n">
        <v>0</v>
      </c>
      <c r="J747" t="n">
        <v>0</v>
      </c>
      <c r="K747" t="n">
        <v>0</v>
      </c>
      <c r="L747" t="n">
        <v>0</v>
      </c>
      <c r="M747" t="n">
        <v>0</v>
      </c>
      <c r="N747" t="n">
        <v>0</v>
      </c>
      <c r="O747" t="n">
        <v>0</v>
      </c>
      <c r="P747" t="n">
        <v>0</v>
      </c>
      <c r="Q747" t="n">
        <v>0</v>
      </c>
      <c r="R747" s="2" t="inlineStr"/>
    </row>
    <row r="748" ht="15" customHeight="1">
      <c r="A748" t="inlineStr">
        <is>
          <t>A 12469-2023</t>
        </is>
      </c>
      <c r="B748" s="1" t="n">
        <v>44999.62109953703</v>
      </c>
      <c r="C748" s="1" t="n">
        <v>46094</v>
      </c>
      <c r="D748" t="inlineStr">
        <is>
          <t>SKÅNE LÄN</t>
        </is>
      </c>
      <c r="E748" t="inlineStr">
        <is>
          <t>HÄSSLEHOLM</t>
        </is>
      </c>
      <c r="G748" t="n">
        <v>2.6</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46094</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45400-2022</t>
        </is>
      </c>
      <c r="B750" s="1" t="n">
        <v>44844.713125</v>
      </c>
      <c r="C750" s="1" t="n">
        <v>46094</v>
      </c>
      <c r="D750" t="inlineStr">
        <is>
          <t>SKÅNE LÄN</t>
        </is>
      </c>
      <c r="E750" t="inlineStr">
        <is>
          <t>HÄSSLEHOLM</t>
        </is>
      </c>
      <c r="G750" t="n">
        <v>1.6</v>
      </c>
      <c r="H750" t="n">
        <v>0</v>
      </c>
      <c r="I750" t="n">
        <v>0</v>
      </c>
      <c r="J750" t="n">
        <v>0</v>
      </c>
      <c r="K750" t="n">
        <v>0</v>
      </c>
      <c r="L750" t="n">
        <v>0</v>
      </c>
      <c r="M750" t="n">
        <v>0</v>
      </c>
      <c r="N750" t="n">
        <v>0</v>
      </c>
      <c r="O750" t="n">
        <v>0</v>
      </c>
      <c r="P750" t="n">
        <v>0</v>
      </c>
      <c r="Q750" t="n">
        <v>0</v>
      </c>
      <c r="R750" s="2" t="inlineStr"/>
    </row>
    <row r="751" ht="15" customHeight="1">
      <c r="A751" t="inlineStr">
        <is>
          <t>A 57277-2023</t>
        </is>
      </c>
      <c r="B751" s="1" t="n">
        <v>45245.59104166667</v>
      </c>
      <c r="C751" s="1" t="n">
        <v>46094</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9555-2025</t>
        </is>
      </c>
      <c r="B752" s="1" t="n">
        <v>45714</v>
      </c>
      <c r="C752" s="1" t="n">
        <v>46094</v>
      </c>
      <c r="D752" t="inlineStr">
        <is>
          <t>SKÅNE LÄN</t>
        </is>
      </c>
      <c r="E752" t="inlineStr">
        <is>
          <t>HÄSSLEHOLM</t>
        </is>
      </c>
      <c r="G752" t="n">
        <v>5.4</v>
      </c>
      <c r="H752" t="n">
        <v>0</v>
      </c>
      <c r="I752" t="n">
        <v>0</v>
      </c>
      <c r="J752" t="n">
        <v>0</v>
      </c>
      <c r="K752" t="n">
        <v>0</v>
      </c>
      <c r="L752" t="n">
        <v>0</v>
      </c>
      <c r="M752" t="n">
        <v>0</v>
      </c>
      <c r="N752" t="n">
        <v>0</v>
      </c>
      <c r="O752" t="n">
        <v>0</v>
      </c>
      <c r="P752" t="n">
        <v>0</v>
      </c>
      <c r="Q752" t="n">
        <v>0</v>
      </c>
      <c r="R752" s="2" t="inlineStr"/>
    </row>
    <row r="753" ht="15" customHeight="1">
      <c r="A753" t="inlineStr">
        <is>
          <t>A 40241-2025</t>
        </is>
      </c>
      <c r="B753" s="1" t="n">
        <v>45894.87251157407</v>
      </c>
      <c r="C753" s="1" t="n">
        <v>46094</v>
      </c>
      <c r="D753" t="inlineStr">
        <is>
          <t>SKÅNE LÄN</t>
        </is>
      </c>
      <c r="E753" t="inlineStr">
        <is>
          <t>HÄSSLEHOLM</t>
        </is>
      </c>
      <c r="G753" t="n">
        <v>3.8</v>
      </c>
      <c r="H753" t="n">
        <v>0</v>
      </c>
      <c r="I753" t="n">
        <v>0</v>
      </c>
      <c r="J753" t="n">
        <v>0</v>
      </c>
      <c r="K753" t="n">
        <v>0</v>
      </c>
      <c r="L753" t="n">
        <v>0</v>
      </c>
      <c r="M753" t="n">
        <v>0</v>
      </c>
      <c r="N753" t="n">
        <v>0</v>
      </c>
      <c r="O753" t="n">
        <v>0</v>
      </c>
      <c r="P753" t="n">
        <v>0</v>
      </c>
      <c r="Q753" t="n">
        <v>0</v>
      </c>
      <c r="R753" s="2" t="inlineStr"/>
    </row>
    <row r="754" ht="15" customHeight="1">
      <c r="A754" t="inlineStr">
        <is>
          <t>A 13961-2023</t>
        </is>
      </c>
      <c r="B754" s="1" t="n">
        <v>45008</v>
      </c>
      <c r="C754" s="1" t="n">
        <v>46094</v>
      </c>
      <c r="D754" t="inlineStr">
        <is>
          <t>SKÅNE LÄN</t>
        </is>
      </c>
      <c r="E754" t="inlineStr">
        <is>
          <t>HÄSSLEHOLM</t>
        </is>
      </c>
      <c r="G754" t="n">
        <v>3.8</v>
      </c>
      <c r="H754" t="n">
        <v>0</v>
      </c>
      <c r="I754" t="n">
        <v>0</v>
      </c>
      <c r="J754" t="n">
        <v>0</v>
      </c>
      <c r="K754" t="n">
        <v>0</v>
      </c>
      <c r="L754" t="n">
        <v>0</v>
      </c>
      <c r="M754" t="n">
        <v>0</v>
      </c>
      <c r="N754" t="n">
        <v>0</v>
      </c>
      <c r="O754" t="n">
        <v>0</v>
      </c>
      <c r="P754" t="n">
        <v>0</v>
      </c>
      <c r="Q754" t="n">
        <v>0</v>
      </c>
      <c r="R754" s="2" t="inlineStr"/>
    </row>
    <row r="755" ht="15" customHeight="1">
      <c r="A755" t="inlineStr">
        <is>
          <t>A 7581-2023</t>
        </is>
      </c>
      <c r="B755" s="1" t="n">
        <v>44972.39556712963</v>
      </c>
      <c r="C755" s="1" t="n">
        <v>46094</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48191-2021</t>
        </is>
      </c>
      <c r="B756" s="1" t="n">
        <v>44449</v>
      </c>
      <c r="C756" s="1" t="n">
        <v>46094</v>
      </c>
      <c r="D756" t="inlineStr">
        <is>
          <t>SKÅNE LÄN</t>
        </is>
      </c>
      <c r="E756" t="inlineStr">
        <is>
          <t>HÄSSLEHOLM</t>
        </is>
      </c>
      <c r="G756" t="n">
        <v>6</v>
      </c>
      <c r="H756" t="n">
        <v>0</v>
      </c>
      <c r="I756" t="n">
        <v>0</v>
      </c>
      <c r="J756" t="n">
        <v>0</v>
      </c>
      <c r="K756" t="n">
        <v>0</v>
      </c>
      <c r="L756" t="n">
        <v>0</v>
      </c>
      <c r="M756" t="n">
        <v>0</v>
      </c>
      <c r="N756" t="n">
        <v>0</v>
      </c>
      <c r="O756" t="n">
        <v>0</v>
      </c>
      <c r="P756" t="n">
        <v>0</v>
      </c>
      <c r="Q756" t="n">
        <v>0</v>
      </c>
      <c r="R756" s="2" t="inlineStr"/>
    </row>
    <row r="757" ht="15" customHeight="1">
      <c r="A757" t="inlineStr">
        <is>
          <t>A 5282-2023</t>
        </is>
      </c>
      <c r="B757" s="1" t="n">
        <v>44959.50471064815</v>
      </c>
      <c r="C757" s="1" t="n">
        <v>46094</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52548-2023</t>
        </is>
      </c>
      <c r="B758" s="1" t="n">
        <v>45218</v>
      </c>
      <c r="C758" s="1" t="n">
        <v>46094</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12503-2022</t>
        </is>
      </c>
      <c r="B759" s="1" t="n">
        <v>44638</v>
      </c>
      <c r="C759" s="1" t="n">
        <v>46094</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36259-2025</t>
        </is>
      </c>
      <c r="B760" s="1" t="n">
        <v>45867.59799768519</v>
      </c>
      <c r="C760" s="1" t="n">
        <v>46094</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35150-2023</t>
        </is>
      </c>
      <c r="B761" s="1" t="n">
        <v>45145</v>
      </c>
      <c r="C761" s="1" t="n">
        <v>46094</v>
      </c>
      <c r="D761" t="inlineStr">
        <is>
          <t>SKÅNE LÄN</t>
        </is>
      </c>
      <c r="E761" t="inlineStr">
        <is>
          <t>HÄSSLEHOLM</t>
        </is>
      </c>
      <c r="G761" t="n">
        <v>4.9</v>
      </c>
      <c r="H761" t="n">
        <v>0</v>
      </c>
      <c r="I761" t="n">
        <v>0</v>
      </c>
      <c r="J761" t="n">
        <v>0</v>
      </c>
      <c r="K761" t="n">
        <v>0</v>
      </c>
      <c r="L761" t="n">
        <v>0</v>
      </c>
      <c r="M761" t="n">
        <v>0</v>
      </c>
      <c r="N761" t="n">
        <v>0</v>
      </c>
      <c r="O761" t="n">
        <v>0</v>
      </c>
      <c r="P761" t="n">
        <v>0</v>
      </c>
      <c r="Q761" t="n">
        <v>0</v>
      </c>
      <c r="R761" s="2" t="inlineStr"/>
    </row>
    <row r="762" ht="15" customHeight="1">
      <c r="A762" t="inlineStr">
        <is>
          <t>A 36130-2025</t>
        </is>
      </c>
      <c r="B762" s="1" t="n">
        <v>45866.62273148148</v>
      </c>
      <c r="C762" s="1" t="n">
        <v>46094</v>
      </c>
      <c r="D762" t="inlineStr">
        <is>
          <t>SKÅNE LÄN</t>
        </is>
      </c>
      <c r="E762" t="inlineStr">
        <is>
          <t>HÄSSLEHOLM</t>
        </is>
      </c>
      <c r="G762" t="n">
        <v>4.7</v>
      </c>
      <c r="H762" t="n">
        <v>0</v>
      </c>
      <c r="I762" t="n">
        <v>0</v>
      </c>
      <c r="J762" t="n">
        <v>0</v>
      </c>
      <c r="K762" t="n">
        <v>0</v>
      </c>
      <c r="L762" t="n">
        <v>0</v>
      </c>
      <c r="M762" t="n">
        <v>0</v>
      </c>
      <c r="N762" t="n">
        <v>0</v>
      </c>
      <c r="O762" t="n">
        <v>0</v>
      </c>
      <c r="P762" t="n">
        <v>0</v>
      </c>
      <c r="Q762" t="n">
        <v>0</v>
      </c>
      <c r="R762" s="2" t="inlineStr"/>
    </row>
    <row r="763" ht="15" customHeight="1">
      <c r="A763" t="inlineStr">
        <is>
          <t>A 9485-2023</t>
        </is>
      </c>
      <c r="B763" s="1" t="n">
        <v>44981.60901620371</v>
      </c>
      <c r="C763" s="1" t="n">
        <v>46094</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46094</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61929-2023</t>
        </is>
      </c>
      <c r="B765" s="1" t="n">
        <v>45266</v>
      </c>
      <c r="C765" s="1" t="n">
        <v>46094</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13555-2025</t>
        </is>
      </c>
      <c r="B766" s="1" t="n">
        <v>45736</v>
      </c>
      <c r="C766" s="1" t="n">
        <v>46094</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18041-2023</t>
        </is>
      </c>
      <c r="B767" s="1" t="n">
        <v>45040</v>
      </c>
      <c r="C767" s="1" t="n">
        <v>46094</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19666-2025</t>
        </is>
      </c>
      <c r="B768" s="1" t="n">
        <v>45770.69326388889</v>
      </c>
      <c r="C768" s="1" t="n">
        <v>46094</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49250-2022</t>
        </is>
      </c>
      <c r="B769" s="1" t="n">
        <v>44858</v>
      </c>
      <c r="C769" s="1" t="n">
        <v>46094</v>
      </c>
      <c r="D769" t="inlineStr">
        <is>
          <t>SKÅNE LÄN</t>
        </is>
      </c>
      <c r="E769" t="inlineStr">
        <is>
          <t>HÄSSLEHOLM</t>
        </is>
      </c>
      <c r="F769" t="inlineStr">
        <is>
          <t>Kyrkan</t>
        </is>
      </c>
      <c r="G769" t="n">
        <v>1.5</v>
      </c>
      <c r="H769" t="n">
        <v>0</v>
      </c>
      <c r="I769" t="n">
        <v>0</v>
      </c>
      <c r="J769" t="n">
        <v>0</v>
      </c>
      <c r="K769" t="n">
        <v>0</v>
      </c>
      <c r="L769" t="n">
        <v>0</v>
      </c>
      <c r="M769" t="n">
        <v>0</v>
      </c>
      <c r="N769" t="n">
        <v>0</v>
      </c>
      <c r="O769" t="n">
        <v>0</v>
      </c>
      <c r="P769" t="n">
        <v>0</v>
      </c>
      <c r="Q769" t="n">
        <v>0</v>
      </c>
      <c r="R769" s="2" t="inlineStr"/>
    </row>
    <row r="770" ht="15" customHeight="1">
      <c r="A770" t="inlineStr">
        <is>
          <t>A 36359-2025</t>
        </is>
      </c>
      <c r="B770" s="1" t="n">
        <v>45867</v>
      </c>
      <c r="C770" s="1" t="n">
        <v>46094</v>
      </c>
      <c r="D770" t="inlineStr">
        <is>
          <t>SKÅNE LÄN</t>
        </is>
      </c>
      <c r="E770" t="inlineStr">
        <is>
          <t>HÄSSLEHOLM</t>
        </is>
      </c>
      <c r="G770" t="n">
        <v>2.2</v>
      </c>
      <c r="H770" t="n">
        <v>0</v>
      </c>
      <c r="I770" t="n">
        <v>0</v>
      </c>
      <c r="J770" t="n">
        <v>0</v>
      </c>
      <c r="K770" t="n">
        <v>0</v>
      </c>
      <c r="L770" t="n">
        <v>0</v>
      </c>
      <c r="M770" t="n">
        <v>0</v>
      </c>
      <c r="N770" t="n">
        <v>0</v>
      </c>
      <c r="O770" t="n">
        <v>0</v>
      </c>
      <c r="P770" t="n">
        <v>0</v>
      </c>
      <c r="Q770" t="n">
        <v>0</v>
      </c>
      <c r="R770" s="2" t="inlineStr"/>
    </row>
    <row r="771" ht="15" customHeight="1">
      <c r="A771" t="inlineStr">
        <is>
          <t>A 36361-2025</t>
        </is>
      </c>
      <c r="B771" s="1" t="n">
        <v>45867</v>
      </c>
      <c r="C771" s="1" t="n">
        <v>46094</v>
      </c>
      <c r="D771" t="inlineStr">
        <is>
          <t>SKÅNE LÄN</t>
        </is>
      </c>
      <c r="E771" t="inlineStr">
        <is>
          <t>HÄSSLEHOLM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36085-2025</t>
        </is>
      </c>
      <c r="B772" s="1" t="n">
        <v>45866.46190972222</v>
      </c>
      <c r="C772" s="1" t="n">
        <v>46094</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44940-2023</t>
        </is>
      </c>
      <c r="B773" s="1" t="n">
        <v>45190.68653935185</v>
      </c>
      <c r="C773" s="1" t="n">
        <v>46094</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36358-2025</t>
        </is>
      </c>
      <c r="B774" s="1" t="n">
        <v>45867</v>
      </c>
      <c r="C774" s="1" t="n">
        <v>46094</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25533-2024</t>
        </is>
      </c>
      <c r="B775" s="1" t="n">
        <v>45463</v>
      </c>
      <c r="C775" s="1" t="n">
        <v>46094</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46094</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27197-2021</t>
        </is>
      </c>
      <c r="B777" s="1" t="n">
        <v>44350</v>
      </c>
      <c r="C777" s="1" t="n">
        <v>46094</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45222-2023</t>
        </is>
      </c>
      <c r="B778" s="1" t="n">
        <v>45191</v>
      </c>
      <c r="C778" s="1" t="n">
        <v>46094</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35890-2023</t>
        </is>
      </c>
      <c r="B779" s="1" t="n">
        <v>45148</v>
      </c>
      <c r="C779" s="1" t="n">
        <v>46094</v>
      </c>
      <c r="D779" t="inlineStr">
        <is>
          <t>SKÅNE LÄN</t>
        </is>
      </c>
      <c r="E779" t="inlineStr">
        <is>
          <t>HÄSSLEHOLM</t>
        </is>
      </c>
      <c r="G779" t="n">
        <v>2</v>
      </c>
      <c r="H779" t="n">
        <v>0</v>
      </c>
      <c r="I779" t="n">
        <v>0</v>
      </c>
      <c r="J779" t="n">
        <v>0</v>
      </c>
      <c r="K779" t="n">
        <v>0</v>
      </c>
      <c r="L779" t="n">
        <v>0</v>
      </c>
      <c r="M779" t="n">
        <v>0</v>
      </c>
      <c r="N779" t="n">
        <v>0</v>
      </c>
      <c r="O779" t="n">
        <v>0</v>
      </c>
      <c r="P779" t="n">
        <v>0</v>
      </c>
      <c r="Q779" t="n">
        <v>0</v>
      </c>
      <c r="R779" s="2" t="inlineStr"/>
    </row>
    <row r="780" ht="15" customHeight="1">
      <c r="A780" t="inlineStr">
        <is>
          <t>A 35895-2023</t>
        </is>
      </c>
      <c r="B780" s="1" t="n">
        <v>45148</v>
      </c>
      <c r="C780" s="1" t="n">
        <v>46094</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61569-2023</t>
        </is>
      </c>
      <c r="B781" s="1" t="n">
        <v>45265</v>
      </c>
      <c r="C781" s="1" t="n">
        <v>46094</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22696-2023</t>
        </is>
      </c>
      <c r="B782" s="1" t="n">
        <v>45071.69464120371</v>
      </c>
      <c r="C782" s="1" t="n">
        <v>46094</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52235-2021</t>
        </is>
      </c>
      <c r="B783" s="1" t="n">
        <v>44463.60085648148</v>
      </c>
      <c r="C783" s="1" t="n">
        <v>46094</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52337-2023</t>
        </is>
      </c>
      <c r="B784" s="1" t="n">
        <v>45224.66359953704</v>
      </c>
      <c r="C784" s="1" t="n">
        <v>46094</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23955-2023</t>
        </is>
      </c>
      <c r="B785" s="1" t="n">
        <v>45078.62217592593</v>
      </c>
      <c r="C785" s="1" t="n">
        <v>46094</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10897-2023</t>
        </is>
      </c>
      <c r="B786" s="1" t="n">
        <v>44985</v>
      </c>
      <c r="C786" s="1" t="n">
        <v>46094</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50571-2023</t>
        </is>
      </c>
      <c r="B787" s="1" t="n">
        <v>45217.38359953704</v>
      </c>
      <c r="C787" s="1" t="n">
        <v>46094</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18908-2023</t>
        </is>
      </c>
      <c r="B788" s="1" t="n">
        <v>45044</v>
      </c>
      <c r="C788" s="1" t="n">
        <v>46094</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10028-2024</t>
        </is>
      </c>
      <c r="B789" s="1" t="n">
        <v>45363.97292824074</v>
      </c>
      <c r="C789" s="1" t="n">
        <v>46094</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54471-2023</t>
        </is>
      </c>
      <c r="B790" s="1" t="n">
        <v>45233.4640162037</v>
      </c>
      <c r="C790" s="1" t="n">
        <v>46094</v>
      </c>
      <c r="D790" t="inlineStr">
        <is>
          <t>SKÅNE LÄN</t>
        </is>
      </c>
      <c r="E790" t="inlineStr">
        <is>
          <t>HÄSSLEHOLM</t>
        </is>
      </c>
      <c r="G790" t="n">
        <v>1.4</v>
      </c>
      <c r="H790" t="n">
        <v>0</v>
      </c>
      <c r="I790" t="n">
        <v>0</v>
      </c>
      <c r="J790" t="n">
        <v>0</v>
      </c>
      <c r="K790" t="n">
        <v>0</v>
      </c>
      <c r="L790" t="n">
        <v>0</v>
      </c>
      <c r="M790" t="n">
        <v>0</v>
      </c>
      <c r="N790" t="n">
        <v>0</v>
      </c>
      <c r="O790" t="n">
        <v>0</v>
      </c>
      <c r="P790" t="n">
        <v>0</v>
      </c>
      <c r="Q790" t="n">
        <v>0</v>
      </c>
      <c r="R790" s="2" t="inlineStr"/>
    </row>
    <row r="791" ht="15" customHeight="1">
      <c r="A791" t="inlineStr">
        <is>
          <t>A 13084-2025</t>
        </is>
      </c>
      <c r="B791" s="1" t="n">
        <v>45734</v>
      </c>
      <c r="C791" s="1" t="n">
        <v>46094</v>
      </c>
      <c r="D791" t="inlineStr">
        <is>
          <t>SKÅNE LÄN</t>
        </is>
      </c>
      <c r="E791" t="inlineStr">
        <is>
          <t>HÄSSLEHOLM</t>
        </is>
      </c>
      <c r="G791" t="n">
        <v>2.3</v>
      </c>
      <c r="H791" t="n">
        <v>0</v>
      </c>
      <c r="I791" t="n">
        <v>0</v>
      </c>
      <c r="J791" t="n">
        <v>0</v>
      </c>
      <c r="K791" t="n">
        <v>0</v>
      </c>
      <c r="L791" t="n">
        <v>0</v>
      </c>
      <c r="M791" t="n">
        <v>0</v>
      </c>
      <c r="N791" t="n">
        <v>0</v>
      </c>
      <c r="O791" t="n">
        <v>0</v>
      </c>
      <c r="P791" t="n">
        <v>0</v>
      </c>
      <c r="Q791" t="n">
        <v>0</v>
      </c>
      <c r="R791" s="2" t="inlineStr"/>
    </row>
    <row r="792" ht="15" customHeight="1">
      <c r="A792" t="inlineStr">
        <is>
          <t>A 16285-2025</t>
        </is>
      </c>
      <c r="B792" s="1" t="n">
        <v>45751.30045138889</v>
      </c>
      <c r="C792" s="1" t="n">
        <v>46094</v>
      </c>
      <c r="D792" t="inlineStr">
        <is>
          <t>SKÅNE LÄN</t>
        </is>
      </c>
      <c r="E792" t="inlineStr">
        <is>
          <t>HÄSSLEHOLM</t>
        </is>
      </c>
      <c r="G792" t="n">
        <v>2</v>
      </c>
      <c r="H792" t="n">
        <v>0</v>
      </c>
      <c r="I792" t="n">
        <v>0</v>
      </c>
      <c r="J792" t="n">
        <v>0</v>
      </c>
      <c r="K792" t="n">
        <v>0</v>
      </c>
      <c r="L792" t="n">
        <v>0</v>
      </c>
      <c r="M792" t="n">
        <v>0</v>
      </c>
      <c r="N792" t="n">
        <v>0</v>
      </c>
      <c r="O792" t="n">
        <v>0</v>
      </c>
      <c r="P792" t="n">
        <v>0</v>
      </c>
      <c r="Q792" t="n">
        <v>0</v>
      </c>
      <c r="R792" s="2" t="inlineStr"/>
    </row>
    <row r="793" ht="15" customHeight="1">
      <c r="A793" t="inlineStr">
        <is>
          <t>A 46000-2021</t>
        </is>
      </c>
      <c r="B793" s="1" t="n">
        <v>44441</v>
      </c>
      <c r="C793" s="1" t="n">
        <v>46094</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50607-2023</t>
        </is>
      </c>
      <c r="B794" s="1" t="n">
        <v>45210</v>
      </c>
      <c r="C794" s="1" t="n">
        <v>46094</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38148-2022</t>
        </is>
      </c>
      <c r="B795" s="1" t="n">
        <v>44811</v>
      </c>
      <c r="C795" s="1" t="n">
        <v>46094</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31944-2023</t>
        </is>
      </c>
      <c r="B796" s="1" t="n">
        <v>45119.34895833334</v>
      </c>
      <c r="C796" s="1" t="n">
        <v>46094</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1706-2025</t>
        </is>
      </c>
      <c r="B797" s="1" t="n">
        <v>45670</v>
      </c>
      <c r="C797" s="1" t="n">
        <v>46094</v>
      </c>
      <c r="D797" t="inlineStr">
        <is>
          <t>SKÅNE LÄN</t>
        </is>
      </c>
      <c r="E797" t="inlineStr">
        <is>
          <t>HÄSSLEHOLM</t>
        </is>
      </c>
      <c r="G797" t="n">
        <v>5</v>
      </c>
      <c r="H797" t="n">
        <v>0</v>
      </c>
      <c r="I797" t="n">
        <v>0</v>
      </c>
      <c r="J797" t="n">
        <v>0</v>
      </c>
      <c r="K797" t="n">
        <v>0</v>
      </c>
      <c r="L797" t="n">
        <v>0</v>
      </c>
      <c r="M797" t="n">
        <v>0</v>
      </c>
      <c r="N797" t="n">
        <v>0</v>
      </c>
      <c r="O797" t="n">
        <v>0</v>
      </c>
      <c r="P797" t="n">
        <v>0</v>
      </c>
      <c r="Q797" t="n">
        <v>0</v>
      </c>
      <c r="R797" s="2" t="inlineStr"/>
    </row>
    <row r="798" ht="15" customHeight="1">
      <c r="A798" t="inlineStr">
        <is>
          <t>A 4009-2024</t>
        </is>
      </c>
      <c r="B798" s="1" t="n">
        <v>45323</v>
      </c>
      <c r="C798" s="1" t="n">
        <v>46094</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10928-2024</t>
        </is>
      </c>
      <c r="B799" s="1" t="n">
        <v>45370</v>
      </c>
      <c r="C799" s="1" t="n">
        <v>46094</v>
      </c>
      <c r="D799" t="inlineStr">
        <is>
          <t>SKÅNE LÄN</t>
        </is>
      </c>
      <c r="E799" t="inlineStr">
        <is>
          <t>HÄSSLEHOLM</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10944-2024</t>
        </is>
      </c>
      <c r="B800" s="1" t="n">
        <v>45370</v>
      </c>
      <c r="C800" s="1" t="n">
        <v>46094</v>
      </c>
      <c r="D800" t="inlineStr">
        <is>
          <t>SKÅNE LÄN</t>
        </is>
      </c>
      <c r="E800" t="inlineStr">
        <is>
          <t>HÄSSLEHOLM</t>
        </is>
      </c>
      <c r="F800" t="inlineStr">
        <is>
          <t>Övriga Aktiebolag</t>
        </is>
      </c>
      <c r="G800" t="n">
        <v>2.6</v>
      </c>
      <c r="H800" t="n">
        <v>0</v>
      </c>
      <c r="I800" t="n">
        <v>0</v>
      </c>
      <c r="J800" t="n">
        <v>0</v>
      </c>
      <c r="K800" t="n">
        <v>0</v>
      </c>
      <c r="L800" t="n">
        <v>0</v>
      </c>
      <c r="M800" t="n">
        <v>0</v>
      </c>
      <c r="N800" t="n">
        <v>0</v>
      </c>
      <c r="O800" t="n">
        <v>0</v>
      </c>
      <c r="P800" t="n">
        <v>0</v>
      </c>
      <c r="Q800" t="n">
        <v>0</v>
      </c>
      <c r="R800" s="2" t="inlineStr"/>
    </row>
    <row r="801" ht="15" customHeight="1">
      <c r="A801" t="inlineStr">
        <is>
          <t>A 8209-2025</t>
        </is>
      </c>
      <c r="B801" s="1" t="n">
        <v>45708.44244212963</v>
      </c>
      <c r="C801" s="1" t="n">
        <v>46094</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6087-2025</t>
        </is>
      </c>
      <c r="B802" s="1" t="n">
        <v>45697.69782407407</v>
      </c>
      <c r="C802" s="1" t="n">
        <v>46094</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33466-2024</t>
        </is>
      </c>
      <c r="B803" s="1" t="n">
        <v>45519</v>
      </c>
      <c r="C803" s="1" t="n">
        <v>46094</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6612-2024</t>
        </is>
      </c>
      <c r="B804" s="1" t="n">
        <v>45341.58859953703</v>
      </c>
      <c r="C804" s="1" t="n">
        <v>46094</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55056-2021</t>
        </is>
      </c>
      <c r="B805" s="1" t="n">
        <v>44474.62072916667</v>
      </c>
      <c r="C805" s="1" t="n">
        <v>46094</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13544-2025</t>
        </is>
      </c>
      <c r="B806" s="1" t="n">
        <v>45736</v>
      </c>
      <c r="C806" s="1" t="n">
        <v>46094</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26879-2024</t>
        </is>
      </c>
      <c r="B807" s="1" t="n">
        <v>45470</v>
      </c>
      <c r="C807" s="1" t="n">
        <v>46094</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8755-2024</t>
        </is>
      </c>
      <c r="B808" s="1" t="n">
        <v>45356</v>
      </c>
      <c r="C808" s="1" t="n">
        <v>46094</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8760-2024</t>
        </is>
      </c>
      <c r="B809" s="1" t="n">
        <v>45356.53420138889</v>
      </c>
      <c r="C809" s="1" t="n">
        <v>46094</v>
      </c>
      <c r="D809" t="inlineStr">
        <is>
          <t>SKÅNE LÄN</t>
        </is>
      </c>
      <c r="E809" t="inlineStr">
        <is>
          <t>HÄSSLEHOLM</t>
        </is>
      </c>
      <c r="G809" t="n">
        <v>6.1</v>
      </c>
      <c r="H809" t="n">
        <v>0</v>
      </c>
      <c r="I809" t="n">
        <v>0</v>
      </c>
      <c r="J809" t="n">
        <v>0</v>
      </c>
      <c r="K809" t="n">
        <v>0</v>
      </c>
      <c r="L809" t="n">
        <v>0</v>
      </c>
      <c r="M809" t="n">
        <v>0</v>
      </c>
      <c r="N809" t="n">
        <v>0</v>
      </c>
      <c r="O809" t="n">
        <v>0</v>
      </c>
      <c r="P809" t="n">
        <v>0</v>
      </c>
      <c r="Q809" t="n">
        <v>0</v>
      </c>
      <c r="R809" s="2" t="inlineStr"/>
    </row>
    <row r="810" ht="15" customHeight="1">
      <c r="A810" t="inlineStr">
        <is>
          <t>A 54473-2023</t>
        </is>
      </c>
      <c r="B810" s="1" t="n">
        <v>45233</v>
      </c>
      <c r="C810" s="1" t="n">
        <v>46094</v>
      </c>
      <c r="D810" t="inlineStr">
        <is>
          <t>SKÅNE LÄN</t>
        </is>
      </c>
      <c r="E810" t="inlineStr">
        <is>
          <t>HÄSSLEHOLM</t>
        </is>
      </c>
      <c r="G810" t="n">
        <v>24.5</v>
      </c>
      <c r="H810" t="n">
        <v>0</v>
      </c>
      <c r="I810" t="n">
        <v>0</v>
      </c>
      <c r="J810" t="n">
        <v>0</v>
      </c>
      <c r="K810" t="n">
        <v>0</v>
      </c>
      <c r="L810" t="n">
        <v>0</v>
      </c>
      <c r="M810" t="n">
        <v>0</v>
      </c>
      <c r="N810" t="n">
        <v>0</v>
      </c>
      <c r="O810" t="n">
        <v>0</v>
      </c>
      <c r="P810" t="n">
        <v>0</v>
      </c>
      <c r="Q810" t="n">
        <v>0</v>
      </c>
      <c r="R810" s="2" t="inlineStr"/>
    </row>
    <row r="811" ht="15" customHeight="1">
      <c r="A811" t="inlineStr">
        <is>
          <t>A 11240-2023</t>
        </is>
      </c>
      <c r="B811" s="1" t="n">
        <v>44992</v>
      </c>
      <c r="C811" s="1" t="n">
        <v>46094</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33257-2024</t>
        </is>
      </c>
      <c r="B812" s="1" t="n">
        <v>45518</v>
      </c>
      <c r="C812" s="1" t="n">
        <v>46094</v>
      </c>
      <c r="D812" t="inlineStr">
        <is>
          <t>SKÅNE LÄN</t>
        </is>
      </c>
      <c r="E812" t="inlineStr">
        <is>
          <t>HÄSSLEHOLM</t>
        </is>
      </c>
      <c r="G812" t="n">
        <v>0.4</v>
      </c>
      <c r="H812" t="n">
        <v>0</v>
      </c>
      <c r="I812" t="n">
        <v>0</v>
      </c>
      <c r="J812" t="n">
        <v>0</v>
      </c>
      <c r="K812" t="n">
        <v>0</v>
      </c>
      <c r="L812" t="n">
        <v>0</v>
      </c>
      <c r="M812" t="n">
        <v>0</v>
      </c>
      <c r="N812" t="n">
        <v>0</v>
      </c>
      <c r="O812" t="n">
        <v>0</v>
      </c>
      <c r="P812" t="n">
        <v>0</v>
      </c>
      <c r="Q812" t="n">
        <v>0</v>
      </c>
      <c r="R812" s="2" t="inlineStr"/>
    </row>
    <row r="813" ht="15" customHeight="1">
      <c r="A813" t="inlineStr">
        <is>
          <t>A 36938-2025</t>
        </is>
      </c>
      <c r="B813" s="1" t="n">
        <v>45874.58476851852</v>
      </c>
      <c r="C813" s="1" t="n">
        <v>46094</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16108-2025</t>
        </is>
      </c>
      <c r="B814" s="1" t="n">
        <v>45750.34667824074</v>
      </c>
      <c r="C814" s="1" t="n">
        <v>46094</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48326-2023</t>
        </is>
      </c>
      <c r="B815" s="1" t="n">
        <v>45205</v>
      </c>
      <c r="C815" s="1" t="n">
        <v>46094</v>
      </c>
      <c r="D815" t="inlineStr">
        <is>
          <t>SKÅNE LÄN</t>
        </is>
      </c>
      <c r="E815" t="inlineStr">
        <is>
          <t>HÄSSLEHOLM</t>
        </is>
      </c>
      <c r="G815" t="n">
        <v>12.7</v>
      </c>
      <c r="H815" t="n">
        <v>0</v>
      </c>
      <c r="I815" t="n">
        <v>0</v>
      </c>
      <c r="J815" t="n">
        <v>0</v>
      </c>
      <c r="K815" t="n">
        <v>0</v>
      </c>
      <c r="L815" t="n">
        <v>0</v>
      </c>
      <c r="M815" t="n">
        <v>0</v>
      </c>
      <c r="N815" t="n">
        <v>0</v>
      </c>
      <c r="O815" t="n">
        <v>0</v>
      </c>
      <c r="P815" t="n">
        <v>0</v>
      </c>
      <c r="Q815" t="n">
        <v>0</v>
      </c>
      <c r="R815" s="2" t="inlineStr"/>
    </row>
    <row r="816" ht="15" customHeight="1">
      <c r="A816" t="inlineStr">
        <is>
          <t>A 54518-2022</t>
        </is>
      </c>
      <c r="B816" s="1" t="n">
        <v>44882</v>
      </c>
      <c r="C816" s="1" t="n">
        <v>46094</v>
      </c>
      <c r="D816" t="inlineStr">
        <is>
          <t>SKÅNE LÄN</t>
        </is>
      </c>
      <c r="E816" t="inlineStr">
        <is>
          <t>HÄSSLEHOLM</t>
        </is>
      </c>
      <c r="F816" t="inlineStr">
        <is>
          <t>Övriga Aktiebolag</t>
        </is>
      </c>
      <c r="G816" t="n">
        <v>6.8</v>
      </c>
      <c r="H816" t="n">
        <v>0</v>
      </c>
      <c r="I816" t="n">
        <v>0</v>
      </c>
      <c r="J816" t="n">
        <v>0</v>
      </c>
      <c r="K816" t="n">
        <v>0</v>
      </c>
      <c r="L816" t="n">
        <v>0</v>
      </c>
      <c r="M816" t="n">
        <v>0</v>
      </c>
      <c r="N816" t="n">
        <v>0</v>
      </c>
      <c r="O816" t="n">
        <v>0</v>
      </c>
      <c r="P816" t="n">
        <v>0</v>
      </c>
      <c r="Q816" t="n">
        <v>0</v>
      </c>
      <c r="R816" s="2" t="inlineStr"/>
    </row>
    <row r="817" ht="15" customHeight="1">
      <c r="A817" t="inlineStr">
        <is>
          <t>A 57491-2024</t>
        </is>
      </c>
      <c r="B817" s="1" t="n">
        <v>45629</v>
      </c>
      <c r="C817" s="1" t="n">
        <v>46094</v>
      </c>
      <c r="D817" t="inlineStr">
        <is>
          <t>SKÅNE LÄN</t>
        </is>
      </c>
      <c r="E817" t="inlineStr">
        <is>
          <t>HÄSSLEHOLM</t>
        </is>
      </c>
      <c r="G817" t="n">
        <v>3.2</v>
      </c>
      <c r="H817" t="n">
        <v>0</v>
      </c>
      <c r="I817" t="n">
        <v>0</v>
      </c>
      <c r="J817" t="n">
        <v>0</v>
      </c>
      <c r="K817" t="n">
        <v>0</v>
      </c>
      <c r="L817" t="n">
        <v>0</v>
      </c>
      <c r="M817" t="n">
        <v>0</v>
      </c>
      <c r="N817" t="n">
        <v>0</v>
      </c>
      <c r="O817" t="n">
        <v>0</v>
      </c>
      <c r="P817" t="n">
        <v>0</v>
      </c>
      <c r="Q817" t="n">
        <v>0</v>
      </c>
      <c r="R817" s="2" t="inlineStr"/>
    </row>
    <row r="818" ht="15" customHeight="1">
      <c r="A818" t="inlineStr">
        <is>
          <t>A 52912-2022</t>
        </is>
      </c>
      <c r="B818" s="1" t="n">
        <v>44872</v>
      </c>
      <c r="C818" s="1" t="n">
        <v>46094</v>
      </c>
      <c r="D818" t="inlineStr">
        <is>
          <t>SKÅNE LÄN</t>
        </is>
      </c>
      <c r="E818" t="inlineStr">
        <is>
          <t>HÄSSLEHOLM</t>
        </is>
      </c>
      <c r="G818" t="n">
        <v>4.7</v>
      </c>
      <c r="H818" t="n">
        <v>0</v>
      </c>
      <c r="I818" t="n">
        <v>0</v>
      </c>
      <c r="J818" t="n">
        <v>0</v>
      </c>
      <c r="K818" t="n">
        <v>0</v>
      </c>
      <c r="L818" t="n">
        <v>0</v>
      </c>
      <c r="M818" t="n">
        <v>0</v>
      </c>
      <c r="N818" t="n">
        <v>0</v>
      </c>
      <c r="O818" t="n">
        <v>0</v>
      </c>
      <c r="P818" t="n">
        <v>0</v>
      </c>
      <c r="Q818" t="n">
        <v>0</v>
      </c>
      <c r="R818" s="2" t="inlineStr"/>
    </row>
    <row r="819" ht="15" customHeight="1">
      <c r="A819" t="inlineStr">
        <is>
          <t>A 37286-2025</t>
        </is>
      </c>
      <c r="B819" s="1" t="n">
        <v>45876.50116898148</v>
      </c>
      <c r="C819" s="1" t="n">
        <v>46094</v>
      </c>
      <c r="D819" t="inlineStr">
        <is>
          <t>SKÅNE LÄN</t>
        </is>
      </c>
      <c r="E819" t="inlineStr">
        <is>
          <t>HÄSSLEHOLM</t>
        </is>
      </c>
      <c r="G819" t="n">
        <v>2.9</v>
      </c>
      <c r="H819" t="n">
        <v>0</v>
      </c>
      <c r="I819" t="n">
        <v>0</v>
      </c>
      <c r="J819" t="n">
        <v>0</v>
      </c>
      <c r="K819" t="n">
        <v>0</v>
      </c>
      <c r="L819" t="n">
        <v>0</v>
      </c>
      <c r="M819" t="n">
        <v>0</v>
      </c>
      <c r="N819" t="n">
        <v>0</v>
      </c>
      <c r="O819" t="n">
        <v>0</v>
      </c>
      <c r="P819" t="n">
        <v>0</v>
      </c>
      <c r="Q819" t="n">
        <v>0</v>
      </c>
      <c r="R819" s="2" t="inlineStr"/>
    </row>
    <row r="820" ht="15" customHeight="1">
      <c r="A820" t="inlineStr">
        <is>
          <t>A 16950-2025</t>
        </is>
      </c>
      <c r="B820" s="1" t="n">
        <v>45755</v>
      </c>
      <c r="C820" s="1" t="n">
        <v>46094</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27502-2023</t>
        </is>
      </c>
      <c r="B821" s="1" t="n">
        <v>45092</v>
      </c>
      <c r="C821" s="1" t="n">
        <v>46094</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24865-2024</t>
        </is>
      </c>
      <c r="B822" s="1" t="n">
        <v>45461.48974537037</v>
      </c>
      <c r="C822" s="1" t="n">
        <v>46094</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37271-2025</t>
        </is>
      </c>
      <c r="B823" s="1" t="n">
        <v>45876.47828703704</v>
      </c>
      <c r="C823" s="1" t="n">
        <v>46094</v>
      </c>
      <c r="D823" t="inlineStr">
        <is>
          <t>SKÅNE LÄN</t>
        </is>
      </c>
      <c r="E823" t="inlineStr">
        <is>
          <t>HÄSSLEHOLM</t>
        </is>
      </c>
      <c r="G823" t="n">
        <v>4.1</v>
      </c>
      <c r="H823" t="n">
        <v>0</v>
      </c>
      <c r="I823" t="n">
        <v>0</v>
      </c>
      <c r="J823" t="n">
        <v>0</v>
      </c>
      <c r="K823" t="n">
        <v>0</v>
      </c>
      <c r="L823" t="n">
        <v>0</v>
      </c>
      <c r="M823" t="n">
        <v>0</v>
      </c>
      <c r="N823" t="n">
        <v>0</v>
      </c>
      <c r="O823" t="n">
        <v>0</v>
      </c>
      <c r="P823" t="n">
        <v>0</v>
      </c>
      <c r="Q823" t="n">
        <v>0</v>
      </c>
      <c r="R823" s="2" t="inlineStr"/>
    </row>
    <row r="824" ht="15" customHeight="1">
      <c r="A824" t="inlineStr">
        <is>
          <t>A 6836-2023</t>
        </is>
      </c>
      <c r="B824" s="1" t="n">
        <v>44967</v>
      </c>
      <c r="C824" s="1" t="n">
        <v>46094</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6845-2023</t>
        </is>
      </c>
      <c r="B825" s="1" t="n">
        <v>44967</v>
      </c>
      <c r="C825" s="1" t="n">
        <v>46094</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58272-2024</t>
        </is>
      </c>
      <c r="B826" s="1" t="n">
        <v>45632.57025462963</v>
      </c>
      <c r="C826" s="1" t="n">
        <v>46094</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18580-2023</t>
        </is>
      </c>
      <c r="B827" s="1" t="n">
        <v>45043.37037037037</v>
      </c>
      <c r="C827" s="1" t="n">
        <v>46094</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32981-2025</t>
        </is>
      </c>
      <c r="B828" s="1" t="n">
        <v>45839.86820601852</v>
      </c>
      <c r="C828" s="1" t="n">
        <v>46094</v>
      </c>
      <c r="D828" t="inlineStr">
        <is>
          <t>SKÅNE LÄN</t>
        </is>
      </c>
      <c r="E828" t="inlineStr">
        <is>
          <t>HÄSSLEHOLM</t>
        </is>
      </c>
      <c r="G828" t="n">
        <v>2.7</v>
      </c>
      <c r="H828" t="n">
        <v>0</v>
      </c>
      <c r="I828" t="n">
        <v>0</v>
      </c>
      <c r="J828" t="n">
        <v>0</v>
      </c>
      <c r="K828" t="n">
        <v>0</v>
      </c>
      <c r="L828" t="n">
        <v>0</v>
      </c>
      <c r="M828" t="n">
        <v>0</v>
      </c>
      <c r="N828" t="n">
        <v>0</v>
      </c>
      <c r="O828" t="n">
        <v>0</v>
      </c>
      <c r="P828" t="n">
        <v>0</v>
      </c>
      <c r="Q828" t="n">
        <v>0</v>
      </c>
      <c r="R828" s="2" t="inlineStr"/>
    </row>
    <row r="829" ht="15" customHeight="1">
      <c r="A829" t="inlineStr">
        <is>
          <t>A 53887-2023</t>
        </is>
      </c>
      <c r="B829" s="1" t="n">
        <v>45231.52675925926</v>
      </c>
      <c r="C829" s="1" t="n">
        <v>46094</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9611-2025</t>
        </is>
      </c>
      <c r="B830" s="1" t="n">
        <v>45715</v>
      </c>
      <c r="C830" s="1" t="n">
        <v>46094</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24906-2022</t>
        </is>
      </c>
      <c r="B831" s="1" t="n">
        <v>44728</v>
      </c>
      <c r="C831" s="1" t="n">
        <v>46094</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3890-2024</t>
        </is>
      </c>
      <c r="B832" s="1" t="n">
        <v>45322.45366898148</v>
      </c>
      <c r="C832" s="1" t="n">
        <v>46094</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15800-2025</t>
        </is>
      </c>
      <c r="B833" s="1" t="n">
        <v>45748.64831018518</v>
      </c>
      <c r="C833" s="1" t="n">
        <v>46094</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16862-2025</t>
        </is>
      </c>
      <c r="B834" s="1" t="n">
        <v>45751</v>
      </c>
      <c r="C834" s="1" t="n">
        <v>46094</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18109-2025</t>
        </is>
      </c>
      <c r="B835" s="1" t="n">
        <v>45761</v>
      </c>
      <c r="C835" s="1" t="n">
        <v>46094</v>
      </c>
      <c r="D835" t="inlineStr">
        <is>
          <t>SKÅNE LÄN</t>
        </is>
      </c>
      <c r="E835" t="inlineStr">
        <is>
          <t>HÄSSLEHOLM</t>
        </is>
      </c>
      <c r="G835" t="n">
        <v>1.4</v>
      </c>
      <c r="H835" t="n">
        <v>0</v>
      </c>
      <c r="I835" t="n">
        <v>0</v>
      </c>
      <c r="J835" t="n">
        <v>0</v>
      </c>
      <c r="K835" t="n">
        <v>0</v>
      </c>
      <c r="L835" t="n">
        <v>0</v>
      </c>
      <c r="M835" t="n">
        <v>0</v>
      </c>
      <c r="N835" t="n">
        <v>0</v>
      </c>
      <c r="O835" t="n">
        <v>0</v>
      </c>
      <c r="P835" t="n">
        <v>0</v>
      </c>
      <c r="Q835" t="n">
        <v>0</v>
      </c>
      <c r="R835" s="2" t="inlineStr"/>
    </row>
    <row r="836" ht="15" customHeight="1">
      <c r="A836" t="inlineStr">
        <is>
          <t>A 21329-2023</t>
        </is>
      </c>
      <c r="B836" s="1" t="n">
        <v>45062</v>
      </c>
      <c r="C836" s="1" t="n">
        <v>46094</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1543-2024</t>
        </is>
      </c>
      <c r="B837" s="1" t="n">
        <v>45306</v>
      </c>
      <c r="C837" s="1" t="n">
        <v>46094</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18800-2023</t>
        </is>
      </c>
      <c r="B838" s="1" t="n">
        <v>45044</v>
      </c>
      <c r="C838" s="1" t="n">
        <v>46094</v>
      </c>
      <c r="D838" t="inlineStr">
        <is>
          <t>SKÅNE LÄN</t>
        </is>
      </c>
      <c r="E838" t="inlineStr">
        <is>
          <t>HÄSSLEHOLM</t>
        </is>
      </c>
      <c r="G838" t="n">
        <v>1.1</v>
      </c>
      <c r="H838" t="n">
        <v>0</v>
      </c>
      <c r="I838" t="n">
        <v>0</v>
      </c>
      <c r="J838" t="n">
        <v>0</v>
      </c>
      <c r="K838" t="n">
        <v>0</v>
      </c>
      <c r="L838" t="n">
        <v>0</v>
      </c>
      <c r="M838" t="n">
        <v>0</v>
      </c>
      <c r="N838" t="n">
        <v>0</v>
      </c>
      <c r="O838" t="n">
        <v>0</v>
      </c>
      <c r="P838" t="n">
        <v>0</v>
      </c>
      <c r="Q838" t="n">
        <v>0</v>
      </c>
      <c r="R838" s="2" t="inlineStr"/>
    </row>
    <row r="839" ht="15" customHeight="1">
      <c r="A839" t="inlineStr">
        <is>
          <t>A 13897-2024</t>
        </is>
      </c>
      <c r="B839" s="1" t="n">
        <v>45391</v>
      </c>
      <c r="C839" s="1" t="n">
        <v>46094</v>
      </c>
      <c r="D839" t="inlineStr">
        <is>
          <t>SKÅNE LÄN</t>
        </is>
      </c>
      <c r="E839" t="inlineStr">
        <is>
          <t>HÄSSLEHOLM</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56355-2023</t>
        </is>
      </c>
      <c r="B840" s="1" t="n">
        <v>45243.3702662037</v>
      </c>
      <c r="C840" s="1" t="n">
        <v>46094</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59246-2024</t>
        </is>
      </c>
      <c r="B841" s="1" t="n">
        <v>45636</v>
      </c>
      <c r="C841" s="1" t="n">
        <v>46094</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20800-2023</t>
        </is>
      </c>
      <c r="B842" s="1" t="n">
        <v>45058.61640046296</v>
      </c>
      <c r="C842" s="1" t="n">
        <v>46094</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25077-2024</t>
        </is>
      </c>
      <c r="B843" s="1" t="n">
        <v>45462</v>
      </c>
      <c r="C843" s="1" t="n">
        <v>46094</v>
      </c>
      <c r="D843" t="inlineStr">
        <is>
          <t>SKÅNE LÄN</t>
        </is>
      </c>
      <c r="E843" t="inlineStr">
        <is>
          <t>HÄSSLEHOLM</t>
        </is>
      </c>
      <c r="G843" t="n">
        <v>1.6</v>
      </c>
      <c r="H843" t="n">
        <v>0</v>
      </c>
      <c r="I843" t="n">
        <v>0</v>
      </c>
      <c r="J843" t="n">
        <v>0</v>
      </c>
      <c r="K843" t="n">
        <v>0</v>
      </c>
      <c r="L843" t="n">
        <v>0</v>
      </c>
      <c r="M843" t="n">
        <v>0</v>
      </c>
      <c r="N843" t="n">
        <v>0</v>
      </c>
      <c r="O843" t="n">
        <v>0</v>
      </c>
      <c r="P843" t="n">
        <v>0</v>
      </c>
      <c r="Q843" t="n">
        <v>0</v>
      </c>
      <c r="R843" s="2" t="inlineStr"/>
    </row>
    <row r="844" ht="15" customHeight="1">
      <c r="A844" t="inlineStr">
        <is>
          <t>A 11019-2025</t>
        </is>
      </c>
      <c r="B844" s="1" t="n">
        <v>45723</v>
      </c>
      <c r="C844" s="1" t="n">
        <v>46094</v>
      </c>
      <c r="D844" t="inlineStr">
        <is>
          <t>SKÅNE LÄN</t>
        </is>
      </c>
      <c r="E844" t="inlineStr">
        <is>
          <t>HÄSSLEHOLM</t>
        </is>
      </c>
      <c r="G844" t="n">
        <v>3.2</v>
      </c>
      <c r="H844" t="n">
        <v>0</v>
      </c>
      <c r="I844" t="n">
        <v>0</v>
      </c>
      <c r="J844" t="n">
        <v>0</v>
      </c>
      <c r="K844" t="n">
        <v>0</v>
      </c>
      <c r="L844" t="n">
        <v>0</v>
      </c>
      <c r="M844" t="n">
        <v>0</v>
      </c>
      <c r="N844" t="n">
        <v>0</v>
      </c>
      <c r="O844" t="n">
        <v>0</v>
      </c>
      <c r="P844" t="n">
        <v>0</v>
      </c>
      <c r="Q844" t="n">
        <v>0</v>
      </c>
      <c r="R844" s="2" t="inlineStr"/>
    </row>
    <row r="845" ht="15" customHeight="1">
      <c r="A845" t="inlineStr">
        <is>
          <t>A 22535-2024</t>
        </is>
      </c>
      <c r="B845" s="1" t="n">
        <v>45447</v>
      </c>
      <c r="C845" s="1" t="n">
        <v>46094</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15060-2023</t>
        </is>
      </c>
      <c r="B846" s="1" t="n">
        <v>45015.69832175926</v>
      </c>
      <c r="C846" s="1" t="n">
        <v>46094</v>
      </c>
      <c r="D846" t="inlineStr">
        <is>
          <t>SKÅNE LÄN</t>
        </is>
      </c>
      <c r="E846" t="inlineStr">
        <is>
          <t>HÄSSLEHOLM</t>
        </is>
      </c>
      <c r="G846" t="n">
        <v>1.7</v>
      </c>
      <c r="H846" t="n">
        <v>0</v>
      </c>
      <c r="I846" t="n">
        <v>0</v>
      </c>
      <c r="J846" t="n">
        <v>0</v>
      </c>
      <c r="K846" t="n">
        <v>0</v>
      </c>
      <c r="L846" t="n">
        <v>0</v>
      </c>
      <c r="M846" t="n">
        <v>0</v>
      </c>
      <c r="N846" t="n">
        <v>0</v>
      </c>
      <c r="O846" t="n">
        <v>0</v>
      </c>
      <c r="P846" t="n">
        <v>0</v>
      </c>
      <c r="Q846" t="n">
        <v>0</v>
      </c>
      <c r="R846" s="2" t="inlineStr"/>
    </row>
    <row r="847" ht="15" customHeight="1">
      <c r="A847" t="inlineStr">
        <is>
          <t>A 4787-2023</t>
        </is>
      </c>
      <c r="B847" s="1" t="n">
        <v>44957.60079861111</v>
      </c>
      <c r="C847" s="1" t="n">
        <v>46094</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4788-2023</t>
        </is>
      </c>
      <c r="B848" s="1" t="n">
        <v>44957.60130787037</v>
      </c>
      <c r="C848" s="1" t="n">
        <v>46094</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11681-2023</t>
        </is>
      </c>
      <c r="B849" s="1" t="n">
        <v>44992</v>
      </c>
      <c r="C849" s="1" t="n">
        <v>46094</v>
      </c>
      <c r="D849" t="inlineStr">
        <is>
          <t>SKÅNE LÄN</t>
        </is>
      </c>
      <c r="E849" t="inlineStr">
        <is>
          <t>HÄSSLEHOLM</t>
        </is>
      </c>
      <c r="F849" t="inlineStr">
        <is>
          <t>Övriga Aktiebolag</t>
        </is>
      </c>
      <c r="G849" t="n">
        <v>1.6</v>
      </c>
      <c r="H849" t="n">
        <v>0</v>
      </c>
      <c r="I849" t="n">
        <v>0</v>
      </c>
      <c r="J849" t="n">
        <v>0</v>
      </c>
      <c r="K849" t="n">
        <v>0</v>
      </c>
      <c r="L849" t="n">
        <v>0</v>
      </c>
      <c r="M849" t="n">
        <v>0</v>
      </c>
      <c r="N849" t="n">
        <v>0</v>
      </c>
      <c r="O849" t="n">
        <v>0</v>
      </c>
      <c r="P849" t="n">
        <v>0</v>
      </c>
      <c r="Q849" t="n">
        <v>0</v>
      </c>
      <c r="R849" s="2" t="inlineStr"/>
    </row>
    <row r="850" ht="15" customHeight="1">
      <c r="A850" t="inlineStr">
        <is>
          <t>A 34348-2022</t>
        </is>
      </c>
      <c r="B850" s="1" t="n">
        <v>44792</v>
      </c>
      <c r="C850" s="1" t="n">
        <v>46094</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33927-2021</t>
        </is>
      </c>
      <c r="B851" s="1" t="n">
        <v>44378</v>
      </c>
      <c r="C851" s="1" t="n">
        <v>46094</v>
      </c>
      <c r="D851" t="inlineStr">
        <is>
          <t>SKÅNE LÄN</t>
        </is>
      </c>
      <c r="E851" t="inlineStr">
        <is>
          <t>HÄSSLEHOLM</t>
        </is>
      </c>
      <c r="G851" t="n">
        <v>16.7</v>
      </c>
      <c r="H851" t="n">
        <v>0</v>
      </c>
      <c r="I851" t="n">
        <v>0</v>
      </c>
      <c r="J851" t="n">
        <v>0</v>
      </c>
      <c r="K851" t="n">
        <v>0</v>
      </c>
      <c r="L851" t="n">
        <v>0</v>
      </c>
      <c r="M851" t="n">
        <v>0</v>
      </c>
      <c r="N851" t="n">
        <v>0</v>
      </c>
      <c r="O851" t="n">
        <v>0</v>
      </c>
      <c r="P851" t="n">
        <v>0</v>
      </c>
      <c r="Q851" t="n">
        <v>0</v>
      </c>
      <c r="R851" s="2" t="inlineStr"/>
    </row>
    <row r="852" ht="15" customHeight="1">
      <c r="A852" t="inlineStr">
        <is>
          <t>A 45399-2022</t>
        </is>
      </c>
      <c r="B852" s="1" t="n">
        <v>44844.70513888889</v>
      </c>
      <c r="C852" s="1" t="n">
        <v>46094</v>
      </c>
      <c r="D852" t="inlineStr">
        <is>
          <t>SKÅNE LÄN</t>
        </is>
      </c>
      <c r="E852" t="inlineStr">
        <is>
          <t>HÄSSLEHOLM</t>
        </is>
      </c>
      <c r="G852" t="n">
        <v>0</v>
      </c>
      <c r="H852" t="n">
        <v>0</v>
      </c>
      <c r="I852" t="n">
        <v>0</v>
      </c>
      <c r="J852" t="n">
        <v>0</v>
      </c>
      <c r="K852" t="n">
        <v>0</v>
      </c>
      <c r="L852" t="n">
        <v>0</v>
      </c>
      <c r="M852" t="n">
        <v>0</v>
      </c>
      <c r="N852" t="n">
        <v>0</v>
      </c>
      <c r="O852" t="n">
        <v>0</v>
      </c>
      <c r="P852" t="n">
        <v>0</v>
      </c>
      <c r="Q852" t="n">
        <v>0</v>
      </c>
      <c r="R852" s="2" t="inlineStr"/>
    </row>
    <row r="853" ht="15" customHeight="1">
      <c r="A853" t="inlineStr">
        <is>
          <t>A 35640-2023</t>
        </is>
      </c>
      <c r="B853" s="1" t="n">
        <v>45147</v>
      </c>
      <c r="C853" s="1" t="n">
        <v>46094</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7305-2025</t>
        </is>
      </c>
      <c r="B854" s="1" t="n">
        <v>45702</v>
      </c>
      <c r="C854" s="1" t="n">
        <v>46094</v>
      </c>
      <c r="D854" t="inlineStr">
        <is>
          <t>SKÅNE LÄN</t>
        </is>
      </c>
      <c r="E854" t="inlineStr">
        <is>
          <t>HÄSSLEHOLM</t>
        </is>
      </c>
      <c r="F854" t="inlineStr">
        <is>
          <t>Övriga Aktiebolag</t>
        </is>
      </c>
      <c r="G854" t="n">
        <v>2.2</v>
      </c>
      <c r="H854" t="n">
        <v>0</v>
      </c>
      <c r="I854" t="n">
        <v>0</v>
      </c>
      <c r="J854" t="n">
        <v>0</v>
      </c>
      <c r="K854" t="n">
        <v>0</v>
      </c>
      <c r="L854" t="n">
        <v>0</v>
      </c>
      <c r="M854" t="n">
        <v>0</v>
      </c>
      <c r="N854" t="n">
        <v>0</v>
      </c>
      <c r="O854" t="n">
        <v>0</v>
      </c>
      <c r="P854" t="n">
        <v>0</v>
      </c>
      <c r="Q854" t="n">
        <v>0</v>
      </c>
      <c r="R854" s="2" t="inlineStr"/>
    </row>
    <row r="855" ht="15" customHeight="1">
      <c r="A855" t="inlineStr">
        <is>
          <t>A 2681-2024</t>
        </is>
      </c>
      <c r="B855" s="1" t="n">
        <v>45314</v>
      </c>
      <c r="C855" s="1" t="n">
        <v>46094</v>
      </c>
      <c r="D855" t="inlineStr">
        <is>
          <t>SKÅNE LÄN</t>
        </is>
      </c>
      <c r="E855" t="inlineStr">
        <is>
          <t>HÄSSLEHOLM</t>
        </is>
      </c>
      <c r="F855" t="inlineStr">
        <is>
          <t>Övriga Aktiebolag</t>
        </is>
      </c>
      <c r="G855" t="n">
        <v>1.4</v>
      </c>
      <c r="H855" t="n">
        <v>0</v>
      </c>
      <c r="I855" t="n">
        <v>0</v>
      </c>
      <c r="J855" t="n">
        <v>0</v>
      </c>
      <c r="K855" t="n">
        <v>0</v>
      </c>
      <c r="L855" t="n">
        <v>0</v>
      </c>
      <c r="M855" t="n">
        <v>0</v>
      </c>
      <c r="N855" t="n">
        <v>0</v>
      </c>
      <c r="O855" t="n">
        <v>0</v>
      </c>
      <c r="P855" t="n">
        <v>0</v>
      </c>
      <c r="Q855" t="n">
        <v>0</v>
      </c>
      <c r="R855" s="2" t="inlineStr"/>
    </row>
    <row r="856" ht="15" customHeight="1">
      <c r="A856" t="inlineStr">
        <is>
          <t>A 5116-2023</t>
        </is>
      </c>
      <c r="B856" s="1" t="n">
        <v>44958.67546296296</v>
      </c>
      <c r="C856" s="1" t="n">
        <v>46094</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27177-2024</t>
        </is>
      </c>
      <c r="B857" s="1" t="n">
        <v>45471.57201388889</v>
      </c>
      <c r="C857" s="1" t="n">
        <v>46094</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49219-2024</t>
        </is>
      </c>
      <c r="B858" s="1" t="n">
        <v>45595.40923611111</v>
      </c>
      <c r="C858" s="1" t="n">
        <v>46094</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13646-2024</t>
        </is>
      </c>
      <c r="B859" s="1" t="n">
        <v>45387</v>
      </c>
      <c r="C859" s="1" t="n">
        <v>46094</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4750-2024</t>
        </is>
      </c>
      <c r="B860" s="1" t="n">
        <v>45328</v>
      </c>
      <c r="C860" s="1" t="n">
        <v>46094</v>
      </c>
      <c r="D860" t="inlineStr">
        <is>
          <t>SKÅNE LÄN</t>
        </is>
      </c>
      <c r="E860" t="inlineStr">
        <is>
          <t>HÄSSLEHOLM</t>
        </is>
      </c>
      <c r="G860" t="n">
        <v>0.3</v>
      </c>
      <c r="H860" t="n">
        <v>0</v>
      </c>
      <c r="I860" t="n">
        <v>0</v>
      </c>
      <c r="J860" t="n">
        <v>0</v>
      </c>
      <c r="K860" t="n">
        <v>0</v>
      </c>
      <c r="L860" t="n">
        <v>0</v>
      </c>
      <c r="M860" t="n">
        <v>0</v>
      </c>
      <c r="N860" t="n">
        <v>0</v>
      </c>
      <c r="O860" t="n">
        <v>0</v>
      </c>
      <c r="P860" t="n">
        <v>0</v>
      </c>
      <c r="Q860" t="n">
        <v>0</v>
      </c>
      <c r="R860" s="2" t="inlineStr"/>
    </row>
    <row r="861" ht="15" customHeight="1">
      <c r="A861" t="inlineStr">
        <is>
          <t>A 42364-2023</t>
        </is>
      </c>
      <c r="B861" s="1" t="n">
        <v>45180.54754629629</v>
      </c>
      <c r="C861" s="1" t="n">
        <v>46094</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54408-2024</t>
        </is>
      </c>
      <c r="B862" s="1" t="n">
        <v>45617.47263888889</v>
      </c>
      <c r="C862" s="1" t="n">
        <v>46094</v>
      </c>
      <c r="D862" t="inlineStr">
        <is>
          <t>SKÅNE LÄN</t>
        </is>
      </c>
      <c r="E862" t="inlineStr">
        <is>
          <t>HÄSSLEHOLM</t>
        </is>
      </c>
      <c r="G862" t="n">
        <v>1.5</v>
      </c>
      <c r="H862" t="n">
        <v>0</v>
      </c>
      <c r="I862" t="n">
        <v>0</v>
      </c>
      <c r="J862" t="n">
        <v>0</v>
      </c>
      <c r="K862" t="n">
        <v>0</v>
      </c>
      <c r="L862" t="n">
        <v>0</v>
      </c>
      <c r="M862" t="n">
        <v>0</v>
      </c>
      <c r="N862" t="n">
        <v>0</v>
      </c>
      <c r="O862" t="n">
        <v>0</v>
      </c>
      <c r="P862" t="n">
        <v>0</v>
      </c>
      <c r="Q862" t="n">
        <v>0</v>
      </c>
      <c r="R862" s="2" t="inlineStr"/>
    </row>
    <row r="863" ht="15" customHeight="1">
      <c r="A863" t="inlineStr">
        <is>
          <t>A 58891-2022</t>
        </is>
      </c>
      <c r="B863" s="1" t="n">
        <v>44896</v>
      </c>
      <c r="C863" s="1" t="n">
        <v>46094</v>
      </c>
      <c r="D863" t="inlineStr">
        <is>
          <t>SKÅNE LÄN</t>
        </is>
      </c>
      <c r="E863" t="inlineStr">
        <is>
          <t>HÄSSLEHOLM</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5780-2024</t>
        </is>
      </c>
      <c r="B864" s="1" t="n">
        <v>45335.41983796296</v>
      </c>
      <c r="C864" s="1" t="n">
        <v>46094</v>
      </c>
      <c r="D864" t="inlineStr">
        <is>
          <t>SKÅNE LÄN</t>
        </is>
      </c>
      <c r="E864" t="inlineStr">
        <is>
          <t>HÄSSLEHOLM</t>
        </is>
      </c>
      <c r="G864" t="n">
        <v>2.5</v>
      </c>
      <c r="H864" t="n">
        <v>0</v>
      </c>
      <c r="I864" t="n">
        <v>0</v>
      </c>
      <c r="J864" t="n">
        <v>0</v>
      </c>
      <c r="K864" t="n">
        <v>0</v>
      </c>
      <c r="L864" t="n">
        <v>0</v>
      </c>
      <c r="M864" t="n">
        <v>0</v>
      </c>
      <c r="N864" t="n">
        <v>0</v>
      </c>
      <c r="O864" t="n">
        <v>0</v>
      </c>
      <c r="P864" t="n">
        <v>0</v>
      </c>
      <c r="Q864" t="n">
        <v>0</v>
      </c>
      <c r="R864" s="2" t="inlineStr"/>
    </row>
    <row r="865" ht="15" customHeight="1">
      <c r="A865" t="inlineStr">
        <is>
          <t>A 36568-2024</t>
        </is>
      </c>
      <c r="B865" s="1" t="n">
        <v>45537</v>
      </c>
      <c r="C865" s="1" t="n">
        <v>46094</v>
      </c>
      <c r="D865" t="inlineStr">
        <is>
          <t>SKÅNE LÄN</t>
        </is>
      </c>
      <c r="E865" t="inlineStr">
        <is>
          <t>HÄSSLEHOLM</t>
        </is>
      </c>
      <c r="G865" t="n">
        <v>4.3</v>
      </c>
      <c r="H865" t="n">
        <v>0</v>
      </c>
      <c r="I865" t="n">
        <v>0</v>
      </c>
      <c r="J865" t="n">
        <v>0</v>
      </c>
      <c r="K865" t="n">
        <v>0</v>
      </c>
      <c r="L865" t="n">
        <v>0</v>
      </c>
      <c r="M865" t="n">
        <v>0</v>
      </c>
      <c r="N865" t="n">
        <v>0</v>
      </c>
      <c r="O865" t="n">
        <v>0</v>
      </c>
      <c r="P865" t="n">
        <v>0</v>
      </c>
      <c r="Q865" t="n">
        <v>0</v>
      </c>
      <c r="R865" s="2" t="inlineStr"/>
    </row>
    <row r="866" ht="15" customHeight="1">
      <c r="A866" t="inlineStr">
        <is>
          <t>A 9323-2025</t>
        </is>
      </c>
      <c r="B866" s="1" t="n">
        <v>45714.73532407408</v>
      </c>
      <c r="C866" s="1" t="n">
        <v>46094</v>
      </c>
      <c r="D866" t="inlineStr">
        <is>
          <t>SKÅNE LÄN</t>
        </is>
      </c>
      <c r="E866" t="inlineStr">
        <is>
          <t>HÄSSLEHOLM</t>
        </is>
      </c>
      <c r="G866" t="n">
        <v>5.2</v>
      </c>
      <c r="H866" t="n">
        <v>0</v>
      </c>
      <c r="I866" t="n">
        <v>0</v>
      </c>
      <c r="J866" t="n">
        <v>0</v>
      </c>
      <c r="K866" t="n">
        <v>0</v>
      </c>
      <c r="L866" t="n">
        <v>0</v>
      </c>
      <c r="M866" t="n">
        <v>0</v>
      </c>
      <c r="N866" t="n">
        <v>0</v>
      </c>
      <c r="O866" t="n">
        <v>0</v>
      </c>
      <c r="P866" t="n">
        <v>0</v>
      </c>
      <c r="Q866" t="n">
        <v>0</v>
      </c>
      <c r="R866" s="2" t="inlineStr"/>
    </row>
    <row r="867" ht="15" customHeight="1">
      <c r="A867" t="inlineStr">
        <is>
          <t>A 19593-2023</t>
        </is>
      </c>
      <c r="B867" s="1" t="n">
        <v>45050.75895833333</v>
      </c>
      <c r="C867" s="1" t="n">
        <v>46094</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7481-2023</t>
        </is>
      </c>
      <c r="B868" s="1" t="n">
        <v>44971</v>
      </c>
      <c r="C868" s="1" t="n">
        <v>46094</v>
      </c>
      <c r="D868" t="inlineStr">
        <is>
          <t>SKÅNE LÄN</t>
        </is>
      </c>
      <c r="E868" t="inlineStr">
        <is>
          <t>HÄSSLEHOLM</t>
        </is>
      </c>
      <c r="G868" t="n">
        <v>1.4</v>
      </c>
      <c r="H868" t="n">
        <v>0</v>
      </c>
      <c r="I868" t="n">
        <v>0</v>
      </c>
      <c r="J868" t="n">
        <v>0</v>
      </c>
      <c r="K868" t="n">
        <v>0</v>
      </c>
      <c r="L868" t="n">
        <v>0</v>
      </c>
      <c r="M868" t="n">
        <v>0</v>
      </c>
      <c r="N868" t="n">
        <v>0</v>
      </c>
      <c r="O868" t="n">
        <v>0</v>
      </c>
      <c r="P868" t="n">
        <v>0</v>
      </c>
      <c r="Q868" t="n">
        <v>0</v>
      </c>
      <c r="R868" s="2" t="inlineStr"/>
    </row>
    <row r="869" ht="15" customHeight="1">
      <c r="A869" t="inlineStr">
        <is>
          <t>A 59728-2022</t>
        </is>
      </c>
      <c r="B869" s="1" t="n">
        <v>44900</v>
      </c>
      <c r="C869" s="1" t="n">
        <v>46094</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16017-2023</t>
        </is>
      </c>
      <c r="B870" s="1" t="n">
        <v>45026</v>
      </c>
      <c r="C870" s="1" t="n">
        <v>46094</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23683-2023</t>
        </is>
      </c>
      <c r="B871" s="1" t="n">
        <v>45077</v>
      </c>
      <c r="C871" s="1" t="n">
        <v>46094</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524-2024</t>
        </is>
      </c>
      <c r="B872" s="1" t="n">
        <v>45299</v>
      </c>
      <c r="C872" s="1" t="n">
        <v>46094</v>
      </c>
      <c r="D872" t="inlineStr">
        <is>
          <t>SKÅNE LÄN</t>
        </is>
      </c>
      <c r="E872" t="inlineStr">
        <is>
          <t>HÄSSLEHOLM</t>
        </is>
      </c>
      <c r="G872" t="n">
        <v>29.4</v>
      </c>
      <c r="H872" t="n">
        <v>0</v>
      </c>
      <c r="I872" t="n">
        <v>0</v>
      </c>
      <c r="J872" t="n">
        <v>0</v>
      </c>
      <c r="K872" t="n">
        <v>0</v>
      </c>
      <c r="L872" t="n">
        <v>0</v>
      </c>
      <c r="M872" t="n">
        <v>0</v>
      </c>
      <c r="N872" t="n">
        <v>0</v>
      </c>
      <c r="O872" t="n">
        <v>0</v>
      </c>
      <c r="P872" t="n">
        <v>0</v>
      </c>
      <c r="Q872" t="n">
        <v>0</v>
      </c>
      <c r="R872" s="2" t="inlineStr"/>
    </row>
    <row r="873" ht="15" customHeight="1">
      <c r="A873" t="inlineStr">
        <is>
          <t>A 2663-2023</t>
        </is>
      </c>
      <c r="B873" s="1" t="n">
        <v>44942</v>
      </c>
      <c r="C873" s="1" t="n">
        <v>46094</v>
      </c>
      <c r="D873" t="inlineStr">
        <is>
          <t>SKÅNE LÄN</t>
        </is>
      </c>
      <c r="E873" t="inlineStr">
        <is>
          <t>HÄSSLEHOLM</t>
        </is>
      </c>
      <c r="F873" t="inlineStr">
        <is>
          <t>Kyrkan</t>
        </is>
      </c>
      <c r="G873" t="n">
        <v>0.8</v>
      </c>
      <c r="H873" t="n">
        <v>0</v>
      </c>
      <c r="I873" t="n">
        <v>0</v>
      </c>
      <c r="J873" t="n">
        <v>0</v>
      </c>
      <c r="K873" t="n">
        <v>0</v>
      </c>
      <c r="L873" t="n">
        <v>0</v>
      </c>
      <c r="M873" t="n">
        <v>0</v>
      </c>
      <c r="N873" t="n">
        <v>0</v>
      </c>
      <c r="O873" t="n">
        <v>0</v>
      </c>
      <c r="P873" t="n">
        <v>0</v>
      </c>
      <c r="Q873" t="n">
        <v>0</v>
      </c>
      <c r="R873" s="2" t="inlineStr"/>
    </row>
    <row r="874" ht="15" customHeight="1">
      <c r="A874" t="inlineStr">
        <is>
          <t>A 23172-2022</t>
        </is>
      </c>
      <c r="B874" s="1" t="n">
        <v>44719</v>
      </c>
      <c r="C874" s="1" t="n">
        <v>46094</v>
      </c>
      <c r="D874" t="inlineStr">
        <is>
          <t>SKÅNE LÄN</t>
        </is>
      </c>
      <c r="E874" t="inlineStr">
        <is>
          <t>HÄSSLEHOLM</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23173-2022</t>
        </is>
      </c>
      <c r="B875" s="1" t="n">
        <v>44719.72155092593</v>
      </c>
      <c r="C875" s="1" t="n">
        <v>46094</v>
      </c>
      <c r="D875" t="inlineStr">
        <is>
          <t>SKÅNE LÄN</t>
        </is>
      </c>
      <c r="E875" t="inlineStr">
        <is>
          <t>HÄSSLEHOLM</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9394-2025</t>
        </is>
      </c>
      <c r="B876" s="1" t="n">
        <v>45715.36387731481</v>
      </c>
      <c r="C876" s="1" t="n">
        <v>46094</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39223-2024</t>
        </is>
      </c>
      <c r="B877" s="1" t="n">
        <v>45550</v>
      </c>
      <c r="C877" s="1" t="n">
        <v>46094</v>
      </c>
      <c r="D877" t="inlineStr">
        <is>
          <t>SKÅNE LÄN</t>
        </is>
      </c>
      <c r="E877" t="inlineStr">
        <is>
          <t>HÄSSLEHOLM</t>
        </is>
      </c>
      <c r="G877" t="n">
        <v>3.1</v>
      </c>
      <c r="H877" t="n">
        <v>0</v>
      </c>
      <c r="I877" t="n">
        <v>0</v>
      </c>
      <c r="J877" t="n">
        <v>0</v>
      </c>
      <c r="K877" t="n">
        <v>0</v>
      </c>
      <c r="L877" t="n">
        <v>0</v>
      </c>
      <c r="M877" t="n">
        <v>0</v>
      </c>
      <c r="N877" t="n">
        <v>0</v>
      </c>
      <c r="O877" t="n">
        <v>0</v>
      </c>
      <c r="P877" t="n">
        <v>0</v>
      </c>
      <c r="Q877" t="n">
        <v>0</v>
      </c>
      <c r="R877" s="2" t="inlineStr"/>
    </row>
    <row r="878" ht="15" customHeight="1">
      <c r="A878" t="inlineStr">
        <is>
          <t>A 17492-2025</t>
        </is>
      </c>
      <c r="B878" s="1" t="n">
        <v>45747</v>
      </c>
      <c r="C878" s="1" t="n">
        <v>46094</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27304-2023</t>
        </is>
      </c>
      <c r="B879" s="1" t="n">
        <v>45096.65199074074</v>
      </c>
      <c r="C879" s="1" t="n">
        <v>46094</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22693-2022</t>
        </is>
      </c>
      <c r="B880" s="1" t="n">
        <v>44714.54729166667</v>
      </c>
      <c r="C880" s="1" t="n">
        <v>46094</v>
      </c>
      <c r="D880" t="inlineStr">
        <is>
          <t>SKÅNE LÄN</t>
        </is>
      </c>
      <c r="E880" t="inlineStr">
        <is>
          <t>HÄSSLEHOLM</t>
        </is>
      </c>
      <c r="G880" t="n">
        <v>2.8</v>
      </c>
      <c r="H880" t="n">
        <v>0</v>
      </c>
      <c r="I880" t="n">
        <v>0</v>
      </c>
      <c r="J880" t="n">
        <v>0</v>
      </c>
      <c r="K880" t="n">
        <v>0</v>
      </c>
      <c r="L880" t="n">
        <v>0</v>
      </c>
      <c r="M880" t="n">
        <v>0</v>
      </c>
      <c r="N880" t="n">
        <v>0</v>
      </c>
      <c r="O880" t="n">
        <v>0</v>
      </c>
      <c r="P880" t="n">
        <v>0</v>
      </c>
      <c r="Q880" t="n">
        <v>0</v>
      </c>
      <c r="R880" s="2" t="inlineStr"/>
    </row>
    <row r="881" ht="15" customHeight="1">
      <c r="A881" t="inlineStr">
        <is>
          <t>A 15104-2023</t>
        </is>
      </c>
      <c r="B881" s="1" t="n">
        <v>45016.40576388889</v>
      </c>
      <c r="C881" s="1" t="n">
        <v>46094</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50664-2023</t>
        </is>
      </c>
      <c r="B882" s="1" t="n">
        <v>45217</v>
      </c>
      <c r="C882" s="1" t="n">
        <v>46094</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42428-2022</t>
        </is>
      </c>
      <c r="B883" s="1" t="n">
        <v>44831</v>
      </c>
      <c r="C883" s="1" t="n">
        <v>46094</v>
      </c>
      <c r="D883" t="inlineStr">
        <is>
          <t>SKÅNE LÄN</t>
        </is>
      </c>
      <c r="E883" t="inlineStr">
        <is>
          <t>HÄSSLEHOLM</t>
        </is>
      </c>
      <c r="G883" t="n">
        <v>2.8</v>
      </c>
      <c r="H883" t="n">
        <v>0</v>
      </c>
      <c r="I883" t="n">
        <v>0</v>
      </c>
      <c r="J883" t="n">
        <v>0</v>
      </c>
      <c r="K883" t="n">
        <v>0</v>
      </c>
      <c r="L883" t="n">
        <v>0</v>
      </c>
      <c r="M883" t="n">
        <v>0</v>
      </c>
      <c r="N883" t="n">
        <v>0</v>
      </c>
      <c r="O883" t="n">
        <v>0</v>
      </c>
      <c r="P883" t="n">
        <v>0</v>
      </c>
      <c r="Q883" t="n">
        <v>0</v>
      </c>
      <c r="R883" s="2" t="inlineStr"/>
    </row>
    <row r="884" ht="15" customHeight="1">
      <c r="A884" t="inlineStr">
        <is>
          <t>A 12507-2022</t>
        </is>
      </c>
      <c r="B884" s="1" t="n">
        <v>44638</v>
      </c>
      <c r="C884" s="1" t="n">
        <v>46094</v>
      </c>
      <c r="D884" t="inlineStr">
        <is>
          <t>SKÅNE LÄN</t>
        </is>
      </c>
      <c r="E884" t="inlineStr">
        <is>
          <t>HÄSSLEHOLM</t>
        </is>
      </c>
      <c r="G884" t="n">
        <v>2.7</v>
      </c>
      <c r="H884" t="n">
        <v>0</v>
      </c>
      <c r="I884" t="n">
        <v>0</v>
      </c>
      <c r="J884" t="n">
        <v>0</v>
      </c>
      <c r="K884" t="n">
        <v>0</v>
      </c>
      <c r="L884" t="n">
        <v>0</v>
      </c>
      <c r="M884" t="n">
        <v>0</v>
      </c>
      <c r="N884" t="n">
        <v>0</v>
      </c>
      <c r="O884" t="n">
        <v>0</v>
      </c>
      <c r="P884" t="n">
        <v>0</v>
      </c>
      <c r="Q884" t="n">
        <v>0</v>
      </c>
      <c r="R884" s="2" t="inlineStr"/>
    </row>
    <row r="885" ht="15" customHeight="1">
      <c r="A885" t="inlineStr">
        <is>
          <t>A 62171-2022</t>
        </is>
      </c>
      <c r="B885" s="1" t="n">
        <v>44915</v>
      </c>
      <c r="C885" s="1" t="n">
        <v>46094</v>
      </c>
      <c r="D885" t="inlineStr">
        <is>
          <t>SKÅNE LÄN</t>
        </is>
      </c>
      <c r="E885" t="inlineStr">
        <is>
          <t>HÄSSLEHOLM</t>
        </is>
      </c>
      <c r="F885" t="inlineStr">
        <is>
          <t>Kyrkan</t>
        </is>
      </c>
      <c r="G885" t="n">
        <v>9</v>
      </c>
      <c r="H885" t="n">
        <v>0</v>
      </c>
      <c r="I885" t="n">
        <v>0</v>
      </c>
      <c r="J885" t="n">
        <v>0</v>
      </c>
      <c r="K885" t="n">
        <v>0</v>
      </c>
      <c r="L885" t="n">
        <v>0</v>
      </c>
      <c r="M885" t="n">
        <v>0</v>
      </c>
      <c r="N885" t="n">
        <v>0</v>
      </c>
      <c r="O885" t="n">
        <v>0</v>
      </c>
      <c r="P885" t="n">
        <v>0</v>
      </c>
      <c r="Q885" t="n">
        <v>0</v>
      </c>
      <c r="R885" s="2" t="inlineStr"/>
    </row>
    <row r="886" ht="15" customHeight="1">
      <c r="A886" t="inlineStr">
        <is>
          <t>A 56956-2024</t>
        </is>
      </c>
      <c r="B886" s="1" t="n">
        <v>45626</v>
      </c>
      <c r="C886" s="1" t="n">
        <v>46094</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2597-2024</t>
        </is>
      </c>
      <c r="B887" s="1" t="n">
        <v>45313</v>
      </c>
      <c r="C887" s="1" t="n">
        <v>46094</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3531-2023</t>
        </is>
      </c>
      <c r="B888" s="1" t="n">
        <v>44950</v>
      </c>
      <c r="C888" s="1" t="n">
        <v>46094</v>
      </c>
      <c r="D888" t="inlineStr">
        <is>
          <t>SKÅNE LÄN</t>
        </is>
      </c>
      <c r="E888" t="inlineStr">
        <is>
          <t>HÄSSLEHOLM</t>
        </is>
      </c>
      <c r="G888" t="n">
        <v>10.1</v>
      </c>
      <c r="H888" t="n">
        <v>0</v>
      </c>
      <c r="I888" t="n">
        <v>0</v>
      </c>
      <c r="J888" t="n">
        <v>0</v>
      </c>
      <c r="K888" t="n">
        <v>0</v>
      </c>
      <c r="L888" t="n">
        <v>0</v>
      </c>
      <c r="M888" t="n">
        <v>0</v>
      </c>
      <c r="N888" t="n">
        <v>0</v>
      </c>
      <c r="O888" t="n">
        <v>0</v>
      </c>
      <c r="P888" t="n">
        <v>0</v>
      </c>
      <c r="Q888" t="n">
        <v>0</v>
      </c>
      <c r="R888" s="2" t="inlineStr"/>
    </row>
    <row r="889" ht="15" customHeight="1">
      <c r="A889" t="inlineStr">
        <is>
          <t>A 15417-2022</t>
        </is>
      </c>
      <c r="B889" s="1" t="n">
        <v>44659</v>
      </c>
      <c r="C889" s="1" t="n">
        <v>46094</v>
      </c>
      <c r="D889" t="inlineStr">
        <is>
          <t>SKÅNE LÄN</t>
        </is>
      </c>
      <c r="E889" t="inlineStr">
        <is>
          <t>HÄSSLEHOLM</t>
        </is>
      </c>
      <c r="F889" t="inlineStr">
        <is>
          <t>Kyrkan</t>
        </is>
      </c>
      <c r="G889" t="n">
        <v>2.9</v>
      </c>
      <c r="H889" t="n">
        <v>0</v>
      </c>
      <c r="I889" t="n">
        <v>0</v>
      </c>
      <c r="J889" t="n">
        <v>0</v>
      </c>
      <c r="K889" t="n">
        <v>0</v>
      </c>
      <c r="L889" t="n">
        <v>0</v>
      </c>
      <c r="M889" t="n">
        <v>0</v>
      </c>
      <c r="N889" t="n">
        <v>0</v>
      </c>
      <c r="O889" t="n">
        <v>0</v>
      </c>
      <c r="P889" t="n">
        <v>0</v>
      </c>
      <c r="Q889" t="n">
        <v>0</v>
      </c>
      <c r="R889" s="2" t="inlineStr"/>
    </row>
    <row r="890" ht="15" customHeight="1">
      <c r="A890" t="inlineStr">
        <is>
          <t>A 44262-2021</t>
        </is>
      </c>
      <c r="B890" s="1" t="n">
        <v>44434</v>
      </c>
      <c r="C890" s="1" t="n">
        <v>46094</v>
      </c>
      <c r="D890" t="inlineStr">
        <is>
          <t>SKÅNE LÄN</t>
        </is>
      </c>
      <c r="E890" t="inlineStr">
        <is>
          <t>HÄSSLEHOLM</t>
        </is>
      </c>
      <c r="G890" t="n">
        <v>4.7</v>
      </c>
      <c r="H890" t="n">
        <v>0</v>
      </c>
      <c r="I890" t="n">
        <v>0</v>
      </c>
      <c r="J890" t="n">
        <v>0</v>
      </c>
      <c r="K890" t="n">
        <v>0</v>
      </c>
      <c r="L890" t="n">
        <v>0</v>
      </c>
      <c r="M890" t="n">
        <v>0</v>
      </c>
      <c r="N890" t="n">
        <v>0</v>
      </c>
      <c r="O890" t="n">
        <v>0</v>
      </c>
      <c r="P890" t="n">
        <v>0</v>
      </c>
      <c r="Q890" t="n">
        <v>0</v>
      </c>
      <c r="R890" s="2" t="inlineStr"/>
    </row>
    <row r="891" ht="15" customHeight="1">
      <c r="A891" t="inlineStr">
        <is>
          <t>A 50659-2023</t>
        </is>
      </c>
      <c r="B891" s="1" t="n">
        <v>45217</v>
      </c>
      <c r="C891" s="1" t="n">
        <v>46094</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13808-2021</t>
        </is>
      </c>
      <c r="B892" s="1" t="n">
        <v>44276</v>
      </c>
      <c r="C892" s="1" t="n">
        <v>46094</v>
      </c>
      <c r="D892" t="inlineStr">
        <is>
          <t>SKÅNE LÄN</t>
        </is>
      </c>
      <c r="E892" t="inlineStr">
        <is>
          <t>HÄSSLEHOLM</t>
        </is>
      </c>
      <c r="G892" t="n">
        <v>10.3</v>
      </c>
      <c r="H892" t="n">
        <v>0</v>
      </c>
      <c r="I892" t="n">
        <v>0</v>
      </c>
      <c r="J892" t="n">
        <v>0</v>
      </c>
      <c r="K892" t="n">
        <v>0</v>
      </c>
      <c r="L892" t="n">
        <v>0</v>
      </c>
      <c r="M892" t="n">
        <v>0</v>
      </c>
      <c r="N892" t="n">
        <v>0</v>
      </c>
      <c r="O892" t="n">
        <v>0</v>
      </c>
      <c r="P892" t="n">
        <v>0</v>
      </c>
      <c r="Q892" t="n">
        <v>0</v>
      </c>
      <c r="R892" s="2" t="inlineStr"/>
    </row>
    <row r="893" ht="15" customHeight="1">
      <c r="A893" t="inlineStr">
        <is>
          <t>A 35711-2024</t>
        </is>
      </c>
      <c r="B893" s="1" t="n">
        <v>45532</v>
      </c>
      <c r="C893" s="1" t="n">
        <v>46094</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67801-2021</t>
        </is>
      </c>
      <c r="B894" s="1" t="n">
        <v>44525</v>
      </c>
      <c r="C894" s="1" t="n">
        <v>46094</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56490-2021</t>
        </is>
      </c>
      <c r="B895" s="1" t="n">
        <v>44480</v>
      </c>
      <c r="C895" s="1" t="n">
        <v>46094</v>
      </c>
      <c r="D895" t="inlineStr">
        <is>
          <t>SKÅNE LÄN</t>
        </is>
      </c>
      <c r="E895" t="inlineStr">
        <is>
          <t>HÄSSLEHOLM</t>
        </is>
      </c>
      <c r="F895" t="inlineStr">
        <is>
          <t>Kyrkan</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41400-2025</t>
        </is>
      </c>
      <c r="B896" s="1" t="n">
        <v>45901</v>
      </c>
      <c r="C896" s="1" t="n">
        <v>46094</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2144-2023</t>
        </is>
      </c>
      <c r="B897" s="1" t="n">
        <v>44940.79054398148</v>
      </c>
      <c r="C897" s="1" t="n">
        <v>46094</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37141-2021</t>
        </is>
      </c>
      <c r="B898" s="1" t="n">
        <v>44396</v>
      </c>
      <c r="C898" s="1" t="n">
        <v>46094</v>
      </c>
      <c r="D898" t="inlineStr">
        <is>
          <t>SKÅNE LÄN</t>
        </is>
      </c>
      <c r="E898" t="inlineStr">
        <is>
          <t>HÄSSLEHOLM</t>
        </is>
      </c>
      <c r="G898" t="n">
        <v>12.8</v>
      </c>
      <c r="H898" t="n">
        <v>0</v>
      </c>
      <c r="I898" t="n">
        <v>0</v>
      </c>
      <c r="J898" t="n">
        <v>0</v>
      </c>
      <c r="K898" t="n">
        <v>0</v>
      </c>
      <c r="L898" t="n">
        <v>0</v>
      </c>
      <c r="M898" t="n">
        <v>0</v>
      </c>
      <c r="N898" t="n">
        <v>0</v>
      </c>
      <c r="O898" t="n">
        <v>0</v>
      </c>
      <c r="P898" t="n">
        <v>0</v>
      </c>
      <c r="Q898" t="n">
        <v>0</v>
      </c>
      <c r="R898" s="2" t="inlineStr"/>
    </row>
    <row r="899" ht="15" customHeight="1">
      <c r="A899" t="inlineStr">
        <is>
          <t>A 7202-2022</t>
        </is>
      </c>
      <c r="B899" s="1" t="n">
        <v>44606</v>
      </c>
      <c r="C899" s="1" t="n">
        <v>46094</v>
      </c>
      <c r="D899" t="inlineStr">
        <is>
          <t>SKÅNE LÄN</t>
        </is>
      </c>
      <c r="E899" t="inlineStr">
        <is>
          <t>HÄSSLEHOLM</t>
        </is>
      </c>
      <c r="G899" t="n">
        <v>4.7</v>
      </c>
      <c r="H899" t="n">
        <v>0</v>
      </c>
      <c r="I899" t="n">
        <v>0</v>
      </c>
      <c r="J899" t="n">
        <v>0</v>
      </c>
      <c r="K899" t="n">
        <v>0</v>
      </c>
      <c r="L899" t="n">
        <v>0</v>
      </c>
      <c r="M899" t="n">
        <v>0</v>
      </c>
      <c r="N899" t="n">
        <v>0</v>
      </c>
      <c r="O899" t="n">
        <v>0</v>
      </c>
      <c r="P899" t="n">
        <v>0</v>
      </c>
      <c r="Q899" t="n">
        <v>0</v>
      </c>
      <c r="R899" s="2" t="inlineStr"/>
    </row>
    <row r="900" ht="15" customHeight="1">
      <c r="A900" t="inlineStr">
        <is>
          <t>A 41401-2025</t>
        </is>
      </c>
      <c r="B900" s="1" t="n">
        <v>45901</v>
      </c>
      <c r="C900" s="1" t="n">
        <v>46094</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61680-2022</t>
        </is>
      </c>
      <c r="B901" s="1" t="n">
        <v>44917.36372685185</v>
      </c>
      <c r="C901" s="1" t="n">
        <v>46094</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61489-2024</t>
        </is>
      </c>
      <c r="B902" s="1" t="n">
        <v>45646.54875</v>
      </c>
      <c r="C902" s="1" t="n">
        <v>46094</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21494-2023</t>
        </is>
      </c>
      <c r="B903" s="1" t="n">
        <v>45063</v>
      </c>
      <c r="C903" s="1" t="n">
        <v>46094</v>
      </c>
      <c r="D903" t="inlineStr">
        <is>
          <t>SKÅNE LÄN</t>
        </is>
      </c>
      <c r="E903" t="inlineStr">
        <is>
          <t>HÄSSLEHOLM</t>
        </is>
      </c>
      <c r="G903" t="n">
        <v>3.7</v>
      </c>
      <c r="H903" t="n">
        <v>0</v>
      </c>
      <c r="I903" t="n">
        <v>0</v>
      </c>
      <c r="J903" t="n">
        <v>0</v>
      </c>
      <c r="K903" t="n">
        <v>0</v>
      </c>
      <c r="L903" t="n">
        <v>0</v>
      </c>
      <c r="M903" t="n">
        <v>0</v>
      </c>
      <c r="N903" t="n">
        <v>0</v>
      </c>
      <c r="O903" t="n">
        <v>0</v>
      </c>
      <c r="P903" t="n">
        <v>0</v>
      </c>
      <c r="Q903" t="n">
        <v>0</v>
      </c>
      <c r="R903" s="2" t="inlineStr"/>
    </row>
    <row r="904" ht="15" customHeight="1">
      <c r="A904" t="inlineStr">
        <is>
          <t>A 21495-2023</t>
        </is>
      </c>
      <c r="B904" s="1" t="n">
        <v>45063</v>
      </c>
      <c r="C904" s="1" t="n">
        <v>46094</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62167-2022</t>
        </is>
      </c>
      <c r="B905" s="1" t="n">
        <v>44915</v>
      </c>
      <c r="C905" s="1" t="n">
        <v>46094</v>
      </c>
      <c r="D905" t="inlineStr">
        <is>
          <t>SKÅNE LÄN</t>
        </is>
      </c>
      <c r="E905" t="inlineStr">
        <is>
          <t>HÄSSLEHOLM</t>
        </is>
      </c>
      <c r="F905" t="inlineStr">
        <is>
          <t>Kyrkan</t>
        </is>
      </c>
      <c r="G905" t="n">
        <v>3.1</v>
      </c>
      <c r="H905" t="n">
        <v>0</v>
      </c>
      <c r="I905" t="n">
        <v>0</v>
      </c>
      <c r="J905" t="n">
        <v>0</v>
      </c>
      <c r="K905" t="n">
        <v>0</v>
      </c>
      <c r="L905" t="n">
        <v>0</v>
      </c>
      <c r="M905" t="n">
        <v>0</v>
      </c>
      <c r="N905" t="n">
        <v>0</v>
      </c>
      <c r="O905" t="n">
        <v>0</v>
      </c>
      <c r="P905" t="n">
        <v>0</v>
      </c>
      <c r="Q905" t="n">
        <v>0</v>
      </c>
      <c r="R905" s="2" t="inlineStr"/>
    </row>
    <row r="906" ht="15" customHeight="1">
      <c r="A906" t="inlineStr">
        <is>
          <t>A 62234-2022</t>
        </is>
      </c>
      <c r="B906" s="1" t="n">
        <v>44922</v>
      </c>
      <c r="C906" s="1" t="n">
        <v>46094</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34299-2024</t>
        </is>
      </c>
      <c r="B907" s="1" t="n">
        <v>45524</v>
      </c>
      <c r="C907" s="1" t="n">
        <v>46094</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17699-2024</t>
        </is>
      </c>
      <c r="B908" s="1" t="n">
        <v>45418.46094907408</v>
      </c>
      <c r="C908" s="1" t="n">
        <v>46094</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17702-2024</t>
        </is>
      </c>
      <c r="B909" s="1" t="n">
        <v>45418.46534722222</v>
      </c>
      <c r="C909" s="1" t="n">
        <v>46094</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6101-2022</t>
        </is>
      </c>
      <c r="B910" s="1" t="n">
        <v>44599.63016203704</v>
      </c>
      <c r="C910" s="1" t="n">
        <v>46094</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16951-2025</t>
        </is>
      </c>
      <c r="B911" s="1" t="n">
        <v>45755</v>
      </c>
      <c r="C911" s="1" t="n">
        <v>46094</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9697-2023</t>
        </is>
      </c>
      <c r="B912" s="1" t="n">
        <v>44984</v>
      </c>
      <c r="C912" s="1" t="n">
        <v>46094</v>
      </c>
      <c r="D912" t="inlineStr">
        <is>
          <t>SKÅNE LÄN</t>
        </is>
      </c>
      <c r="E912" t="inlineStr">
        <is>
          <t>HÄSSLEHOLM</t>
        </is>
      </c>
      <c r="G912" t="n">
        <v>0.3</v>
      </c>
      <c r="H912" t="n">
        <v>0</v>
      </c>
      <c r="I912" t="n">
        <v>0</v>
      </c>
      <c r="J912" t="n">
        <v>0</v>
      </c>
      <c r="K912" t="n">
        <v>0</v>
      </c>
      <c r="L912" t="n">
        <v>0</v>
      </c>
      <c r="M912" t="n">
        <v>0</v>
      </c>
      <c r="N912" t="n">
        <v>0</v>
      </c>
      <c r="O912" t="n">
        <v>0</v>
      </c>
      <c r="P912" t="n">
        <v>0</v>
      </c>
      <c r="Q912" t="n">
        <v>0</v>
      </c>
      <c r="R912" s="2" t="inlineStr"/>
    </row>
    <row r="913" ht="15" customHeight="1">
      <c r="A913" t="inlineStr">
        <is>
          <t>A 16614-2025</t>
        </is>
      </c>
      <c r="B913" s="1" t="n">
        <v>45754.283125</v>
      </c>
      <c r="C913" s="1" t="n">
        <v>46094</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3888-2024</t>
        </is>
      </c>
      <c r="B914" s="1" t="n">
        <v>45322.45089120371</v>
      </c>
      <c r="C914" s="1" t="n">
        <v>46094</v>
      </c>
      <c r="D914" t="inlineStr">
        <is>
          <t>SKÅNE LÄN</t>
        </is>
      </c>
      <c r="E914" t="inlineStr">
        <is>
          <t>HÄSSLEHOLM</t>
        </is>
      </c>
      <c r="G914" t="n">
        <v>2.4</v>
      </c>
      <c r="H914" t="n">
        <v>0</v>
      </c>
      <c r="I914" t="n">
        <v>0</v>
      </c>
      <c r="J914" t="n">
        <v>0</v>
      </c>
      <c r="K914" t="n">
        <v>0</v>
      </c>
      <c r="L914" t="n">
        <v>0</v>
      </c>
      <c r="M914" t="n">
        <v>0</v>
      </c>
      <c r="N914" t="n">
        <v>0</v>
      </c>
      <c r="O914" t="n">
        <v>0</v>
      </c>
      <c r="P914" t="n">
        <v>0</v>
      </c>
      <c r="Q914" t="n">
        <v>0</v>
      </c>
      <c r="R914" s="2" t="inlineStr"/>
    </row>
    <row r="915" ht="15" customHeight="1">
      <c r="A915" t="inlineStr">
        <is>
          <t>A 3889-2024</t>
        </is>
      </c>
      <c r="B915" s="1" t="n">
        <v>45322.45234953704</v>
      </c>
      <c r="C915" s="1" t="n">
        <v>46094</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3294-2025</t>
        </is>
      </c>
      <c r="B916" s="1" t="n">
        <v>45679.64125</v>
      </c>
      <c r="C916" s="1" t="n">
        <v>46094</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9669-2025</t>
        </is>
      </c>
      <c r="B917" s="1" t="n">
        <v>45716.32921296296</v>
      </c>
      <c r="C917" s="1" t="n">
        <v>46094</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31995-2023</t>
        </is>
      </c>
      <c r="B918" s="1" t="n">
        <v>45107</v>
      </c>
      <c r="C918" s="1" t="n">
        <v>46094</v>
      </c>
      <c r="D918" t="inlineStr">
        <is>
          <t>SKÅNE LÄN</t>
        </is>
      </c>
      <c r="E918" t="inlineStr">
        <is>
          <t>HÄSSLEHOLM</t>
        </is>
      </c>
      <c r="G918" t="n">
        <v>7.3</v>
      </c>
      <c r="H918" t="n">
        <v>0</v>
      </c>
      <c r="I918" t="n">
        <v>0</v>
      </c>
      <c r="J918" t="n">
        <v>0</v>
      </c>
      <c r="K918" t="n">
        <v>0</v>
      </c>
      <c r="L918" t="n">
        <v>0</v>
      </c>
      <c r="M918" t="n">
        <v>0</v>
      </c>
      <c r="N918" t="n">
        <v>0</v>
      </c>
      <c r="O918" t="n">
        <v>0</v>
      </c>
      <c r="P918" t="n">
        <v>0</v>
      </c>
      <c r="Q918" t="n">
        <v>0</v>
      </c>
      <c r="R918" s="2" t="inlineStr"/>
    </row>
    <row r="919" ht="15" customHeight="1">
      <c r="A919" t="inlineStr">
        <is>
          <t>A 31998-2023</t>
        </is>
      </c>
      <c r="B919" s="1" t="n">
        <v>45119</v>
      </c>
      <c r="C919" s="1" t="n">
        <v>46094</v>
      </c>
      <c r="D919" t="inlineStr">
        <is>
          <t>SKÅNE LÄN</t>
        </is>
      </c>
      <c r="E919" t="inlineStr">
        <is>
          <t>HÄSSLEHOLM</t>
        </is>
      </c>
      <c r="G919" t="n">
        <v>1.8</v>
      </c>
      <c r="H919" t="n">
        <v>0</v>
      </c>
      <c r="I919" t="n">
        <v>0</v>
      </c>
      <c r="J919" t="n">
        <v>0</v>
      </c>
      <c r="K919" t="n">
        <v>0</v>
      </c>
      <c r="L919" t="n">
        <v>0</v>
      </c>
      <c r="M919" t="n">
        <v>0</v>
      </c>
      <c r="N919" t="n">
        <v>0</v>
      </c>
      <c r="O919" t="n">
        <v>0</v>
      </c>
      <c r="P919" t="n">
        <v>0</v>
      </c>
      <c r="Q919" t="n">
        <v>0</v>
      </c>
      <c r="R919" s="2" t="inlineStr"/>
    </row>
    <row r="920" ht="15" customHeight="1">
      <c r="A920" t="inlineStr">
        <is>
          <t>A 42232-2022</t>
        </is>
      </c>
      <c r="B920" s="1" t="n">
        <v>44830.77591435185</v>
      </c>
      <c r="C920" s="1" t="n">
        <v>46094</v>
      </c>
      <c r="D920" t="inlineStr">
        <is>
          <t>SKÅNE LÄN</t>
        </is>
      </c>
      <c r="E920" t="inlineStr">
        <is>
          <t>HÄSSLEHOLM</t>
        </is>
      </c>
      <c r="G920" t="n">
        <v>1.3</v>
      </c>
      <c r="H920" t="n">
        <v>0</v>
      </c>
      <c r="I920" t="n">
        <v>0</v>
      </c>
      <c r="J920" t="n">
        <v>0</v>
      </c>
      <c r="K920" t="n">
        <v>0</v>
      </c>
      <c r="L920" t="n">
        <v>0</v>
      </c>
      <c r="M920" t="n">
        <v>0</v>
      </c>
      <c r="N920" t="n">
        <v>0</v>
      </c>
      <c r="O920" t="n">
        <v>0</v>
      </c>
      <c r="P920" t="n">
        <v>0</v>
      </c>
      <c r="Q920" t="n">
        <v>0</v>
      </c>
      <c r="R920" s="2" t="inlineStr"/>
    </row>
    <row r="921" ht="15" customHeight="1">
      <c r="A921" t="inlineStr">
        <is>
          <t>A 7150-2025</t>
        </is>
      </c>
      <c r="B921" s="1" t="n">
        <v>45702.38239583333</v>
      </c>
      <c r="C921" s="1" t="n">
        <v>46094</v>
      </c>
      <c r="D921" t="inlineStr">
        <is>
          <t>SKÅNE LÄN</t>
        </is>
      </c>
      <c r="E921" t="inlineStr">
        <is>
          <t>HÄSSLEHOLM</t>
        </is>
      </c>
      <c r="G921" t="n">
        <v>2.3</v>
      </c>
      <c r="H921" t="n">
        <v>0</v>
      </c>
      <c r="I921" t="n">
        <v>0</v>
      </c>
      <c r="J921" t="n">
        <v>0</v>
      </c>
      <c r="K921" t="n">
        <v>0</v>
      </c>
      <c r="L921" t="n">
        <v>0</v>
      </c>
      <c r="M921" t="n">
        <v>0</v>
      </c>
      <c r="N921" t="n">
        <v>0</v>
      </c>
      <c r="O921" t="n">
        <v>0</v>
      </c>
      <c r="P921" t="n">
        <v>0</v>
      </c>
      <c r="Q921" t="n">
        <v>0</v>
      </c>
      <c r="R921" s="2" t="inlineStr"/>
    </row>
    <row r="922" ht="15" customHeight="1">
      <c r="A922" t="inlineStr">
        <is>
          <t>A 37038-2022</t>
        </is>
      </c>
      <c r="B922" s="1" t="n">
        <v>44806.44232638889</v>
      </c>
      <c r="C922" s="1" t="n">
        <v>46094</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20185-2023</t>
        </is>
      </c>
      <c r="B923" s="1" t="n">
        <v>45055.56795138889</v>
      </c>
      <c r="C923" s="1" t="n">
        <v>46094</v>
      </c>
      <c r="D923" t="inlineStr">
        <is>
          <t>SKÅNE LÄN</t>
        </is>
      </c>
      <c r="E923" t="inlineStr">
        <is>
          <t>HÄSSLEHOLM</t>
        </is>
      </c>
      <c r="G923" t="n">
        <v>3.5</v>
      </c>
      <c r="H923" t="n">
        <v>0</v>
      </c>
      <c r="I923" t="n">
        <v>0</v>
      </c>
      <c r="J923" t="n">
        <v>0</v>
      </c>
      <c r="K923" t="n">
        <v>0</v>
      </c>
      <c r="L923" t="n">
        <v>0</v>
      </c>
      <c r="M923" t="n">
        <v>0</v>
      </c>
      <c r="N923" t="n">
        <v>0</v>
      </c>
      <c r="O923" t="n">
        <v>0</v>
      </c>
      <c r="P923" t="n">
        <v>0</v>
      </c>
      <c r="Q923" t="n">
        <v>0</v>
      </c>
      <c r="R923" s="2" t="inlineStr"/>
    </row>
    <row r="924" ht="15" customHeight="1">
      <c r="A924" t="inlineStr">
        <is>
          <t>A 5894-2023</t>
        </is>
      </c>
      <c r="B924" s="1" t="n">
        <v>44963.65148148148</v>
      </c>
      <c r="C924" s="1" t="n">
        <v>46094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9502-2023</t>
        </is>
      </c>
      <c r="B925" s="1" t="n">
        <v>44981.63278935185</v>
      </c>
      <c r="C925" s="1" t="n">
        <v>46094</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48046-2023</t>
        </is>
      </c>
      <c r="B926" s="1" t="n">
        <v>45204.85201388889</v>
      </c>
      <c r="C926" s="1" t="n">
        <v>46094</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61170-2022</t>
        </is>
      </c>
      <c r="B927" s="1" t="n">
        <v>44915.48543981482</v>
      </c>
      <c r="C927" s="1" t="n">
        <v>46094</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57749-2023</t>
        </is>
      </c>
      <c r="B928" s="1" t="n">
        <v>45246</v>
      </c>
      <c r="C928" s="1" t="n">
        <v>46094</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1538-2024</t>
        </is>
      </c>
      <c r="B929" s="1" t="n">
        <v>45306</v>
      </c>
      <c r="C929" s="1" t="n">
        <v>46094</v>
      </c>
      <c r="D929" t="inlineStr">
        <is>
          <t>SKÅNE LÄN</t>
        </is>
      </c>
      <c r="E929" t="inlineStr">
        <is>
          <t>HÄSSLEHOLM</t>
        </is>
      </c>
      <c r="G929" t="n">
        <v>4.8</v>
      </c>
      <c r="H929" t="n">
        <v>0</v>
      </c>
      <c r="I929" t="n">
        <v>0</v>
      </c>
      <c r="J929" t="n">
        <v>0</v>
      </c>
      <c r="K929" t="n">
        <v>0</v>
      </c>
      <c r="L929" t="n">
        <v>0</v>
      </c>
      <c r="M929" t="n">
        <v>0</v>
      </c>
      <c r="N929" t="n">
        <v>0</v>
      </c>
      <c r="O929" t="n">
        <v>0</v>
      </c>
      <c r="P929" t="n">
        <v>0</v>
      </c>
      <c r="Q929" t="n">
        <v>0</v>
      </c>
      <c r="R929" s="2" t="inlineStr"/>
    </row>
    <row r="930" ht="15" customHeight="1">
      <c r="A930" t="inlineStr">
        <is>
          <t>A 3135-2023</t>
        </is>
      </c>
      <c r="B930" s="1" t="n">
        <v>44946.51672453704</v>
      </c>
      <c r="C930" s="1" t="n">
        <v>46094</v>
      </c>
      <c r="D930" t="inlineStr">
        <is>
          <t>SKÅNE LÄN</t>
        </is>
      </c>
      <c r="E930" t="inlineStr">
        <is>
          <t>HÄSSLEHOLM</t>
        </is>
      </c>
      <c r="G930" t="n">
        <v>7.2</v>
      </c>
      <c r="H930" t="n">
        <v>0</v>
      </c>
      <c r="I930" t="n">
        <v>0</v>
      </c>
      <c r="J930" t="n">
        <v>0</v>
      </c>
      <c r="K930" t="n">
        <v>0</v>
      </c>
      <c r="L930" t="n">
        <v>0</v>
      </c>
      <c r="M930" t="n">
        <v>0</v>
      </c>
      <c r="N930" t="n">
        <v>0</v>
      </c>
      <c r="O930" t="n">
        <v>0</v>
      </c>
      <c r="P930" t="n">
        <v>0</v>
      </c>
      <c r="Q930" t="n">
        <v>0</v>
      </c>
      <c r="R930" s="2" t="inlineStr"/>
    </row>
    <row r="931" ht="15" customHeight="1">
      <c r="A931" t="inlineStr">
        <is>
          <t>A 34342-2021</t>
        </is>
      </c>
      <c r="B931" s="1" t="n">
        <v>44379</v>
      </c>
      <c r="C931" s="1" t="n">
        <v>46094</v>
      </c>
      <c r="D931" t="inlineStr">
        <is>
          <t>SKÅNE LÄN</t>
        </is>
      </c>
      <c r="E931" t="inlineStr">
        <is>
          <t>HÄSSLEHOLM</t>
        </is>
      </c>
      <c r="G931" t="n">
        <v>7</v>
      </c>
      <c r="H931" t="n">
        <v>0</v>
      </c>
      <c r="I931" t="n">
        <v>0</v>
      </c>
      <c r="J931" t="n">
        <v>0</v>
      </c>
      <c r="K931" t="n">
        <v>0</v>
      </c>
      <c r="L931" t="n">
        <v>0</v>
      </c>
      <c r="M931" t="n">
        <v>0</v>
      </c>
      <c r="N931" t="n">
        <v>0</v>
      </c>
      <c r="O931" t="n">
        <v>0</v>
      </c>
      <c r="P931" t="n">
        <v>0</v>
      </c>
      <c r="Q931" t="n">
        <v>0</v>
      </c>
      <c r="R931" s="2" t="inlineStr"/>
    </row>
    <row r="932" ht="15" customHeight="1">
      <c r="A932" t="inlineStr">
        <is>
          <t>A 3507-2024</t>
        </is>
      </c>
      <c r="B932" s="1" t="n">
        <v>45320.4906712963</v>
      </c>
      <c r="C932" s="1" t="n">
        <v>46094</v>
      </c>
      <c r="D932" t="inlineStr">
        <is>
          <t>SKÅNE LÄN</t>
        </is>
      </c>
      <c r="E932" t="inlineStr">
        <is>
          <t>HÄSSLEHOLM</t>
        </is>
      </c>
      <c r="G932" t="n">
        <v>6.4</v>
      </c>
      <c r="H932" t="n">
        <v>0</v>
      </c>
      <c r="I932" t="n">
        <v>0</v>
      </c>
      <c r="J932" t="n">
        <v>0</v>
      </c>
      <c r="K932" t="n">
        <v>0</v>
      </c>
      <c r="L932" t="n">
        <v>0</v>
      </c>
      <c r="M932" t="n">
        <v>0</v>
      </c>
      <c r="N932" t="n">
        <v>0</v>
      </c>
      <c r="O932" t="n">
        <v>0</v>
      </c>
      <c r="P932" t="n">
        <v>0</v>
      </c>
      <c r="Q932" t="n">
        <v>0</v>
      </c>
      <c r="R932" s="2" t="inlineStr"/>
    </row>
    <row r="933" ht="15" customHeight="1">
      <c r="A933" t="inlineStr">
        <is>
          <t>A 43629-2023</t>
        </is>
      </c>
      <c r="B933" s="1" t="n">
        <v>45184</v>
      </c>
      <c r="C933" s="1" t="n">
        <v>46094</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49111-2023</t>
        </is>
      </c>
      <c r="B934" s="1" t="n">
        <v>45210.44464120371</v>
      </c>
      <c r="C934" s="1" t="n">
        <v>46094</v>
      </c>
      <c r="D934" t="inlineStr">
        <is>
          <t>SKÅNE LÄN</t>
        </is>
      </c>
      <c r="E934" t="inlineStr">
        <is>
          <t>HÄSSLEHOLM</t>
        </is>
      </c>
      <c r="G934" t="n">
        <v>0.2</v>
      </c>
      <c r="H934" t="n">
        <v>0</v>
      </c>
      <c r="I934" t="n">
        <v>0</v>
      </c>
      <c r="J934" t="n">
        <v>0</v>
      </c>
      <c r="K934" t="n">
        <v>0</v>
      </c>
      <c r="L934" t="n">
        <v>0</v>
      </c>
      <c r="M934" t="n">
        <v>0</v>
      </c>
      <c r="N934" t="n">
        <v>0</v>
      </c>
      <c r="O934" t="n">
        <v>0</v>
      </c>
      <c r="P934" t="n">
        <v>0</v>
      </c>
      <c r="Q934" t="n">
        <v>0</v>
      </c>
      <c r="R934" s="2" t="inlineStr"/>
    </row>
    <row r="935" ht="15" customHeight="1">
      <c r="A935" t="inlineStr">
        <is>
          <t>A 61178-2022</t>
        </is>
      </c>
      <c r="B935" s="1" t="n">
        <v>44915</v>
      </c>
      <c r="C935" s="1" t="n">
        <v>46094</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61185-2022</t>
        </is>
      </c>
      <c r="B936" s="1" t="n">
        <v>44915</v>
      </c>
      <c r="C936" s="1" t="n">
        <v>46094</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58915-2023</t>
        </is>
      </c>
      <c r="B937" s="1" t="n">
        <v>45250</v>
      </c>
      <c r="C937" s="1" t="n">
        <v>46094</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15508-2023</t>
        </is>
      </c>
      <c r="B938" s="1" t="n">
        <v>45020.50045138889</v>
      </c>
      <c r="C938" s="1" t="n">
        <v>46094</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13990-2022</t>
        </is>
      </c>
      <c r="B939" s="1" t="n">
        <v>44650</v>
      </c>
      <c r="C939" s="1" t="n">
        <v>46094</v>
      </c>
      <c r="D939" t="inlineStr">
        <is>
          <t>SKÅNE LÄN</t>
        </is>
      </c>
      <c r="E939" t="inlineStr">
        <is>
          <t>HÄSSLEHOLM</t>
        </is>
      </c>
      <c r="G939" t="n">
        <v>3.6</v>
      </c>
      <c r="H939" t="n">
        <v>0</v>
      </c>
      <c r="I939" t="n">
        <v>0</v>
      </c>
      <c r="J939" t="n">
        <v>0</v>
      </c>
      <c r="K939" t="n">
        <v>0</v>
      </c>
      <c r="L939" t="n">
        <v>0</v>
      </c>
      <c r="M939" t="n">
        <v>0</v>
      </c>
      <c r="N939" t="n">
        <v>0</v>
      </c>
      <c r="O939" t="n">
        <v>0</v>
      </c>
      <c r="P939" t="n">
        <v>0</v>
      </c>
      <c r="Q939" t="n">
        <v>0</v>
      </c>
      <c r="R939" s="2" t="inlineStr"/>
    </row>
    <row r="940" ht="15" customHeight="1">
      <c r="A940" t="inlineStr">
        <is>
          <t>A 42520-2025</t>
        </is>
      </c>
      <c r="B940" s="1" t="n">
        <v>45905.54846064815</v>
      </c>
      <c r="C940" s="1" t="n">
        <v>46094</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50564-2023</t>
        </is>
      </c>
      <c r="B941" s="1" t="n">
        <v>45217.37957175926</v>
      </c>
      <c r="C941" s="1" t="n">
        <v>46094</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61934-2023</t>
        </is>
      </c>
      <c r="B942" s="1" t="n">
        <v>45266.54125</v>
      </c>
      <c r="C942" s="1" t="n">
        <v>46094</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43061-2024</t>
        </is>
      </c>
      <c r="B943" s="1" t="n">
        <v>45567</v>
      </c>
      <c r="C943" s="1" t="n">
        <v>46094</v>
      </c>
      <c r="D943" t="inlineStr">
        <is>
          <t>SKÅNE LÄN</t>
        </is>
      </c>
      <c r="E943" t="inlineStr">
        <is>
          <t>HÄSSLEHOLM</t>
        </is>
      </c>
      <c r="G943" t="n">
        <v>4.5</v>
      </c>
      <c r="H943" t="n">
        <v>0</v>
      </c>
      <c r="I943" t="n">
        <v>0</v>
      </c>
      <c r="J943" t="n">
        <v>0</v>
      </c>
      <c r="K943" t="n">
        <v>0</v>
      </c>
      <c r="L943" t="n">
        <v>0</v>
      </c>
      <c r="M943" t="n">
        <v>0</v>
      </c>
      <c r="N943" t="n">
        <v>0</v>
      </c>
      <c r="O943" t="n">
        <v>0</v>
      </c>
      <c r="P943" t="n">
        <v>0</v>
      </c>
      <c r="Q943" t="n">
        <v>0</v>
      </c>
      <c r="R943" s="2" t="inlineStr"/>
    </row>
    <row r="944" ht="15" customHeight="1">
      <c r="A944" t="inlineStr">
        <is>
          <t>A 11715-2023</t>
        </is>
      </c>
      <c r="B944" s="1" t="n">
        <v>44992</v>
      </c>
      <c r="C944" s="1" t="n">
        <v>46094</v>
      </c>
      <c r="D944" t="inlineStr">
        <is>
          <t>SKÅNE LÄN</t>
        </is>
      </c>
      <c r="E944" t="inlineStr">
        <is>
          <t>HÄSSLEHOLM</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38888-2023</t>
        </is>
      </c>
      <c r="B945" s="1" t="n">
        <v>45161</v>
      </c>
      <c r="C945" s="1" t="n">
        <v>46094</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54171-2021</t>
        </is>
      </c>
      <c r="B946" s="1" t="n">
        <v>44470</v>
      </c>
      <c r="C946" s="1" t="n">
        <v>46094</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24640-2023</t>
        </is>
      </c>
      <c r="B947" s="1" t="n">
        <v>45084.43181712963</v>
      </c>
      <c r="C947" s="1" t="n">
        <v>46094</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51618-2024</t>
        </is>
      </c>
      <c r="B948" s="1" t="n">
        <v>45604.82615740741</v>
      </c>
      <c r="C948" s="1" t="n">
        <v>46094</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59030-2024</t>
        </is>
      </c>
      <c r="B949" s="1" t="n">
        <v>45636.68916666666</v>
      </c>
      <c r="C949" s="1" t="n">
        <v>46094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48663-2024</t>
        </is>
      </c>
      <c r="B950" s="1" t="n">
        <v>45593.48892361111</v>
      </c>
      <c r="C950" s="1" t="n">
        <v>46094</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8249-2023</t>
        </is>
      </c>
      <c r="B951" s="1" t="n">
        <v>44974</v>
      </c>
      <c r="C951" s="1" t="n">
        <v>46094</v>
      </c>
      <c r="D951" t="inlineStr">
        <is>
          <t>SKÅNE LÄN</t>
        </is>
      </c>
      <c r="E951" t="inlineStr">
        <is>
          <t>HÄSSLEHOLM</t>
        </is>
      </c>
      <c r="G951" t="n">
        <v>5.8</v>
      </c>
      <c r="H951" t="n">
        <v>0</v>
      </c>
      <c r="I951" t="n">
        <v>0</v>
      </c>
      <c r="J951" t="n">
        <v>0</v>
      </c>
      <c r="K951" t="n">
        <v>0</v>
      </c>
      <c r="L951" t="n">
        <v>0</v>
      </c>
      <c r="M951" t="n">
        <v>0</v>
      </c>
      <c r="N951" t="n">
        <v>0</v>
      </c>
      <c r="O951" t="n">
        <v>0</v>
      </c>
      <c r="P951" t="n">
        <v>0</v>
      </c>
      <c r="Q951" t="n">
        <v>0</v>
      </c>
      <c r="R951" s="2" t="inlineStr"/>
    </row>
    <row r="952" ht="15" customHeight="1">
      <c r="A952" t="inlineStr">
        <is>
          <t>A 47840-2023</t>
        </is>
      </c>
      <c r="B952" s="1" t="n">
        <v>45204</v>
      </c>
      <c r="C952" s="1" t="n">
        <v>46094</v>
      </c>
      <c r="D952" t="inlineStr">
        <is>
          <t>SKÅNE LÄN</t>
        </is>
      </c>
      <c r="E952" t="inlineStr">
        <is>
          <t>HÄSSLEHOLM</t>
        </is>
      </c>
      <c r="G952" t="n">
        <v>2.4</v>
      </c>
      <c r="H952" t="n">
        <v>0</v>
      </c>
      <c r="I952" t="n">
        <v>0</v>
      </c>
      <c r="J952" t="n">
        <v>0</v>
      </c>
      <c r="K952" t="n">
        <v>0</v>
      </c>
      <c r="L952" t="n">
        <v>0</v>
      </c>
      <c r="M952" t="n">
        <v>0</v>
      </c>
      <c r="N952" t="n">
        <v>0</v>
      </c>
      <c r="O952" t="n">
        <v>0</v>
      </c>
      <c r="P952" t="n">
        <v>0</v>
      </c>
      <c r="Q952" t="n">
        <v>0</v>
      </c>
      <c r="R952" s="2" t="inlineStr"/>
    </row>
    <row r="953" ht="15" customHeight="1">
      <c r="A953" t="inlineStr">
        <is>
          <t>A 62277-2023</t>
        </is>
      </c>
      <c r="B953" s="1" t="n">
        <v>45266</v>
      </c>
      <c r="C953" s="1" t="n">
        <v>46094</v>
      </c>
      <c r="D953" t="inlineStr">
        <is>
          <t>SKÅNE LÄN</t>
        </is>
      </c>
      <c r="E953" t="inlineStr">
        <is>
          <t>HÄSSLEHOLM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34369-2023</t>
        </is>
      </c>
      <c r="B954" s="1" t="n">
        <v>45139.47817129629</v>
      </c>
      <c r="C954" s="1" t="n">
        <v>46094</v>
      </c>
      <c r="D954" t="inlineStr">
        <is>
          <t>SKÅNE LÄN</t>
        </is>
      </c>
      <c r="E954" t="inlineStr">
        <is>
          <t>HÄSSLEHOLM</t>
        </is>
      </c>
      <c r="G954" t="n">
        <v>2</v>
      </c>
      <c r="H954" t="n">
        <v>0</v>
      </c>
      <c r="I954" t="n">
        <v>0</v>
      </c>
      <c r="J954" t="n">
        <v>0</v>
      </c>
      <c r="K954" t="n">
        <v>0</v>
      </c>
      <c r="L954" t="n">
        <v>0</v>
      </c>
      <c r="M954" t="n">
        <v>0</v>
      </c>
      <c r="N954" t="n">
        <v>0</v>
      </c>
      <c r="O954" t="n">
        <v>0</v>
      </c>
      <c r="P954" t="n">
        <v>0</v>
      </c>
      <c r="Q954" t="n">
        <v>0</v>
      </c>
      <c r="R954" s="2" t="inlineStr"/>
    </row>
    <row r="955" ht="15" customHeight="1">
      <c r="A955" t="inlineStr">
        <is>
          <t>A 34834-2023</t>
        </is>
      </c>
      <c r="B955" s="1" t="n">
        <v>45141.7199537037</v>
      </c>
      <c r="C955" s="1" t="n">
        <v>46094</v>
      </c>
      <c r="D955" t="inlineStr">
        <is>
          <t>SKÅNE LÄN</t>
        </is>
      </c>
      <c r="E955" t="inlineStr">
        <is>
          <t>HÄSSLEHOLM</t>
        </is>
      </c>
      <c r="G955" t="n">
        <v>1</v>
      </c>
      <c r="H955" t="n">
        <v>0</v>
      </c>
      <c r="I955" t="n">
        <v>0</v>
      </c>
      <c r="J955" t="n">
        <v>0</v>
      </c>
      <c r="K955" t="n">
        <v>0</v>
      </c>
      <c r="L955" t="n">
        <v>0</v>
      </c>
      <c r="M955" t="n">
        <v>0</v>
      </c>
      <c r="N955" t="n">
        <v>0</v>
      </c>
      <c r="O955" t="n">
        <v>0</v>
      </c>
      <c r="P955" t="n">
        <v>0</v>
      </c>
      <c r="Q955" t="n">
        <v>0</v>
      </c>
      <c r="R955" s="2" t="inlineStr"/>
    </row>
    <row r="956" ht="15" customHeight="1">
      <c r="A956" t="inlineStr">
        <is>
          <t>A 43516-2025</t>
        </is>
      </c>
      <c r="B956" s="1" t="n">
        <v>45911</v>
      </c>
      <c r="C956" s="1" t="n">
        <v>46094</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48627-2023</t>
        </is>
      </c>
      <c r="B957" s="1" t="n">
        <v>45208.57371527778</v>
      </c>
      <c r="C957" s="1" t="n">
        <v>46094</v>
      </c>
      <c r="D957" t="inlineStr">
        <is>
          <t>SKÅNE LÄN</t>
        </is>
      </c>
      <c r="E957" t="inlineStr">
        <is>
          <t>HÄSSLEHOLM</t>
        </is>
      </c>
      <c r="G957" t="n">
        <v>1.9</v>
      </c>
      <c r="H957" t="n">
        <v>0</v>
      </c>
      <c r="I957" t="n">
        <v>0</v>
      </c>
      <c r="J957" t="n">
        <v>0</v>
      </c>
      <c r="K957" t="n">
        <v>0</v>
      </c>
      <c r="L957" t="n">
        <v>0</v>
      </c>
      <c r="M957" t="n">
        <v>0</v>
      </c>
      <c r="N957" t="n">
        <v>0</v>
      </c>
      <c r="O957" t="n">
        <v>0</v>
      </c>
      <c r="P957" t="n">
        <v>0</v>
      </c>
      <c r="Q957" t="n">
        <v>0</v>
      </c>
      <c r="R957" s="2" t="inlineStr"/>
    </row>
    <row r="958" ht="15" customHeight="1">
      <c r="A958" t="inlineStr">
        <is>
          <t>A 43332-2025</t>
        </is>
      </c>
      <c r="B958" s="1" t="n">
        <v>45910.70217592592</v>
      </c>
      <c r="C958" s="1" t="n">
        <v>46094</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11607-2025</t>
        </is>
      </c>
      <c r="B959" s="1" t="n">
        <v>45727</v>
      </c>
      <c r="C959" s="1" t="n">
        <v>46094</v>
      </c>
      <c r="D959" t="inlineStr">
        <is>
          <t>SKÅNE LÄN</t>
        </is>
      </c>
      <c r="E959" t="inlineStr">
        <is>
          <t>HÄSSLEHOLM</t>
        </is>
      </c>
      <c r="G959" t="n">
        <v>4.1</v>
      </c>
      <c r="H959" t="n">
        <v>0</v>
      </c>
      <c r="I959" t="n">
        <v>0</v>
      </c>
      <c r="J959" t="n">
        <v>0</v>
      </c>
      <c r="K959" t="n">
        <v>0</v>
      </c>
      <c r="L959" t="n">
        <v>0</v>
      </c>
      <c r="M959" t="n">
        <v>0</v>
      </c>
      <c r="N959" t="n">
        <v>0</v>
      </c>
      <c r="O959" t="n">
        <v>0</v>
      </c>
      <c r="P959" t="n">
        <v>0</v>
      </c>
      <c r="Q959" t="n">
        <v>0</v>
      </c>
      <c r="R959" s="2" t="inlineStr"/>
    </row>
    <row r="960" ht="15" customHeight="1">
      <c r="A960" t="inlineStr">
        <is>
          <t>A 720-2025</t>
        </is>
      </c>
      <c r="B960" s="1" t="n">
        <v>45665.3744212963</v>
      </c>
      <c r="C960" s="1" t="n">
        <v>46094</v>
      </c>
      <c r="D960" t="inlineStr">
        <is>
          <t>SKÅNE LÄN</t>
        </is>
      </c>
      <c r="E960" t="inlineStr">
        <is>
          <t>HÄSSLEHOLM</t>
        </is>
      </c>
      <c r="G960" t="n">
        <v>1.3</v>
      </c>
      <c r="H960" t="n">
        <v>0</v>
      </c>
      <c r="I960" t="n">
        <v>0</v>
      </c>
      <c r="J960" t="n">
        <v>0</v>
      </c>
      <c r="K960" t="n">
        <v>0</v>
      </c>
      <c r="L960" t="n">
        <v>0</v>
      </c>
      <c r="M960" t="n">
        <v>0</v>
      </c>
      <c r="N960" t="n">
        <v>0</v>
      </c>
      <c r="O960" t="n">
        <v>0</v>
      </c>
      <c r="P960" t="n">
        <v>0</v>
      </c>
      <c r="Q960" t="n">
        <v>0</v>
      </c>
      <c r="R960" s="2" t="inlineStr"/>
    </row>
    <row r="961" ht="15" customHeight="1">
      <c r="A961" t="inlineStr">
        <is>
          <t>A 43333-2025</t>
        </is>
      </c>
      <c r="B961" s="1" t="n">
        <v>45910</v>
      </c>
      <c r="C961" s="1" t="n">
        <v>46094</v>
      </c>
      <c r="D961" t="inlineStr">
        <is>
          <t>SKÅNE LÄN</t>
        </is>
      </c>
      <c r="E961" t="inlineStr">
        <is>
          <t>HÄSSLEHOLM</t>
        </is>
      </c>
      <c r="G961" t="n">
        <v>10.1</v>
      </c>
      <c r="H961" t="n">
        <v>0</v>
      </c>
      <c r="I961" t="n">
        <v>0</v>
      </c>
      <c r="J961" t="n">
        <v>0</v>
      </c>
      <c r="K961" t="n">
        <v>0</v>
      </c>
      <c r="L961" t="n">
        <v>0</v>
      </c>
      <c r="M961" t="n">
        <v>0</v>
      </c>
      <c r="N961" t="n">
        <v>0</v>
      </c>
      <c r="O961" t="n">
        <v>0</v>
      </c>
      <c r="P961" t="n">
        <v>0</v>
      </c>
      <c r="Q961" t="n">
        <v>0</v>
      </c>
      <c r="R961" s="2" t="inlineStr"/>
    </row>
    <row r="962" ht="15" customHeight="1">
      <c r="A962" t="inlineStr">
        <is>
          <t>A 12182-2025</t>
        </is>
      </c>
      <c r="B962" s="1" t="n">
        <v>45729</v>
      </c>
      <c r="C962" s="1" t="n">
        <v>46094</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60848-2022</t>
        </is>
      </c>
      <c r="B963" s="1" t="n">
        <v>44914</v>
      </c>
      <c r="C963" s="1" t="n">
        <v>46094</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43869-2025</t>
        </is>
      </c>
      <c r="B964" s="1" t="n">
        <v>45912.66452546296</v>
      </c>
      <c r="C964" s="1" t="n">
        <v>46094</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6164-2023</t>
        </is>
      </c>
      <c r="B965" s="1" t="n">
        <v>44964.66871527778</v>
      </c>
      <c r="C965" s="1" t="n">
        <v>46094</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43741-2025</t>
        </is>
      </c>
      <c r="B966" s="1" t="n">
        <v>45912.45541666666</v>
      </c>
      <c r="C966" s="1" t="n">
        <v>46094</v>
      </c>
      <c r="D966" t="inlineStr">
        <is>
          <t>SKÅNE LÄN</t>
        </is>
      </c>
      <c r="E966" t="inlineStr">
        <is>
          <t>HÄSSLEHOLM</t>
        </is>
      </c>
      <c r="G966" t="n">
        <v>4.3</v>
      </c>
      <c r="H966" t="n">
        <v>0</v>
      </c>
      <c r="I966" t="n">
        <v>0</v>
      </c>
      <c r="J966" t="n">
        <v>0</v>
      </c>
      <c r="K966" t="n">
        <v>0</v>
      </c>
      <c r="L966" t="n">
        <v>0</v>
      </c>
      <c r="M966" t="n">
        <v>0</v>
      </c>
      <c r="N966" t="n">
        <v>0</v>
      </c>
      <c r="O966" t="n">
        <v>0</v>
      </c>
      <c r="P966" t="n">
        <v>0</v>
      </c>
      <c r="Q966" t="n">
        <v>0</v>
      </c>
      <c r="R966" s="2" t="inlineStr"/>
    </row>
    <row r="967" ht="15" customHeight="1">
      <c r="A967" t="inlineStr">
        <is>
          <t>A 45392-2024</t>
        </is>
      </c>
      <c r="B967" s="1" t="n">
        <v>45576.55008101852</v>
      </c>
      <c r="C967" s="1" t="n">
        <v>46094</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16454-2023</t>
        </is>
      </c>
      <c r="B968" s="1" t="n">
        <v>45029.48425925926</v>
      </c>
      <c r="C968" s="1" t="n">
        <v>46094</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17335-2024</t>
        </is>
      </c>
      <c r="B969" s="1" t="n">
        <v>45414.5687962963</v>
      </c>
      <c r="C969" s="1" t="n">
        <v>46094</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43738-2025</t>
        </is>
      </c>
      <c r="B970" s="1" t="n">
        <v>45912.45037037037</v>
      </c>
      <c r="C970" s="1" t="n">
        <v>46094</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24246-2023</t>
        </is>
      </c>
      <c r="B971" s="1" t="n">
        <v>45079</v>
      </c>
      <c r="C971" s="1" t="n">
        <v>46094</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24249-2023</t>
        </is>
      </c>
      <c r="B972" s="1" t="n">
        <v>45079.62466435185</v>
      </c>
      <c r="C972" s="1" t="n">
        <v>46094</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31989-2024</t>
        </is>
      </c>
      <c r="B973" s="1" t="n">
        <v>45510.58085648148</v>
      </c>
      <c r="C973" s="1" t="n">
        <v>46094</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1120-2024</t>
        </is>
      </c>
      <c r="B974" s="1" t="n">
        <v>45302.4452662037</v>
      </c>
      <c r="C974" s="1" t="n">
        <v>46094</v>
      </c>
      <c r="D974" t="inlineStr">
        <is>
          <t>SKÅNE LÄN</t>
        </is>
      </c>
      <c r="E974" t="inlineStr">
        <is>
          <t>HÄSSLEHOLM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44624-2025</t>
        </is>
      </c>
      <c r="B975" s="1" t="n">
        <v>45917.47152777778</v>
      </c>
      <c r="C975" s="1" t="n">
        <v>46094</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60973-2024</t>
        </is>
      </c>
      <c r="B976" s="1" t="n">
        <v>45644</v>
      </c>
      <c r="C976" s="1" t="n">
        <v>46094</v>
      </c>
      <c r="D976" t="inlineStr">
        <is>
          <t>SKÅNE LÄN</t>
        </is>
      </c>
      <c r="E976" t="inlineStr">
        <is>
          <t>HÄSSLEHOLM</t>
        </is>
      </c>
      <c r="G976" t="n">
        <v>3.6</v>
      </c>
      <c r="H976" t="n">
        <v>0</v>
      </c>
      <c r="I976" t="n">
        <v>0</v>
      </c>
      <c r="J976" t="n">
        <v>0</v>
      </c>
      <c r="K976" t="n">
        <v>0</v>
      </c>
      <c r="L976" t="n">
        <v>0</v>
      </c>
      <c r="M976" t="n">
        <v>0</v>
      </c>
      <c r="N976" t="n">
        <v>0</v>
      </c>
      <c r="O976" t="n">
        <v>0</v>
      </c>
      <c r="P976" t="n">
        <v>0</v>
      </c>
      <c r="Q976" t="n">
        <v>0</v>
      </c>
      <c r="R976" s="2" t="inlineStr"/>
    </row>
    <row r="977" ht="15" customHeight="1">
      <c r="A977" t="inlineStr">
        <is>
          <t>A 27478-2023</t>
        </is>
      </c>
      <c r="B977" s="1" t="n">
        <v>45092</v>
      </c>
      <c r="C977" s="1" t="n">
        <v>46094</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37898-2021</t>
        </is>
      </c>
      <c r="B978" s="1" t="n">
        <v>44403</v>
      </c>
      <c r="C978" s="1" t="n">
        <v>46094</v>
      </c>
      <c r="D978" t="inlineStr">
        <is>
          <t>SKÅNE LÄN</t>
        </is>
      </c>
      <c r="E978" t="inlineStr">
        <is>
          <t>HÄSSLEHOLM</t>
        </is>
      </c>
      <c r="F978" t="inlineStr">
        <is>
          <t>Kommuner</t>
        </is>
      </c>
      <c r="G978" t="n">
        <v>8.4</v>
      </c>
      <c r="H978" t="n">
        <v>0</v>
      </c>
      <c r="I978" t="n">
        <v>0</v>
      </c>
      <c r="J978" t="n">
        <v>0</v>
      </c>
      <c r="K978" t="n">
        <v>0</v>
      </c>
      <c r="L978" t="n">
        <v>0</v>
      </c>
      <c r="M978" t="n">
        <v>0</v>
      </c>
      <c r="N978" t="n">
        <v>0</v>
      </c>
      <c r="O978" t="n">
        <v>0</v>
      </c>
      <c r="P978" t="n">
        <v>0</v>
      </c>
      <c r="Q978" t="n">
        <v>0</v>
      </c>
      <c r="R978" s="2" t="inlineStr"/>
    </row>
    <row r="979" ht="15" customHeight="1">
      <c r="A979" t="inlineStr">
        <is>
          <t>A 44611-2025</t>
        </is>
      </c>
      <c r="B979" s="1" t="n">
        <v>45917.45109953704</v>
      </c>
      <c r="C979" s="1" t="n">
        <v>46094</v>
      </c>
      <c r="D979" t="inlineStr">
        <is>
          <t>SKÅNE LÄN</t>
        </is>
      </c>
      <c r="E979" t="inlineStr">
        <is>
          <t>HÄSSLEHOLM</t>
        </is>
      </c>
      <c r="G979" t="n">
        <v>1.3</v>
      </c>
      <c r="H979" t="n">
        <v>0</v>
      </c>
      <c r="I979" t="n">
        <v>0</v>
      </c>
      <c r="J979" t="n">
        <v>0</v>
      </c>
      <c r="K979" t="n">
        <v>0</v>
      </c>
      <c r="L979" t="n">
        <v>0</v>
      </c>
      <c r="M979" t="n">
        <v>0</v>
      </c>
      <c r="N979" t="n">
        <v>0</v>
      </c>
      <c r="O979" t="n">
        <v>0</v>
      </c>
      <c r="P979" t="n">
        <v>0</v>
      </c>
      <c r="Q979" t="n">
        <v>0</v>
      </c>
      <c r="R979" s="2" t="inlineStr"/>
    </row>
    <row r="980" ht="15" customHeight="1">
      <c r="A980" t="inlineStr">
        <is>
          <t>A 44330-2025</t>
        </is>
      </c>
      <c r="B980" s="1" t="n">
        <v>45916.42120370371</v>
      </c>
      <c r="C980" s="1" t="n">
        <v>46094</v>
      </c>
      <c r="D980" t="inlineStr">
        <is>
          <t>SKÅNE LÄN</t>
        </is>
      </c>
      <c r="E980" t="inlineStr">
        <is>
          <t>HÄSSLEHOLM</t>
        </is>
      </c>
      <c r="G980" t="n">
        <v>2.7</v>
      </c>
      <c r="H980" t="n">
        <v>0</v>
      </c>
      <c r="I980" t="n">
        <v>0</v>
      </c>
      <c r="J980" t="n">
        <v>0</v>
      </c>
      <c r="K980" t="n">
        <v>0</v>
      </c>
      <c r="L980" t="n">
        <v>0</v>
      </c>
      <c r="M980" t="n">
        <v>0</v>
      </c>
      <c r="N980" t="n">
        <v>0</v>
      </c>
      <c r="O980" t="n">
        <v>0</v>
      </c>
      <c r="P980" t="n">
        <v>0</v>
      </c>
      <c r="Q980" t="n">
        <v>0</v>
      </c>
      <c r="R980" s="2" t="inlineStr"/>
    </row>
    <row r="981" ht="15" customHeight="1">
      <c r="A981" t="inlineStr">
        <is>
          <t>A 44523-2025</t>
        </is>
      </c>
      <c r="B981" s="1" t="n">
        <v>45916</v>
      </c>
      <c r="C981" s="1" t="n">
        <v>46094</v>
      </c>
      <c r="D981" t="inlineStr">
        <is>
          <t>SKÅNE LÄN</t>
        </is>
      </c>
      <c r="E981" t="inlineStr">
        <is>
          <t>HÄSSLEHOLM</t>
        </is>
      </c>
      <c r="G981" t="n">
        <v>1.6</v>
      </c>
      <c r="H981" t="n">
        <v>0</v>
      </c>
      <c r="I981" t="n">
        <v>0</v>
      </c>
      <c r="J981" t="n">
        <v>0</v>
      </c>
      <c r="K981" t="n">
        <v>0</v>
      </c>
      <c r="L981" t="n">
        <v>0</v>
      </c>
      <c r="M981" t="n">
        <v>0</v>
      </c>
      <c r="N981" t="n">
        <v>0</v>
      </c>
      <c r="O981" t="n">
        <v>0</v>
      </c>
      <c r="P981" t="n">
        <v>0</v>
      </c>
      <c r="Q981" t="n">
        <v>0</v>
      </c>
      <c r="R981" s="2" t="inlineStr"/>
    </row>
    <row r="982" ht="15" customHeight="1">
      <c r="A982" t="inlineStr">
        <is>
          <t>A 26641-2023</t>
        </is>
      </c>
      <c r="B982" s="1" t="n">
        <v>45092.89619212963</v>
      </c>
      <c r="C982" s="1" t="n">
        <v>46094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44515-2025</t>
        </is>
      </c>
      <c r="B983" s="1" t="n">
        <v>45916.7062037037</v>
      </c>
      <c r="C983" s="1" t="n">
        <v>46094</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16397-2022</t>
        </is>
      </c>
      <c r="B984" s="1" t="n">
        <v>44671</v>
      </c>
      <c r="C984" s="1" t="n">
        <v>46094</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16398-2022</t>
        </is>
      </c>
      <c r="B985" s="1" t="n">
        <v>44671</v>
      </c>
      <c r="C985" s="1" t="n">
        <v>46094</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44616-2025</t>
        </is>
      </c>
      <c r="B986" s="1" t="n">
        <v>45917.45572916666</v>
      </c>
      <c r="C986" s="1" t="n">
        <v>46094</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4512-2024</t>
        </is>
      </c>
      <c r="B987" s="1" t="n">
        <v>45327.6312962963</v>
      </c>
      <c r="C987" s="1" t="n">
        <v>46094</v>
      </c>
      <c r="D987" t="inlineStr">
        <is>
          <t>SKÅNE LÄN</t>
        </is>
      </c>
      <c r="E987" t="inlineStr">
        <is>
          <t>HÄSSLEHOLM</t>
        </is>
      </c>
      <c r="G987" t="n">
        <v>2</v>
      </c>
      <c r="H987" t="n">
        <v>0</v>
      </c>
      <c r="I987" t="n">
        <v>0</v>
      </c>
      <c r="J987" t="n">
        <v>0</v>
      </c>
      <c r="K987" t="n">
        <v>0</v>
      </c>
      <c r="L987" t="n">
        <v>0</v>
      </c>
      <c r="M987" t="n">
        <v>0</v>
      </c>
      <c r="N987" t="n">
        <v>0</v>
      </c>
      <c r="O987" t="n">
        <v>0</v>
      </c>
      <c r="P987" t="n">
        <v>0</v>
      </c>
      <c r="Q987" t="n">
        <v>0</v>
      </c>
      <c r="R987" s="2" t="inlineStr"/>
    </row>
    <row r="988" ht="15" customHeight="1">
      <c r="A988" t="inlineStr">
        <is>
          <t>A 44614-2025</t>
        </is>
      </c>
      <c r="B988" s="1" t="n">
        <v>45917.45422453704</v>
      </c>
      <c r="C988" s="1" t="n">
        <v>46094</v>
      </c>
      <c r="D988" t="inlineStr">
        <is>
          <t>SKÅNE LÄN</t>
        </is>
      </c>
      <c r="E988" t="inlineStr">
        <is>
          <t>HÄSSLEHOLM</t>
        </is>
      </c>
      <c r="G988" t="n">
        <v>5.4</v>
      </c>
      <c r="H988" t="n">
        <v>0</v>
      </c>
      <c r="I988" t="n">
        <v>0</v>
      </c>
      <c r="J988" t="n">
        <v>0</v>
      </c>
      <c r="K988" t="n">
        <v>0</v>
      </c>
      <c r="L988" t="n">
        <v>0</v>
      </c>
      <c r="M988" t="n">
        <v>0</v>
      </c>
      <c r="N988" t="n">
        <v>0</v>
      </c>
      <c r="O988" t="n">
        <v>0</v>
      </c>
      <c r="P988" t="n">
        <v>0</v>
      </c>
      <c r="Q988" t="n">
        <v>0</v>
      </c>
      <c r="R988" s="2" t="inlineStr"/>
    </row>
    <row r="989" ht="15" customHeight="1">
      <c r="A989" t="inlineStr">
        <is>
          <t>A 15512-2025</t>
        </is>
      </c>
      <c r="B989" s="1" t="n">
        <v>45747</v>
      </c>
      <c r="C989" s="1" t="n">
        <v>46094</v>
      </c>
      <c r="D989" t="inlineStr">
        <is>
          <t>SKÅNE LÄN</t>
        </is>
      </c>
      <c r="E989" t="inlineStr">
        <is>
          <t>HÄSSLEHOLM</t>
        </is>
      </c>
      <c r="G989" t="n">
        <v>3.5</v>
      </c>
      <c r="H989" t="n">
        <v>0</v>
      </c>
      <c r="I989" t="n">
        <v>0</v>
      </c>
      <c r="J989" t="n">
        <v>0</v>
      </c>
      <c r="K989" t="n">
        <v>0</v>
      </c>
      <c r="L989" t="n">
        <v>0</v>
      </c>
      <c r="M989" t="n">
        <v>0</v>
      </c>
      <c r="N989" t="n">
        <v>0</v>
      </c>
      <c r="O989" t="n">
        <v>0</v>
      </c>
      <c r="P989" t="n">
        <v>0</v>
      </c>
      <c r="Q989" t="n">
        <v>0</v>
      </c>
      <c r="R989" s="2" t="inlineStr"/>
    </row>
    <row r="990" ht="15" customHeight="1">
      <c r="A990" t="inlineStr">
        <is>
          <t>A 45176-2025</t>
        </is>
      </c>
      <c r="B990" s="1" t="n">
        <v>45919.52307870371</v>
      </c>
      <c r="C990" s="1" t="n">
        <v>46094</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39044-2024</t>
        </is>
      </c>
      <c r="B991" s="1" t="n">
        <v>45548.47707175926</v>
      </c>
      <c r="C991" s="1" t="n">
        <v>46094</v>
      </c>
      <c r="D991" t="inlineStr">
        <is>
          <t>SKÅNE LÄN</t>
        </is>
      </c>
      <c r="E991" t="inlineStr">
        <is>
          <t>HÄSSLEHOLM</t>
        </is>
      </c>
      <c r="G991" t="n">
        <v>2.8</v>
      </c>
      <c r="H991" t="n">
        <v>0</v>
      </c>
      <c r="I991" t="n">
        <v>0</v>
      </c>
      <c r="J991" t="n">
        <v>0</v>
      </c>
      <c r="K991" t="n">
        <v>0</v>
      </c>
      <c r="L991" t="n">
        <v>0</v>
      </c>
      <c r="M991" t="n">
        <v>0</v>
      </c>
      <c r="N991" t="n">
        <v>0</v>
      </c>
      <c r="O991" t="n">
        <v>0</v>
      </c>
      <c r="P991" t="n">
        <v>0</v>
      </c>
      <c r="Q991" t="n">
        <v>0</v>
      </c>
      <c r="R991" s="2" t="inlineStr"/>
    </row>
    <row r="992" ht="15" customHeight="1">
      <c r="A992" t="inlineStr">
        <is>
          <t>A 45221-2025</t>
        </is>
      </c>
      <c r="B992" s="1" t="n">
        <v>45919.57760416667</v>
      </c>
      <c r="C992" s="1" t="n">
        <v>46094</v>
      </c>
      <c r="D992" t="inlineStr">
        <is>
          <t>SKÅNE LÄN</t>
        </is>
      </c>
      <c r="E992" t="inlineStr">
        <is>
          <t>HÄSSLEHOLM</t>
        </is>
      </c>
      <c r="G992" t="n">
        <v>1.7</v>
      </c>
      <c r="H992" t="n">
        <v>0</v>
      </c>
      <c r="I992" t="n">
        <v>0</v>
      </c>
      <c r="J992" t="n">
        <v>0</v>
      </c>
      <c r="K992" t="n">
        <v>0</v>
      </c>
      <c r="L992" t="n">
        <v>0</v>
      </c>
      <c r="M992" t="n">
        <v>0</v>
      </c>
      <c r="N992" t="n">
        <v>0</v>
      </c>
      <c r="O992" t="n">
        <v>0</v>
      </c>
      <c r="P992" t="n">
        <v>0</v>
      </c>
      <c r="Q992" t="n">
        <v>0</v>
      </c>
      <c r="R992" s="2" t="inlineStr"/>
    </row>
    <row r="993" ht="15" customHeight="1">
      <c r="A993" t="inlineStr">
        <is>
          <t>A 45273-2025</t>
        </is>
      </c>
      <c r="B993" s="1" t="n">
        <v>45919.70486111111</v>
      </c>
      <c r="C993" s="1" t="n">
        <v>46094</v>
      </c>
      <c r="D993" t="inlineStr">
        <is>
          <t>SKÅNE LÄN</t>
        </is>
      </c>
      <c r="E993" t="inlineStr">
        <is>
          <t>HÄSSLEHOLM</t>
        </is>
      </c>
      <c r="G993" t="n">
        <v>4.4</v>
      </c>
      <c r="H993" t="n">
        <v>0</v>
      </c>
      <c r="I993" t="n">
        <v>0</v>
      </c>
      <c r="J993" t="n">
        <v>0</v>
      </c>
      <c r="K993" t="n">
        <v>0</v>
      </c>
      <c r="L993" t="n">
        <v>0</v>
      </c>
      <c r="M993" t="n">
        <v>0</v>
      </c>
      <c r="N993" t="n">
        <v>0</v>
      </c>
      <c r="O993" t="n">
        <v>0</v>
      </c>
      <c r="P993" t="n">
        <v>0</v>
      </c>
      <c r="Q993" t="n">
        <v>0</v>
      </c>
      <c r="R993" s="2" t="inlineStr"/>
    </row>
    <row r="994" ht="15" customHeight="1">
      <c r="A994" t="inlineStr">
        <is>
          <t>A 45084-2025</t>
        </is>
      </c>
      <c r="B994" s="1" t="n">
        <v>45918</v>
      </c>
      <c r="C994" s="1" t="n">
        <v>46094</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19020-2024</t>
        </is>
      </c>
      <c r="B995" s="1" t="n">
        <v>45427.66167824074</v>
      </c>
      <c r="C995" s="1" t="n">
        <v>46094</v>
      </c>
      <c r="D995" t="inlineStr">
        <is>
          <t>SKÅNE LÄN</t>
        </is>
      </c>
      <c r="E995" t="inlineStr">
        <is>
          <t>HÄSSLEHOLM</t>
        </is>
      </c>
      <c r="G995" t="n">
        <v>2.3</v>
      </c>
      <c r="H995" t="n">
        <v>0</v>
      </c>
      <c r="I995" t="n">
        <v>0</v>
      </c>
      <c r="J995" t="n">
        <v>0</v>
      </c>
      <c r="K995" t="n">
        <v>0</v>
      </c>
      <c r="L995" t="n">
        <v>0</v>
      </c>
      <c r="M995" t="n">
        <v>0</v>
      </c>
      <c r="N995" t="n">
        <v>0</v>
      </c>
      <c r="O995" t="n">
        <v>0</v>
      </c>
      <c r="P995" t="n">
        <v>0</v>
      </c>
      <c r="Q995" t="n">
        <v>0</v>
      </c>
      <c r="R995" s="2" t="inlineStr"/>
    </row>
    <row r="996" ht="15" customHeight="1">
      <c r="A996" t="inlineStr">
        <is>
          <t>A 40734-2024</t>
        </is>
      </c>
      <c r="B996" s="1" t="n">
        <v>45558</v>
      </c>
      <c r="C996" s="1" t="n">
        <v>46094</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40738-2024</t>
        </is>
      </c>
      <c r="B997" s="1" t="n">
        <v>45558</v>
      </c>
      <c r="C997" s="1" t="n">
        <v>46094</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49199-2024</t>
        </is>
      </c>
      <c r="B998" s="1" t="n">
        <v>45595</v>
      </c>
      <c r="C998" s="1" t="n">
        <v>46094</v>
      </c>
      <c r="D998" t="inlineStr">
        <is>
          <t>SKÅNE LÄN</t>
        </is>
      </c>
      <c r="E998" t="inlineStr">
        <is>
          <t>HÄSSLEHOLM</t>
        </is>
      </c>
      <c r="G998" t="n">
        <v>5.2</v>
      </c>
      <c r="H998" t="n">
        <v>0</v>
      </c>
      <c r="I998" t="n">
        <v>0</v>
      </c>
      <c r="J998" t="n">
        <v>0</v>
      </c>
      <c r="K998" t="n">
        <v>0</v>
      </c>
      <c r="L998" t="n">
        <v>0</v>
      </c>
      <c r="M998" t="n">
        <v>0</v>
      </c>
      <c r="N998" t="n">
        <v>0</v>
      </c>
      <c r="O998" t="n">
        <v>0</v>
      </c>
      <c r="P998" t="n">
        <v>0</v>
      </c>
      <c r="Q998" t="n">
        <v>0</v>
      </c>
      <c r="R998" s="2" t="inlineStr"/>
    </row>
    <row r="999" ht="15" customHeight="1">
      <c r="A999" t="inlineStr">
        <is>
          <t>A 2712-2024</t>
        </is>
      </c>
      <c r="B999" s="1" t="n">
        <v>45314</v>
      </c>
      <c r="C999" s="1" t="n">
        <v>46094</v>
      </c>
      <c r="D999" t="inlineStr">
        <is>
          <t>SKÅNE LÄN</t>
        </is>
      </c>
      <c r="E999" t="inlineStr">
        <is>
          <t>HÄSSLEHOLM</t>
        </is>
      </c>
      <c r="G999" t="n">
        <v>11.3</v>
      </c>
      <c r="H999" t="n">
        <v>0</v>
      </c>
      <c r="I999" t="n">
        <v>0</v>
      </c>
      <c r="J999" t="n">
        <v>0</v>
      </c>
      <c r="K999" t="n">
        <v>0</v>
      </c>
      <c r="L999" t="n">
        <v>0</v>
      </c>
      <c r="M999" t="n">
        <v>0</v>
      </c>
      <c r="N999" t="n">
        <v>0</v>
      </c>
      <c r="O999" t="n">
        <v>0</v>
      </c>
      <c r="P999" t="n">
        <v>0</v>
      </c>
      <c r="Q999" t="n">
        <v>0</v>
      </c>
      <c r="R999" s="2" t="inlineStr"/>
    </row>
    <row r="1000" ht="15" customHeight="1">
      <c r="A1000" t="inlineStr">
        <is>
          <t>A 45496-2025</t>
        </is>
      </c>
      <c r="B1000" s="1" t="n">
        <v>45922</v>
      </c>
      <c r="C1000" s="1" t="n">
        <v>46094</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45495-2025</t>
        </is>
      </c>
      <c r="B1001" s="1" t="n">
        <v>45922.56369212963</v>
      </c>
      <c r="C1001" s="1" t="n">
        <v>46094</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45314-2025</t>
        </is>
      </c>
      <c r="B1002" s="1" t="n">
        <v>45921.81738425926</v>
      </c>
      <c r="C1002" s="1" t="n">
        <v>46094</v>
      </c>
      <c r="D1002" t="inlineStr">
        <is>
          <t>SKÅNE LÄN</t>
        </is>
      </c>
      <c r="E1002" t="inlineStr">
        <is>
          <t>HÄSSLEHOLM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56986-2024</t>
        </is>
      </c>
      <c r="B1003" s="1" t="n">
        <v>45626</v>
      </c>
      <c r="C1003" s="1" t="n">
        <v>46094</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45763-2025</t>
        </is>
      </c>
      <c r="B1004" s="1" t="n">
        <v>45923.51778935185</v>
      </c>
      <c r="C1004" s="1" t="n">
        <v>46094</v>
      </c>
      <c r="D1004" t="inlineStr">
        <is>
          <t>SKÅNE LÄN</t>
        </is>
      </c>
      <c r="E1004" t="inlineStr">
        <is>
          <t>HÄSSLEHOLM</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45764-2025</t>
        </is>
      </c>
      <c r="B1005" s="1" t="n">
        <v>45923.52037037037</v>
      </c>
      <c r="C1005" s="1" t="n">
        <v>46094</v>
      </c>
      <c r="D1005" t="inlineStr">
        <is>
          <t>SKÅNE LÄN</t>
        </is>
      </c>
      <c r="E1005" t="inlineStr">
        <is>
          <t>HÄSSLEHOLM</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46222-2022</t>
        </is>
      </c>
      <c r="B1006" s="1" t="n">
        <v>44847.58725694445</v>
      </c>
      <c r="C1006" s="1" t="n">
        <v>46094</v>
      </c>
      <c r="D1006" t="inlineStr">
        <is>
          <t>SKÅNE LÄN</t>
        </is>
      </c>
      <c r="E1006" t="inlineStr">
        <is>
          <t>HÄSSLEHOLM</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2567-2024</t>
        </is>
      </c>
      <c r="B1007" s="1" t="n">
        <v>45313.62460648148</v>
      </c>
      <c r="C1007" s="1" t="n">
        <v>46094</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45443-2025</t>
        </is>
      </c>
      <c r="B1008" s="1" t="n">
        <v>45920</v>
      </c>
      <c r="C1008" s="1" t="n">
        <v>46094</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45458-2025</t>
        </is>
      </c>
      <c r="B1009" s="1" t="n">
        <v>45920</v>
      </c>
      <c r="C1009" s="1" t="n">
        <v>46094</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45465-2025</t>
        </is>
      </c>
      <c r="B1010" s="1" t="n">
        <v>45920</v>
      </c>
      <c r="C1010" s="1" t="n">
        <v>46094</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28632-2024</t>
        </is>
      </c>
      <c r="B1011" s="1" t="n">
        <v>45478</v>
      </c>
      <c r="C1011" s="1" t="n">
        <v>46094</v>
      </c>
      <c r="D1011" t="inlineStr">
        <is>
          <t>SKÅNE LÄN</t>
        </is>
      </c>
      <c r="E1011" t="inlineStr">
        <is>
          <t>HÄSSLEHOLM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45414-2025</t>
        </is>
      </c>
      <c r="B1012" s="1" t="n">
        <v>45920</v>
      </c>
      <c r="C1012" s="1" t="n">
        <v>46094</v>
      </c>
      <c r="D1012" t="inlineStr">
        <is>
          <t>SKÅNE LÄN</t>
        </is>
      </c>
      <c r="E1012" t="inlineStr">
        <is>
          <t>HÄSSLEHOLM</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11708-2025</t>
        </is>
      </c>
      <c r="B1013" s="1" t="n">
        <v>45727.58626157408</v>
      </c>
      <c r="C1013" s="1" t="n">
        <v>46094</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45683-2025</t>
        </is>
      </c>
      <c r="B1014" s="1" t="n">
        <v>45923.37590277778</v>
      </c>
      <c r="C1014" s="1" t="n">
        <v>46094</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45516-2025</t>
        </is>
      </c>
      <c r="B1015" s="1" t="n">
        <v>45922</v>
      </c>
      <c r="C1015" s="1" t="n">
        <v>46094</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21028-2021</t>
        </is>
      </c>
      <c r="B1016" s="1" t="n">
        <v>44319</v>
      </c>
      <c r="C1016" s="1" t="n">
        <v>46094</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69357-2021</t>
        </is>
      </c>
      <c r="B1017" s="1" t="n">
        <v>44531</v>
      </c>
      <c r="C1017" s="1" t="n">
        <v>46094</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45514-2025</t>
        </is>
      </c>
      <c r="B1018" s="1" t="n">
        <v>45922</v>
      </c>
      <c r="C1018" s="1" t="n">
        <v>46094</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11121-2023</t>
        </is>
      </c>
      <c r="B1019" s="1" t="n">
        <v>44986</v>
      </c>
      <c r="C1019" s="1" t="n">
        <v>46094</v>
      </c>
      <c r="D1019" t="inlineStr">
        <is>
          <t>SKÅNE LÄN</t>
        </is>
      </c>
      <c r="E1019" t="inlineStr">
        <is>
          <t>HÄSSLEHOLM</t>
        </is>
      </c>
      <c r="F1019" t="inlineStr">
        <is>
          <t>Kommuner</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11116-2023</t>
        </is>
      </c>
      <c r="B1020" s="1" t="n">
        <v>44986</v>
      </c>
      <c r="C1020" s="1" t="n">
        <v>46094</v>
      </c>
      <c r="D1020" t="inlineStr">
        <is>
          <t>SKÅNE LÄN</t>
        </is>
      </c>
      <c r="E1020" t="inlineStr">
        <is>
          <t>HÄSSLEHOLM</t>
        </is>
      </c>
      <c r="F1020" t="inlineStr">
        <is>
          <t>Kommuner</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45762-2025</t>
        </is>
      </c>
      <c r="B1021" s="1" t="n">
        <v>45923.51548611111</v>
      </c>
      <c r="C1021" s="1" t="n">
        <v>46094</v>
      </c>
      <c r="D1021" t="inlineStr">
        <is>
          <t>SKÅNE LÄN</t>
        </is>
      </c>
      <c r="E1021" t="inlineStr">
        <is>
          <t>HÄSSLEHOLM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9668-2025</t>
        </is>
      </c>
      <c r="B1022" s="1" t="n">
        <v>45716</v>
      </c>
      <c r="C1022" s="1" t="n">
        <v>46094</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9678-2025</t>
        </is>
      </c>
      <c r="B1023" s="1" t="n">
        <v>45716</v>
      </c>
      <c r="C1023" s="1" t="n">
        <v>46094</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46786-2025</t>
        </is>
      </c>
      <c r="B1024" s="1" t="n">
        <v>45926.64484953704</v>
      </c>
      <c r="C1024" s="1" t="n">
        <v>46094</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47126-2025</t>
        </is>
      </c>
      <c r="B1025" s="1" t="n">
        <v>45929.685625</v>
      </c>
      <c r="C1025" s="1" t="n">
        <v>46094</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47127-2025</t>
        </is>
      </c>
      <c r="B1026" s="1" t="n">
        <v>45929.6893287037</v>
      </c>
      <c r="C1026" s="1" t="n">
        <v>46094</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46761-2025</t>
        </is>
      </c>
      <c r="B1027" s="1" t="n">
        <v>45926.62289351852</v>
      </c>
      <c r="C1027" s="1" t="n">
        <v>46094</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46855-2025</t>
        </is>
      </c>
      <c r="B1028" s="1" t="n">
        <v>45928.88497685185</v>
      </c>
      <c r="C1028" s="1" t="n">
        <v>46094</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46605-2025</t>
        </is>
      </c>
      <c r="B1029" s="1" t="n">
        <v>45926.41214120371</v>
      </c>
      <c r="C1029" s="1" t="n">
        <v>46094</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25726-2025</t>
        </is>
      </c>
      <c r="B1030" s="1" t="n">
        <v>45803</v>
      </c>
      <c r="C1030" s="1" t="n">
        <v>46094</v>
      </c>
      <c r="D1030" t="inlineStr">
        <is>
          <t>SKÅNE LÄN</t>
        </is>
      </c>
      <c r="E1030" t="inlineStr">
        <is>
          <t>HÄSSLEHOLM</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47259-2025</t>
        </is>
      </c>
      <c r="B1031" s="1" t="n">
        <v>45930</v>
      </c>
      <c r="C1031" s="1" t="n">
        <v>46094</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47473-2025</t>
        </is>
      </c>
      <c r="B1032" s="1" t="n">
        <v>45930.67763888889</v>
      </c>
      <c r="C1032" s="1" t="n">
        <v>46094</v>
      </c>
      <c r="D1032" t="inlineStr">
        <is>
          <t>SKÅNE LÄN</t>
        </is>
      </c>
      <c r="E1032" t="inlineStr">
        <is>
          <t>HÄSSLEHOLM</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47466-2025</t>
        </is>
      </c>
      <c r="B1033" s="1" t="n">
        <v>45930.66677083333</v>
      </c>
      <c r="C1033" s="1" t="n">
        <v>46094</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48184-2025</t>
        </is>
      </c>
      <c r="B1034" s="1" t="n">
        <v>45933.46131944445</v>
      </c>
      <c r="C1034" s="1" t="n">
        <v>46094</v>
      </c>
      <c r="D1034" t="inlineStr">
        <is>
          <t>SKÅNE LÄN</t>
        </is>
      </c>
      <c r="E1034" t="inlineStr">
        <is>
          <t>HÄSSLEHOLM</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48185-2025</t>
        </is>
      </c>
      <c r="B1035" s="1" t="n">
        <v>45933.46434027778</v>
      </c>
      <c r="C1035" s="1" t="n">
        <v>46094</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48722-2025</t>
        </is>
      </c>
      <c r="B1036" s="1" t="n">
        <v>45935</v>
      </c>
      <c r="C1036" s="1" t="n">
        <v>46094</v>
      </c>
      <c r="D1036" t="inlineStr">
        <is>
          <t>SKÅNE LÄN</t>
        </is>
      </c>
      <c r="E1036" t="inlineStr">
        <is>
          <t>HÄSSLEHOLM</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49135-2025</t>
        </is>
      </c>
      <c r="B1037" s="1" t="n">
        <v>45938.00990740741</v>
      </c>
      <c r="C1037" s="1" t="n">
        <v>46094</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49136-2025</t>
        </is>
      </c>
      <c r="B1038" s="1" t="n">
        <v>45938.01277777777</v>
      </c>
      <c r="C1038" s="1" t="n">
        <v>46094</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49137-2025</t>
        </is>
      </c>
      <c r="B1039" s="1" t="n">
        <v>45938.05672453704</v>
      </c>
      <c r="C1039" s="1" t="n">
        <v>46094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49845-2025</t>
        </is>
      </c>
      <c r="B1040" s="1" t="n">
        <v>45940.48015046296</v>
      </c>
      <c r="C1040" s="1" t="n">
        <v>46094</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1886-2025</t>
        </is>
      </c>
      <c r="B1041" s="1" t="n">
        <v>45671</v>
      </c>
      <c r="C1041" s="1" t="n">
        <v>46094</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15536-2025</t>
        </is>
      </c>
      <c r="B1042" s="1" t="n">
        <v>45747</v>
      </c>
      <c r="C1042" s="1" t="n">
        <v>46094</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24904-2025</t>
        </is>
      </c>
      <c r="B1043" s="1" t="n">
        <v>45799</v>
      </c>
      <c r="C1043" s="1" t="n">
        <v>46094</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49824-2024</t>
        </is>
      </c>
      <c r="B1044" s="1" t="n">
        <v>45597</v>
      </c>
      <c r="C1044" s="1" t="n">
        <v>46094</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50676-2025</t>
        </is>
      </c>
      <c r="B1045" s="1" t="n">
        <v>45945</v>
      </c>
      <c r="C1045" s="1" t="n">
        <v>46094</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50678-2025</t>
        </is>
      </c>
      <c r="B1046" s="1" t="n">
        <v>45945</v>
      </c>
      <c r="C1046" s="1" t="n">
        <v>46094</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50677-2025</t>
        </is>
      </c>
      <c r="B1047" s="1" t="n">
        <v>45945</v>
      </c>
      <c r="C1047" s="1" t="n">
        <v>46094</v>
      </c>
      <c r="D1047" t="inlineStr">
        <is>
          <t>SKÅNE LÄN</t>
        </is>
      </c>
      <c r="E1047" t="inlineStr">
        <is>
          <t>HÄSSLEHOLM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50834-2025</t>
        </is>
      </c>
      <c r="B1048" s="1" t="n">
        <v>45946.55746527778</v>
      </c>
      <c r="C1048" s="1" t="n">
        <v>46094</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51024-2025</t>
        </is>
      </c>
      <c r="B1049" s="1" t="n">
        <v>45947.395</v>
      </c>
      <c r="C1049" s="1" t="n">
        <v>46094</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50839-2025</t>
        </is>
      </c>
      <c r="B1050" s="1" t="n">
        <v>45946</v>
      </c>
      <c r="C1050" s="1" t="n">
        <v>46094</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50829-2025</t>
        </is>
      </c>
      <c r="B1051" s="1" t="n">
        <v>45946.55309027778</v>
      </c>
      <c r="C1051" s="1" t="n">
        <v>46094</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51097-2025</t>
        </is>
      </c>
      <c r="B1052" s="1" t="n">
        <v>45947.48018518519</v>
      </c>
      <c r="C1052" s="1" t="n">
        <v>46094</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51597-2025</t>
        </is>
      </c>
      <c r="B1053" s="1" t="n">
        <v>45951.37163194444</v>
      </c>
      <c r="C1053" s="1" t="n">
        <v>46094</v>
      </c>
      <c r="D1053" t="inlineStr">
        <is>
          <t>SKÅNE LÄN</t>
        </is>
      </c>
      <c r="E1053" t="inlineStr">
        <is>
          <t>HÄSSLEHOLM</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51795-2025</t>
        </is>
      </c>
      <c r="B1054" s="1" t="n">
        <v>45951</v>
      </c>
      <c r="C1054" s="1" t="n">
        <v>46094</v>
      </c>
      <c r="D1054" t="inlineStr">
        <is>
          <t>SKÅNE LÄN</t>
        </is>
      </c>
      <c r="E1054" t="inlineStr">
        <is>
          <t>HÄSSLEHOLM</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51796-2025</t>
        </is>
      </c>
      <c r="B1055" s="1" t="n">
        <v>45951.74546296296</v>
      </c>
      <c r="C1055" s="1" t="n">
        <v>46094</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51640-2025</t>
        </is>
      </c>
      <c r="B1056" s="1" t="n">
        <v>45951.44361111111</v>
      </c>
      <c r="C1056" s="1" t="n">
        <v>46094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52126-2025</t>
        </is>
      </c>
      <c r="B1057" s="1" t="n">
        <v>45952.72109953704</v>
      </c>
      <c r="C1057" s="1" t="n">
        <v>46094</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53020-2025</t>
        </is>
      </c>
      <c r="B1058" s="1" t="n">
        <v>45957.90707175926</v>
      </c>
      <c r="C1058" s="1" t="n">
        <v>46094</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53424-2025</t>
        </is>
      </c>
      <c r="B1059" s="1" t="n">
        <v>45959</v>
      </c>
      <c r="C1059" s="1" t="n">
        <v>46094</v>
      </c>
      <c r="D1059" t="inlineStr">
        <is>
          <t>SKÅNE LÄN</t>
        </is>
      </c>
      <c r="E1059" t="inlineStr">
        <is>
          <t>HÄSSLEHOLM</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53018-2025</t>
        </is>
      </c>
      <c r="B1060" s="1" t="n">
        <v>45957.90064814815</v>
      </c>
      <c r="C1060" s="1" t="n">
        <v>46094</v>
      </c>
      <c r="D1060" t="inlineStr">
        <is>
          <t>SKÅNE LÄN</t>
        </is>
      </c>
      <c r="E1060" t="inlineStr">
        <is>
          <t>HÄSSLEHOLM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53056-2025</t>
        </is>
      </c>
      <c r="B1061" s="1" t="n">
        <v>45958.36518518518</v>
      </c>
      <c r="C1061" s="1" t="n">
        <v>46094</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47161-2025</t>
        </is>
      </c>
      <c r="B1062" s="1" t="n">
        <v>45929</v>
      </c>
      <c r="C1062" s="1" t="n">
        <v>46094</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54771-2025</t>
        </is>
      </c>
      <c r="B1063" s="1" t="n">
        <v>45966.60829861111</v>
      </c>
      <c r="C1063" s="1" t="n">
        <v>46094</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54664-2025</t>
        </is>
      </c>
      <c r="B1064" s="1" t="n">
        <v>45966.40738425926</v>
      </c>
      <c r="C1064" s="1" t="n">
        <v>46094</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54763-2025</t>
        </is>
      </c>
      <c r="B1065" s="1" t="n">
        <v>45966.60167824074</v>
      </c>
      <c r="C1065" s="1" t="n">
        <v>46094</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27297-2023</t>
        </is>
      </c>
      <c r="B1066" s="1" t="n">
        <v>45096</v>
      </c>
      <c r="C1066" s="1" t="n">
        <v>46094</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54668-2025</t>
        </is>
      </c>
      <c r="B1067" s="1" t="n">
        <v>45966.40803240741</v>
      </c>
      <c r="C1067" s="1" t="n">
        <v>46094</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9747-2024</t>
        </is>
      </c>
      <c r="B1068" s="1" t="n">
        <v>45362</v>
      </c>
      <c r="C1068" s="1" t="n">
        <v>46094</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55268-2025</t>
        </is>
      </c>
      <c r="B1069" s="1" t="n">
        <v>45968.6715625</v>
      </c>
      <c r="C1069" s="1" t="n">
        <v>46094</v>
      </c>
      <c r="D1069" t="inlineStr">
        <is>
          <t>SKÅNE LÄN</t>
        </is>
      </c>
      <c r="E1069" t="inlineStr">
        <is>
          <t>HÄSSLEHOLM</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55549-2025</t>
        </is>
      </c>
      <c r="B1070" s="1" t="n">
        <v>45971.63805555556</v>
      </c>
      <c r="C1070" s="1" t="n">
        <v>46094</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55458-2025</t>
        </is>
      </c>
      <c r="B1071" s="1" t="n">
        <v>45971</v>
      </c>
      <c r="C1071" s="1" t="n">
        <v>46094</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55455-2025</t>
        </is>
      </c>
      <c r="B1072" s="1" t="n">
        <v>45971</v>
      </c>
      <c r="C1072" s="1" t="n">
        <v>46094</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56667-2025</t>
        </is>
      </c>
      <c r="B1073" s="1" t="n">
        <v>45975.68508101852</v>
      </c>
      <c r="C1073" s="1" t="n">
        <v>46094</v>
      </c>
      <c r="D1073" t="inlineStr">
        <is>
          <t>SKÅNE LÄN</t>
        </is>
      </c>
      <c r="E1073" t="inlineStr">
        <is>
          <t>HÄSSLEHOLM</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56797-2025</t>
        </is>
      </c>
      <c r="B1074" s="1" t="n">
        <v>45978.43273148148</v>
      </c>
      <c r="C1074" s="1" t="n">
        <v>46094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56798-2025</t>
        </is>
      </c>
      <c r="B1075" s="1" t="n">
        <v>45978.43378472222</v>
      </c>
      <c r="C1075" s="1" t="n">
        <v>46094</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56767-2025</t>
        </is>
      </c>
      <c r="B1076" s="1" t="n">
        <v>45978.38178240741</v>
      </c>
      <c r="C1076" s="1" t="n">
        <v>46094</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56769-2025</t>
        </is>
      </c>
      <c r="B1077" s="1" t="n">
        <v>45978.38429398148</v>
      </c>
      <c r="C1077" s="1" t="n">
        <v>46094</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56794-2025</t>
        </is>
      </c>
      <c r="B1078" s="1" t="n">
        <v>45978.43039351852</v>
      </c>
      <c r="C1078" s="1" t="n">
        <v>46094</v>
      </c>
      <c r="D1078" t="inlineStr">
        <is>
          <t>SKÅNE LÄN</t>
        </is>
      </c>
      <c r="E1078" t="inlineStr">
        <is>
          <t>HÄSSLEHOLM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55569-2025</t>
        </is>
      </c>
      <c r="B1079" s="1" t="n">
        <v>45971</v>
      </c>
      <c r="C1079" s="1" t="n">
        <v>46094</v>
      </c>
      <c r="D1079" t="inlineStr">
        <is>
          <t>SKÅNE LÄN</t>
        </is>
      </c>
      <c r="E1079" t="inlineStr">
        <is>
          <t>HÄSSLEHOLM</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57817-2025</t>
        </is>
      </c>
      <c r="B1080" s="1" t="n">
        <v>45981.59475694445</v>
      </c>
      <c r="C1080" s="1" t="n">
        <v>46094</v>
      </c>
      <c r="D1080" t="inlineStr">
        <is>
          <t>SKÅNE LÄN</t>
        </is>
      </c>
      <c r="E1080" t="inlineStr">
        <is>
          <t>HÄSSLEHOLM</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30092-2025</t>
        </is>
      </c>
      <c r="B1081" s="1" t="n">
        <v>45826</v>
      </c>
      <c r="C1081" s="1" t="n">
        <v>46094</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30109-2025</t>
        </is>
      </c>
      <c r="B1082" s="1" t="n">
        <v>45826</v>
      </c>
      <c r="C1082" s="1" t="n">
        <v>46094</v>
      </c>
      <c r="D1082" t="inlineStr">
        <is>
          <t>SKÅNE LÄN</t>
        </is>
      </c>
      <c r="E1082" t="inlineStr">
        <is>
          <t>HÄSSLEHOLM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58241-2025</t>
        </is>
      </c>
      <c r="B1083" s="1" t="n">
        <v>45985.38797453704</v>
      </c>
      <c r="C1083" s="1" t="n">
        <v>46094</v>
      </c>
      <c r="D1083" t="inlineStr">
        <is>
          <t>SKÅNE LÄN</t>
        </is>
      </c>
      <c r="E1083" t="inlineStr">
        <is>
          <t>HÄSSLEHOLM</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11753-2025</t>
        </is>
      </c>
      <c r="B1084" s="1" t="n">
        <v>45727</v>
      </c>
      <c r="C1084" s="1" t="n">
        <v>46094</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58933-2025</t>
        </is>
      </c>
      <c r="B1085" s="1" t="n">
        <v>45987.56107638889</v>
      </c>
      <c r="C1085" s="1" t="n">
        <v>46094</v>
      </c>
      <c r="D1085" t="inlineStr">
        <is>
          <t>SKÅNE LÄN</t>
        </is>
      </c>
      <c r="E1085" t="inlineStr">
        <is>
          <t>HÄSSLEHOLM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59722-2025</t>
        </is>
      </c>
      <c r="B1086" s="1" t="n">
        <v>45992.5474537037</v>
      </c>
      <c r="C1086" s="1" t="n">
        <v>46094</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1616-2025</t>
        </is>
      </c>
      <c r="B1087" s="1" t="n">
        <v>45670</v>
      </c>
      <c r="C1087" s="1" t="n">
        <v>46094</v>
      </c>
      <c r="D1087" t="inlineStr">
        <is>
          <t>SKÅNE LÄN</t>
        </is>
      </c>
      <c r="E1087" t="inlineStr">
        <is>
          <t>HÄSSLEHOLM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53055-2021</t>
        </is>
      </c>
      <c r="B1088" s="1" t="n">
        <v>44467</v>
      </c>
      <c r="C1088" s="1" t="n">
        <v>46094</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61322-2025</t>
        </is>
      </c>
      <c r="B1089" s="1" t="n">
        <v>46000</v>
      </c>
      <c r="C1089" s="1" t="n">
        <v>46094</v>
      </c>
      <c r="D1089" t="inlineStr">
        <is>
          <t>SKÅNE LÄN</t>
        </is>
      </c>
      <c r="E1089" t="inlineStr">
        <is>
          <t>HÄSSLEHOLM</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61474-2025</t>
        </is>
      </c>
      <c r="B1090" s="1" t="n">
        <v>46001.61886574074</v>
      </c>
      <c r="C1090" s="1" t="n">
        <v>46094</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62376-2025</t>
        </is>
      </c>
      <c r="B1091" s="1" t="n">
        <v>46006</v>
      </c>
      <c r="C1091" s="1" t="n">
        <v>46094</v>
      </c>
      <c r="D1091" t="inlineStr">
        <is>
          <t>SKÅNE LÄN</t>
        </is>
      </c>
      <c r="E1091" t="inlineStr">
        <is>
          <t>HÄSSLEHOLM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62271-2025</t>
        </is>
      </c>
      <c r="B1092" s="1" t="n">
        <v>46006.62256944444</v>
      </c>
      <c r="C1092" s="1" t="n">
        <v>46094</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62264-2025</t>
        </is>
      </c>
      <c r="B1093" s="1" t="n">
        <v>46006.61644675926</v>
      </c>
      <c r="C1093" s="1" t="n">
        <v>46094</v>
      </c>
      <c r="D1093" t="inlineStr">
        <is>
          <t>SKÅNE LÄN</t>
        </is>
      </c>
      <c r="E1093" t="inlineStr">
        <is>
          <t>HÄSSLEHOLM</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46813-2024</t>
        </is>
      </c>
      <c r="B1094" s="1" t="n">
        <v>45583</v>
      </c>
      <c r="C1094" s="1" t="n">
        <v>46094</v>
      </c>
      <c r="D1094" t="inlineStr">
        <is>
          <t>SKÅNE LÄN</t>
        </is>
      </c>
      <c r="E1094" t="inlineStr">
        <is>
          <t>HÄSSLEHOLM</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54798-2025</t>
        </is>
      </c>
      <c r="B1095" s="1" t="n">
        <v>45966</v>
      </c>
      <c r="C1095" s="1" t="n">
        <v>46094</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62417-2025</t>
        </is>
      </c>
      <c r="B1096" s="1" t="n">
        <v>46007</v>
      </c>
      <c r="C1096" s="1" t="n">
        <v>46094</v>
      </c>
      <c r="D1096" t="inlineStr">
        <is>
          <t>SKÅNE LÄN</t>
        </is>
      </c>
      <c r="E1096" t="inlineStr">
        <is>
          <t>HÄSSLEHOLM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6299-2026</t>
        </is>
      </c>
      <c r="B1097" s="1" t="n">
        <v>46055.56623842593</v>
      </c>
      <c r="C1097" s="1" t="n">
        <v>46094</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27349-2025</t>
        </is>
      </c>
      <c r="B1098" s="1" t="n">
        <v>45812</v>
      </c>
      <c r="C1098" s="1" t="n">
        <v>46094</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63415-2025</t>
        </is>
      </c>
      <c r="B1099" s="1" t="n">
        <v>46013.32163194445</v>
      </c>
      <c r="C1099" s="1" t="n">
        <v>46094</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63416-2025</t>
        </is>
      </c>
      <c r="B1100" s="1" t="n">
        <v>46013.3232175926</v>
      </c>
      <c r="C1100" s="1" t="n">
        <v>46094</v>
      </c>
      <c r="D1100" t="inlineStr">
        <is>
          <t>SKÅNE LÄN</t>
        </is>
      </c>
      <c r="E1100" t="inlineStr">
        <is>
          <t>HÄSSLEHOLM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63510-2025</t>
        </is>
      </c>
      <c r="B1101" s="1" t="n">
        <v>46013.49172453704</v>
      </c>
      <c r="C1101" s="1" t="n">
        <v>46094</v>
      </c>
      <c r="D1101" t="inlineStr">
        <is>
          <t>SKÅNE LÄN</t>
        </is>
      </c>
      <c r="E1101" t="inlineStr">
        <is>
          <t>HÄSSLEHOLM</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6295-2026</t>
        </is>
      </c>
      <c r="B1102" s="1" t="n">
        <v>46055.56115740741</v>
      </c>
      <c r="C1102" s="1" t="n">
        <v>46094</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6309-2026</t>
        </is>
      </c>
      <c r="B1103" s="1" t="n">
        <v>46055.57369212963</v>
      </c>
      <c r="C1103" s="1" t="n">
        <v>46094</v>
      </c>
      <c r="D1103" t="inlineStr">
        <is>
          <t>SKÅNE LÄN</t>
        </is>
      </c>
      <c r="E1103" t="inlineStr">
        <is>
          <t>HÄSSLEHOLM</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6363-2026</t>
        </is>
      </c>
      <c r="B1104" s="1" t="n">
        <v>46055.62319444444</v>
      </c>
      <c r="C1104" s="1" t="n">
        <v>46094</v>
      </c>
      <c r="D1104" t="inlineStr">
        <is>
          <t>SKÅNE LÄN</t>
        </is>
      </c>
      <c r="E1104" t="inlineStr">
        <is>
          <t>HÄSSLEHOLM</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63354-2025</t>
        </is>
      </c>
      <c r="B1105" s="1" t="n">
        <v>46010.66957175926</v>
      </c>
      <c r="C1105" s="1" t="n">
        <v>46094</v>
      </c>
      <c r="D1105" t="inlineStr">
        <is>
          <t>SKÅNE LÄN</t>
        </is>
      </c>
      <c r="E1105" t="inlineStr">
        <is>
          <t>HÄSSLEHOLM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63473-2025</t>
        </is>
      </c>
      <c r="B1106" s="1" t="n">
        <v>46013.44364583334</v>
      </c>
      <c r="C1106" s="1" t="n">
        <v>46094</v>
      </c>
      <c r="D1106" t="inlineStr">
        <is>
          <t>SKÅNE LÄN</t>
        </is>
      </c>
      <c r="E1106" t="inlineStr">
        <is>
          <t>HÄSSLEHOLM</t>
        </is>
      </c>
      <c r="F1106" t="inlineStr">
        <is>
          <t>Kommuner</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63487-2025</t>
        </is>
      </c>
      <c r="B1107" s="1" t="n">
        <v>46013.46878472222</v>
      </c>
      <c r="C1107" s="1" t="n">
        <v>46094</v>
      </c>
      <c r="D1107" t="inlineStr">
        <is>
          <t>SKÅNE LÄN</t>
        </is>
      </c>
      <c r="E1107" t="inlineStr">
        <is>
          <t>HÄSSLEHOLM</t>
        </is>
      </c>
      <c r="F1107" t="inlineStr">
        <is>
          <t>Kommuner</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63414-2025</t>
        </is>
      </c>
      <c r="B1108" s="1" t="n">
        <v>46013.32008101852</v>
      </c>
      <c r="C1108" s="1" t="n">
        <v>46094</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63476-2025</t>
        </is>
      </c>
      <c r="B1109" s="1" t="n">
        <v>46013.44621527778</v>
      </c>
      <c r="C1109" s="1" t="n">
        <v>46094</v>
      </c>
      <c r="D1109" t="inlineStr">
        <is>
          <t>SKÅNE LÄN</t>
        </is>
      </c>
      <c r="E1109" t="inlineStr">
        <is>
          <t>HÄSSLEHOLM</t>
        </is>
      </c>
      <c r="F1109" t="inlineStr">
        <is>
          <t>Kommuner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63284-2025</t>
        </is>
      </c>
      <c r="B1110" s="1" t="n">
        <v>46010</v>
      </c>
      <c r="C1110" s="1" t="n">
        <v>46094</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6449-2026</t>
        </is>
      </c>
      <c r="B1111" s="1" t="n">
        <v>46055.87239583334</v>
      </c>
      <c r="C1111" s="1" t="n">
        <v>46094</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47422-2025</t>
        </is>
      </c>
      <c r="B1112" s="1" t="n">
        <v>45930</v>
      </c>
      <c r="C1112" s="1" t="n">
        <v>46094</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47432-2025</t>
        </is>
      </c>
      <c r="B1113" s="1" t="n">
        <v>45930</v>
      </c>
      <c r="C1113" s="1" t="n">
        <v>46094</v>
      </c>
      <c r="D1113" t="inlineStr">
        <is>
          <t>SKÅNE LÄN</t>
        </is>
      </c>
      <c r="E1113" t="inlineStr">
        <is>
          <t>HÄSSLEHOLM</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47450-2025</t>
        </is>
      </c>
      <c r="B1114" s="1" t="n">
        <v>45930</v>
      </c>
      <c r="C1114" s="1" t="n">
        <v>46094</v>
      </c>
      <c r="D1114" t="inlineStr">
        <is>
          <t>SKÅNE LÄN</t>
        </is>
      </c>
      <c r="E1114" t="inlineStr">
        <is>
          <t>HÄSSLEHOLM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6877-2026</t>
        </is>
      </c>
      <c r="B1115" s="1" t="n">
        <v>46057.45768518518</v>
      </c>
      <c r="C1115" s="1" t="n">
        <v>46094</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63710-2025</t>
        </is>
      </c>
      <c r="B1116" s="1" t="n">
        <v>46014.62143518519</v>
      </c>
      <c r="C1116" s="1" t="n">
        <v>46094</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63712-2025</t>
        </is>
      </c>
      <c r="B1117" s="1" t="n">
        <v>46014.63092592593</v>
      </c>
      <c r="C1117" s="1" t="n">
        <v>46094</v>
      </c>
      <c r="D1117" t="inlineStr">
        <is>
          <t>SKÅNE LÄN</t>
        </is>
      </c>
      <c r="E1117" t="inlineStr">
        <is>
          <t>HÄSSLEHOLM</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63709-2025</t>
        </is>
      </c>
      <c r="B1118" s="1" t="n">
        <v>46014.61700231482</v>
      </c>
      <c r="C1118" s="1" t="n">
        <v>46094</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8160-2024</t>
        </is>
      </c>
      <c r="B1119" s="1" t="n">
        <v>45351</v>
      </c>
      <c r="C1119" s="1" t="n">
        <v>46094</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41680-2024</t>
        </is>
      </c>
      <c r="B1120" s="1" t="n">
        <v>45560</v>
      </c>
      <c r="C1120" s="1" t="n">
        <v>46094</v>
      </c>
      <c r="D1120" t="inlineStr">
        <is>
          <t>SKÅNE LÄN</t>
        </is>
      </c>
      <c r="E1120" t="inlineStr">
        <is>
          <t>HÄSSLEHOLM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7244-2026</t>
        </is>
      </c>
      <c r="B1121" s="1" t="n">
        <v>46058.58646990741</v>
      </c>
      <c r="C1121" s="1" t="n">
        <v>46094</v>
      </c>
      <c r="D1121" t="inlineStr">
        <is>
          <t>SKÅNE LÄN</t>
        </is>
      </c>
      <c r="E1121" t="inlineStr">
        <is>
          <t>HÄSSLEHOLM</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6316-2026</t>
        </is>
      </c>
      <c r="B1122" s="1" t="n">
        <v>46055</v>
      </c>
      <c r="C1122" s="1" t="n">
        <v>46094</v>
      </c>
      <c r="D1122" t="inlineStr">
        <is>
          <t>SKÅNE LÄN</t>
        </is>
      </c>
      <c r="E1122" t="inlineStr">
        <is>
          <t>HÄSSLEHOLM</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6328-2026</t>
        </is>
      </c>
      <c r="B1123" s="1" t="n">
        <v>46055</v>
      </c>
      <c r="C1123" s="1" t="n">
        <v>46094</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7721-2026</t>
        </is>
      </c>
      <c r="B1124" s="1" t="n">
        <v>46059</v>
      </c>
      <c r="C1124" s="1" t="n">
        <v>46094</v>
      </c>
      <c r="D1124" t="inlineStr">
        <is>
          <t>SKÅNE LÄN</t>
        </is>
      </c>
      <c r="E1124" t="inlineStr">
        <is>
          <t>HÄSSLEHOLM</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7785-2026</t>
        </is>
      </c>
      <c r="B1125" s="1" t="n">
        <v>46062.58422453704</v>
      </c>
      <c r="C1125" s="1" t="n">
        <v>46094</v>
      </c>
      <c r="D1125" t="inlineStr">
        <is>
          <t>SKÅNE LÄN</t>
        </is>
      </c>
      <c r="E1125" t="inlineStr">
        <is>
          <t>HÄSSLEHOLM</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8538-2026</t>
        </is>
      </c>
      <c r="B1126" s="1" t="n">
        <v>46064</v>
      </c>
      <c r="C1126" s="1" t="n">
        <v>46094</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8539-2026</t>
        </is>
      </c>
      <c r="B1127" s="1" t="n">
        <v>46064</v>
      </c>
      <c r="C1127" s="1" t="n">
        <v>46094</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47394-2025</t>
        </is>
      </c>
      <c r="B1128" s="1" t="n">
        <v>45930</v>
      </c>
      <c r="C1128" s="1" t="n">
        <v>46094</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8674-2026</t>
        </is>
      </c>
      <c r="B1129" s="1" t="n">
        <v>46066.4059837963</v>
      </c>
      <c r="C1129" s="1" t="n">
        <v>46094</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54426-2025</t>
        </is>
      </c>
      <c r="B1130" s="1" t="n">
        <v>45965</v>
      </c>
      <c r="C1130" s="1" t="n">
        <v>46094</v>
      </c>
      <c r="D1130" t="inlineStr">
        <is>
          <t>SKÅNE LÄN</t>
        </is>
      </c>
      <c r="E1130" t="inlineStr">
        <is>
          <t>HÄSSLEHOLM</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8852-2026</t>
        </is>
      </c>
      <c r="B1131" s="1" t="n">
        <v>46066.66105324074</v>
      </c>
      <c r="C1131" s="1" t="n">
        <v>46094</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706-2026</t>
        </is>
      </c>
      <c r="B1132" s="1" t="n">
        <v>46029.61739583333</v>
      </c>
      <c r="C1132" s="1" t="n">
        <v>46094</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47352-2025</t>
        </is>
      </c>
      <c r="B1133" s="1" t="n">
        <v>45930</v>
      </c>
      <c r="C1133" s="1" t="n">
        <v>46094</v>
      </c>
      <c r="D1133" t="inlineStr">
        <is>
          <t>SKÅNE LÄN</t>
        </is>
      </c>
      <c r="E1133" t="inlineStr">
        <is>
          <t>HÄSSLEHOLM</t>
        </is>
      </c>
      <c r="G1133" t="n">
        <v>16.6</v>
      </c>
      <c r="H1133" t="n">
        <v>0</v>
      </c>
      <c r="I1133" t="n">
        <v>0</v>
      </c>
      <c r="J1133" t="n">
        <v>0</v>
      </c>
      <c r="K1133" t="n">
        <v>0</v>
      </c>
      <c r="L1133" t="n">
        <v>0</v>
      </c>
      <c r="M1133" t="n">
        <v>0</v>
      </c>
      <c r="N1133" t="n">
        <v>0</v>
      </c>
      <c r="O1133" t="n">
        <v>0</v>
      </c>
      <c r="P1133" t="n">
        <v>0</v>
      </c>
      <c r="Q1133" t="n">
        <v>0</v>
      </c>
      <c r="R1133" s="2" t="inlineStr"/>
    </row>
    <row r="1134" ht="15" customHeight="1">
      <c r="A1134" t="inlineStr">
        <is>
          <t>A 931-2026</t>
        </is>
      </c>
      <c r="B1134" s="1" t="n">
        <v>46030.51495370371</v>
      </c>
      <c r="C1134" s="1" t="n">
        <v>46094</v>
      </c>
      <c r="D1134" t="inlineStr">
        <is>
          <t>SKÅNE LÄN</t>
        </is>
      </c>
      <c r="E1134" t="inlineStr">
        <is>
          <t>HÄSSLEHOLM</t>
        </is>
      </c>
      <c r="F1134" t="inlineStr">
        <is>
          <t>Övriga Aktiebolag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1645-2026</t>
        </is>
      </c>
      <c r="B1135" s="1" t="n">
        <v>46034.5069212963</v>
      </c>
      <c r="C1135" s="1" t="n">
        <v>46094</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1659-2026</t>
        </is>
      </c>
      <c r="B1136" s="1" t="n">
        <v>46034.55335648148</v>
      </c>
      <c r="C1136" s="1" t="n">
        <v>46094</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2306-2026</t>
        </is>
      </c>
      <c r="B1137" s="1" t="n">
        <v>46034</v>
      </c>
      <c r="C1137" s="1" t="n">
        <v>46094</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10051-2026</t>
        </is>
      </c>
      <c r="B1138" s="1" t="n">
        <v>46073</v>
      </c>
      <c r="C1138" s="1" t="n">
        <v>46094</v>
      </c>
      <c r="D1138" t="inlineStr">
        <is>
          <t>SKÅNE LÄN</t>
        </is>
      </c>
      <c r="E1138" t="inlineStr">
        <is>
          <t>HÄSSLEHOLM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8367-2026</t>
        </is>
      </c>
      <c r="B1139" s="1" t="n">
        <v>46064</v>
      </c>
      <c r="C1139" s="1" t="n">
        <v>46094</v>
      </c>
      <c r="D1139" t="inlineStr">
        <is>
          <t>SKÅNE LÄN</t>
        </is>
      </c>
      <c r="E1139" t="inlineStr">
        <is>
          <t>HÄSSLEHOLM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1640-2026</t>
        </is>
      </c>
      <c r="B1140" s="1" t="n">
        <v>46034.4961574074</v>
      </c>
      <c r="C1140" s="1" t="n">
        <v>46094</v>
      </c>
      <c r="D1140" t="inlineStr">
        <is>
          <t>SKÅNE LÄN</t>
        </is>
      </c>
      <c r="E1140" t="inlineStr">
        <is>
          <t>HÄSSLEHOLM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1656-2026</t>
        </is>
      </c>
      <c r="B1141" s="1" t="n">
        <v>46034.54035879629</v>
      </c>
      <c r="C1141" s="1" t="n">
        <v>46094</v>
      </c>
      <c r="D1141" t="inlineStr">
        <is>
          <t>SKÅNE LÄN</t>
        </is>
      </c>
      <c r="E1141" t="inlineStr">
        <is>
          <t>HÄSSLEHOLM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2617-2026</t>
        </is>
      </c>
      <c r="B1142" s="1" t="n">
        <v>46035</v>
      </c>
      <c r="C1142" s="1" t="n">
        <v>46094</v>
      </c>
      <c r="D1142" t="inlineStr">
        <is>
          <t>SKÅNE LÄN</t>
        </is>
      </c>
      <c r="E1142" t="inlineStr">
        <is>
          <t>HÄSSLEHOLM</t>
        </is>
      </c>
      <c r="F1142" t="inlineStr">
        <is>
          <t>Kyrkan</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2618-2026</t>
        </is>
      </c>
      <c r="B1143" s="1" t="n">
        <v>46035</v>
      </c>
      <c r="C1143" s="1" t="n">
        <v>46094</v>
      </c>
      <c r="D1143" t="inlineStr">
        <is>
          <t>SKÅNE LÄN</t>
        </is>
      </c>
      <c r="E1143" t="inlineStr">
        <is>
          <t>HÄSSLEHOLM</t>
        </is>
      </c>
      <c r="F1143" t="inlineStr">
        <is>
          <t>Kyrkan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58689-2025</t>
        </is>
      </c>
      <c r="B1144" s="1" t="n">
        <v>45986</v>
      </c>
      <c r="C1144" s="1" t="n">
        <v>46094</v>
      </c>
      <c r="D1144" t="inlineStr">
        <is>
          <t>SKÅNE LÄN</t>
        </is>
      </c>
      <c r="E1144" t="inlineStr">
        <is>
          <t>HÄSSLEHOLM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3298-2026</t>
        </is>
      </c>
      <c r="B1145" s="1" t="n">
        <v>46041</v>
      </c>
      <c r="C1145" s="1" t="n">
        <v>46094</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3904-2026</t>
        </is>
      </c>
      <c r="B1146" s="1" t="n">
        <v>46043.69711805556</v>
      </c>
      <c r="C1146" s="1" t="n">
        <v>46094</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32008-2024</t>
        </is>
      </c>
      <c r="B1147" s="1" t="n">
        <v>45510</v>
      </c>
      <c r="C1147" s="1" t="n">
        <v>46094</v>
      </c>
      <c r="D1147" t="inlineStr">
        <is>
          <t>SKÅNE LÄN</t>
        </is>
      </c>
      <c r="E1147" t="inlineStr">
        <is>
          <t>HÄSSLEHOLM</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3715-2026</t>
        </is>
      </c>
      <c r="B1148" s="1" t="n">
        <v>46043.48746527778</v>
      </c>
      <c r="C1148" s="1" t="n">
        <v>46094</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11999-2026</t>
        </is>
      </c>
      <c r="B1149" s="1" t="n">
        <v>46085</v>
      </c>
      <c r="C1149" s="1" t="n">
        <v>46094</v>
      </c>
      <c r="D1149" t="inlineStr">
        <is>
          <t>SKÅNE LÄN</t>
        </is>
      </c>
      <c r="E1149" t="inlineStr">
        <is>
          <t>HÄSSLEHOLM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3862-2026</t>
        </is>
      </c>
      <c r="B1150" s="1" t="n">
        <v>46043.62646990741</v>
      </c>
      <c r="C1150" s="1" t="n">
        <v>46094</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11998-2026</t>
        </is>
      </c>
      <c r="B1151" s="1" t="n">
        <v>46085</v>
      </c>
      <c r="C1151" s="1" t="n">
        <v>46094</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56065-2025</t>
        </is>
      </c>
      <c r="B1152" s="1" t="n">
        <v>45973</v>
      </c>
      <c r="C1152" s="1" t="n">
        <v>46094</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54807-2025</t>
        </is>
      </c>
      <c r="B1153" s="1" t="n">
        <v>45966</v>
      </c>
      <c r="C1153" s="1" t="n">
        <v>46094</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12493-2026</t>
        </is>
      </c>
      <c r="B1154" s="1" t="n">
        <v>46090</v>
      </c>
      <c r="C1154" s="1" t="n">
        <v>46094</v>
      </c>
      <c r="D1154" t="inlineStr">
        <is>
          <t>SKÅNE LÄN</t>
        </is>
      </c>
      <c r="E1154" t="inlineStr">
        <is>
          <t>HÄSSLEHOLM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5103-2026</t>
        </is>
      </c>
      <c r="B1155" s="1" t="n">
        <v>46049.56725694444</v>
      </c>
      <c r="C1155" s="1" t="n">
        <v>46094</v>
      </c>
      <c r="D1155" t="inlineStr">
        <is>
          <t>SKÅNE LÄN</t>
        </is>
      </c>
      <c r="E1155" t="inlineStr">
        <is>
          <t>HÄSSLEHOLM</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4981-2026</t>
        </is>
      </c>
      <c r="B1156" s="1" t="n">
        <v>46049.37100694444</v>
      </c>
      <c r="C1156" s="1" t="n">
        <v>46094</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4994-2026</t>
        </is>
      </c>
      <c r="B1157" s="1" t="n">
        <v>46049</v>
      </c>
      <c r="C1157" s="1" t="n">
        <v>46094</v>
      </c>
      <c r="D1157" t="inlineStr">
        <is>
          <t>SKÅNE LÄN</t>
        </is>
      </c>
      <c r="E1157" t="inlineStr">
        <is>
          <t>HÄSSLEHOLM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5757-2026</t>
        </is>
      </c>
      <c r="B1158" s="1" t="n">
        <v>46051.61309027778</v>
      </c>
      <c r="C1158" s="1" t="n">
        <v>46094</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32154-2024</t>
        </is>
      </c>
      <c r="B1159" s="1" t="n">
        <v>45511</v>
      </c>
      <c r="C1159" s="1" t="n">
        <v>46094</v>
      </c>
      <c r="D1159" t="inlineStr">
        <is>
          <t>SKÅNE LÄN</t>
        </is>
      </c>
      <c r="E1159" t="inlineStr">
        <is>
          <t>HÄSSLEHOLM</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58632-2025</t>
        </is>
      </c>
      <c r="B1160" s="1" t="n">
        <v>45986</v>
      </c>
      <c r="C1160" s="1" t="n">
        <v>46094</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5497-2026</t>
        </is>
      </c>
      <c r="B1161" s="1" t="n">
        <v>46050.61875</v>
      </c>
      <c r="C1161" s="1" t="n">
        <v>46094</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5503-2026</t>
        </is>
      </c>
      <c r="B1162" s="1" t="n">
        <v>46050.62509259259</v>
      </c>
      <c r="C1162" s="1" t="n">
        <v>46094</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13280-2026</t>
        </is>
      </c>
      <c r="B1163" s="1" t="n">
        <v>46093.74789351852</v>
      </c>
      <c r="C1163" s="1" t="n">
        <v>46094</v>
      </c>
      <c r="D1163" t="inlineStr">
        <is>
          <t>SKÅNE LÄN</t>
        </is>
      </c>
      <c r="E1163" t="inlineStr">
        <is>
          <t>HÄSSLEHOLM</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5516-2026</t>
        </is>
      </c>
      <c r="B1164" s="1" t="n">
        <v>46050.64197916666</v>
      </c>
      <c r="C1164" s="1" t="n">
        <v>46094</v>
      </c>
      <c r="D1164" t="inlineStr">
        <is>
          <t>SKÅNE LÄN</t>
        </is>
      </c>
      <c r="E1164" t="inlineStr">
        <is>
          <t>HÄSSLEHOLM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5759-2026</t>
        </is>
      </c>
      <c r="B1165" s="1" t="n">
        <v>46051.61814814815</v>
      </c>
      <c r="C1165" s="1" t="n">
        <v>46094</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13282-2026</t>
        </is>
      </c>
      <c r="B1166" s="1" t="n">
        <v>46093.75166666666</v>
      </c>
      <c r="C1166" s="1" t="n">
        <v>46094</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c r="A1167" t="inlineStr">
        <is>
          <t>A 26857-2025</t>
        </is>
      </c>
      <c r="B1167" s="1" t="n">
        <v>45810</v>
      </c>
      <c r="C1167" s="1" t="n">
        <v>46094</v>
      </c>
      <c r="D1167" t="inlineStr">
        <is>
          <t>SKÅNE LÄN</t>
        </is>
      </c>
      <c r="E1167" t="inlineStr">
        <is>
          <t>HÄSSLEHOLM</t>
        </is>
      </c>
      <c r="G1167" t="n">
        <v>0.8</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2026-03-13T11:16:39Z</dcterms:created>
  <dcterms:modified xmlns:dcterms="http://purl.org/dc/terms/" xmlns:xsi="http://www.w3.org/2001/XMLSchema-instance" xsi:type="dcterms:W3CDTF">2026-03-13T11:16:40Z</dcterms:modified>
</cp:coreProperties>
</file>