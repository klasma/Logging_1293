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46128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46128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46128</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46128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46128</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46128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46128</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46128</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46128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46128</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46128</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46128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46128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46128</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46128</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46128</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46128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9289-2025</t>
        </is>
      </c>
      <c r="B19" s="1" t="n">
        <v>45714</v>
      </c>
      <c r="C19" s="1" t="n">
        <v>46128</v>
      </c>
      <c r="D19" t="inlineStr">
        <is>
          <t>SKÅNE LÄN</t>
        </is>
      </c>
      <c r="E19" t="inlineStr">
        <is>
          <t>HÄSSLEHOLM</t>
        </is>
      </c>
      <c r="G19" t="n">
        <v>18</v>
      </c>
      <c r="H19" t="n">
        <v>0</v>
      </c>
      <c r="I19" t="n">
        <v>1</v>
      </c>
      <c r="J19" t="n">
        <v>0</v>
      </c>
      <c r="K19" t="n">
        <v>0</v>
      </c>
      <c r="L19" t="n">
        <v>0</v>
      </c>
      <c r="M19" t="n">
        <v>0</v>
      </c>
      <c r="N19" t="n">
        <v>0</v>
      </c>
      <c r="O19" t="n">
        <v>0</v>
      </c>
      <c r="P19" t="n">
        <v>0</v>
      </c>
      <c r="Q19" t="n">
        <v>1</v>
      </c>
      <c r="R19" s="2" t="inlineStr">
        <is>
          <t>Tibast</t>
        </is>
      </c>
      <c r="S19">
        <f>HYPERLINK("https://klasma.github.io/Logging_1293/artfynd/A 9289-2025 artfynd.xlsx", "A 9289-2025")</f>
        <v/>
      </c>
      <c r="T19">
        <f>HYPERLINK("https://klasma.github.io/Logging_1293/kartor/A 9289-2025 karta.png", "A 9289-2025")</f>
        <v/>
      </c>
      <c r="V19">
        <f>HYPERLINK("https://klasma.github.io/Logging_1293/klagomål/A 9289-2025 FSC-klagomål.docx", "A 9289-2025")</f>
        <v/>
      </c>
      <c r="W19">
        <f>HYPERLINK("https://klasma.github.io/Logging_1293/klagomålsmail/A 9289-2025 FSC-klagomål mail.docx", "A 9289-2025")</f>
        <v/>
      </c>
      <c r="X19">
        <f>HYPERLINK("https://klasma.github.io/Logging_1293/tillsyn/A 9289-2025 tillsynsbegäran.docx", "A 9289-2025")</f>
        <v/>
      </c>
      <c r="Y19">
        <f>HYPERLINK("https://klasma.github.io/Logging_1293/tillsynsmail/A 9289-2025 tillsynsbegäran mail.docx", "A 9289-2025")</f>
        <v/>
      </c>
    </row>
    <row r="20" ht="15" customHeight="1">
      <c r="A20" t="inlineStr">
        <is>
          <t>A 46602-2023</t>
        </is>
      </c>
      <c r="B20" s="1" t="n">
        <v>45194</v>
      </c>
      <c r="C20" s="1" t="n">
        <v>46128</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14933-2023</t>
        </is>
      </c>
      <c r="B21" s="1" t="n">
        <v>45014</v>
      </c>
      <c r="C21" s="1" t="n">
        <v>46128</v>
      </c>
      <c r="D21" t="inlineStr">
        <is>
          <t>SKÅNE LÄN</t>
        </is>
      </c>
      <c r="E21" t="inlineStr">
        <is>
          <t>HÄSSLEHOLM</t>
        </is>
      </c>
      <c r="G21" t="n">
        <v>1.2</v>
      </c>
      <c r="H21" t="n">
        <v>0</v>
      </c>
      <c r="I21" t="n">
        <v>0</v>
      </c>
      <c r="J21" t="n">
        <v>0</v>
      </c>
      <c r="K21" t="n">
        <v>1</v>
      </c>
      <c r="L21" t="n">
        <v>0</v>
      </c>
      <c r="M21" t="n">
        <v>0</v>
      </c>
      <c r="N21" t="n">
        <v>0</v>
      </c>
      <c r="O21" t="n">
        <v>1</v>
      </c>
      <c r="P21" t="n">
        <v>1</v>
      </c>
      <c r="Q21" t="n">
        <v>1</v>
      </c>
      <c r="R21" s="2" t="inlineStr">
        <is>
          <t>Småvänderot</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row>
    <row r="22" ht="15" customHeight="1">
      <c r="A22" t="inlineStr">
        <is>
          <t>A 8223-2025</t>
        </is>
      </c>
      <c r="B22" s="1" t="n">
        <v>45708.46127314815</v>
      </c>
      <c r="C22" s="1" t="n">
        <v>46128</v>
      </c>
      <c r="D22" t="inlineStr">
        <is>
          <t>SKÅNE LÄN</t>
        </is>
      </c>
      <c r="E22" t="inlineStr">
        <is>
          <t>HÄSSLEHOLM</t>
        </is>
      </c>
      <c r="G22" t="n">
        <v>0.8</v>
      </c>
      <c r="H22" t="n">
        <v>1</v>
      </c>
      <c r="I22" t="n">
        <v>0</v>
      </c>
      <c r="J22" t="n">
        <v>0</v>
      </c>
      <c r="K22" t="n">
        <v>0</v>
      </c>
      <c r="L22" t="n">
        <v>0</v>
      </c>
      <c r="M22" t="n">
        <v>0</v>
      </c>
      <c r="N22" t="n">
        <v>0</v>
      </c>
      <c r="O22" t="n">
        <v>0</v>
      </c>
      <c r="P22" t="n">
        <v>0</v>
      </c>
      <c r="Q22" t="n">
        <v>1</v>
      </c>
      <c r="R22" s="2" t="inlineStr">
        <is>
          <t>Kungsfågel</t>
        </is>
      </c>
      <c r="S22">
        <f>HYPERLINK("https://klasma.github.io/Logging_1293/artfynd/A 8223-2025 artfynd.xlsx", "A 8223-2025")</f>
        <v/>
      </c>
      <c r="T22">
        <f>HYPERLINK("https://klasma.github.io/Logging_1293/kartor/A 8223-2025 karta.png", "A 8223-2025")</f>
        <v/>
      </c>
      <c r="V22">
        <f>HYPERLINK("https://klasma.github.io/Logging_1293/klagomål/A 8223-2025 FSC-klagomål.docx", "A 8223-2025")</f>
        <v/>
      </c>
      <c r="W22">
        <f>HYPERLINK("https://klasma.github.io/Logging_1293/klagomålsmail/A 8223-2025 FSC-klagomål mail.docx", "A 8223-2025")</f>
        <v/>
      </c>
      <c r="X22">
        <f>HYPERLINK("https://klasma.github.io/Logging_1293/tillsyn/A 8223-2025 tillsynsbegäran.docx", "A 8223-2025")</f>
        <v/>
      </c>
      <c r="Y22">
        <f>HYPERLINK("https://klasma.github.io/Logging_1293/tillsynsmail/A 8223-2025 tillsynsbegäran mail.docx", "A 8223-2025")</f>
        <v/>
      </c>
      <c r="Z22">
        <f>HYPERLINK("https://klasma.github.io/Logging_1293/fåglar/A 8223-2025 prioriterade fågelarter.docx", "A 8223-2025")</f>
        <v/>
      </c>
    </row>
    <row r="23" ht="15" customHeight="1">
      <c r="A23" t="inlineStr">
        <is>
          <t>A 40613-2025</t>
        </is>
      </c>
      <c r="B23" s="1" t="n">
        <v>45896</v>
      </c>
      <c r="C23" s="1" t="n">
        <v>46128</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7862-2024</t>
        </is>
      </c>
      <c r="B24" s="1" t="n">
        <v>45348</v>
      </c>
      <c r="C24" s="1" t="n">
        <v>46128</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20280-2025</t>
        </is>
      </c>
      <c r="B25" s="1" t="n">
        <v>45774.38790509259</v>
      </c>
      <c r="C25" s="1" t="n">
        <v>46128</v>
      </c>
      <c r="D25" t="inlineStr">
        <is>
          <t>SKÅNE LÄN</t>
        </is>
      </c>
      <c r="E25" t="inlineStr">
        <is>
          <t>HÄSSLEHOLM</t>
        </is>
      </c>
      <c r="G25" t="n">
        <v>3</v>
      </c>
      <c r="H25" t="n">
        <v>0</v>
      </c>
      <c r="I25" t="n">
        <v>0</v>
      </c>
      <c r="J25" t="n">
        <v>0</v>
      </c>
      <c r="K25" t="n">
        <v>1</v>
      </c>
      <c r="L25" t="n">
        <v>0</v>
      </c>
      <c r="M25" t="n">
        <v>0</v>
      </c>
      <c r="N25" t="n">
        <v>0</v>
      </c>
      <c r="O25" t="n">
        <v>1</v>
      </c>
      <c r="P25" t="n">
        <v>1</v>
      </c>
      <c r="Q25" t="n">
        <v>1</v>
      </c>
      <c r="R25" s="2" t="inlineStr">
        <is>
          <t>Revig blodrot</t>
        </is>
      </c>
      <c r="S25">
        <f>HYPERLINK("https://klasma.github.io/Logging_1293/artfynd/A 20280-2025 artfynd.xlsx", "A 20280-2025")</f>
        <v/>
      </c>
      <c r="T25">
        <f>HYPERLINK("https://klasma.github.io/Logging_1293/kartor/A 20280-2025 karta.png", "A 20280-2025")</f>
        <v/>
      </c>
      <c r="V25">
        <f>HYPERLINK("https://klasma.github.io/Logging_1293/klagomål/A 20280-2025 FSC-klagomål.docx", "A 20280-2025")</f>
        <v/>
      </c>
      <c r="W25">
        <f>HYPERLINK("https://klasma.github.io/Logging_1293/klagomålsmail/A 20280-2025 FSC-klagomål mail.docx", "A 20280-2025")</f>
        <v/>
      </c>
      <c r="X25">
        <f>HYPERLINK("https://klasma.github.io/Logging_1293/tillsyn/A 20280-2025 tillsynsbegäran.docx", "A 20280-2025")</f>
        <v/>
      </c>
      <c r="Y25">
        <f>HYPERLINK("https://klasma.github.io/Logging_1293/tillsynsmail/A 20280-2025 tillsynsbegäran mail.docx", "A 20280-2025")</f>
        <v/>
      </c>
    </row>
    <row r="26" ht="15" customHeight="1">
      <c r="A26" t="inlineStr">
        <is>
          <t>A 61707-2024</t>
        </is>
      </c>
      <c r="B26" s="1" t="n">
        <v>45648.61747685185</v>
      </c>
      <c r="C26" s="1" t="n">
        <v>46128</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6634-2024</t>
        </is>
      </c>
      <c r="B27" s="1" t="n">
        <v>45341</v>
      </c>
      <c r="C27" s="1" t="n">
        <v>46128</v>
      </c>
      <c r="D27" t="inlineStr">
        <is>
          <t>SKÅNE LÄN</t>
        </is>
      </c>
      <c r="E27" t="inlineStr">
        <is>
          <t>HÄSSLEHOLM</t>
        </is>
      </c>
      <c r="G27" t="n">
        <v>1.9</v>
      </c>
      <c r="H27" t="n">
        <v>0</v>
      </c>
      <c r="I27" t="n">
        <v>0</v>
      </c>
      <c r="J27" t="n">
        <v>0</v>
      </c>
      <c r="K27" t="n">
        <v>1</v>
      </c>
      <c r="L27" t="n">
        <v>0</v>
      </c>
      <c r="M27" t="n">
        <v>0</v>
      </c>
      <c r="N27" t="n">
        <v>0</v>
      </c>
      <c r="O27" t="n">
        <v>1</v>
      </c>
      <c r="P27" t="n">
        <v>1</v>
      </c>
      <c r="Q27" t="n">
        <v>1</v>
      </c>
      <c r="R27" s="2" t="inlineStr">
        <is>
          <t>Revig blodrot</t>
        </is>
      </c>
      <c r="S27">
        <f>HYPERLINK("https://klasma.github.io/Logging_1293/artfynd/A 6634-2024 artfynd.xlsx", "A 6634-2024")</f>
        <v/>
      </c>
      <c r="T27">
        <f>HYPERLINK("https://klasma.github.io/Logging_1293/kartor/A 6634-2024 karta.png", "A 6634-2024")</f>
        <v/>
      </c>
      <c r="V27">
        <f>HYPERLINK("https://klasma.github.io/Logging_1293/klagomål/A 6634-2024 FSC-klagomål.docx", "A 6634-2024")</f>
        <v/>
      </c>
      <c r="W27">
        <f>HYPERLINK("https://klasma.github.io/Logging_1293/klagomålsmail/A 6634-2024 FSC-klagomål mail.docx", "A 6634-2024")</f>
        <v/>
      </c>
      <c r="X27">
        <f>HYPERLINK("https://klasma.github.io/Logging_1293/tillsyn/A 6634-2024 tillsynsbegäran.docx", "A 6634-2024")</f>
        <v/>
      </c>
      <c r="Y27">
        <f>HYPERLINK("https://klasma.github.io/Logging_1293/tillsynsmail/A 6634-2024 tillsynsbegäran mail.docx", "A 6634-2024")</f>
        <v/>
      </c>
    </row>
    <row r="28" ht="15" customHeight="1">
      <c r="A28" t="inlineStr">
        <is>
          <t>A 60925-2024</t>
        </is>
      </c>
      <c r="B28" s="1" t="n">
        <v>45645.3550462963</v>
      </c>
      <c r="C28" s="1" t="n">
        <v>46128</v>
      </c>
      <c r="D28" t="inlineStr">
        <is>
          <t>SKÅNE LÄN</t>
        </is>
      </c>
      <c r="E28" t="inlineStr">
        <is>
          <t>HÄSSLEHOLM</t>
        </is>
      </c>
      <c r="G28" t="n">
        <v>1.8</v>
      </c>
      <c r="H28" t="n">
        <v>0</v>
      </c>
      <c r="I28" t="n">
        <v>0</v>
      </c>
      <c r="J28" t="n">
        <v>0</v>
      </c>
      <c r="K28" t="n">
        <v>0</v>
      </c>
      <c r="L28" t="n">
        <v>1</v>
      </c>
      <c r="M28" t="n">
        <v>0</v>
      </c>
      <c r="N28" t="n">
        <v>0</v>
      </c>
      <c r="O28" t="n">
        <v>1</v>
      </c>
      <c r="P28" t="n">
        <v>1</v>
      </c>
      <c r="Q28" t="n">
        <v>1</v>
      </c>
      <c r="R28" s="2" t="inlineStr">
        <is>
          <t>Ask</t>
        </is>
      </c>
      <c r="S28">
        <f>HYPERLINK("https://klasma.github.io/Logging_1293/artfynd/A 60925-2024 artfynd.xlsx", "A 60925-2024")</f>
        <v/>
      </c>
      <c r="T28">
        <f>HYPERLINK("https://klasma.github.io/Logging_1293/kartor/A 60925-2024 karta.png", "A 60925-2024")</f>
        <v/>
      </c>
      <c r="V28">
        <f>HYPERLINK("https://klasma.github.io/Logging_1293/klagomål/A 60925-2024 FSC-klagomål.docx", "A 60925-2024")</f>
        <v/>
      </c>
      <c r="W28">
        <f>HYPERLINK("https://klasma.github.io/Logging_1293/klagomålsmail/A 60925-2024 FSC-klagomål mail.docx", "A 60925-2024")</f>
        <v/>
      </c>
      <c r="X28">
        <f>HYPERLINK("https://klasma.github.io/Logging_1293/tillsyn/A 60925-2024 tillsynsbegäran.docx", "A 60925-2024")</f>
        <v/>
      </c>
      <c r="Y28">
        <f>HYPERLINK("https://klasma.github.io/Logging_1293/tillsynsmail/A 60925-2024 tillsynsbegäran mail.docx", "A 60925-2024")</f>
        <v/>
      </c>
    </row>
    <row r="29" ht="15" customHeight="1">
      <c r="A29" t="inlineStr">
        <is>
          <t>A 43874-2022</t>
        </is>
      </c>
      <c r="B29" s="1" t="n">
        <v>44838.44738425926</v>
      </c>
      <c r="C29" s="1" t="n">
        <v>46128</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54523-2024</t>
        </is>
      </c>
      <c r="B30" s="1" t="n">
        <v>45617</v>
      </c>
      <c r="C30" s="1" t="n">
        <v>46128</v>
      </c>
      <c r="D30" t="inlineStr">
        <is>
          <t>SKÅNE LÄN</t>
        </is>
      </c>
      <c r="E30" t="inlineStr">
        <is>
          <t>HÄSSLEHOLM</t>
        </is>
      </c>
      <c r="G30" t="n">
        <v>4.5</v>
      </c>
      <c r="H30" t="n">
        <v>1</v>
      </c>
      <c r="I30" t="n">
        <v>0</v>
      </c>
      <c r="J30" t="n">
        <v>0</v>
      </c>
      <c r="K30" t="n">
        <v>0</v>
      </c>
      <c r="L30" t="n">
        <v>0</v>
      </c>
      <c r="M30" t="n">
        <v>0</v>
      </c>
      <c r="N30" t="n">
        <v>0</v>
      </c>
      <c r="O30" t="n">
        <v>0</v>
      </c>
      <c r="P30" t="n">
        <v>0</v>
      </c>
      <c r="Q30" t="n">
        <v>1</v>
      </c>
      <c r="R30" s="2" t="inlineStr">
        <is>
          <t>Grönvit nattviol</t>
        </is>
      </c>
      <c r="S30">
        <f>HYPERLINK("https://klasma.github.io/Logging_1293/artfynd/A 54523-2024 artfynd.xlsx", "A 54523-2024")</f>
        <v/>
      </c>
      <c r="T30">
        <f>HYPERLINK("https://klasma.github.io/Logging_1293/kartor/A 54523-2024 karta.png", "A 54523-2024")</f>
        <v/>
      </c>
      <c r="V30">
        <f>HYPERLINK("https://klasma.github.io/Logging_1293/klagomål/A 54523-2024 FSC-klagomål.docx", "A 54523-2024")</f>
        <v/>
      </c>
      <c r="W30">
        <f>HYPERLINK("https://klasma.github.io/Logging_1293/klagomålsmail/A 54523-2024 FSC-klagomål mail.docx", "A 54523-2024")</f>
        <v/>
      </c>
      <c r="X30">
        <f>HYPERLINK("https://klasma.github.io/Logging_1293/tillsyn/A 54523-2024 tillsynsbegäran.docx", "A 54523-2024")</f>
        <v/>
      </c>
      <c r="Y30">
        <f>HYPERLINK("https://klasma.github.io/Logging_1293/tillsynsmail/A 54523-2024 tillsynsbegäran mail.docx", "A 54523-2024")</f>
        <v/>
      </c>
    </row>
    <row r="31" ht="15" customHeight="1">
      <c r="A31" t="inlineStr">
        <is>
          <t>A 27390-2025</t>
        </is>
      </c>
      <c r="B31" s="1" t="n">
        <v>45812.67840277778</v>
      </c>
      <c r="C31" s="1" t="n">
        <v>46128</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Grönhjon</t>
        </is>
      </c>
      <c r="S31">
        <f>HYPERLINK("https://klasma.github.io/Logging_1293/artfynd/A 27390-2025 artfynd.xlsx", "A 27390-2025")</f>
        <v/>
      </c>
      <c r="T31">
        <f>HYPERLINK("https://klasma.github.io/Logging_1293/kartor/A 27390-2025 karta.png", "A 27390-2025")</f>
        <v/>
      </c>
      <c r="V31">
        <f>HYPERLINK("https://klasma.github.io/Logging_1293/klagomål/A 27390-2025 FSC-klagomål.docx", "A 27390-2025")</f>
        <v/>
      </c>
      <c r="W31">
        <f>HYPERLINK("https://klasma.github.io/Logging_1293/klagomålsmail/A 27390-2025 FSC-klagomål mail.docx", "A 27390-2025")</f>
        <v/>
      </c>
      <c r="X31">
        <f>HYPERLINK("https://klasma.github.io/Logging_1293/tillsyn/A 27390-2025 tillsynsbegäran.docx", "A 27390-2025")</f>
        <v/>
      </c>
      <c r="Y31">
        <f>HYPERLINK("https://klasma.github.io/Logging_1293/tillsynsmail/A 27390-2025 tillsynsbegäran mail.docx", "A 27390-2025")</f>
        <v/>
      </c>
    </row>
    <row r="32" ht="15" customHeight="1">
      <c r="A32" t="inlineStr">
        <is>
          <t>A 57533-2025</t>
        </is>
      </c>
      <c r="B32" s="1" t="n">
        <v>45980.63923611111</v>
      </c>
      <c r="C32" s="1" t="n">
        <v>46128</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36690-2025</t>
        </is>
      </c>
      <c r="B33" s="1" t="n">
        <v>45873.42915509259</v>
      </c>
      <c r="C33" s="1" t="n">
        <v>46128</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16107-2025</t>
        </is>
      </c>
      <c r="B34" s="1" t="n">
        <v>45750.34537037037</v>
      </c>
      <c r="C34" s="1" t="n">
        <v>46128</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49572-2022</t>
        </is>
      </c>
      <c r="B35" s="1" t="n">
        <v>44862.335</v>
      </c>
      <c r="C35" s="1" t="n">
        <v>46128</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4619-2025</t>
        </is>
      </c>
      <c r="B36" s="1" t="n">
        <v>45687</v>
      </c>
      <c r="C36" s="1" t="n">
        <v>46128</v>
      </c>
      <c r="D36" t="inlineStr">
        <is>
          <t>SKÅNE LÄN</t>
        </is>
      </c>
      <c r="E36" t="inlineStr">
        <is>
          <t>HÄSSLEHOLM</t>
        </is>
      </c>
      <c r="G36" t="n">
        <v>2.2</v>
      </c>
      <c r="H36" t="n">
        <v>0</v>
      </c>
      <c r="I36" t="n">
        <v>0</v>
      </c>
      <c r="J36" t="n">
        <v>0</v>
      </c>
      <c r="K36" t="n">
        <v>1</v>
      </c>
      <c r="L36" t="n">
        <v>0</v>
      </c>
      <c r="M36" t="n">
        <v>0</v>
      </c>
      <c r="N36" t="n">
        <v>0</v>
      </c>
      <c r="O36" t="n">
        <v>1</v>
      </c>
      <c r="P36" t="n">
        <v>1</v>
      </c>
      <c r="Q36" t="n">
        <v>1</v>
      </c>
      <c r="R36" s="2" t="inlineStr">
        <is>
          <t>Vildris</t>
        </is>
      </c>
      <c r="S36">
        <f>HYPERLINK("https://klasma.github.io/Logging_1293/artfynd/A 4619-2025 artfynd.xlsx", "A 4619-2025")</f>
        <v/>
      </c>
      <c r="T36">
        <f>HYPERLINK("https://klasma.github.io/Logging_1293/kartor/A 4619-2025 karta.png", "A 4619-2025")</f>
        <v/>
      </c>
      <c r="V36">
        <f>HYPERLINK("https://klasma.github.io/Logging_1293/klagomål/A 4619-2025 FSC-klagomål.docx", "A 4619-2025")</f>
        <v/>
      </c>
      <c r="W36">
        <f>HYPERLINK("https://klasma.github.io/Logging_1293/klagomålsmail/A 4619-2025 FSC-klagomål mail.docx", "A 4619-2025")</f>
        <v/>
      </c>
      <c r="X36">
        <f>HYPERLINK("https://klasma.github.io/Logging_1293/tillsyn/A 4619-2025 tillsynsbegäran.docx", "A 4619-2025")</f>
        <v/>
      </c>
      <c r="Y36">
        <f>HYPERLINK("https://klasma.github.io/Logging_1293/tillsynsmail/A 4619-2025 tillsynsbegäran mail.docx", "A 4619-2025")</f>
        <v/>
      </c>
    </row>
    <row r="37" ht="15" customHeight="1">
      <c r="A37" t="inlineStr">
        <is>
          <t>A 29272-2023</t>
        </is>
      </c>
      <c r="B37" s="1" t="n">
        <v>45105</v>
      </c>
      <c r="C37" s="1" t="n">
        <v>46128</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46128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46128</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46128</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46128</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46128</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46128</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46128</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46128</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46128</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46128</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46128</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46128</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46128</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46128</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46128</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46128</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46128</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46128</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46128</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46128</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46128</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46128</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46128</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46128</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46128</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46128</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46128</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46128</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46128</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23962-2022</t>
        </is>
      </c>
      <c r="B67" s="1" t="n">
        <v>44722.70532407407</v>
      </c>
      <c r="C67" s="1" t="n">
        <v>46128</v>
      </c>
      <c r="D67" t="inlineStr">
        <is>
          <t>SKÅNE LÄN</t>
        </is>
      </c>
      <c r="E67" t="inlineStr">
        <is>
          <t>HÄSSLEHOLM</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46128</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46128</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46128</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46128</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46128</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46128</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46128</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46128</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46128</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46128</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46128</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46128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46128</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46128</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46128</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46128</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46128</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46128</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46128</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46128</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46128</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46128</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46128</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46128</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46128</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46128</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46128</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61073-2021</t>
        </is>
      </c>
      <c r="B95" s="1" t="n">
        <v>44497.83447916667</v>
      </c>
      <c r="C95" s="1" t="n">
        <v>46128</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46128</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46128</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46128</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46128</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19449-2021</t>
        </is>
      </c>
      <c r="B100" s="1" t="n">
        <v>44310.88846064815</v>
      </c>
      <c r="C100" s="1" t="n">
        <v>46128</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41581-2021</t>
        </is>
      </c>
      <c r="B101" s="1" t="n">
        <v>44425.40167824074</v>
      </c>
      <c r="C101" s="1" t="n">
        <v>46128</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44328-2021</t>
        </is>
      </c>
      <c r="B102" s="1" t="n">
        <v>44435</v>
      </c>
      <c r="C102" s="1" t="n">
        <v>46128</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46128</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46128</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46128</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46128</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46128</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43639-2021</t>
        </is>
      </c>
      <c r="B108" s="1" t="n">
        <v>44433</v>
      </c>
      <c r="C108" s="1" t="n">
        <v>46128</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3276-2022</t>
        </is>
      </c>
      <c r="B109" s="1" t="n">
        <v>44584.40916666666</v>
      </c>
      <c r="C109" s="1" t="n">
        <v>46128</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46128</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46128</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5564-2022</t>
        </is>
      </c>
      <c r="B112" s="1" t="n">
        <v>44595</v>
      </c>
      <c r="C112" s="1" t="n">
        <v>46128</v>
      </c>
      <c r="D112" t="inlineStr">
        <is>
          <t>SKÅNE LÄN</t>
        </is>
      </c>
      <c r="E112" t="inlineStr">
        <is>
          <t>HÄSSLEHOLM</t>
        </is>
      </c>
      <c r="G112" t="n">
        <v>0.3</v>
      </c>
      <c r="H112" t="n">
        <v>0</v>
      </c>
      <c r="I112" t="n">
        <v>0</v>
      </c>
      <c r="J112" t="n">
        <v>0</v>
      </c>
      <c r="K112" t="n">
        <v>0</v>
      </c>
      <c r="L112" t="n">
        <v>0</v>
      </c>
      <c r="M112" t="n">
        <v>0</v>
      </c>
      <c r="N112" t="n">
        <v>0</v>
      </c>
      <c r="O112" t="n">
        <v>0</v>
      </c>
      <c r="P112" t="n">
        <v>0</v>
      </c>
      <c r="Q112" t="n">
        <v>0</v>
      </c>
      <c r="R112" s="2" t="inlineStr"/>
    </row>
    <row r="113" ht="15" customHeight="1">
      <c r="A113" t="inlineStr">
        <is>
          <t>A 37334-2021</t>
        </is>
      </c>
      <c r="B113" s="1" t="n">
        <v>44397.57800925926</v>
      </c>
      <c r="C113" s="1" t="n">
        <v>46128</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46128</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46128</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46128</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46128</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46128</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33736-2021</t>
        </is>
      </c>
      <c r="B119" s="1" t="n">
        <v>44378</v>
      </c>
      <c r="C119" s="1" t="n">
        <v>46128</v>
      </c>
      <c r="D119" t="inlineStr">
        <is>
          <t>SKÅNE LÄN</t>
        </is>
      </c>
      <c r="E119" t="inlineStr">
        <is>
          <t>HÄSSLEHOLM</t>
        </is>
      </c>
      <c r="G119" t="n">
        <v>7.6</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46128</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46128</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40702-2021</t>
        </is>
      </c>
      <c r="B122" s="1" t="n">
        <v>44420.61719907408</v>
      </c>
      <c r="C122" s="1" t="n">
        <v>46128</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46128</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46128</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64607-2021</t>
        </is>
      </c>
      <c r="B125" s="1" t="n">
        <v>44511</v>
      </c>
      <c r="C125" s="1" t="n">
        <v>46128</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18515-2021</t>
        </is>
      </c>
      <c r="B126" s="1" t="n">
        <v>44305</v>
      </c>
      <c r="C126" s="1" t="n">
        <v>46128</v>
      </c>
      <c r="D126" t="inlineStr">
        <is>
          <t>SKÅNE LÄN</t>
        </is>
      </c>
      <c r="E126" t="inlineStr">
        <is>
          <t>HÄSSLEHOLM</t>
        </is>
      </c>
      <c r="F126" t="inlineStr">
        <is>
          <t>Övriga Aktiebolag</t>
        </is>
      </c>
      <c r="G126" t="n">
        <v>0.5</v>
      </c>
      <c r="H126" t="n">
        <v>0</v>
      </c>
      <c r="I126" t="n">
        <v>0</v>
      </c>
      <c r="J126" t="n">
        <v>0</v>
      </c>
      <c r="K126" t="n">
        <v>0</v>
      </c>
      <c r="L126" t="n">
        <v>0</v>
      </c>
      <c r="M126" t="n">
        <v>0</v>
      </c>
      <c r="N126" t="n">
        <v>0</v>
      </c>
      <c r="O126" t="n">
        <v>0</v>
      </c>
      <c r="P126" t="n">
        <v>0</v>
      </c>
      <c r="Q126" t="n">
        <v>0</v>
      </c>
      <c r="R126" s="2" t="inlineStr"/>
    </row>
    <row r="127" ht="15" customHeight="1">
      <c r="A127" t="inlineStr">
        <is>
          <t>A 18523-2021</t>
        </is>
      </c>
      <c r="B127" s="1" t="n">
        <v>44305</v>
      </c>
      <c r="C127" s="1" t="n">
        <v>46128</v>
      </c>
      <c r="D127" t="inlineStr">
        <is>
          <t>SKÅNE LÄN</t>
        </is>
      </c>
      <c r="E127" t="inlineStr">
        <is>
          <t>HÄSSLEHOLM</t>
        </is>
      </c>
      <c r="F127" t="inlineStr">
        <is>
          <t>Övriga Aktiebolag</t>
        </is>
      </c>
      <c r="G127" t="n">
        <v>1.2</v>
      </c>
      <c r="H127" t="n">
        <v>0</v>
      </c>
      <c r="I127" t="n">
        <v>0</v>
      </c>
      <c r="J127" t="n">
        <v>0</v>
      </c>
      <c r="K127" t="n">
        <v>0</v>
      </c>
      <c r="L127" t="n">
        <v>0</v>
      </c>
      <c r="M127" t="n">
        <v>0</v>
      </c>
      <c r="N127" t="n">
        <v>0</v>
      </c>
      <c r="O127" t="n">
        <v>0</v>
      </c>
      <c r="P127" t="n">
        <v>0</v>
      </c>
      <c r="Q127" t="n">
        <v>0</v>
      </c>
      <c r="R127" s="2" t="inlineStr"/>
    </row>
    <row r="128" ht="15" customHeight="1">
      <c r="A128" t="inlineStr">
        <is>
          <t>A 2631-2022</t>
        </is>
      </c>
      <c r="B128" s="1" t="n">
        <v>44580</v>
      </c>
      <c r="C128" s="1" t="n">
        <v>46128</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15423-2022</t>
        </is>
      </c>
      <c r="B129" s="1" t="n">
        <v>44659</v>
      </c>
      <c r="C129" s="1" t="n">
        <v>46128</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56989-2021</t>
        </is>
      </c>
      <c r="B130" s="1" t="n">
        <v>44482</v>
      </c>
      <c r="C130" s="1" t="n">
        <v>46128</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51159-2021</t>
        </is>
      </c>
      <c r="B131" s="1" t="n">
        <v>44461</v>
      </c>
      <c r="C131" s="1" t="n">
        <v>46128</v>
      </c>
      <c r="D131" t="inlineStr">
        <is>
          <t>SKÅNE LÄN</t>
        </is>
      </c>
      <c r="E131" t="inlineStr">
        <is>
          <t>HÄSSLEHOLM</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25383-2021</t>
        </is>
      </c>
      <c r="B132" s="1" t="n">
        <v>44342</v>
      </c>
      <c r="C132" s="1" t="n">
        <v>46128</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27330-2021</t>
        </is>
      </c>
      <c r="B133" s="1" t="n">
        <v>44351</v>
      </c>
      <c r="C133" s="1" t="n">
        <v>46128</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354-2022</t>
        </is>
      </c>
      <c r="B134" s="1" t="n">
        <v>44565.62510416667</v>
      </c>
      <c r="C134" s="1" t="n">
        <v>46128</v>
      </c>
      <c r="D134" t="inlineStr">
        <is>
          <t>SKÅNE LÄN</t>
        </is>
      </c>
      <c r="E134" t="inlineStr">
        <is>
          <t>HÄSSLEHOLM</t>
        </is>
      </c>
      <c r="G134" t="n">
        <v>2.4</v>
      </c>
      <c r="H134" t="n">
        <v>0</v>
      </c>
      <c r="I134" t="n">
        <v>0</v>
      </c>
      <c r="J134" t="n">
        <v>0</v>
      </c>
      <c r="K134" t="n">
        <v>0</v>
      </c>
      <c r="L134" t="n">
        <v>0</v>
      </c>
      <c r="M134" t="n">
        <v>0</v>
      </c>
      <c r="N134" t="n">
        <v>0</v>
      </c>
      <c r="O134" t="n">
        <v>0</v>
      </c>
      <c r="P134" t="n">
        <v>0</v>
      </c>
      <c r="Q134" t="n">
        <v>0</v>
      </c>
      <c r="R134" s="2" t="inlineStr"/>
    </row>
    <row r="135" ht="15" customHeight="1">
      <c r="A135" t="inlineStr">
        <is>
          <t>A 32892-2021</t>
        </is>
      </c>
      <c r="B135" s="1" t="n">
        <v>44375</v>
      </c>
      <c r="C135" s="1" t="n">
        <v>46128</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39102-2022</t>
        </is>
      </c>
      <c r="B136" s="1" t="n">
        <v>44817.43260416666</v>
      </c>
      <c r="C136" s="1" t="n">
        <v>46128</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47112-2021</t>
        </is>
      </c>
      <c r="B137" s="1" t="n">
        <v>44446</v>
      </c>
      <c r="C137" s="1" t="n">
        <v>46128</v>
      </c>
      <c r="D137" t="inlineStr">
        <is>
          <t>SKÅNE LÄN</t>
        </is>
      </c>
      <c r="E137" t="inlineStr">
        <is>
          <t>HÄSSLEHOLM</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6414-2022</t>
        </is>
      </c>
      <c r="B138" s="1" t="n">
        <v>44600</v>
      </c>
      <c r="C138" s="1" t="n">
        <v>46128</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56431-2021</t>
        </is>
      </c>
      <c r="B139" s="1" t="n">
        <v>44480</v>
      </c>
      <c r="C139" s="1" t="n">
        <v>46128</v>
      </c>
      <c r="D139" t="inlineStr">
        <is>
          <t>SKÅNE LÄN</t>
        </is>
      </c>
      <c r="E139" t="inlineStr">
        <is>
          <t>HÄSSLEHOLM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52567-2021</t>
        </is>
      </c>
      <c r="B140" s="1" t="n">
        <v>44466</v>
      </c>
      <c r="C140" s="1" t="n">
        <v>46128</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74297-2021</t>
        </is>
      </c>
      <c r="B141" s="1" t="n">
        <v>44558</v>
      </c>
      <c r="C141" s="1" t="n">
        <v>46128</v>
      </c>
      <c r="D141" t="inlineStr">
        <is>
          <t>SKÅNE LÄN</t>
        </is>
      </c>
      <c r="E141" t="inlineStr">
        <is>
          <t>HÄSSLEHOLM</t>
        </is>
      </c>
      <c r="F141" t="inlineStr">
        <is>
          <t>Kyrkan</t>
        </is>
      </c>
      <c r="G141" t="n">
        <v>3.8</v>
      </c>
      <c r="H141" t="n">
        <v>0</v>
      </c>
      <c r="I141" t="n">
        <v>0</v>
      </c>
      <c r="J141" t="n">
        <v>0</v>
      </c>
      <c r="K141" t="n">
        <v>0</v>
      </c>
      <c r="L141" t="n">
        <v>0</v>
      </c>
      <c r="M141" t="n">
        <v>0</v>
      </c>
      <c r="N141" t="n">
        <v>0</v>
      </c>
      <c r="O141" t="n">
        <v>0</v>
      </c>
      <c r="P141" t="n">
        <v>0</v>
      </c>
      <c r="Q141" t="n">
        <v>0</v>
      </c>
      <c r="R141" s="2" t="inlineStr"/>
    </row>
    <row r="142" ht="15" customHeight="1">
      <c r="A142" t="inlineStr">
        <is>
          <t>A 52295-2021</t>
        </is>
      </c>
      <c r="B142" s="1" t="n">
        <v>44463</v>
      </c>
      <c r="C142" s="1" t="n">
        <v>46128</v>
      </c>
      <c r="D142" t="inlineStr">
        <is>
          <t>SKÅNE LÄN</t>
        </is>
      </c>
      <c r="E142" t="inlineStr">
        <is>
          <t>HÄSSLEHOLM</t>
        </is>
      </c>
      <c r="G142" t="n">
        <v>0.3</v>
      </c>
      <c r="H142" t="n">
        <v>0</v>
      </c>
      <c r="I142" t="n">
        <v>0</v>
      </c>
      <c r="J142" t="n">
        <v>0</v>
      </c>
      <c r="K142" t="n">
        <v>0</v>
      </c>
      <c r="L142" t="n">
        <v>0</v>
      </c>
      <c r="M142" t="n">
        <v>0</v>
      </c>
      <c r="N142" t="n">
        <v>0</v>
      </c>
      <c r="O142" t="n">
        <v>0</v>
      </c>
      <c r="P142" t="n">
        <v>0</v>
      </c>
      <c r="Q142" t="n">
        <v>0</v>
      </c>
      <c r="R142" s="2" t="inlineStr"/>
    </row>
    <row r="143" ht="15" customHeight="1">
      <c r="A143" t="inlineStr">
        <is>
          <t>A 68909-2021</t>
        </is>
      </c>
      <c r="B143" s="1" t="n">
        <v>44530.46730324074</v>
      </c>
      <c r="C143" s="1" t="n">
        <v>46128</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23003-2021</t>
        </is>
      </c>
      <c r="B144" s="1" t="n">
        <v>44328</v>
      </c>
      <c r="C144" s="1" t="n">
        <v>46128</v>
      </c>
      <c r="D144" t="inlineStr">
        <is>
          <t>SKÅNE LÄN</t>
        </is>
      </c>
      <c r="E144" t="inlineStr">
        <is>
          <t>HÄSSLEHOLM</t>
        </is>
      </c>
      <c r="G144" t="n">
        <v>4.4</v>
      </c>
      <c r="H144" t="n">
        <v>0</v>
      </c>
      <c r="I144" t="n">
        <v>0</v>
      </c>
      <c r="J144" t="n">
        <v>0</v>
      </c>
      <c r="K144" t="n">
        <v>0</v>
      </c>
      <c r="L144" t="n">
        <v>0</v>
      </c>
      <c r="M144" t="n">
        <v>0</v>
      </c>
      <c r="N144" t="n">
        <v>0</v>
      </c>
      <c r="O144" t="n">
        <v>0</v>
      </c>
      <c r="P144" t="n">
        <v>0</v>
      </c>
      <c r="Q144" t="n">
        <v>0</v>
      </c>
      <c r="R144" s="2" t="inlineStr"/>
    </row>
    <row r="145" ht="15" customHeight="1">
      <c r="A145" t="inlineStr">
        <is>
          <t>A 5091-2022</t>
        </is>
      </c>
      <c r="B145" s="1" t="n">
        <v>44593.85114583333</v>
      </c>
      <c r="C145" s="1" t="n">
        <v>46128</v>
      </c>
      <c r="D145" t="inlineStr">
        <is>
          <t>SKÅNE LÄN</t>
        </is>
      </c>
      <c r="E145" t="inlineStr">
        <is>
          <t>HÄSSLEHOLM</t>
        </is>
      </c>
      <c r="G145" t="n">
        <v>2.5</v>
      </c>
      <c r="H145" t="n">
        <v>0</v>
      </c>
      <c r="I145" t="n">
        <v>0</v>
      </c>
      <c r="J145" t="n">
        <v>0</v>
      </c>
      <c r="K145" t="n">
        <v>0</v>
      </c>
      <c r="L145" t="n">
        <v>0</v>
      </c>
      <c r="M145" t="n">
        <v>0</v>
      </c>
      <c r="N145" t="n">
        <v>0</v>
      </c>
      <c r="O145" t="n">
        <v>0</v>
      </c>
      <c r="P145" t="n">
        <v>0</v>
      </c>
      <c r="Q145" t="n">
        <v>0</v>
      </c>
      <c r="R145" s="2" t="inlineStr"/>
    </row>
    <row r="146" ht="15" customHeight="1">
      <c r="A146" t="inlineStr">
        <is>
          <t>A 60260-2021</t>
        </is>
      </c>
      <c r="B146" s="1" t="n">
        <v>44495</v>
      </c>
      <c r="C146" s="1" t="n">
        <v>46128</v>
      </c>
      <c r="D146" t="inlineStr">
        <is>
          <t>SKÅNE LÄN</t>
        </is>
      </c>
      <c r="E146" t="inlineStr">
        <is>
          <t>HÄSSLEHOLM</t>
        </is>
      </c>
      <c r="G146" t="n">
        <v>2.1</v>
      </c>
      <c r="H146" t="n">
        <v>0</v>
      </c>
      <c r="I146" t="n">
        <v>0</v>
      </c>
      <c r="J146" t="n">
        <v>0</v>
      </c>
      <c r="K146" t="n">
        <v>0</v>
      </c>
      <c r="L146" t="n">
        <v>0</v>
      </c>
      <c r="M146" t="n">
        <v>0</v>
      </c>
      <c r="N146" t="n">
        <v>0</v>
      </c>
      <c r="O146" t="n">
        <v>0</v>
      </c>
      <c r="P146" t="n">
        <v>0</v>
      </c>
      <c r="Q146" t="n">
        <v>0</v>
      </c>
      <c r="R146" s="2" t="inlineStr"/>
    </row>
    <row r="147" ht="15" customHeight="1">
      <c r="A147" t="inlineStr">
        <is>
          <t>A 15986-2022</t>
        </is>
      </c>
      <c r="B147" s="1" t="n">
        <v>44664</v>
      </c>
      <c r="C147" s="1" t="n">
        <v>46128</v>
      </c>
      <c r="D147" t="inlineStr">
        <is>
          <t>SKÅNE LÄN</t>
        </is>
      </c>
      <c r="E147" t="inlineStr">
        <is>
          <t>HÄSSLEHOLM</t>
        </is>
      </c>
      <c r="F147" t="inlineStr">
        <is>
          <t>Kyrkan</t>
        </is>
      </c>
      <c r="G147" t="n">
        <v>6</v>
      </c>
      <c r="H147" t="n">
        <v>0</v>
      </c>
      <c r="I147" t="n">
        <v>0</v>
      </c>
      <c r="J147" t="n">
        <v>0</v>
      </c>
      <c r="K147" t="n">
        <v>0</v>
      </c>
      <c r="L147" t="n">
        <v>0</v>
      </c>
      <c r="M147" t="n">
        <v>0</v>
      </c>
      <c r="N147" t="n">
        <v>0</v>
      </c>
      <c r="O147" t="n">
        <v>0</v>
      </c>
      <c r="P147" t="n">
        <v>0</v>
      </c>
      <c r="Q147" t="n">
        <v>0</v>
      </c>
      <c r="R147" s="2" t="inlineStr"/>
    </row>
    <row r="148" ht="15" customHeight="1">
      <c r="A148" t="inlineStr">
        <is>
          <t>A 52786-2021</t>
        </is>
      </c>
      <c r="B148" s="1" t="n">
        <v>44467.36061342592</v>
      </c>
      <c r="C148" s="1" t="n">
        <v>46128</v>
      </c>
      <c r="D148" t="inlineStr">
        <is>
          <t>SKÅNE LÄN</t>
        </is>
      </c>
      <c r="E148" t="inlineStr">
        <is>
          <t>HÄSSLEHOLM</t>
        </is>
      </c>
      <c r="G148" t="n">
        <v>0.9</v>
      </c>
      <c r="H148" t="n">
        <v>0</v>
      </c>
      <c r="I148" t="n">
        <v>0</v>
      </c>
      <c r="J148" t="n">
        <v>0</v>
      </c>
      <c r="K148" t="n">
        <v>0</v>
      </c>
      <c r="L148" t="n">
        <v>0</v>
      </c>
      <c r="M148" t="n">
        <v>0</v>
      </c>
      <c r="N148" t="n">
        <v>0</v>
      </c>
      <c r="O148" t="n">
        <v>0</v>
      </c>
      <c r="P148" t="n">
        <v>0</v>
      </c>
      <c r="Q148" t="n">
        <v>0</v>
      </c>
      <c r="R148" s="2" t="inlineStr"/>
    </row>
    <row r="149" ht="15" customHeight="1">
      <c r="A149" t="inlineStr">
        <is>
          <t>A 51888-2021</t>
        </is>
      </c>
      <c r="B149" s="1" t="n">
        <v>44462</v>
      </c>
      <c r="C149" s="1" t="n">
        <v>46128</v>
      </c>
      <c r="D149" t="inlineStr">
        <is>
          <t>SKÅNE LÄN</t>
        </is>
      </c>
      <c r="E149" t="inlineStr">
        <is>
          <t>HÄSSLEHOLM</t>
        </is>
      </c>
      <c r="G149" t="n">
        <v>5.6</v>
      </c>
      <c r="H149" t="n">
        <v>0</v>
      </c>
      <c r="I149" t="n">
        <v>0</v>
      </c>
      <c r="J149" t="n">
        <v>0</v>
      </c>
      <c r="K149" t="n">
        <v>0</v>
      </c>
      <c r="L149" t="n">
        <v>0</v>
      </c>
      <c r="M149" t="n">
        <v>0</v>
      </c>
      <c r="N149" t="n">
        <v>0</v>
      </c>
      <c r="O149" t="n">
        <v>0</v>
      </c>
      <c r="P149" t="n">
        <v>0</v>
      </c>
      <c r="Q149" t="n">
        <v>0</v>
      </c>
      <c r="R149" s="2" t="inlineStr"/>
    </row>
    <row r="150" ht="15" customHeight="1">
      <c r="A150" t="inlineStr">
        <is>
          <t>A 29143-2021</t>
        </is>
      </c>
      <c r="B150" s="1" t="n">
        <v>44358.6319212963</v>
      </c>
      <c r="C150" s="1" t="n">
        <v>46128</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44669-2022</t>
        </is>
      </c>
      <c r="B151" s="1" t="n">
        <v>44840</v>
      </c>
      <c r="C151" s="1" t="n">
        <v>46128</v>
      </c>
      <c r="D151" t="inlineStr">
        <is>
          <t>SKÅNE LÄN</t>
        </is>
      </c>
      <c r="E151" t="inlineStr">
        <is>
          <t>HÄSSLEHOLM</t>
        </is>
      </c>
      <c r="G151" t="n">
        <v>1.2</v>
      </c>
      <c r="H151" t="n">
        <v>0</v>
      </c>
      <c r="I151" t="n">
        <v>0</v>
      </c>
      <c r="J151" t="n">
        <v>0</v>
      </c>
      <c r="K151" t="n">
        <v>0</v>
      </c>
      <c r="L151" t="n">
        <v>0</v>
      </c>
      <c r="M151" t="n">
        <v>0</v>
      </c>
      <c r="N151" t="n">
        <v>0</v>
      </c>
      <c r="O151" t="n">
        <v>0</v>
      </c>
      <c r="P151" t="n">
        <v>0</v>
      </c>
      <c r="Q151" t="n">
        <v>0</v>
      </c>
      <c r="R151" s="2" t="inlineStr"/>
    </row>
    <row r="152" ht="15" customHeight="1">
      <c r="A152" t="inlineStr">
        <is>
          <t>A 26386-2022</t>
        </is>
      </c>
      <c r="B152" s="1" t="n">
        <v>44735.6803125</v>
      </c>
      <c r="C152" s="1" t="n">
        <v>46128</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73513-2021</t>
        </is>
      </c>
      <c r="B153" s="1" t="n">
        <v>44551.69012731482</v>
      </c>
      <c r="C153" s="1" t="n">
        <v>46128</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25469-2022</t>
        </is>
      </c>
      <c r="B154" s="1" t="n">
        <v>44732</v>
      </c>
      <c r="C154" s="1" t="n">
        <v>46128</v>
      </c>
      <c r="D154" t="inlineStr">
        <is>
          <t>SKÅNE LÄN</t>
        </is>
      </c>
      <c r="E154" t="inlineStr">
        <is>
          <t>HÄSSLEHOLM</t>
        </is>
      </c>
      <c r="G154" t="n">
        <v>4.2</v>
      </c>
      <c r="H154" t="n">
        <v>0</v>
      </c>
      <c r="I154" t="n">
        <v>0</v>
      </c>
      <c r="J154" t="n">
        <v>0</v>
      </c>
      <c r="K154" t="n">
        <v>0</v>
      </c>
      <c r="L154" t="n">
        <v>0</v>
      </c>
      <c r="M154" t="n">
        <v>0</v>
      </c>
      <c r="N154" t="n">
        <v>0</v>
      </c>
      <c r="O154" t="n">
        <v>0</v>
      </c>
      <c r="P154" t="n">
        <v>0</v>
      </c>
      <c r="Q154" t="n">
        <v>0</v>
      </c>
      <c r="R154" s="2" t="inlineStr"/>
    </row>
    <row r="155" ht="15" customHeight="1">
      <c r="A155" t="inlineStr">
        <is>
          <t>A 2858-2022</t>
        </is>
      </c>
      <c r="B155" s="1" t="n">
        <v>44581</v>
      </c>
      <c r="C155" s="1" t="n">
        <v>46128</v>
      </c>
      <c r="D155" t="inlineStr">
        <is>
          <t>SKÅNE LÄN</t>
        </is>
      </c>
      <c r="E155" t="inlineStr">
        <is>
          <t>HÄSSLEHOLM</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27959-2022</t>
        </is>
      </c>
      <c r="B156" s="1" t="n">
        <v>44744</v>
      </c>
      <c r="C156" s="1" t="n">
        <v>46128</v>
      </c>
      <c r="D156" t="inlineStr">
        <is>
          <t>SKÅNE LÄN</t>
        </is>
      </c>
      <c r="E156" t="inlineStr">
        <is>
          <t>HÄSSLEHOLM</t>
        </is>
      </c>
      <c r="G156" t="n">
        <v>3</v>
      </c>
      <c r="H156" t="n">
        <v>0</v>
      </c>
      <c r="I156" t="n">
        <v>0</v>
      </c>
      <c r="J156" t="n">
        <v>0</v>
      </c>
      <c r="K156" t="n">
        <v>0</v>
      </c>
      <c r="L156" t="n">
        <v>0</v>
      </c>
      <c r="M156" t="n">
        <v>0</v>
      </c>
      <c r="N156" t="n">
        <v>0</v>
      </c>
      <c r="O156" t="n">
        <v>0</v>
      </c>
      <c r="P156" t="n">
        <v>0</v>
      </c>
      <c r="Q156" t="n">
        <v>0</v>
      </c>
      <c r="R156" s="2" t="inlineStr"/>
    </row>
    <row r="157" ht="15" customHeight="1">
      <c r="A157" t="inlineStr">
        <is>
          <t>A 418-2022</t>
        </is>
      </c>
      <c r="B157" s="1" t="n">
        <v>44565.84958333334</v>
      </c>
      <c r="C157" s="1" t="n">
        <v>46128</v>
      </c>
      <c r="D157" t="inlineStr">
        <is>
          <t>SKÅNE LÄN</t>
        </is>
      </c>
      <c r="E157" t="inlineStr">
        <is>
          <t>HÄSSLEHOLM</t>
        </is>
      </c>
      <c r="G157" t="n">
        <v>0</v>
      </c>
      <c r="H157" t="n">
        <v>0</v>
      </c>
      <c r="I157" t="n">
        <v>0</v>
      </c>
      <c r="J157" t="n">
        <v>0</v>
      </c>
      <c r="K157" t="n">
        <v>0</v>
      </c>
      <c r="L157" t="n">
        <v>0</v>
      </c>
      <c r="M157" t="n">
        <v>0</v>
      </c>
      <c r="N157" t="n">
        <v>0</v>
      </c>
      <c r="O157" t="n">
        <v>0</v>
      </c>
      <c r="P157" t="n">
        <v>0</v>
      </c>
      <c r="Q157" t="n">
        <v>0</v>
      </c>
      <c r="R157" s="2" t="inlineStr"/>
    </row>
    <row r="158" ht="15" customHeight="1">
      <c r="A158" t="inlineStr">
        <is>
          <t>A 12507-2022</t>
        </is>
      </c>
      <c r="B158" s="1" t="n">
        <v>44638</v>
      </c>
      <c r="C158" s="1" t="n">
        <v>46128</v>
      </c>
      <c r="D158" t="inlineStr">
        <is>
          <t>SKÅNE LÄN</t>
        </is>
      </c>
      <c r="E158" t="inlineStr">
        <is>
          <t>HÄSSLEHOLM</t>
        </is>
      </c>
      <c r="G158" t="n">
        <v>2.7</v>
      </c>
      <c r="H158" t="n">
        <v>0</v>
      </c>
      <c r="I158" t="n">
        <v>0</v>
      </c>
      <c r="J158" t="n">
        <v>0</v>
      </c>
      <c r="K158" t="n">
        <v>0</v>
      </c>
      <c r="L158" t="n">
        <v>0</v>
      </c>
      <c r="M158" t="n">
        <v>0</v>
      </c>
      <c r="N158" t="n">
        <v>0</v>
      </c>
      <c r="O158" t="n">
        <v>0</v>
      </c>
      <c r="P158" t="n">
        <v>0</v>
      </c>
      <c r="Q158" t="n">
        <v>0</v>
      </c>
      <c r="R158" s="2" t="inlineStr"/>
    </row>
    <row r="159" ht="15" customHeight="1">
      <c r="A159" t="inlineStr">
        <is>
          <t>A 36795-2023</t>
        </is>
      </c>
      <c r="B159" s="1" t="n">
        <v>45154.38245370371</v>
      </c>
      <c r="C159" s="1" t="n">
        <v>46128</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15698-2023</t>
        </is>
      </c>
      <c r="B160" s="1" t="n">
        <v>45021</v>
      </c>
      <c r="C160" s="1" t="n">
        <v>46128</v>
      </c>
      <c r="D160" t="inlineStr">
        <is>
          <t>SKÅNE LÄN</t>
        </is>
      </c>
      <c r="E160" t="inlineStr">
        <is>
          <t>HÄSSLEHOLM</t>
        </is>
      </c>
      <c r="F160" t="inlineStr">
        <is>
          <t>Kommuner</t>
        </is>
      </c>
      <c r="G160" t="n">
        <v>5.5</v>
      </c>
      <c r="H160" t="n">
        <v>0</v>
      </c>
      <c r="I160" t="n">
        <v>0</v>
      </c>
      <c r="J160" t="n">
        <v>0</v>
      </c>
      <c r="K160" t="n">
        <v>0</v>
      </c>
      <c r="L160" t="n">
        <v>0</v>
      </c>
      <c r="M160" t="n">
        <v>0</v>
      </c>
      <c r="N160" t="n">
        <v>0</v>
      </c>
      <c r="O160" t="n">
        <v>0</v>
      </c>
      <c r="P160" t="n">
        <v>0</v>
      </c>
      <c r="Q160" t="n">
        <v>0</v>
      </c>
      <c r="R160" s="2" t="inlineStr"/>
    </row>
    <row r="161" ht="15" customHeight="1">
      <c r="A161" t="inlineStr">
        <is>
          <t>A 12584-2025</t>
        </is>
      </c>
      <c r="B161" s="1" t="n">
        <v>45732</v>
      </c>
      <c r="C161" s="1" t="n">
        <v>46128</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22690-2022</t>
        </is>
      </c>
      <c r="B162" s="1" t="n">
        <v>44714.5421875</v>
      </c>
      <c r="C162" s="1" t="n">
        <v>46128</v>
      </c>
      <c r="D162" t="inlineStr">
        <is>
          <t>SKÅNE LÄN</t>
        </is>
      </c>
      <c r="E162" t="inlineStr">
        <is>
          <t>HÄSSLEHOLM</t>
        </is>
      </c>
      <c r="G162" t="n">
        <v>1.7</v>
      </c>
      <c r="H162" t="n">
        <v>0</v>
      </c>
      <c r="I162" t="n">
        <v>0</v>
      </c>
      <c r="J162" t="n">
        <v>0</v>
      </c>
      <c r="K162" t="n">
        <v>0</v>
      </c>
      <c r="L162" t="n">
        <v>0</v>
      </c>
      <c r="M162" t="n">
        <v>0</v>
      </c>
      <c r="N162" t="n">
        <v>0</v>
      </c>
      <c r="O162" t="n">
        <v>0</v>
      </c>
      <c r="P162" t="n">
        <v>0</v>
      </c>
      <c r="Q162" t="n">
        <v>0</v>
      </c>
      <c r="R162" s="2" t="inlineStr"/>
    </row>
    <row r="163" ht="15" customHeight="1">
      <c r="A163" t="inlineStr">
        <is>
          <t>A 57079-2022</t>
        </is>
      </c>
      <c r="B163" s="1" t="n">
        <v>44895</v>
      </c>
      <c r="C163" s="1" t="n">
        <v>46128</v>
      </c>
      <c r="D163" t="inlineStr">
        <is>
          <t>SKÅNE LÄN</t>
        </is>
      </c>
      <c r="E163" t="inlineStr">
        <is>
          <t>HÄSSLEHOLM</t>
        </is>
      </c>
      <c r="G163" t="n">
        <v>2.6</v>
      </c>
      <c r="H163" t="n">
        <v>0</v>
      </c>
      <c r="I163" t="n">
        <v>0</v>
      </c>
      <c r="J163" t="n">
        <v>0</v>
      </c>
      <c r="K163" t="n">
        <v>0</v>
      </c>
      <c r="L163" t="n">
        <v>0</v>
      </c>
      <c r="M163" t="n">
        <v>0</v>
      </c>
      <c r="N163" t="n">
        <v>0</v>
      </c>
      <c r="O163" t="n">
        <v>0</v>
      </c>
      <c r="P163" t="n">
        <v>0</v>
      </c>
      <c r="Q163" t="n">
        <v>0</v>
      </c>
      <c r="R163" s="2" t="inlineStr"/>
    </row>
    <row r="164" ht="15" customHeight="1">
      <c r="A164" t="inlineStr">
        <is>
          <t>A 61498-2022</t>
        </is>
      </c>
      <c r="B164" s="1" t="n">
        <v>44910</v>
      </c>
      <c r="C164" s="1" t="n">
        <v>46128</v>
      </c>
      <c r="D164" t="inlineStr">
        <is>
          <t>SKÅNE LÄN</t>
        </is>
      </c>
      <c r="E164" t="inlineStr">
        <is>
          <t>HÄSSLEHOLM</t>
        </is>
      </c>
      <c r="F164" t="inlineStr">
        <is>
          <t>Kyrkan</t>
        </is>
      </c>
      <c r="G164" t="n">
        <v>3.2</v>
      </c>
      <c r="H164" t="n">
        <v>0</v>
      </c>
      <c r="I164" t="n">
        <v>0</v>
      </c>
      <c r="J164" t="n">
        <v>0</v>
      </c>
      <c r="K164" t="n">
        <v>0</v>
      </c>
      <c r="L164" t="n">
        <v>0</v>
      </c>
      <c r="M164" t="n">
        <v>0</v>
      </c>
      <c r="N164" t="n">
        <v>0</v>
      </c>
      <c r="O164" t="n">
        <v>0</v>
      </c>
      <c r="P164" t="n">
        <v>0</v>
      </c>
      <c r="Q164" t="n">
        <v>0</v>
      </c>
      <c r="R164" s="2" t="inlineStr"/>
    </row>
    <row r="165" ht="15" customHeight="1">
      <c r="A165" t="inlineStr">
        <is>
          <t>A 15417-2022</t>
        </is>
      </c>
      <c r="B165" s="1" t="n">
        <v>44659</v>
      </c>
      <c r="C165" s="1" t="n">
        <v>46128</v>
      </c>
      <c r="D165" t="inlineStr">
        <is>
          <t>SKÅNE LÄN</t>
        </is>
      </c>
      <c r="E165" t="inlineStr">
        <is>
          <t>HÄSSLEHOLM</t>
        </is>
      </c>
      <c r="F165" t="inlineStr">
        <is>
          <t>Kyrkan</t>
        </is>
      </c>
      <c r="G165" t="n">
        <v>2.9</v>
      </c>
      <c r="H165" t="n">
        <v>0</v>
      </c>
      <c r="I165" t="n">
        <v>0</v>
      </c>
      <c r="J165" t="n">
        <v>0</v>
      </c>
      <c r="K165" t="n">
        <v>0</v>
      </c>
      <c r="L165" t="n">
        <v>0</v>
      </c>
      <c r="M165" t="n">
        <v>0</v>
      </c>
      <c r="N165" t="n">
        <v>0</v>
      </c>
      <c r="O165" t="n">
        <v>0</v>
      </c>
      <c r="P165" t="n">
        <v>0</v>
      </c>
      <c r="Q165" t="n">
        <v>0</v>
      </c>
      <c r="R165" s="2" t="inlineStr"/>
    </row>
    <row r="166" ht="15" customHeight="1">
      <c r="A166" t="inlineStr">
        <is>
          <t>A 36240-2023</t>
        </is>
      </c>
      <c r="B166" s="1" t="n">
        <v>45150.89295138889</v>
      </c>
      <c r="C166" s="1" t="n">
        <v>46128</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23830-2021</t>
        </is>
      </c>
      <c r="B167" s="1" t="n">
        <v>44335</v>
      </c>
      <c r="C167" s="1" t="n">
        <v>46128</v>
      </c>
      <c r="D167" t="inlineStr">
        <is>
          <t>SKÅNE LÄN</t>
        </is>
      </c>
      <c r="E167" t="inlineStr">
        <is>
          <t>HÄSSLEHOLM</t>
        </is>
      </c>
      <c r="G167" t="n">
        <v>18.7</v>
      </c>
      <c r="H167" t="n">
        <v>0</v>
      </c>
      <c r="I167" t="n">
        <v>0</v>
      </c>
      <c r="J167" t="n">
        <v>0</v>
      </c>
      <c r="K167" t="n">
        <v>0</v>
      </c>
      <c r="L167" t="n">
        <v>0</v>
      </c>
      <c r="M167" t="n">
        <v>0</v>
      </c>
      <c r="N167" t="n">
        <v>0</v>
      </c>
      <c r="O167" t="n">
        <v>0</v>
      </c>
      <c r="P167" t="n">
        <v>0</v>
      </c>
      <c r="Q167" t="n">
        <v>0</v>
      </c>
      <c r="R167" s="2" t="inlineStr"/>
    </row>
    <row r="168" ht="15" customHeight="1">
      <c r="A168" t="inlineStr">
        <is>
          <t>A 20564-2023</t>
        </is>
      </c>
      <c r="B168" s="1" t="n">
        <v>45057</v>
      </c>
      <c r="C168" s="1" t="n">
        <v>46128</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41694-2024</t>
        </is>
      </c>
      <c r="B169" s="1" t="n">
        <v>45560.68341435185</v>
      </c>
      <c r="C169" s="1" t="n">
        <v>46128</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51893-2021</t>
        </is>
      </c>
      <c r="B170" s="1" t="n">
        <v>44462</v>
      </c>
      <c r="C170" s="1" t="n">
        <v>46128</v>
      </c>
      <c r="D170" t="inlineStr">
        <is>
          <t>SKÅNE LÄN</t>
        </is>
      </c>
      <c r="E170" t="inlineStr">
        <is>
          <t>HÄSSLEHOLM</t>
        </is>
      </c>
      <c r="G170" t="n">
        <v>1</v>
      </c>
      <c r="H170" t="n">
        <v>0</v>
      </c>
      <c r="I170" t="n">
        <v>0</v>
      </c>
      <c r="J170" t="n">
        <v>0</v>
      </c>
      <c r="K170" t="n">
        <v>0</v>
      </c>
      <c r="L170" t="n">
        <v>0</v>
      </c>
      <c r="M170" t="n">
        <v>0</v>
      </c>
      <c r="N170" t="n">
        <v>0</v>
      </c>
      <c r="O170" t="n">
        <v>0</v>
      </c>
      <c r="P170" t="n">
        <v>0</v>
      </c>
      <c r="Q170" t="n">
        <v>0</v>
      </c>
      <c r="R170" s="2" t="inlineStr"/>
    </row>
    <row r="171" ht="15" customHeight="1">
      <c r="A171" t="inlineStr">
        <is>
          <t>A 55394-2022</t>
        </is>
      </c>
      <c r="B171" s="1" t="n">
        <v>44887.57112268519</v>
      </c>
      <c r="C171" s="1" t="n">
        <v>46128</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31998-2023</t>
        </is>
      </c>
      <c r="B172" s="1" t="n">
        <v>45119</v>
      </c>
      <c r="C172" s="1" t="n">
        <v>46128</v>
      </c>
      <c r="D172" t="inlineStr">
        <is>
          <t>SKÅNE LÄN</t>
        </is>
      </c>
      <c r="E172" t="inlineStr">
        <is>
          <t>HÄSSLEHOLM</t>
        </is>
      </c>
      <c r="G172" t="n">
        <v>1.8</v>
      </c>
      <c r="H172" t="n">
        <v>0</v>
      </c>
      <c r="I172" t="n">
        <v>0</v>
      </c>
      <c r="J172" t="n">
        <v>0</v>
      </c>
      <c r="K172" t="n">
        <v>0</v>
      </c>
      <c r="L172" t="n">
        <v>0</v>
      </c>
      <c r="M172" t="n">
        <v>0</v>
      </c>
      <c r="N172" t="n">
        <v>0</v>
      </c>
      <c r="O172" t="n">
        <v>0</v>
      </c>
      <c r="P172" t="n">
        <v>0</v>
      </c>
      <c r="Q172" t="n">
        <v>0</v>
      </c>
      <c r="R172" s="2" t="inlineStr"/>
    </row>
    <row r="173" ht="15" customHeight="1">
      <c r="A173" t="inlineStr">
        <is>
          <t>A 47757-2024</t>
        </is>
      </c>
      <c r="B173" s="1" t="n">
        <v>45588.55075231481</v>
      </c>
      <c r="C173" s="1" t="n">
        <v>46128</v>
      </c>
      <c r="D173" t="inlineStr">
        <is>
          <t>SKÅNE LÄN</t>
        </is>
      </c>
      <c r="E173" t="inlineStr">
        <is>
          <t>HÄSSLEHOLM</t>
        </is>
      </c>
      <c r="G173" t="n">
        <v>5.5</v>
      </c>
      <c r="H173" t="n">
        <v>0</v>
      </c>
      <c r="I173" t="n">
        <v>0</v>
      </c>
      <c r="J173" t="n">
        <v>0</v>
      </c>
      <c r="K173" t="n">
        <v>0</v>
      </c>
      <c r="L173" t="n">
        <v>0</v>
      </c>
      <c r="M173" t="n">
        <v>0</v>
      </c>
      <c r="N173" t="n">
        <v>0</v>
      </c>
      <c r="O173" t="n">
        <v>0</v>
      </c>
      <c r="P173" t="n">
        <v>0</v>
      </c>
      <c r="Q173" t="n">
        <v>0</v>
      </c>
      <c r="R173" s="2" t="inlineStr"/>
    </row>
    <row r="174" ht="15" customHeight="1">
      <c r="A174" t="inlineStr">
        <is>
          <t>A 2663-2023</t>
        </is>
      </c>
      <c r="B174" s="1" t="n">
        <v>44942</v>
      </c>
      <c r="C174" s="1" t="n">
        <v>46128</v>
      </c>
      <c r="D174" t="inlineStr">
        <is>
          <t>SKÅNE LÄN</t>
        </is>
      </c>
      <c r="E174" t="inlineStr">
        <is>
          <t>HÄSSLEHOLM</t>
        </is>
      </c>
      <c r="F174" t="inlineStr">
        <is>
          <t>Kyrkan</t>
        </is>
      </c>
      <c r="G174" t="n">
        <v>0.8</v>
      </c>
      <c r="H174" t="n">
        <v>0</v>
      </c>
      <c r="I174" t="n">
        <v>0</v>
      </c>
      <c r="J174" t="n">
        <v>0</v>
      </c>
      <c r="K174" t="n">
        <v>0</v>
      </c>
      <c r="L174" t="n">
        <v>0</v>
      </c>
      <c r="M174" t="n">
        <v>0</v>
      </c>
      <c r="N174" t="n">
        <v>0</v>
      </c>
      <c r="O174" t="n">
        <v>0</v>
      </c>
      <c r="P174" t="n">
        <v>0</v>
      </c>
      <c r="Q174" t="n">
        <v>0</v>
      </c>
      <c r="R174" s="2" t="inlineStr"/>
    </row>
    <row r="175" ht="15" customHeight="1">
      <c r="A175" t="inlineStr">
        <is>
          <t>A 4140-2023</t>
        </is>
      </c>
      <c r="B175" s="1" t="n">
        <v>44953</v>
      </c>
      <c r="C175" s="1" t="n">
        <v>46128</v>
      </c>
      <c r="D175" t="inlineStr">
        <is>
          <t>SKÅNE LÄN</t>
        </is>
      </c>
      <c r="E175" t="inlineStr">
        <is>
          <t>HÄSSLEHOLM</t>
        </is>
      </c>
      <c r="G175" t="n">
        <v>10.6</v>
      </c>
      <c r="H175" t="n">
        <v>0</v>
      </c>
      <c r="I175" t="n">
        <v>0</v>
      </c>
      <c r="J175" t="n">
        <v>0</v>
      </c>
      <c r="K175" t="n">
        <v>0</v>
      </c>
      <c r="L175" t="n">
        <v>0</v>
      </c>
      <c r="M175" t="n">
        <v>0</v>
      </c>
      <c r="N175" t="n">
        <v>0</v>
      </c>
      <c r="O175" t="n">
        <v>0</v>
      </c>
      <c r="P175" t="n">
        <v>0</v>
      </c>
      <c r="Q175" t="n">
        <v>0</v>
      </c>
      <c r="R175" s="2" t="inlineStr"/>
    </row>
    <row r="176" ht="15" customHeight="1">
      <c r="A176" t="inlineStr">
        <is>
          <t>A 7192-2025</t>
        </is>
      </c>
      <c r="B176" s="1" t="n">
        <v>45702.44746527778</v>
      </c>
      <c r="C176" s="1" t="n">
        <v>46128</v>
      </c>
      <c r="D176" t="inlineStr">
        <is>
          <t>SKÅNE LÄN</t>
        </is>
      </c>
      <c r="E176" t="inlineStr">
        <is>
          <t>HÄSSLEHOLM</t>
        </is>
      </c>
      <c r="G176" t="n">
        <v>1.2</v>
      </c>
      <c r="H176" t="n">
        <v>0</v>
      </c>
      <c r="I176" t="n">
        <v>0</v>
      </c>
      <c r="J176" t="n">
        <v>0</v>
      </c>
      <c r="K176" t="n">
        <v>0</v>
      </c>
      <c r="L176" t="n">
        <v>0</v>
      </c>
      <c r="M176" t="n">
        <v>0</v>
      </c>
      <c r="N176" t="n">
        <v>0</v>
      </c>
      <c r="O176" t="n">
        <v>0</v>
      </c>
      <c r="P176" t="n">
        <v>0</v>
      </c>
      <c r="Q176" t="n">
        <v>0</v>
      </c>
      <c r="R176" s="2" t="inlineStr"/>
    </row>
    <row r="177" ht="15" customHeight="1">
      <c r="A177" t="inlineStr">
        <is>
          <t>A 45357-2022</t>
        </is>
      </c>
      <c r="B177" s="1" t="n">
        <v>44844.61952546296</v>
      </c>
      <c r="C177" s="1" t="n">
        <v>46128</v>
      </c>
      <c r="D177" t="inlineStr">
        <is>
          <t>SKÅNE LÄN</t>
        </is>
      </c>
      <c r="E177" t="inlineStr">
        <is>
          <t>HÄSSLEHOLM</t>
        </is>
      </c>
      <c r="G177" t="n">
        <v>5.8</v>
      </c>
      <c r="H177" t="n">
        <v>0</v>
      </c>
      <c r="I177" t="n">
        <v>0</v>
      </c>
      <c r="J177" t="n">
        <v>0</v>
      </c>
      <c r="K177" t="n">
        <v>0</v>
      </c>
      <c r="L177" t="n">
        <v>0</v>
      </c>
      <c r="M177" t="n">
        <v>0</v>
      </c>
      <c r="N177" t="n">
        <v>0</v>
      </c>
      <c r="O177" t="n">
        <v>0</v>
      </c>
      <c r="P177" t="n">
        <v>0</v>
      </c>
      <c r="Q177" t="n">
        <v>0</v>
      </c>
      <c r="R177" s="2" t="inlineStr"/>
    </row>
    <row r="178" ht="15" customHeight="1">
      <c r="A178" t="inlineStr">
        <is>
          <t>A 25077-2024</t>
        </is>
      </c>
      <c r="B178" s="1" t="n">
        <v>45462</v>
      </c>
      <c r="C178" s="1" t="n">
        <v>46128</v>
      </c>
      <c r="D178" t="inlineStr">
        <is>
          <t>SKÅNE LÄN</t>
        </is>
      </c>
      <c r="E178" t="inlineStr">
        <is>
          <t>HÄSSLEHOLM</t>
        </is>
      </c>
      <c r="G178" t="n">
        <v>1.6</v>
      </c>
      <c r="H178" t="n">
        <v>0</v>
      </c>
      <c r="I178" t="n">
        <v>0</v>
      </c>
      <c r="J178" t="n">
        <v>0</v>
      </c>
      <c r="K178" t="n">
        <v>0</v>
      </c>
      <c r="L178" t="n">
        <v>0</v>
      </c>
      <c r="M178" t="n">
        <v>0</v>
      </c>
      <c r="N178" t="n">
        <v>0</v>
      </c>
      <c r="O178" t="n">
        <v>0</v>
      </c>
      <c r="P178" t="n">
        <v>0</v>
      </c>
      <c r="Q178" t="n">
        <v>0</v>
      </c>
      <c r="R178" s="2" t="inlineStr"/>
    </row>
    <row r="179" ht="15" customHeight="1">
      <c r="A179" t="inlineStr">
        <is>
          <t>A 27954-2022</t>
        </is>
      </c>
      <c r="B179" s="1" t="n">
        <v>44743</v>
      </c>
      <c r="C179" s="1" t="n">
        <v>46128</v>
      </c>
      <c r="D179" t="inlineStr">
        <is>
          <t>SKÅNE LÄN</t>
        </is>
      </c>
      <c r="E179" t="inlineStr">
        <is>
          <t>HÄSSLEHOLM</t>
        </is>
      </c>
      <c r="G179" t="n">
        <v>9.4</v>
      </c>
      <c r="H179" t="n">
        <v>0</v>
      </c>
      <c r="I179" t="n">
        <v>0</v>
      </c>
      <c r="J179" t="n">
        <v>0</v>
      </c>
      <c r="K179" t="n">
        <v>0</v>
      </c>
      <c r="L179" t="n">
        <v>0</v>
      </c>
      <c r="M179" t="n">
        <v>0</v>
      </c>
      <c r="N179" t="n">
        <v>0</v>
      </c>
      <c r="O179" t="n">
        <v>0</v>
      </c>
      <c r="P179" t="n">
        <v>0</v>
      </c>
      <c r="Q179" t="n">
        <v>0</v>
      </c>
      <c r="R179" s="2" t="inlineStr"/>
    </row>
    <row r="180" ht="15" customHeight="1">
      <c r="A180" t="inlineStr">
        <is>
          <t>A 45989-2021</t>
        </is>
      </c>
      <c r="B180" s="1" t="n">
        <v>44441.74627314815</v>
      </c>
      <c r="C180" s="1" t="n">
        <v>46128</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46942-2024</t>
        </is>
      </c>
      <c r="B181" s="1" t="n">
        <v>45585.6684375</v>
      </c>
      <c r="C181" s="1" t="n">
        <v>46128</v>
      </c>
      <c r="D181" t="inlineStr">
        <is>
          <t>SKÅNE LÄN</t>
        </is>
      </c>
      <c r="E181" t="inlineStr">
        <is>
          <t>HÄSSLEHOLM</t>
        </is>
      </c>
      <c r="G181" t="n">
        <v>1.8</v>
      </c>
      <c r="H181" t="n">
        <v>0</v>
      </c>
      <c r="I181" t="n">
        <v>0</v>
      </c>
      <c r="J181" t="n">
        <v>0</v>
      </c>
      <c r="K181" t="n">
        <v>0</v>
      </c>
      <c r="L181" t="n">
        <v>0</v>
      </c>
      <c r="M181" t="n">
        <v>0</v>
      </c>
      <c r="N181" t="n">
        <v>0</v>
      </c>
      <c r="O181" t="n">
        <v>0</v>
      </c>
      <c r="P181" t="n">
        <v>0</v>
      </c>
      <c r="Q181" t="n">
        <v>0</v>
      </c>
      <c r="R181" s="2" t="inlineStr"/>
    </row>
    <row r="182" ht="15" customHeight="1">
      <c r="A182" t="inlineStr">
        <is>
          <t>A 45984-2021</t>
        </is>
      </c>
      <c r="B182" s="1" t="n">
        <v>44441</v>
      </c>
      <c r="C182" s="1" t="n">
        <v>46128</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61170-2022</t>
        </is>
      </c>
      <c r="B183" s="1" t="n">
        <v>44915.48543981482</v>
      </c>
      <c r="C183" s="1" t="n">
        <v>46128</v>
      </c>
      <c r="D183" t="inlineStr">
        <is>
          <t>SKÅNE LÄN</t>
        </is>
      </c>
      <c r="E183" t="inlineStr">
        <is>
          <t>HÄSSLEHOLM</t>
        </is>
      </c>
      <c r="G183" t="n">
        <v>1.2</v>
      </c>
      <c r="H183" t="n">
        <v>0</v>
      </c>
      <c r="I183" t="n">
        <v>0</v>
      </c>
      <c r="J183" t="n">
        <v>0</v>
      </c>
      <c r="K183" t="n">
        <v>0</v>
      </c>
      <c r="L183" t="n">
        <v>0</v>
      </c>
      <c r="M183" t="n">
        <v>0</v>
      </c>
      <c r="N183" t="n">
        <v>0</v>
      </c>
      <c r="O183" t="n">
        <v>0</v>
      </c>
      <c r="P183" t="n">
        <v>0</v>
      </c>
      <c r="Q183" t="n">
        <v>0</v>
      </c>
      <c r="R183" s="2" t="inlineStr"/>
    </row>
    <row r="184" ht="15" customHeight="1">
      <c r="A184" t="inlineStr">
        <is>
          <t>A 33257-2024</t>
        </is>
      </c>
      <c r="B184" s="1" t="n">
        <v>45518</v>
      </c>
      <c r="C184" s="1" t="n">
        <v>46128</v>
      </c>
      <c r="D184" t="inlineStr">
        <is>
          <t>SKÅNE LÄN</t>
        </is>
      </c>
      <c r="E184" t="inlineStr">
        <is>
          <t>HÄSSLEHOLM</t>
        </is>
      </c>
      <c r="G184" t="n">
        <v>0.4</v>
      </c>
      <c r="H184" t="n">
        <v>0</v>
      </c>
      <c r="I184" t="n">
        <v>0</v>
      </c>
      <c r="J184" t="n">
        <v>0</v>
      </c>
      <c r="K184" t="n">
        <v>0</v>
      </c>
      <c r="L184" t="n">
        <v>0</v>
      </c>
      <c r="M184" t="n">
        <v>0</v>
      </c>
      <c r="N184" t="n">
        <v>0</v>
      </c>
      <c r="O184" t="n">
        <v>0</v>
      </c>
      <c r="P184" t="n">
        <v>0</v>
      </c>
      <c r="Q184" t="n">
        <v>0</v>
      </c>
      <c r="R184" s="2" t="inlineStr"/>
    </row>
    <row r="185" ht="15" customHeight="1">
      <c r="A185" t="inlineStr">
        <is>
          <t>A 7262-2022</t>
        </is>
      </c>
      <c r="B185" s="1" t="n">
        <v>44606</v>
      </c>
      <c r="C185" s="1" t="n">
        <v>46128</v>
      </c>
      <c r="D185" t="inlineStr">
        <is>
          <t>SKÅNE LÄN</t>
        </is>
      </c>
      <c r="E185" t="inlineStr">
        <is>
          <t>HÄSSLEHOLM</t>
        </is>
      </c>
      <c r="F185" t="inlineStr">
        <is>
          <t>Övriga Aktiebolag</t>
        </is>
      </c>
      <c r="G185" t="n">
        <v>1</v>
      </c>
      <c r="H185" t="n">
        <v>0</v>
      </c>
      <c r="I185" t="n">
        <v>0</v>
      </c>
      <c r="J185" t="n">
        <v>0</v>
      </c>
      <c r="K185" t="n">
        <v>0</v>
      </c>
      <c r="L185" t="n">
        <v>0</v>
      </c>
      <c r="M185" t="n">
        <v>0</v>
      </c>
      <c r="N185" t="n">
        <v>0</v>
      </c>
      <c r="O185" t="n">
        <v>0</v>
      </c>
      <c r="P185" t="n">
        <v>0</v>
      </c>
      <c r="Q185" t="n">
        <v>0</v>
      </c>
      <c r="R185" s="2" t="inlineStr"/>
    </row>
    <row r="186" ht="15" customHeight="1">
      <c r="A186" t="inlineStr">
        <is>
          <t>A 6835-2023</t>
        </is>
      </c>
      <c r="B186" s="1" t="n">
        <v>44967</v>
      </c>
      <c r="C186" s="1" t="n">
        <v>46128</v>
      </c>
      <c r="D186" t="inlineStr">
        <is>
          <t>SKÅNE LÄN</t>
        </is>
      </c>
      <c r="E186" t="inlineStr">
        <is>
          <t>HÄSSLEHOLM</t>
        </is>
      </c>
      <c r="G186" t="n">
        <v>4.8</v>
      </c>
      <c r="H186" t="n">
        <v>0</v>
      </c>
      <c r="I186" t="n">
        <v>0</v>
      </c>
      <c r="J186" t="n">
        <v>0</v>
      </c>
      <c r="K186" t="n">
        <v>0</v>
      </c>
      <c r="L186" t="n">
        <v>0</v>
      </c>
      <c r="M186" t="n">
        <v>0</v>
      </c>
      <c r="N186" t="n">
        <v>0</v>
      </c>
      <c r="O186" t="n">
        <v>0</v>
      </c>
      <c r="P186" t="n">
        <v>0</v>
      </c>
      <c r="Q186" t="n">
        <v>0</v>
      </c>
      <c r="R186" s="2" t="inlineStr"/>
    </row>
    <row r="187" ht="15" customHeight="1">
      <c r="A187" t="inlineStr">
        <is>
          <t>A 17492-2025</t>
        </is>
      </c>
      <c r="B187" s="1" t="n">
        <v>45747</v>
      </c>
      <c r="C187" s="1" t="n">
        <v>46128</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31933-2024</t>
        </is>
      </c>
      <c r="B188" s="1" t="n">
        <v>45510.41123842593</v>
      </c>
      <c r="C188" s="1" t="n">
        <v>46128</v>
      </c>
      <c r="D188" t="inlineStr">
        <is>
          <t>SKÅNE LÄN</t>
        </is>
      </c>
      <c r="E188" t="inlineStr">
        <is>
          <t>HÄSSLEHOLM</t>
        </is>
      </c>
      <c r="G188" t="n">
        <v>0.8</v>
      </c>
      <c r="H188" t="n">
        <v>0</v>
      </c>
      <c r="I188" t="n">
        <v>0</v>
      </c>
      <c r="J188" t="n">
        <v>0</v>
      </c>
      <c r="K188" t="n">
        <v>0</v>
      </c>
      <c r="L188" t="n">
        <v>0</v>
      </c>
      <c r="M188" t="n">
        <v>0</v>
      </c>
      <c r="N188" t="n">
        <v>0</v>
      </c>
      <c r="O188" t="n">
        <v>0</v>
      </c>
      <c r="P188" t="n">
        <v>0</v>
      </c>
      <c r="Q188" t="n">
        <v>0</v>
      </c>
      <c r="R188" s="2" t="inlineStr"/>
    </row>
    <row r="189" ht="15" customHeight="1">
      <c r="A189" t="inlineStr">
        <is>
          <t>A 9098-2022</t>
        </is>
      </c>
      <c r="B189" s="1" t="n">
        <v>44615</v>
      </c>
      <c r="C189" s="1" t="n">
        <v>46128</v>
      </c>
      <c r="D189" t="inlineStr">
        <is>
          <t>SKÅNE LÄN</t>
        </is>
      </c>
      <c r="E189" t="inlineStr">
        <is>
          <t>HÄSSLEHOLM</t>
        </is>
      </c>
      <c r="G189" t="n">
        <v>2.1</v>
      </c>
      <c r="H189" t="n">
        <v>0</v>
      </c>
      <c r="I189" t="n">
        <v>0</v>
      </c>
      <c r="J189" t="n">
        <v>0</v>
      </c>
      <c r="K189" t="n">
        <v>0</v>
      </c>
      <c r="L189" t="n">
        <v>0</v>
      </c>
      <c r="M189" t="n">
        <v>0</v>
      </c>
      <c r="N189" t="n">
        <v>0</v>
      </c>
      <c r="O189" t="n">
        <v>0</v>
      </c>
      <c r="P189" t="n">
        <v>0</v>
      </c>
      <c r="Q189" t="n">
        <v>0</v>
      </c>
      <c r="R189" s="2" t="inlineStr"/>
    </row>
    <row r="190" ht="15" customHeight="1">
      <c r="A190" t="inlineStr">
        <is>
          <t>A 12338-2024</t>
        </is>
      </c>
      <c r="B190" s="1" t="n">
        <v>45378.72869212963</v>
      </c>
      <c r="C190" s="1" t="n">
        <v>46128</v>
      </c>
      <c r="D190" t="inlineStr">
        <is>
          <t>SKÅNE LÄN</t>
        </is>
      </c>
      <c r="E190" t="inlineStr">
        <is>
          <t>HÄSSLEHOLM</t>
        </is>
      </c>
      <c r="G190" t="n">
        <v>1.8</v>
      </c>
      <c r="H190" t="n">
        <v>0</v>
      </c>
      <c r="I190" t="n">
        <v>0</v>
      </c>
      <c r="J190" t="n">
        <v>0</v>
      </c>
      <c r="K190" t="n">
        <v>0</v>
      </c>
      <c r="L190" t="n">
        <v>0</v>
      </c>
      <c r="M190" t="n">
        <v>0</v>
      </c>
      <c r="N190" t="n">
        <v>0</v>
      </c>
      <c r="O190" t="n">
        <v>0</v>
      </c>
      <c r="P190" t="n">
        <v>0</v>
      </c>
      <c r="Q190" t="n">
        <v>0</v>
      </c>
      <c r="R190" s="2" t="inlineStr"/>
    </row>
    <row r="191" ht="15" customHeight="1">
      <c r="A191" t="inlineStr">
        <is>
          <t>A 34883-2023</t>
        </is>
      </c>
      <c r="B191" s="1" t="n">
        <v>45142.37902777778</v>
      </c>
      <c r="C191" s="1" t="n">
        <v>46128</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34886-2023</t>
        </is>
      </c>
      <c r="B192" s="1" t="n">
        <v>45142.38450231482</v>
      </c>
      <c r="C192" s="1" t="n">
        <v>46128</v>
      </c>
      <c r="D192" t="inlineStr">
        <is>
          <t>SKÅNE LÄN</t>
        </is>
      </c>
      <c r="E192" t="inlineStr">
        <is>
          <t>HÄSSLEHOLM</t>
        </is>
      </c>
      <c r="G192" t="n">
        <v>1.3</v>
      </c>
      <c r="H192" t="n">
        <v>0</v>
      </c>
      <c r="I192" t="n">
        <v>0</v>
      </c>
      <c r="J192" t="n">
        <v>0</v>
      </c>
      <c r="K192" t="n">
        <v>0</v>
      </c>
      <c r="L192" t="n">
        <v>0</v>
      </c>
      <c r="M192" t="n">
        <v>0</v>
      </c>
      <c r="N192" t="n">
        <v>0</v>
      </c>
      <c r="O192" t="n">
        <v>0</v>
      </c>
      <c r="P192" t="n">
        <v>0</v>
      </c>
      <c r="Q192" t="n">
        <v>0</v>
      </c>
      <c r="R192" s="2" t="inlineStr"/>
    </row>
    <row r="193" ht="15" customHeight="1">
      <c r="A193" t="inlineStr">
        <is>
          <t>A 7904-2022</t>
        </is>
      </c>
      <c r="B193" s="1" t="n">
        <v>44607</v>
      </c>
      <c r="C193" s="1" t="n">
        <v>46128</v>
      </c>
      <c r="D193" t="inlineStr">
        <is>
          <t>SKÅNE LÄN</t>
        </is>
      </c>
      <c r="E193" t="inlineStr">
        <is>
          <t>HÄSSLEHOLM</t>
        </is>
      </c>
      <c r="F193" t="inlineStr">
        <is>
          <t>Kyrkan</t>
        </is>
      </c>
      <c r="G193" t="n">
        <v>3.9</v>
      </c>
      <c r="H193" t="n">
        <v>0</v>
      </c>
      <c r="I193" t="n">
        <v>0</v>
      </c>
      <c r="J193" t="n">
        <v>0</v>
      </c>
      <c r="K193" t="n">
        <v>0</v>
      </c>
      <c r="L193" t="n">
        <v>0</v>
      </c>
      <c r="M193" t="n">
        <v>0</v>
      </c>
      <c r="N193" t="n">
        <v>0</v>
      </c>
      <c r="O193" t="n">
        <v>0</v>
      </c>
      <c r="P193" t="n">
        <v>0</v>
      </c>
      <c r="Q193" t="n">
        <v>0</v>
      </c>
      <c r="R193" s="2" t="inlineStr"/>
    </row>
    <row r="194" ht="15" customHeight="1">
      <c r="A194" t="inlineStr">
        <is>
          <t>A 7476-2025</t>
        </is>
      </c>
      <c r="B194" s="1" t="n">
        <v>45702</v>
      </c>
      <c r="C194" s="1" t="n">
        <v>46128</v>
      </c>
      <c r="D194" t="inlineStr">
        <is>
          <t>SKÅNE LÄN</t>
        </is>
      </c>
      <c r="E194" t="inlineStr">
        <is>
          <t>HÄSSLEHOLM</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54659-2023</t>
        </is>
      </c>
      <c r="B195" s="1" t="n">
        <v>45235</v>
      </c>
      <c r="C195" s="1" t="n">
        <v>46128</v>
      </c>
      <c r="D195" t="inlineStr">
        <is>
          <t>SKÅNE LÄN</t>
        </is>
      </c>
      <c r="E195" t="inlineStr">
        <is>
          <t>HÄSSLEHOLM</t>
        </is>
      </c>
      <c r="G195" t="n">
        <v>5</v>
      </c>
      <c r="H195" t="n">
        <v>0</v>
      </c>
      <c r="I195" t="n">
        <v>0</v>
      </c>
      <c r="J195" t="n">
        <v>0</v>
      </c>
      <c r="K195" t="n">
        <v>0</v>
      </c>
      <c r="L195" t="n">
        <v>0</v>
      </c>
      <c r="M195" t="n">
        <v>0</v>
      </c>
      <c r="N195" t="n">
        <v>0</v>
      </c>
      <c r="O195" t="n">
        <v>0</v>
      </c>
      <c r="P195" t="n">
        <v>0</v>
      </c>
      <c r="Q195" t="n">
        <v>0</v>
      </c>
      <c r="R195" s="2" t="inlineStr"/>
    </row>
    <row r="196" ht="15" customHeight="1">
      <c r="A196" t="inlineStr">
        <is>
          <t>A 7250-2022</t>
        </is>
      </c>
      <c r="B196" s="1" t="n">
        <v>44606</v>
      </c>
      <c r="C196" s="1" t="n">
        <v>46128</v>
      </c>
      <c r="D196" t="inlineStr">
        <is>
          <t>SKÅNE LÄN</t>
        </is>
      </c>
      <c r="E196" t="inlineStr">
        <is>
          <t>HÄSSLEHOLM</t>
        </is>
      </c>
      <c r="F196" t="inlineStr">
        <is>
          <t>Övriga Aktiebolag</t>
        </is>
      </c>
      <c r="G196" t="n">
        <v>2.6</v>
      </c>
      <c r="H196" t="n">
        <v>0</v>
      </c>
      <c r="I196" t="n">
        <v>0</v>
      </c>
      <c r="J196" t="n">
        <v>0</v>
      </c>
      <c r="K196" t="n">
        <v>0</v>
      </c>
      <c r="L196" t="n">
        <v>0</v>
      </c>
      <c r="M196" t="n">
        <v>0</v>
      </c>
      <c r="N196" t="n">
        <v>0</v>
      </c>
      <c r="O196" t="n">
        <v>0</v>
      </c>
      <c r="P196" t="n">
        <v>0</v>
      </c>
      <c r="Q196" t="n">
        <v>0</v>
      </c>
      <c r="R196" s="2" t="inlineStr"/>
    </row>
    <row r="197" ht="15" customHeight="1">
      <c r="A197" t="inlineStr">
        <is>
          <t>A 51895-2021</t>
        </is>
      </c>
      <c r="B197" s="1" t="n">
        <v>44462</v>
      </c>
      <c r="C197" s="1" t="n">
        <v>46128</v>
      </c>
      <c r="D197" t="inlineStr">
        <is>
          <t>SKÅNE LÄN</t>
        </is>
      </c>
      <c r="E197" t="inlineStr">
        <is>
          <t>HÄSSLEHOLM</t>
        </is>
      </c>
      <c r="G197" t="n">
        <v>5.7</v>
      </c>
      <c r="H197" t="n">
        <v>0</v>
      </c>
      <c r="I197" t="n">
        <v>0</v>
      </c>
      <c r="J197" t="n">
        <v>0</v>
      </c>
      <c r="K197" t="n">
        <v>0</v>
      </c>
      <c r="L197" t="n">
        <v>0</v>
      </c>
      <c r="M197" t="n">
        <v>0</v>
      </c>
      <c r="N197" t="n">
        <v>0</v>
      </c>
      <c r="O197" t="n">
        <v>0</v>
      </c>
      <c r="P197" t="n">
        <v>0</v>
      </c>
      <c r="Q197" t="n">
        <v>0</v>
      </c>
      <c r="R197" s="2" t="inlineStr"/>
    </row>
    <row r="198" ht="15" customHeight="1">
      <c r="A198" t="inlineStr">
        <is>
          <t>A 51618-2024</t>
        </is>
      </c>
      <c r="B198" s="1" t="n">
        <v>45604.82615740741</v>
      </c>
      <c r="C198" s="1" t="n">
        <v>46128</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12558-2023</t>
        </is>
      </c>
      <c r="B199" s="1" t="n">
        <v>45000.36103009259</v>
      </c>
      <c r="C199" s="1" t="n">
        <v>46128</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10409-2024</t>
        </is>
      </c>
      <c r="B200" s="1" t="n">
        <v>45365.6978125</v>
      </c>
      <c r="C200" s="1" t="n">
        <v>46128</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13673-2023</t>
        </is>
      </c>
      <c r="B201" s="1" t="n">
        <v>45006.87957175926</v>
      </c>
      <c r="C201" s="1" t="n">
        <v>46128</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219-2022</t>
        </is>
      </c>
      <c r="B202" s="1" t="n">
        <v>44564</v>
      </c>
      <c r="C202" s="1" t="n">
        <v>46128</v>
      </c>
      <c r="D202" t="inlineStr">
        <is>
          <t>SKÅNE LÄN</t>
        </is>
      </c>
      <c r="E202" t="inlineStr">
        <is>
          <t>HÄSSLEHOLM</t>
        </is>
      </c>
      <c r="G202" t="n">
        <v>0.8</v>
      </c>
      <c r="H202" t="n">
        <v>0</v>
      </c>
      <c r="I202" t="n">
        <v>0</v>
      </c>
      <c r="J202" t="n">
        <v>0</v>
      </c>
      <c r="K202" t="n">
        <v>0</v>
      </c>
      <c r="L202" t="n">
        <v>0</v>
      </c>
      <c r="M202" t="n">
        <v>0</v>
      </c>
      <c r="N202" t="n">
        <v>0</v>
      </c>
      <c r="O202" t="n">
        <v>0</v>
      </c>
      <c r="P202" t="n">
        <v>0</v>
      </c>
      <c r="Q202" t="n">
        <v>0</v>
      </c>
      <c r="R202" s="2" t="inlineStr"/>
    </row>
    <row r="203" ht="15" customHeight="1">
      <c r="A203" t="inlineStr">
        <is>
          <t>A 6048-2022</t>
        </is>
      </c>
      <c r="B203" s="1" t="n">
        <v>44599.5174537037</v>
      </c>
      <c r="C203" s="1" t="n">
        <v>46128</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31995-2023</t>
        </is>
      </c>
      <c r="B204" s="1" t="n">
        <v>45107</v>
      </c>
      <c r="C204" s="1" t="n">
        <v>46128</v>
      </c>
      <c r="D204" t="inlineStr">
        <is>
          <t>SKÅNE LÄN</t>
        </is>
      </c>
      <c r="E204" t="inlineStr">
        <is>
          <t>HÄSSLEHOLM</t>
        </is>
      </c>
      <c r="G204" t="n">
        <v>7.3</v>
      </c>
      <c r="H204" t="n">
        <v>0</v>
      </c>
      <c r="I204" t="n">
        <v>0</v>
      </c>
      <c r="J204" t="n">
        <v>0</v>
      </c>
      <c r="K204" t="n">
        <v>0</v>
      </c>
      <c r="L204" t="n">
        <v>0</v>
      </c>
      <c r="M204" t="n">
        <v>0</v>
      </c>
      <c r="N204" t="n">
        <v>0</v>
      </c>
      <c r="O204" t="n">
        <v>0</v>
      </c>
      <c r="P204" t="n">
        <v>0</v>
      </c>
      <c r="Q204" t="n">
        <v>0</v>
      </c>
      <c r="R204" s="2" t="inlineStr"/>
    </row>
    <row r="205" ht="15" customHeight="1">
      <c r="A205" t="inlineStr">
        <is>
          <t>A 48844-2023</t>
        </is>
      </c>
      <c r="B205" s="1" t="n">
        <v>45209</v>
      </c>
      <c r="C205" s="1" t="n">
        <v>46128</v>
      </c>
      <c r="D205" t="inlineStr">
        <is>
          <t>SKÅNE LÄN</t>
        </is>
      </c>
      <c r="E205" t="inlineStr">
        <is>
          <t>HÄSSLEHOLM</t>
        </is>
      </c>
      <c r="G205" t="n">
        <v>4</v>
      </c>
      <c r="H205" t="n">
        <v>0</v>
      </c>
      <c r="I205" t="n">
        <v>0</v>
      </c>
      <c r="J205" t="n">
        <v>0</v>
      </c>
      <c r="K205" t="n">
        <v>0</v>
      </c>
      <c r="L205" t="n">
        <v>0</v>
      </c>
      <c r="M205" t="n">
        <v>0</v>
      </c>
      <c r="N205" t="n">
        <v>0</v>
      </c>
      <c r="O205" t="n">
        <v>0</v>
      </c>
      <c r="P205" t="n">
        <v>0</v>
      </c>
      <c r="Q205" t="n">
        <v>0</v>
      </c>
      <c r="R205" s="2" t="inlineStr"/>
    </row>
    <row r="206" ht="15" customHeight="1">
      <c r="A206" t="inlineStr">
        <is>
          <t>A 55412-2022</t>
        </is>
      </c>
      <c r="B206" s="1" t="n">
        <v>44882</v>
      </c>
      <c r="C206" s="1" t="n">
        <v>46128</v>
      </c>
      <c r="D206" t="inlineStr">
        <is>
          <t>SKÅNE LÄN</t>
        </is>
      </c>
      <c r="E206" t="inlineStr">
        <is>
          <t>HÄSSLEHOLM</t>
        </is>
      </c>
      <c r="F206" t="inlineStr">
        <is>
          <t>Övriga Aktiebolag</t>
        </is>
      </c>
      <c r="G206" t="n">
        <v>4</v>
      </c>
      <c r="H206" t="n">
        <v>0</v>
      </c>
      <c r="I206" t="n">
        <v>0</v>
      </c>
      <c r="J206" t="n">
        <v>0</v>
      </c>
      <c r="K206" t="n">
        <v>0</v>
      </c>
      <c r="L206" t="n">
        <v>0</v>
      </c>
      <c r="M206" t="n">
        <v>0</v>
      </c>
      <c r="N206" t="n">
        <v>0</v>
      </c>
      <c r="O206" t="n">
        <v>0</v>
      </c>
      <c r="P206" t="n">
        <v>0</v>
      </c>
      <c r="Q206" t="n">
        <v>0</v>
      </c>
      <c r="R206" s="2" t="inlineStr"/>
    </row>
    <row r="207" ht="15" customHeight="1">
      <c r="A207" t="inlineStr">
        <is>
          <t>A 53576-2022</t>
        </is>
      </c>
      <c r="B207" s="1" t="n">
        <v>44875</v>
      </c>
      <c r="C207" s="1" t="n">
        <v>46128</v>
      </c>
      <c r="D207" t="inlineStr">
        <is>
          <t>SKÅNE LÄN</t>
        </is>
      </c>
      <c r="E207" t="inlineStr">
        <is>
          <t>HÄSSLEHOLM</t>
        </is>
      </c>
      <c r="F207" t="inlineStr">
        <is>
          <t>Övriga Aktiebolag</t>
        </is>
      </c>
      <c r="G207" t="n">
        <v>1.2</v>
      </c>
      <c r="H207" t="n">
        <v>0</v>
      </c>
      <c r="I207" t="n">
        <v>0</v>
      </c>
      <c r="J207" t="n">
        <v>0</v>
      </c>
      <c r="K207" t="n">
        <v>0</v>
      </c>
      <c r="L207" t="n">
        <v>0</v>
      </c>
      <c r="M207" t="n">
        <v>0</v>
      </c>
      <c r="N207" t="n">
        <v>0</v>
      </c>
      <c r="O207" t="n">
        <v>0</v>
      </c>
      <c r="P207" t="n">
        <v>0</v>
      </c>
      <c r="Q207" t="n">
        <v>0</v>
      </c>
      <c r="R207" s="2" t="inlineStr"/>
    </row>
    <row r="208" ht="15" customHeight="1">
      <c r="A208" t="inlineStr">
        <is>
          <t>A 6253-2022</t>
        </is>
      </c>
      <c r="B208" s="1" t="n">
        <v>44600</v>
      </c>
      <c r="C208" s="1" t="n">
        <v>46128</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4356-2024</t>
        </is>
      </c>
      <c r="B209" s="1" t="n">
        <v>45325.36195601852</v>
      </c>
      <c r="C209" s="1" t="n">
        <v>46128</v>
      </c>
      <c r="D209" t="inlineStr">
        <is>
          <t>SKÅNE LÄN</t>
        </is>
      </c>
      <c r="E209" t="inlineStr">
        <is>
          <t>HÄSSLEHOLM</t>
        </is>
      </c>
      <c r="G209" t="n">
        <v>3.2</v>
      </c>
      <c r="H209" t="n">
        <v>0</v>
      </c>
      <c r="I209" t="n">
        <v>0</v>
      </c>
      <c r="J209" t="n">
        <v>0</v>
      </c>
      <c r="K209" t="n">
        <v>0</v>
      </c>
      <c r="L209" t="n">
        <v>0</v>
      </c>
      <c r="M209" t="n">
        <v>0</v>
      </c>
      <c r="N209" t="n">
        <v>0</v>
      </c>
      <c r="O209" t="n">
        <v>0</v>
      </c>
      <c r="P209" t="n">
        <v>0</v>
      </c>
      <c r="Q209" t="n">
        <v>0</v>
      </c>
      <c r="R209" s="2" t="inlineStr"/>
    </row>
    <row r="210" ht="15" customHeight="1">
      <c r="A210" t="inlineStr">
        <is>
          <t>A 47840-2023</t>
        </is>
      </c>
      <c r="B210" s="1" t="n">
        <v>45204</v>
      </c>
      <c r="C210" s="1" t="n">
        <v>46128</v>
      </c>
      <c r="D210" t="inlineStr">
        <is>
          <t>SKÅNE LÄN</t>
        </is>
      </c>
      <c r="E210" t="inlineStr">
        <is>
          <t>HÄSSLEHOLM</t>
        </is>
      </c>
      <c r="G210" t="n">
        <v>2.4</v>
      </c>
      <c r="H210" t="n">
        <v>0</v>
      </c>
      <c r="I210" t="n">
        <v>0</v>
      </c>
      <c r="J210" t="n">
        <v>0</v>
      </c>
      <c r="K210" t="n">
        <v>0</v>
      </c>
      <c r="L210" t="n">
        <v>0</v>
      </c>
      <c r="M210" t="n">
        <v>0</v>
      </c>
      <c r="N210" t="n">
        <v>0</v>
      </c>
      <c r="O210" t="n">
        <v>0</v>
      </c>
      <c r="P210" t="n">
        <v>0</v>
      </c>
      <c r="Q210" t="n">
        <v>0</v>
      </c>
      <c r="R210" s="2" t="inlineStr"/>
    </row>
    <row r="211" ht="15" customHeight="1">
      <c r="A211" t="inlineStr">
        <is>
          <t>A 34888-2023</t>
        </is>
      </c>
      <c r="B211" s="1" t="n">
        <v>45142.388125</v>
      </c>
      <c r="C211" s="1" t="n">
        <v>46128</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20435-2021</t>
        </is>
      </c>
      <c r="B212" s="1" t="n">
        <v>44315.5793287037</v>
      </c>
      <c r="C212" s="1" t="n">
        <v>46128</v>
      </c>
      <c r="D212" t="inlineStr">
        <is>
          <t>SKÅNE LÄN</t>
        </is>
      </c>
      <c r="E212" t="inlineStr">
        <is>
          <t>HÄSSLEHOLM</t>
        </is>
      </c>
      <c r="G212" t="n">
        <v>4.8</v>
      </c>
      <c r="H212" t="n">
        <v>0</v>
      </c>
      <c r="I212" t="n">
        <v>0</v>
      </c>
      <c r="J212" t="n">
        <v>0</v>
      </c>
      <c r="K212" t="n">
        <v>0</v>
      </c>
      <c r="L212" t="n">
        <v>0</v>
      </c>
      <c r="M212" t="n">
        <v>0</v>
      </c>
      <c r="N212" t="n">
        <v>0</v>
      </c>
      <c r="O212" t="n">
        <v>0</v>
      </c>
      <c r="P212" t="n">
        <v>0</v>
      </c>
      <c r="Q212" t="n">
        <v>0</v>
      </c>
      <c r="R212" s="2" t="inlineStr"/>
    </row>
    <row r="213" ht="15" customHeight="1">
      <c r="A213" t="inlineStr">
        <is>
          <t>A 64826-2021</t>
        </is>
      </c>
      <c r="B213" s="1" t="n">
        <v>44512.55935185185</v>
      </c>
      <c r="C213" s="1" t="n">
        <v>46128</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21329-2023</t>
        </is>
      </c>
      <c r="B214" s="1" t="n">
        <v>45062</v>
      </c>
      <c r="C214" s="1" t="n">
        <v>46128</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23967-2022</t>
        </is>
      </c>
      <c r="B215" s="1" t="n">
        <v>44722.74079861111</v>
      </c>
      <c r="C215" s="1" t="n">
        <v>46128</v>
      </c>
      <c r="D215" t="inlineStr">
        <is>
          <t>SKÅNE LÄN</t>
        </is>
      </c>
      <c r="E215" t="inlineStr">
        <is>
          <t>HÄSSLEHOLM</t>
        </is>
      </c>
      <c r="F215" t="inlineStr">
        <is>
          <t>Kyrkan</t>
        </is>
      </c>
      <c r="G215" t="n">
        <v>12.4</v>
      </c>
      <c r="H215" t="n">
        <v>0</v>
      </c>
      <c r="I215" t="n">
        <v>0</v>
      </c>
      <c r="J215" t="n">
        <v>0</v>
      </c>
      <c r="K215" t="n">
        <v>0</v>
      </c>
      <c r="L215" t="n">
        <v>0</v>
      </c>
      <c r="M215" t="n">
        <v>0</v>
      </c>
      <c r="N215" t="n">
        <v>0</v>
      </c>
      <c r="O215" t="n">
        <v>0</v>
      </c>
      <c r="P215" t="n">
        <v>0</v>
      </c>
      <c r="Q215" t="n">
        <v>0</v>
      </c>
      <c r="R215" s="2" t="inlineStr"/>
    </row>
    <row r="216" ht="15" customHeight="1">
      <c r="A216" t="inlineStr">
        <is>
          <t>A 45222-2023</t>
        </is>
      </c>
      <c r="B216" s="1" t="n">
        <v>45191</v>
      </c>
      <c r="C216" s="1" t="n">
        <v>46128</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53085-2022</t>
        </is>
      </c>
      <c r="B217" s="1" t="n">
        <v>44873</v>
      </c>
      <c r="C217" s="1" t="n">
        <v>46128</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8177-2022</t>
        </is>
      </c>
      <c r="B218" s="1" t="n">
        <v>44607</v>
      </c>
      <c r="C218" s="1" t="n">
        <v>46128</v>
      </c>
      <c r="D218" t="inlineStr">
        <is>
          <t>SKÅNE LÄN</t>
        </is>
      </c>
      <c r="E218" t="inlineStr">
        <is>
          <t>HÄSSLEHOLM</t>
        </is>
      </c>
      <c r="F218" t="inlineStr">
        <is>
          <t>Kyrkan</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25464-2022</t>
        </is>
      </c>
      <c r="B219" s="1" t="n">
        <v>44729</v>
      </c>
      <c r="C219" s="1" t="n">
        <v>46128</v>
      </c>
      <c r="D219" t="inlineStr">
        <is>
          <t>SKÅNE LÄN</t>
        </is>
      </c>
      <c r="E219" t="inlineStr">
        <is>
          <t>HÄSSLEHOLM</t>
        </is>
      </c>
      <c r="G219" t="n">
        <v>21</v>
      </c>
      <c r="H219" t="n">
        <v>0</v>
      </c>
      <c r="I219" t="n">
        <v>0</v>
      </c>
      <c r="J219" t="n">
        <v>0</v>
      </c>
      <c r="K219" t="n">
        <v>0</v>
      </c>
      <c r="L219" t="n">
        <v>0</v>
      </c>
      <c r="M219" t="n">
        <v>0</v>
      </c>
      <c r="N219" t="n">
        <v>0</v>
      </c>
      <c r="O219" t="n">
        <v>0</v>
      </c>
      <c r="P219" t="n">
        <v>0</v>
      </c>
      <c r="Q219" t="n">
        <v>0</v>
      </c>
      <c r="R219" s="2" t="inlineStr"/>
    </row>
    <row r="220" ht="15" customHeight="1">
      <c r="A220" t="inlineStr">
        <is>
          <t>A 13310-2025</t>
        </is>
      </c>
      <c r="B220" s="1" t="n">
        <v>45735.58814814815</v>
      </c>
      <c r="C220" s="1" t="n">
        <v>46128</v>
      </c>
      <c r="D220" t="inlineStr">
        <is>
          <t>SKÅNE LÄN</t>
        </is>
      </c>
      <c r="E220" t="inlineStr">
        <is>
          <t>HÄSSLEHOLM</t>
        </is>
      </c>
      <c r="G220" t="n">
        <v>2</v>
      </c>
      <c r="H220" t="n">
        <v>0</v>
      </c>
      <c r="I220" t="n">
        <v>0</v>
      </c>
      <c r="J220" t="n">
        <v>0</v>
      </c>
      <c r="K220" t="n">
        <v>0</v>
      </c>
      <c r="L220" t="n">
        <v>0</v>
      </c>
      <c r="M220" t="n">
        <v>0</v>
      </c>
      <c r="N220" t="n">
        <v>0</v>
      </c>
      <c r="O220" t="n">
        <v>0</v>
      </c>
      <c r="P220" t="n">
        <v>0</v>
      </c>
      <c r="Q220" t="n">
        <v>0</v>
      </c>
      <c r="R220" s="2" t="inlineStr"/>
    </row>
    <row r="221" ht="15" customHeight="1">
      <c r="A221" t="inlineStr">
        <is>
          <t>A 16388-2025</t>
        </is>
      </c>
      <c r="B221" s="1" t="n">
        <v>45751.42787037037</v>
      </c>
      <c r="C221" s="1" t="n">
        <v>46128</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16668-2025</t>
        </is>
      </c>
      <c r="B222" s="1" t="n">
        <v>45754.43009259259</v>
      </c>
      <c r="C222" s="1" t="n">
        <v>46128</v>
      </c>
      <c r="D222" t="inlineStr">
        <is>
          <t>SKÅNE LÄN</t>
        </is>
      </c>
      <c r="E222" t="inlineStr">
        <is>
          <t>HÄSSLEHOLM</t>
        </is>
      </c>
      <c r="G222" t="n">
        <v>4</v>
      </c>
      <c r="H222" t="n">
        <v>0</v>
      </c>
      <c r="I222" t="n">
        <v>0</v>
      </c>
      <c r="J222" t="n">
        <v>0</v>
      </c>
      <c r="K222" t="n">
        <v>0</v>
      </c>
      <c r="L222" t="n">
        <v>0</v>
      </c>
      <c r="M222" t="n">
        <v>0</v>
      </c>
      <c r="N222" t="n">
        <v>0</v>
      </c>
      <c r="O222" t="n">
        <v>0</v>
      </c>
      <c r="P222" t="n">
        <v>0</v>
      </c>
      <c r="Q222" t="n">
        <v>0</v>
      </c>
      <c r="R222" s="2" t="inlineStr"/>
    </row>
    <row r="223" ht="15" customHeight="1">
      <c r="A223" t="inlineStr">
        <is>
          <t>A 30344-2022</t>
        </is>
      </c>
      <c r="B223" s="1" t="n">
        <v>44760.50783564815</v>
      </c>
      <c r="C223" s="1" t="n">
        <v>46128</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9709-2023</t>
        </is>
      </c>
      <c r="B224" s="1" t="n">
        <v>44984.48376157408</v>
      </c>
      <c r="C224" s="1" t="n">
        <v>46128</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25538-2024</t>
        </is>
      </c>
      <c r="B225" s="1" t="n">
        <v>45463</v>
      </c>
      <c r="C225" s="1" t="n">
        <v>46128</v>
      </c>
      <c r="D225" t="inlineStr">
        <is>
          <t>SKÅNE LÄN</t>
        </is>
      </c>
      <c r="E225" t="inlineStr">
        <is>
          <t>HÄSSLEHOLM</t>
        </is>
      </c>
      <c r="G225" t="n">
        <v>1.6</v>
      </c>
      <c r="H225" t="n">
        <v>0</v>
      </c>
      <c r="I225" t="n">
        <v>0</v>
      </c>
      <c r="J225" t="n">
        <v>0</v>
      </c>
      <c r="K225" t="n">
        <v>0</v>
      </c>
      <c r="L225" t="n">
        <v>0</v>
      </c>
      <c r="M225" t="n">
        <v>0</v>
      </c>
      <c r="N225" t="n">
        <v>0</v>
      </c>
      <c r="O225" t="n">
        <v>0</v>
      </c>
      <c r="P225" t="n">
        <v>0</v>
      </c>
      <c r="Q225" t="n">
        <v>0</v>
      </c>
      <c r="R225" s="2" t="inlineStr"/>
    </row>
    <row r="226" ht="15" customHeight="1">
      <c r="A226" t="inlineStr">
        <is>
          <t>A 25788-2021</t>
        </is>
      </c>
      <c r="B226" s="1" t="n">
        <v>44343</v>
      </c>
      <c r="C226" s="1" t="n">
        <v>46128</v>
      </c>
      <c r="D226" t="inlineStr">
        <is>
          <t>SKÅNE LÄN</t>
        </is>
      </c>
      <c r="E226" t="inlineStr">
        <is>
          <t>HÄSSLEHOLM</t>
        </is>
      </c>
      <c r="G226" t="n">
        <v>4.8</v>
      </c>
      <c r="H226" t="n">
        <v>0</v>
      </c>
      <c r="I226" t="n">
        <v>0</v>
      </c>
      <c r="J226" t="n">
        <v>0</v>
      </c>
      <c r="K226" t="n">
        <v>0</v>
      </c>
      <c r="L226" t="n">
        <v>0</v>
      </c>
      <c r="M226" t="n">
        <v>0</v>
      </c>
      <c r="N226" t="n">
        <v>0</v>
      </c>
      <c r="O226" t="n">
        <v>0</v>
      </c>
      <c r="P226" t="n">
        <v>0</v>
      </c>
      <c r="Q226" t="n">
        <v>0</v>
      </c>
      <c r="R226" s="2" t="inlineStr"/>
    </row>
    <row r="227" ht="15" customHeight="1">
      <c r="A227" t="inlineStr">
        <is>
          <t>A 56527-2021</t>
        </is>
      </c>
      <c r="B227" s="1" t="n">
        <v>44480</v>
      </c>
      <c r="C227" s="1" t="n">
        <v>46128</v>
      </c>
      <c r="D227" t="inlineStr">
        <is>
          <t>SKÅNE LÄN</t>
        </is>
      </c>
      <c r="E227" t="inlineStr">
        <is>
          <t>HÄSSLEHOLM</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13646-2024</t>
        </is>
      </c>
      <c r="B228" s="1" t="n">
        <v>45387</v>
      </c>
      <c r="C228" s="1" t="n">
        <v>46128</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15055-2023</t>
        </is>
      </c>
      <c r="B229" s="1" t="n">
        <v>45015</v>
      </c>
      <c r="C229" s="1" t="n">
        <v>46128</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21867-2023</t>
        </is>
      </c>
      <c r="B230" s="1" t="n">
        <v>45063</v>
      </c>
      <c r="C230" s="1" t="n">
        <v>46128</v>
      </c>
      <c r="D230" t="inlineStr">
        <is>
          <t>SKÅNE LÄN</t>
        </is>
      </c>
      <c r="E230" t="inlineStr">
        <is>
          <t>HÄSSLEHOLM</t>
        </is>
      </c>
      <c r="G230" t="n">
        <v>7.6</v>
      </c>
      <c r="H230" t="n">
        <v>0</v>
      </c>
      <c r="I230" t="n">
        <v>0</v>
      </c>
      <c r="J230" t="n">
        <v>0</v>
      </c>
      <c r="K230" t="n">
        <v>0</v>
      </c>
      <c r="L230" t="n">
        <v>0</v>
      </c>
      <c r="M230" t="n">
        <v>0</v>
      </c>
      <c r="N230" t="n">
        <v>0</v>
      </c>
      <c r="O230" t="n">
        <v>0</v>
      </c>
      <c r="P230" t="n">
        <v>0</v>
      </c>
      <c r="Q230" t="n">
        <v>0</v>
      </c>
      <c r="R230" s="2" t="inlineStr"/>
    </row>
    <row r="231" ht="15" customHeight="1">
      <c r="A231" t="inlineStr">
        <is>
          <t>A 3992-2022</t>
        </is>
      </c>
      <c r="B231" s="1" t="n">
        <v>44587</v>
      </c>
      <c r="C231" s="1" t="n">
        <v>46128</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25955-2022</t>
        </is>
      </c>
      <c r="B232" s="1" t="n">
        <v>44734</v>
      </c>
      <c r="C232" s="1" t="n">
        <v>46128</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25324-2024</t>
        </is>
      </c>
      <c r="B233" s="1" t="n">
        <v>45462.804375</v>
      </c>
      <c r="C233" s="1" t="n">
        <v>46128</v>
      </c>
      <c r="D233" t="inlineStr">
        <is>
          <t>SKÅNE LÄN</t>
        </is>
      </c>
      <c r="E233" t="inlineStr">
        <is>
          <t>HÄSSLEHOLM</t>
        </is>
      </c>
      <c r="G233" t="n">
        <v>0.2</v>
      </c>
      <c r="H233" t="n">
        <v>0</v>
      </c>
      <c r="I233" t="n">
        <v>0</v>
      </c>
      <c r="J233" t="n">
        <v>0</v>
      </c>
      <c r="K233" t="n">
        <v>0</v>
      </c>
      <c r="L233" t="n">
        <v>0</v>
      </c>
      <c r="M233" t="n">
        <v>0</v>
      </c>
      <c r="N233" t="n">
        <v>0</v>
      </c>
      <c r="O233" t="n">
        <v>0</v>
      </c>
      <c r="P233" t="n">
        <v>0</v>
      </c>
      <c r="Q233" t="n">
        <v>0</v>
      </c>
      <c r="R233" s="2" t="inlineStr"/>
    </row>
    <row r="234" ht="15" customHeight="1">
      <c r="A234" t="inlineStr">
        <is>
          <t>A 20657-2022</t>
        </is>
      </c>
      <c r="B234" s="1" t="n">
        <v>44700</v>
      </c>
      <c r="C234" s="1" t="n">
        <v>46128</v>
      </c>
      <c r="D234" t="inlineStr">
        <is>
          <t>SKÅNE LÄN</t>
        </is>
      </c>
      <c r="E234" t="inlineStr">
        <is>
          <t>HÄSSLEHOLM</t>
        </is>
      </c>
      <c r="G234" t="n">
        <v>3.8</v>
      </c>
      <c r="H234" t="n">
        <v>0</v>
      </c>
      <c r="I234" t="n">
        <v>0</v>
      </c>
      <c r="J234" t="n">
        <v>0</v>
      </c>
      <c r="K234" t="n">
        <v>0</v>
      </c>
      <c r="L234" t="n">
        <v>0</v>
      </c>
      <c r="M234" t="n">
        <v>0</v>
      </c>
      <c r="N234" t="n">
        <v>0</v>
      </c>
      <c r="O234" t="n">
        <v>0</v>
      </c>
      <c r="P234" t="n">
        <v>0</v>
      </c>
      <c r="Q234" t="n">
        <v>0</v>
      </c>
      <c r="R234" s="2" t="inlineStr"/>
    </row>
    <row r="235" ht="15" customHeight="1">
      <c r="A235" t="inlineStr">
        <is>
          <t>A 13087-2023</t>
        </is>
      </c>
      <c r="B235" s="1" t="n">
        <v>45001</v>
      </c>
      <c r="C235" s="1" t="n">
        <v>46128</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52968-2022</t>
        </is>
      </c>
      <c r="B236" s="1" t="n">
        <v>44875</v>
      </c>
      <c r="C236" s="1" t="n">
        <v>46128</v>
      </c>
      <c r="D236" t="inlineStr">
        <is>
          <t>SKÅNE LÄN</t>
        </is>
      </c>
      <c r="E236" t="inlineStr">
        <is>
          <t>HÄSSLEHOLM</t>
        </is>
      </c>
      <c r="G236" t="n">
        <v>2.6</v>
      </c>
      <c r="H236" t="n">
        <v>0</v>
      </c>
      <c r="I236" t="n">
        <v>0</v>
      </c>
      <c r="J236" t="n">
        <v>0</v>
      </c>
      <c r="K236" t="n">
        <v>0</v>
      </c>
      <c r="L236" t="n">
        <v>0</v>
      </c>
      <c r="M236" t="n">
        <v>0</v>
      </c>
      <c r="N236" t="n">
        <v>0</v>
      </c>
      <c r="O236" t="n">
        <v>0</v>
      </c>
      <c r="P236" t="n">
        <v>0</v>
      </c>
      <c r="Q236" t="n">
        <v>0</v>
      </c>
      <c r="R236" s="2" t="inlineStr"/>
    </row>
    <row r="237" ht="15" customHeight="1">
      <c r="A237" t="inlineStr">
        <is>
          <t>A 2290-2024</t>
        </is>
      </c>
      <c r="B237" s="1" t="n">
        <v>45310</v>
      </c>
      <c r="C237" s="1" t="n">
        <v>46128</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1560-2023</t>
        </is>
      </c>
      <c r="B238" s="1" t="n">
        <v>44937</v>
      </c>
      <c r="C238" s="1" t="n">
        <v>46128</v>
      </c>
      <c r="D238" t="inlineStr">
        <is>
          <t>SKÅNE LÄN</t>
        </is>
      </c>
      <c r="E238" t="inlineStr">
        <is>
          <t>HÄSSLEHOLM</t>
        </is>
      </c>
      <c r="G238" t="n">
        <v>6.8</v>
      </c>
      <c r="H238" t="n">
        <v>0</v>
      </c>
      <c r="I238" t="n">
        <v>0</v>
      </c>
      <c r="J238" t="n">
        <v>0</v>
      </c>
      <c r="K238" t="n">
        <v>0</v>
      </c>
      <c r="L238" t="n">
        <v>0</v>
      </c>
      <c r="M238" t="n">
        <v>0</v>
      </c>
      <c r="N238" t="n">
        <v>0</v>
      </c>
      <c r="O238" t="n">
        <v>0</v>
      </c>
      <c r="P238" t="n">
        <v>0</v>
      </c>
      <c r="Q238" t="n">
        <v>0</v>
      </c>
      <c r="R238" s="2" t="inlineStr"/>
    </row>
    <row r="239" ht="15" customHeight="1">
      <c r="A239" t="inlineStr">
        <is>
          <t>A 13316-2023</t>
        </is>
      </c>
      <c r="B239" s="1" t="n">
        <v>45005.39013888889</v>
      </c>
      <c r="C239" s="1" t="n">
        <v>46128</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62167-2022</t>
        </is>
      </c>
      <c r="B240" s="1" t="n">
        <v>44915</v>
      </c>
      <c r="C240" s="1" t="n">
        <v>46128</v>
      </c>
      <c r="D240" t="inlineStr">
        <is>
          <t>SKÅNE LÄN</t>
        </is>
      </c>
      <c r="E240" t="inlineStr">
        <is>
          <t>HÄSSLEHOLM</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62234-2022</t>
        </is>
      </c>
      <c r="B241" s="1" t="n">
        <v>44922</v>
      </c>
      <c r="C241" s="1" t="n">
        <v>46128</v>
      </c>
      <c r="D241" t="inlineStr">
        <is>
          <t>SKÅNE LÄN</t>
        </is>
      </c>
      <c r="E241" t="inlineStr">
        <is>
          <t>HÄSSLEHOLM</t>
        </is>
      </c>
      <c r="G241" t="n">
        <v>1.3</v>
      </c>
      <c r="H241" t="n">
        <v>0</v>
      </c>
      <c r="I241" t="n">
        <v>0</v>
      </c>
      <c r="J241" t="n">
        <v>0</v>
      </c>
      <c r="K241" t="n">
        <v>0</v>
      </c>
      <c r="L241" t="n">
        <v>0</v>
      </c>
      <c r="M241" t="n">
        <v>0</v>
      </c>
      <c r="N241" t="n">
        <v>0</v>
      </c>
      <c r="O241" t="n">
        <v>0</v>
      </c>
      <c r="P241" t="n">
        <v>0</v>
      </c>
      <c r="Q241" t="n">
        <v>0</v>
      </c>
      <c r="R241" s="2" t="inlineStr"/>
    </row>
    <row r="242" ht="15" customHeight="1">
      <c r="A242" t="inlineStr">
        <is>
          <t>A 65235-2021</t>
        </is>
      </c>
      <c r="B242" s="1" t="n">
        <v>44515</v>
      </c>
      <c r="C242" s="1" t="n">
        <v>46128</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44741-2023</t>
        </is>
      </c>
      <c r="B243" s="1" t="n">
        <v>45190.38804398148</v>
      </c>
      <c r="C243" s="1" t="n">
        <v>46128</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13358-2023</t>
        </is>
      </c>
      <c r="B244" s="1" t="n">
        <v>45005</v>
      </c>
      <c r="C244" s="1" t="n">
        <v>46128</v>
      </c>
      <c r="D244" t="inlineStr">
        <is>
          <t>SKÅNE LÄN</t>
        </is>
      </c>
      <c r="E244" t="inlineStr">
        <is>
          <t>HÄSSLEHOLM</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5316-2023</t>
        </is>
      </c>
      <c r="B245" s="1" t="n">
        <v>44959</v>
      </c>
      <c r="C245" s="1" t="n">
        <v>46128</v>
      </c>
      <c r="D245" t="inlineStr">
        <is>
          <t>SKÅNE LÄN</t>
        </is>
      </c>
      <c r="E245" t="inlineStr">
        <is>
          <t>HÄSSLEHOLM</t>
        </is>
      </c>
      <c r="G245" t="n">
        <v>2.1</v>
      </c>
      <c r="H245" t="n">
        <v>0</v>
      </c>
      <c r="I245" t="n">
        <v>0</v>
      </c>
      <c r="J245" t="n">
        <v>0</v>
      </c>
      <c r="K245" t="n">
        <v>0</v>
      </c>
      <c r="L245" t="n">
        <v>0</v>
      </c>
      <c r="M245" t="n">
        <v>0</v>
      </c>
      <c r="N245" t="n">
        <v>0</v>
      </c>
      <c r="O245" t="n">
        <v>0</v>
      </c>
      <c r="P245" t="n">
        <v>0</v>
      </c>
      <c r="Q245" t="n">
        <v>0</v>
      </c>
      <c r="R245" s="2" t="inlineStr"/>
    </row>
    <row r="246" ht="15" customHeight="1">
      <c r="A246" t="inlineStr">
        <is>
          <t>A 7306-2025</t>
        </is>
      </c>
      <c r="B246" s="1" t="n">
        <v>45702</v>
      </c>
      <c r="C246" s="1" t="n">
        <v>46128</v>
      </c>
      <c r="D246" t="inlineStr">
        <is>
          <t>SKÅNE LÄN</t>
        </is>
      </c>
      <c r="E246" t="inlineStr">
        <is>
          <t>HÄSSLEHOLM</t>
        </is>
      </c>
      <c r="F246" t="inlineStr">
        <is>
          <t>Övriga Aktiebolag</t>
        </is>
      </c>
      <c r="G246" t="n">
        <v>3.3</v>
      </c>
      <c r="H246" t="n">
        <v>0</v>
      </c>
      <c r="I246" t="n">
        <v>0</v>
      </c>
      <c r="J246" t="n">
        <v>0</v>
      </c>
      <c r="K246" t="n">
        <v>0</v>
      </c>
      <c r="L246" t="n">
        <v>0</v>
      </c>
      <c r="M246" t="n">
        <v>0</v>
      </c>
      <c r="N246" t="n">
        <v>0</v>
      </c>
      <c r="O246" t="n">
        <v>0</v>
      </c>
      <c r="P246" t="n">
        <v>0</v>
      </c>
      <c r="Q246" t="n">
        <v>0</v>
      </c>
      <c r="R246" s="2" t="inlineStr"/>
    </row>
    <row r="247" ht="15" customHeight="1">
      <c r="A247" t="inlineStr">
        <is>
          <t>A 7308-2025</t>
        </is>
      </c>
      <c r="B247" s="1" t="n">
        <v>45702</v>
      </c>
      <c r="C247" s="1" t="n">
        <v>46128</v>
      </c>
      <c r="D247" t="inlineStr">
        <is>
          <t>SKÅNE LÄN</t>
        </is>
      </c>
      <c r="E247" t="inlineStr">
        <is>
          <t>HÄSSLEHOLM</t>
        </is>
      </c>
      <c r="F247" t="inlineStr">
        <is>
          <t>Övriga Aktiebolag</t>
        </is>
      </c>
      <c r="G247" t="n">
        <v>4.8</v>
      </c>
      <c r="H247" t="n">
        <v>0</v>
      </c>
      <c r="I247" t="n">
        <v>0</v>
      </c>
      <c r="J247" t="n">
        <v>0</v>
      </c>
      <c r="K247" t="n">
        <v>0</v>
      </c>
      <c r="L247" t="n">
        <v>0</v>
      </c>
      <c r="M247" t="n">
        <v>0</v>
      </c>
      <c r="N247" t="n">
        <v>0</v>
      </c>
      <c r="O247" t="n">
        <v>0</v>
      </c>
      <c r="P247" t="n">
        <v>0</v>
      </c>
      <c r="Q247" t="n">
        <v>0</v>
      </c>
      <c r="R247" s="2" t="inlineStr"/>
    </row>
    <row r="248" ht="15" customHeight="1">
      <c r="A248" t="inlineStr">
        <is>
          <t>A 34342-2021</t>
        </is>
      </c>
      <c r="B248" s="1" t="n">
        <v>44379</v>
      </c>
      <c r="C248" s="1" t="n">
        <v>46128</v>
      </c>
      <c r="D248" t="inlineStr">
        <is>
          <t>SKÅNE LÄN</t>
        </is>
      </c>
      <c r="E248" t="inlineStr">
        <is>
          <t>HÄSSLEHOLM</t>
        </is>
      </c>
      <c r="G248" t="n">
        <v>7</v>
      </c>
      <c r="H248" t="n">
        <v>0</v>
      </c>
      <c r="I248" t="n">
        <v>0</v>
      </c>
      <c r="J248" t="n">
        <v>0</v>
      </c>
      <c r="K248" t="n">
        <v>0</v>
      </c>
      <c r="L248" t="n">
        <v>0</v>
      </c>
      <c r="M248" t="n">
        <v>0</v>
      </c>
      <c r="N248" t="n">
        <v>0</v>
      </c>
      <c r="O248" t="n">
        <v>0</v>
      </c>
      <c r="P248" t="n">
        <v>0</v>
      </c>
      <c r="Q248" t="n">
        <v>0</v>
      </c>
      <c r="R248" s="2" t="inlineStr"/>
    </row>
    <row r="249" ht="15" customHeight="1">
      <c r="A249" t="inlineStr">
        <is>
          <t>A 32794-2023</t>
        </is>
      </c>
      <c r="B249" s="1" t="n">
        <v>45124.40446759259</v>
      </c>
      <c r="C249" s="1" t="n">
        <v>46128</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9397-2025</t>
        </is>
      </c>
      <c r="B250" s="1" t="n">
        <v>45715.37361111111</v>
      </c>
      <c r="C250" s="1" t="n">
        <v>46128</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28211-2022</t>
        </is>
      </c>
      <c r="B251" s="1" t="n">
        <v>44746</v>
      </c>
      <c r="C251" s="1" t="n">
        <v>46128</v>
      </c>
      <c r="D251" t="inlineStr">
        <is>
          <t>SKÅNE LÄN</t>
        </is>
      </c>
      <c r="E251" t="inlineStr">
        <is>
          <t>HÄSSLEHOLM</t>
        </is>
      </c>
      <c r="G251" t="n">
        <v>2.8</v>
      </c>
      <c r="H251" t="n">
        <v>0</v>
      </c>
      <c r="I251" t="n">
        <v>0</v>
      </c>
      <c r="J251" t="n">
        <v>0</v>
      </c>
      <c r="K251" t="n">
        <v>0</v>
      </c>
      <c r="L251" t="n">
        <v>0</v>
      </c>
      <c r="M251" t="n">
        <v>0</v>
      </c>
      <c r="N251" t="n">
        <v>0</v>
      </c>
      <c r="O251" t="n">
        <v>0</v>
      </c>
      <c r="P251" t="n">
        <v>0</v>
      </c>
      <c r="Q251" t="n">
        <v>0</v>
      </c>
      <c r="R251" s="2" t="inlineStr"/>
    </row>
    <row r="252" ht="15" customHeight="1">
      <c r="A252" t="inlineStr">
        <is>
          <t>A 12162-2023</t>
        </is>
      </c>
      <c r="B252" s="1" t="n">
        <v>44998.49619212963</v>
      </c>
      <c r="C252" s="1" t="n">
        <v>46128</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26642-2023</t>
        </is>
      </c>
      <c r="B253" s="1" t="n">
        <v>45092.8975</v>
      </c>
      <c r="C253" s="1" t="n">
        <v>46128</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50899-2024</t>
        </is>
      </c>
      <c r="B254" s="1" t="n">
        <v>45602.68584490741</v>
      </c>
      <c r="C254" s="1" t="n">
        <v>46128</v>
      </c>
      <c r="D254" t="inlineStr">
        <is>
          <t>SKÅNE LÄN</t>
        </is>
      </c>
      <c r="E254" t="inlineStr">
        <is>
          <t>HÄSSLEHOLM</t>
        </is>
      </c>
      <c r="G254" t="n">
        <v>1.7</v>
      </c>
      <c r="H254" t="n">
        <v>0</v>
      </c>
      <c r="I254" t="n">
        <v>0</v>
      </c>
      <c r="J254" t="n">
        <v>0</v>
      </c>
      <c r="K254" t="n">
        <v>0</v>
      </c>
      <c r="L254" t="n">
        <v>0</v>
      </c>
      <c r="M254" t="n">
        <v>0</v>
      </c>
      <c r="N254" t="n">
        <v>0</v>
      </c>
      <c r="O254" t="n">
        <v>0</v>
      </c>
      <c r="P254" t="n">
        <v>0</v>
      </c>
      <c r="Q254" t="n">
        <v>0</v>
      </c>
      <c r="R254" s="2" t="inlineStr"/>
    </row>
    <row r="255" ht="15" customHeight="1">
      <c r="A255" t="inlineStr">
        <is>
          <t>A 48624-2021</t>
        </is>
      </c>
      <c r="B255" s="1" t="n">
        <v>44452</v>
      </c>
      <c r="C255" s="1" t="n">
        <v>46128</v>
      </c>
      <c r="D255" t="inlineStr">
        <is>
          <t>SKÅNE LÄN</t>
        </is>
      </c>
      <c r="E255" t="inlineStr">
        <is>
          <t>HÄSSLEHOLM</t>
        </is>
      </c>
      <c r="G255" t="n">
        <v>2.2</v>
      </c>
      <c r="H255" t="n">
        <v>0</v>
      </c>
      <c r="I255" t="n">
        <v>0</v>
      </c>
      <c r="J255" t="n">
        <v>0</v>
      </c>
      <c r="K255" t="n">
        <v>0</v>
      </c>
      <c r="L255" t="n">
        <v>0</v>
      </c>
      <c r="M255" t="n">
        <v>0</v>
      </c>
      <c r="N255" t="n">
        <v>0</v>
      </c>
      <c r="O255" t="n">
        <v>0</v>
      </c>
      <c r="P255" t="n">
        <v>0</v>
      </c>
      <c r="Q255" t="n">
        <v>0</v>
      </c>
      <c r="R255" s="2" t="inlineStr"/>
    </row>
    <row r="256" ht="15" customHeight="1">
      <c r="A256" t="inlineStr">
        <is>
          <t>A 14702-2025</t>
        </is>
      </c>
      <c r="B256" s="1" t="n">
        <v>45742.60403935185</v>
      </c>
      <c r="C256" s="1" t="n">
        <v>46128</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9669-2025</t>
        </is>
      </c>
      <c r="B257" s="1" t="n">
        <v>45716.32921296296</v>
      </c>
      <c r="C257" s="1" t="n">
        <v>46128</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59109-2023</t>
        </is>
      </c>
      <c r="B258" s="1" t="n">
        <v>45253.30819444444</v>
      </c>
      <c r="C258" s="1" t="n">
        <v>46128</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10802-2024</t>
        </is>
      </c>
      <c r="B259" s="1" t="n">
        <v>45369</v>
      </c>
      <c r="C259" s="1" t="n">
        <v>46128</v>
      </c>
      <c r="D259" t="inlineStr">
        <is>
          <t>SKÅNE LÄN</t>
        </is>
      </c>
      <c r="E259" t="inlineStr">
        <is>
          <t>HÄSSLEHOLM</t>
        </is>
      </c>
      <c r="G259" t="n">
        <v>3.4</v>
      </c>
      <c r="H259" t="n">
        <v>0</v>
      </c>
      <c r="I259" t="n">
        <v>0</v>
      </c>
      <c r="J259" t="n">
        <v>0</v>
      </c>
      <c r="K259" t="n">
        <v>0</v>
      </c>
      <c r="L259" t="n">
        <v>0</v>
      </c>
      <c r="M259" t="n">
        <v>0</v>
      </c>
      <c r="N259" t="n">
        <v>0</v>
      </c>
      <c r="O259" t="n">
        <v>0</v>
      </c>
      <c r="P259" t="n">
        <v>0</v>
      </c>
      <c r="Q259" t="n">
        <v>0</v>
      </c>
      <c r="R259" s="2" t="inlineStr"/>
    </row>
    <row r="260" ht="15" customHeight="1">
      <c r="A260" t="inlineStr">
        <is>
          <t>A 5016-2024</t>
        </is>
      </c>
      <c r="B260" s="1" t="n">
        <v>45329</v>
      </c>
      <c r="C260" s="1" t="n">
        <v>46128</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58888-2024</t>
        </is>
      </c>
      <c r="B261" s="1" t="n">
        <v>45636.45962962963</v>
      </c>
      <c r="C261" s="1" t="n">
        <v>46128</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48046-2023</t>
        </is>
      </c>
      <c r="B262" s="1" t="n">
        <v>45204.85201388889</v>
      </c>
      <c r="C262" s="1" t="n">
        <v>46128</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11607-2025</t>
        </is>
      </c>
      <c r="B263" s="1" t="n">
        <v>45727</v>
      </c>
      <c r="C263" s="1" t="n">
        <v>46128</v>
      </c>
      <c r="D263" t="inlineStr">
        <is>
          <t>SKÅNE LÄN</t>
        </is>
      </c>
      <c r="E263" t="inlineStr">
        <is>
          <t>HÄSSLEHOLM</t>
        </is>
      </c>
      <c r="G263" t="n">
        <v>4.1</v>
      </c>
      <c r="H263" t="n">
        <v>0</v>
      </c>
      <c r="I263" t="n">
        <v>0</v>
      </c>
      <c r="J263" t="n">
        <v>0</v>
      </c>
      <c r="K263" t="n">
        <v>0</v>
      </c>
      <c r="L263" t="n">
        <v>0</v>
      </c>
      <c r="M263" t="n">
        <v>0</v>
      </c>
      <c r="N263" t="n">
        <v>0</v>
      </c>
      <c r="O263" t="n">
        <v>0</v>
      </c>
      <c r="P263" t="n">
        <v>0</v>
      </c>
      <c r="Q263" t="n">
        <v>0</v>
      </c>
      <c r="R263" s="2" t="inlineStr"/>
    </row>
    <row r="264" ht="15" customHeight="1">
      <c r="A264" t="inlineStr">
        <is>
          <t>A 21028-2021</t>
        </is>
      </c>
      <c r="B264" s="1" t="n">
        <v>44319</v>
      </c>
      <c r="C264" s="1" t="n">
        <v>46128</v>
      </c>
      <c r="D264" t="inlineStr">
        <is>
          <t>SKÅNE LÄN</t>
        </is>
      </c>
      <c r="E264" t="inlineStr">
        <is>
          <t>HÄSSLEHOLM</t>
        </is>
      </c>
      <c r="G264" t="n">
        <v>3.1</v>
      </c>
      <c r="H264" t="n">
        <v>0</v>
      </c>
      <c r="I264" t="n">
        <v>0</v>
      </c>
      <c r="J264" t="n">
        <v>0</v>
      </c>
      <c r="K264" t="n">
        <v>0</v>
      </c>
      <c r="L264" t="n">
        <v>0</v>
      </c>
      <c r="M264" t="n">
        <v>0</v>
      </c>
      <c r="N264" t="n">
        <v>0</v>
      </c>
      <c r="O264" t="n">
        <v>0</v>
      </c>
      <c r="P264" t="n">
        <v>0</v>
      </c>
      <c r="Q264" t="n">
        <v>0</v>
      </c>
      <c r="R264" s="2" t="inlineStr"/>
    </row>
    <row r="265" ht="15" customHeight="1">
      <c r="A265" t="inlineStr">
        <is>
          <t>A 49106-2023</t>
        </is>
      </c>
      <c r="B265" s="1" t="n">
        <v>45210</v>
      </c>
      <c r="C265" s="1" t="n">
        <v>46128</v>
      </c>
      <c r="D265" t="inlineStr">
        <is>
          <t>SKÅNE LÄN</t>
        </is>
      </c>
      <c r="E265" t="inlineStr">
        <is>
          <t>HÄSSLEHOLM</t>
        </is>
      </c>
      <c r="G265" t="n">
        <v>0.3</v>
      </c>
      <c r="H265" t="n">
        <v>0</v>
      </c>
      <c r="I265" t="n">
        <v>0</v>
      </c>
      <c r="J265" t="n">
        <v>0</v>
      </c>
      <c r="K265" t="n">
        <v>0</v>
      </c>
      <c r="L265" t="n">
        <v>0</v>
      </c>
      <c r="M265" t="n">
        <v>0</v>
      </c>
      <c r="N265" t="n">
        <v>0</v>
      </c>
      <c r="O265" t="n">
        <v>0</v>
      </c>
      <c r="P265" t="n">
        <v>0</v>
      </c>
      <c r="Q265" t="n">
        <v>0</v>
      </c>
      <c r="R265" s="2" t="inlineStr"/>
    </row>
    <row r="266" ht="15" customHeight="1">
      <c r="A266" t="inlineStr">
        <is>
          <t>A 58815-2023</t>
        </is>
      </c>
      <c r="B266" s="1" t="n">
        <v>45247</v>
      </c>
      <c r="C266" s="1" t="n">
        <v>46128</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4512-2024</t>
        </is>
      </c>
      <c r="B267" s="1" t="n">
        <v>45327.6312962963</v>
      </c>
      <c r="C267" s="1" t="n">
        <v>46128</v>
      </c>
      <c r="D267" t="inlineStr">
        <is>
          <t>SKÅNE LÄN</t>
        </is>
      </c>
      <c r="E267" t="inlineStr">
        <is>
          <t>HÄSSLEHOLM</t>
        </is>
      </c>
      <c r="G267" t="n">
        <v>2</v>
      </c>
      <c r="H267" t="n">
        <v>0</v>
      </c>
      <c r="I267" t="n">
        <v>0</v>
      </c>
      <c r="J267" t="n">
        <v>0</v>
      </c>
      <c r="K267" t="n">
        <v>0</v>
      </c>
      <c r="L267" t="n">
        <v>0</v>
      </c>
      <c r="M267" t="n">
        <v>0</v>
      </c>
      <c r="N267" t="n">
        <v>0</v>
      </c>
      <c r="O267" t="n">
        <v>0</v>
      </c>
      <c r="P267" t="n">
        <v>0</v>
      </c>
      <c r="Q267" t="n">
        <v>0</v>
      </c>
      <c r="R267" s="2" t="inlineStr"/>
    </row>
    <row r="268" ht="15" customHeight="1">
      <c r="A268" t="inlineStr">
        <is>
          <t>A 4916-2024</t>
        </is>
      </c>
      <c r="B268" s="1" t="n">
        <v>45329</v>
      </c>
      <c r="C268" s="1" t="n">
        <v>46128</v>
      </c>
      <c r="D268" t="inlineStr">
        <is>
          <t>SKÅNE LÄN</t>
        </is>
      </c>
      <c r="E268" t="inlineStr">
        <is>
          <t>HÄSSLEHOLM</t>
        </is>
      </c>
      <c r="G268" t="n">
        <v>1.3</v>
      </c>
      <c r="H268" t="n">
        <v>0</v>
      </c>
      <c r="I268" t="n">
        <v>0</v>
      </c>
      <c r="J268" t="n">
        <v>0</v>
      </c>
      <c r="K268" t="n">
        <v>0</v>
      </c>
      <c r="L268" t="n">
        <v>0</v>
      </c>
      <c r="M268" t="n">
        <v>0</v>
      </c>
      <c r="N268" t="n">
        <v>0</v>
      </c>
      <c r="O268" t="n">
        <v>0</v>
      </c>
      <c r="P268" t="n">
        <v>0</v>
      </c>
      <c r="Q268" t="n">
        <v>0</v>
      </c>
      <c r="R268" s="2" t="inlineStr"/>
    </row>
    <row r="269" ht="15" customHeight="1">
      <c r="A269" t="inlineStr">
        <is>
          <t>A 6165-2023</t>
        </is>
      </c>
      <c r="B269" s="1" t="n">
        <v>44964.67114583333</v>
      </c>
      <c r="C269" s="1" t="n">
        <v>46128</v>
      </c>
      <c r="D269" t="inlineStr">
        <is>
          <t>SKÅNE LÄN</t>
        </is>
      </c>
      <c r="E269" t="inlineStr">
        <is>
          <t>HÄSSLEHOLM</t>
        </is>
      </c>
      <c r="G269" t="n">
        <v>0.7</v>
      </c>
      <c r="H269" t="n">
        <v>0</v>
      </c>
      <c r="I269" t="n">
        <v>0</v>
      </c>
      <c r="J269" t="n">
        <v>0</v>
      </c>
      <c r="K269" t="n">
        <v>0</v>
      </c>
      <c r="L269" t="n">
        <v>0</v>
      </c>
      <c r="M269" t="n">
        <v>0</v>
      </c>
      <c r="N269" t="n">
        <v>0</v>
      </c>
      <c r="O269" t="n">
        <v>0</v>
      </c>
      <c r="P269" t="n">
        <v>0</v>
      </c>
      <c r="Q269" t="n">
        <v>0</v>
      </c>
      <c r="R269" s="2" t="inlineStr"/>
    </row>
    <row r="270" ht="15" customHeight="1">
      <c r="A270" t="inlineStr">
        <is>
          <t>A 9697-2023</t>
        </is>
      </c>
      <c r="B270" s="1" t="n">
        <v>44984</v>
      </c>
      <c r="C270" s="1" t="n">
        <v>46128</v>
      </c>
      <c r="D270" t="inlineStr">
        <is>
          <t>SKÅNE LÄN</t>
        </is>
      </c>
      <c r="E270" t="inlineStr">
        <is>
          <t>HÄSSLEHOLM</t>
        </is>
      </c>
      <c r="G270" t="n">
        <v>0.3</v>
      </c>
      <c r="H270" t="n">
        <v>0</v>
      </c>
      <c r="I270" t="n">
        <v>0</v>
      </c>
      <c r="J270" t="n">
        <v>0</v>
      </c>
      <c r="K270" t="n">
        <v>0</v>
      </c>
      <c r="L270" t="n">
        <v>0</v>
      </c>
      <c r="M270" t="n">
        <v>0</v>
      </c>
      <c r="N270" t="n">
        <v>0</v>
      </c>
      <c r="O270" t="n">
        <v>0</v>
      </c>
      <c r="P270" t="n">
        <v>0</v>
      </c>
      <c r="Q270" t="n">
        <v>0</v>
      </c>
      <c r="R270" s="2" t="inlineStr"/>
    </row>
    <row r="271" ht="15" customHeight="1">
      <c r="A271" t="inlineStr">
        <is>
          <t>A 27478-2023</t>
        </is>
      </c>
      <c r="B271" s="1" t="n">
        <v>45092</v>
      </c>
      <c r="C271" s="1" t="n">
        <v>46128</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1170-2025</t>
        </is>
      </c>
      <c r="B272" s="1" t="n">
        <v>45667.29226851852</v>
      </c>
      <c r="C272" s="1" t="n">
        <v>46128</v>
      </c>
      <c r="D272" t="inlineStr">
        <is>
          <t>SKÅNE LÄN</t>
        </is>
      </c>
      <c r="E272" t="inlineStr">
        <is>
          <t>HÄSSLEHOLM</t>
        </is>
      </c>
      <c r="G272" t="n">
        <v>4.3</v>
      </c>
      <c r="H272" t="n">
        <v>0</v>
      </c>
      <c r="I272" t="n">
        <v>0</v>
      </c>
      <c r="J272" t="n">
        <v>0</v>
      </c>
      <c r="K272" t="n">
        <v>0</v>
      </c>
      <c r="L272" t="n">
        <v>0</v>
      </c>
      <c r="M272" t="n">
        <v>0</v>
      </c>
      <c r="N272" t="n">
        <v>0</v>
      </c>
      <c r="O272" t="n">
        <v>0</v>
      </c>
      <c r="P272" t="n">
        <v>0</v>
      </c>
      <c r="Q272" t="n">
        <v>0</v>
      </c>
      <c r="R272" s="2" t="inlineStr"/>
    </row>
    <row r="273" ht="15" customHeight="1">
      <c r="A273" t="inlineStr">
        <is>
          <t>A 16017-2023</t>
        </is>
      </c>
      <c r="B273" s="1" t="n">
        <v>45026</v>
      </c>
      <c r="C273" s="1" t="n">
        <v>46128</v>
      </c>
      <c r="D273" t="inlineStr">
        <is>
          <t>SKÅNE LÄN</t>
        </is>
      </c>
      <c r="E273" t="inlineStr">
        <is>
          <t>HÄSSLEHOLM</t>
        </is>
      </c>
      <c r="G273" t="n">
        <v>0.8</v>
      </c>
      <c r="H273" t="n">
        <v>0</v>
      </c>
      <c r="I273" t="n">
        <v>0</v>
      </c>
      <c r="J273" t="n">
        <v>0</v>
      </c>
      <c r="K273" t="n">
        <v>0</v>
      </c>
      <c r="L273" t="n">
        <v>0</v>
      </c>
      <c r="M273" t="n">
        <v>0</v>
      </c>
      <c r="N273" t="n">
        <v>0</v>
      </c>
      <c r="O273" t="n">
        <v>0</v>
      </c>
      <c r="P273" t="n">
        <v>0</v>
      </c>
      <c r="Q273" t="n">
        <v>0</v>
      </c>
      <c r="R273" s="2" t="inlineStr"/>
    </row>
    <row r="274" ht="15" customHeight="1">
      <c r="A274" t="inlineStr">
        <is>
          <t>A 57749-2023</t>
        </is>
      </c>
      <c r="B274" s="1" t="n">
        <v>45246</v>
      </c>
      <c r="C274" s="1" t="n">
        <v>46128</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31989-2024</t>
        </is>
      </c>
      <c r="B275" s="1" t="n">
        <v>45510.58085648148</v>
      </c>
      <c r="C275" s="1" t="n">
        <v>46128</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4734-2025</t>
        </is>
      </c>
      <c r="B276" s="1" t="n">
        <v>45688.44030092593</v>
      </c>
      <c r="C276" s="1" t="n">
        <v>46128</v>
      </c>
      <c r="D276" t="inlineStr">
        <is>
          <t>SKÅNE LÄN</t>
        </is>
      </c>
      <c r="E276" t="inlineStr">
        <is>
          <t>HÄSSLEHOLM</t>
        </is>
      </c>
      <c r="G276" t="n">
        <v>19.6</v>
      </c>
      <c r="H276" t="n">
        <v>0</v>
      </c>
      <c r="I276" t="n">
        <v>0</v>
      </c>
      <c r="J276" t="n">
        <v>0</v>
      </c>
      <c r="K276" t="n">
        <v>0</v>
      </c>
      <c r="L276" t="n">
        <v>0</v>
      </c>
      <c r="M276" t="n">
        <v>0</v>
      </c>
      <c r="N276" t="n">
        <v>0</v>
      </c>
      <c r="O276" t="n">
        <v>0</v>
      </c>
      <c r="P276" t="n">
        <v>0</v>
      </c>
      <c r="Q276" t="n">
        <v>0</v>
      </c>
      <c r="R276" s="2" t="inlineStr"/>
    </row>
    <row r="277" ht="15" customHeight="1">
      <c r="A277" t="inlineStr">
        <is>
          <t>A 35640-2023</t>
        </is>
      </c>
      <c r="B277" s="1" t="n">
        <v>45147</v>
      </c>
      <c r="C277" s="1" t="n">
        <v>46128</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44940-2023</t>
        </is>
      </c>
      <c r="B278" s="1" t="n">
        <v>45190.68653935185</v>
      </c>
      <c r="C278" s="1" t="n">
        <v>46128</v>
      </c>
      <c r="D278" t="inlineStr">
        <is>
          <t>SKÅNE LÄN</t>
        </is>
      </c>
      <c r="E278" t="inlineStr">
        <is>
          <t>HÄSSLEHOLM</t>
        </is>
      </c>
      <c r="G278" t="n">
        <v>1.5</v>
      </c>
      <c r="H278" t="n">
        <v>0</v>
      </c>
      <c r="I278" t="n">
        <v>0</v>
      </c>
      <c r="J278" t="n">
        <v>0</v>
      </c>
      <c r="K278" t="n">
        <v>0</v>
      </c>
      <c r="L278" t="n">
        <v>0</v>
      </c>
      <c r="M278" t="n">
        <v>0</v>
      </c>
      <c r="N278" t="n">
        <v>0</v>
      </c>
      <c r="O278" t="n">
        <v>0</v>
      </c>
      <c r="P278" t="n">
        <v>0</v>
      </c>
      <c r="Q278" t="n">
        <v>0</v>
      </c>
      <c r="R278" s="2" t="inlineStr"/>
    </row>
    <row r="279" ht="15" customHeight="1">
      <c r="A279" t="inlineStr">
        <is>
          <t>A 28236-2022</t>
        </is>
      </c>
      <c r="B279" s="1" t="n">
        <v>44746</v>
      </c>
      <c r="C279" s="1" t="n">
        <v>46128</v>
      </c>
      <c r="D279" t="inlineStr">
        <is>
          <t>SKÅNE LÄN</t>
        </is>
      </c>
      <c r="E279" t="inlineStr">
        <is>
          <t>HÄSSLEHOLM</t>
        </is>
      </c>
      <c r="G279" t="n">
        <v>3.5</v>
      </c>
      <c r="H279" t="n">
        <v>0</v>
      </c>
      <c r="I279" t="n">
        <v>0</v>
      </c>
      <c r="J279" t="n">
        <v>0</v>
      </c>
      <c r="K279" t="n">
        <v>0</v>
      </c>
      <c r="L279" t="n">
        <v>0</v>
      </c>
      <c r="M279" t="n">
        <v>0</v>
      </c>
      <c r="N279" t="n">
        <v>0</v>
      </c>
      <c r="O279" t="n">
        <v>0</v>
      </c>
      <c r="P279" t="n">
        <v>0</v>
      </c>
      <c r="Q279" t="n">
        <v>0</v>
      </c>
      <c r="R279" s="2" t="inlineStr"/>
    </row>
    <row r="280" ht="15" customHeight="1">
      <c r="A280" t="inlineStr">
        <is>
          <t>A 18800-2023</t>
        </is>
      </c>
      <c r="B280" s="1" t="n">
        <v>45044</v>
      </c>
      <c r="C280" s="1" t="n">
        <v>46128</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25206-2023</t>
        </is>
      </c>
      <c r="B281" s="1" t="n">
        <v>45086.59318287037</v>
      </c>
      <c r="C281" s="1" t="n">
        <v>46128</v>
      </c>
      <c r="D281" t="inlineStr">
        <is>
          <t>SKÅNE LÄN</t>
        </is>
      </c>
      <c r="E281" t="inlineStr">
        <is>
          <t>HÄSSLEHOLM</t>
        </is>
      </c>
      <c r="G281" t="n">
        <v>2.9</v>
      </c>
      <c r="H281" t="n">
        <v>0</v>
      </c>
      <c r="I281" t="n">
        <v>0</v>
      </c>
      <c r="J281" t="n">
        <v>0</v>
      </c>
      <c r="K281" t="n">
        <v>0</v>
      </c>
      <c r="L281" t="n">
        <v>0</v>
      </c>
      <c r="M281" t="n">
        <v>0</v>
      </c>
      <c r="N281" t="n">
        <v>0</v>
      </c>
      <c r="O281" t="n">
        <v>0</v>
      </c>
      <c r="P281" t="n">
        <v>0</v>
      </c>
      <c r="Q281" t="n">
        <v>0</v>
      </c>
      <c r="R281" s="2" t="inlineStr"/>
    </row>
    <row r="282" ht="15" customHeight="1">
      <c r="A282" t="inlineStr">
        <is>
          <t>A 5116-2023</t>
        </is>
      </c>
      <c r="B282" s="1" t="n">
        <v>44958.67546296296</v>
      </c>
      <c r="C282" s="1" t="n">
        <v>46128</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48771-2024</t>
        </is>
      </c>
      <c r="B283" s="1" t="n">
        <v>45593.61284722222</v>
      </c>
      <c r="C283" s="1" t="n">
        <v>46128</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24241-2023</t>
        </is>
      </c>
      <c r="B284" s="1" t="n">
        <v>45079.61476851852</v>
      </c>
      <c r="C284" s="1" t="n">
        <v>46128</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23987-2024</t>
        </is>
      </c>
      <c r="B285" s="1" t="n">
        <v>45456</v>
      </c>
      <c r="C285" s="1" t="n">
        <v>46128</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19739-2023</t>
        </is>
      </c>
      <c r="B286" s="1" t="n">
        <v>45051</v>
      </c>
      <c r="C286" s="1" t="n">
        <v>46128</v>
      </c>
      <c r="D286" t="inlineStr">
        <is>
          <t>SKÅNE LÄN</t>
        </is>
      </c>
      <c r="E286" t="inlineStr">
        <is>
          <t>HÄSSLEHOLM</t>
        </is>
      </c>
      <c r="G286" t="n">
        <v>0.5</v>
      </c>
      <c r="H286" t="n">
        <v>0</v>
      </c>
      <c r="I286" t="n">
        <v>0</v>
      </c>
      <c r="J286" t="n">
        <v>0</v>
      </c>
      <c r="K286" t="n">
        <v>0</v>
      </c>
      <c r="L286" t="n">
        <v>0</v>
      </c>
      <c r="M286" t="n">
        <v>0</v>
      </c>
      <c r="N286" t="n">
        <v>0</v>
      </c>
      <c r="O286" t="n">
        <v>0</v>
      </c>
      <c r="P286" t="n">
        <v>0</v>
      </c>
      <c r="Q286" t="n">
        <v>0</v>
      </c>
      <c r="R286" s="2" t="inlineStr"/>
    </row>
    <row r="287" ht="15" customHeight="1">
      <c r="A287" t="inlineStr">
        <is>
          <t>A 59246-2024</t>
        </is>
      </c>
      <c r="B287" s="1" t="n">
        <v>45636</v>
      </c>
      <c r="C287" s="1" t="n">
        <v>46128</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10220-2023</t>
        </is>
      </c>
      <c r="B288" s="1" t="n">
        <v>44986.60916666667</v>
      </c>
      <c r="C288" s="1" t="n">
        <v>46128</v>
      </c>
      <c r="D288" t="inlineStr">
        <is>
          <t>SKÅNE LÄN</t>
        </is>
      </c>
      <c r="E288" t="inlineStr">
        <is>
          <t>HÄSSLEHOLM</t>
        </is>
      </c>
      <c r="G288" t="n">
        <v>1.7</v>
      </c>
      <c r="H288" t="n">
        <v>0</v>
      </c>
      <c r="I288" t="n">
        <v>0</v>
      </c>
      <c r="J288" t="n">
        <v>0</v>
      </c>
      <c r="K288" t="n">
        <v>0</v>
      </c>
      <c r="L288" t="n">
        <v>0</v>
      </c>
      <c r="M288" t="n">
        <v>0</v>
      </c>
      <c r="N288" t="n">
        <v>0</v>
      </c>
      <c r="O288" t="n">
        <v>0</v>
      </c>
      <c r="P288" t="n">
        <v>0</v>
      </c>
      <c r="Q288" t="n">
        <v>0</v>
      </c>
      <c r="R288" s="2" t="inlineStr"/>
    </row>
    <row r="289" ht="15" customHeight="1">
      <c r="A289" t="inlineStr">
        <is>
          <t>A 26403-2024</t>
        </is>
      </c>
      <c r="B289" s="1" t="n">
        <v>45469.44505787037</v>
      </c>
      <c r="C289" s="1" t="n">
        <v>46128</v>
      </c>
      <c r="D289" t="inlineStr">
        <is>
          <t>SKÅNE LÄN</t>
        </is>
      </c>
      <c r="E289" t="inlineStr">
        <is>
          <t>HÄSSLEHOLM</t>
        </is>
      </c>
      <c r="G289" t="n">
        <v>2.6</v>
      </c>
      <c r="H289" t="n">
        <v>0</v>
      </c>
      <c r="I289" t="n">
        <v>0</v>
      </c>
      <c r="J289" t="n">
        <v>0</v>
      </c>
      <c r="K289" t="n">
        <v>0</v>
      </c>
      <c r="L289" t="n">
        <v>0</v>
      </c>
      <c r="M289" t="n">
        <v>0</v>
      </c>
      <c r="N289" t="n">
        <v>0</v>
      </c>
      <c r="O289" t="n">
        <v>0</v>
      </c>
      <c r="P289" t="n">
        <v>0</v>
      </c>
      <c r="Q289" t="n">
        <v>0</v>
      </c>
      <c r="R289" s="2" t="inlineStr"/>
    </row>
    <row r="290" ht="15" customHeight="1">
      <c r="A290" t="inlineStr">
        <is>
          <t>A 26403-2024</t>
        </is>
      </c>
      <c r="B290" s="1" t="n">
        <v>45469.44505787037</v>
      </c>
      <c r="C290" s="1" t="n">
        <v>46128</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23666-2023</t>
        </is>
      </c>
      <c r="B291" s="1" t="n">
        <v>45077</v>
      </c>
      <c r="C291" s="1" t="n">
        <v>46128</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35237-2023</t>
        </is>
      </c>
      <c r="B292" s="1" t="n">
        <v>45145.74532407407</v>
      </c>
      <c r="C292" s="1" t="n">
        <v>46128</v>
      </c>
      <c r="D292" t="inlineStr">
        <is>
          <t>SKÅNE LÄN</t>
        </is>
      </c>
      <c r="E292" t="inlineStr">
        <is>
          <t>HÄSSLEHOLM</t>
        </is>
      </c>
      <c r="G292" t="n">
        <v>1.3</v>
      </c>
      <c r="H292" t="n">
        <v>0</v>
      </c>
      <c r="I292" t="n">
        <v>0</v>
      </c>
      <c r="J292" t="n">
        <v>0</v>
      </c>
      <c r="K292" t="n">
        <v>0</v>
      </c>
      <c r="L292" t="n">
        <v>0</v>
      </c>
      <c r="M292" t="n">
        <v>0</v>
      </c>
      <c r="N292" t="n">
        <v>0</v>
      </c>
      <c r="O292" t="n">
        <v>0</v>
      </c>
      <c r="P292" t="n">
        <v>0</v>
      </c>
      <c r="Q292" t="n">
        <v>0</v>
      </c>
      <c r="R292" s="2" t="inlineStr"/>
    </row>
    <row r="293" ht="15" customHeight="1">
      <c r="A293" t="inlineStr">
        <is>
          <t>A 24776-2025</t>
        </is>
      </c>
      <c r="B293" s="1" t="n">
        <v>45799.40640046296</v>
      </c>
      <c r="C293" s="1" t="n">
        <v>46128</v>
      </c>
      <c r="D293" t="inlineStr">
        <is>
          <t>SKÅNE LÄN</t>
        </is>
      </c>
      <c r="E293" t="inlineStr">
        <is>
          <t>HÄSSLEHOLM</t>
        </is>
      </c>
      <c r="G293" t="n">
        <v>5.4</v>
      </c>
      <c r="H293" t="n">
        <v>0</v>
      </c>
      <c r="I293" t="n">
        <v>0</v>
      </c>
      <c r="J293" t="n">
        <v>0</v>
      </c>
      <c r="K293" t="n">
        <v>0</v>
      </c>
      <c r="L293" t="n">
        <v>0</v>
      </c>
      <c r="M293" t="n">
        <v>0</v>
      </c>
      <c r="N293" t="n">
        <v>0</v>
      </c>
      <c r="O293" t="n">
        <v>0</v>
      </c>
      <c r="P293" t="n">
        <v>0</v>
      </c>
      <c r="Q293" t="n">
        <v>0</v>
      </c>
      <c r="R293" s="2" t="inlineStr"/>
    </row>
    <row r="294" ht="15" customHeight="1">
      <c r="A294" t="inlineStr">
        <is>
          <t>A 260-2024</t>
        </is>
      </c>
      <c r="B294" s="1" t="n">
        <v>45294</v>
      </c>
      <c r="C294" s="1" t="n">
        <v>46128</v>
      </c>
      <c r="D294" t="inlineStr">
        <is>
          <t>SKÅNE LÄN</t>
        </is>
      </c>
      <c r="E294" t="inlineStr">
        <is>
          <t>HÄSSLEHOLM</t>
        </is>
      </c>
      <c r="G294" t="n">
        <v>0.2</v>
      </c>
      <c r="H294" t="n">
        <v>0</v>
      </c>
      <c r="I294" t="n">
        <v>0</v>
      </c>
      <c r="J294" t="n">
        <v>0</v>
      </c>
      <c r="K294" t="n">
        <v>0</v>
      </c>
      <c r="L294" t="n">
        <v>0</v>
      </c>
      <c r="M294" t="n">
        <v>0</v>
      </c>
      <c r="N294" t="n">
        <v>0</v>
      </c>
      <c r="O294" t="n">
        <v>0</v>
      </c>
      <c r="P294" t="n">
        <v>0</v>
      </c>
      <c r="Q294" t="n">
        <v>0</v>
      </c>
      <c r="R294" s="2" t="inlineStr"/>
    </row>
    <row r="295" ht="15" customHeight="1">
      <c r="A295" t="inlineStr">
        <is>
          <t>A 57275-2023</t>
        </is>
      </c>
      <c r="B295" s="1" t="n">
        <v>45245.58886574074</v>
      </c>
      <c r="C295" s="1" t="n">
        <v>46128</v>
      </c>
      <c r="D295" t="inlineStr">
        <is>
          <t>SKÅNE LÄN</t>
        </is>
      </c>
      <c r="E295" t="inlineStr">
        <is>
          <t>HÄSSLEHOLM</t>
        </is>
      </c>
      <c r="G295" t="n">
        <v>1.7</v>
      </c>
      <c r="H295" t="n">
        <v>0</v>
      </c>
      <c r="I295" t="n">
        <v>0</v>
      </c>
      <c r="J295" t="n">
        <v>0</v>
      </c>
      <c r="K295" t="n">
        <v>0</v>
      </c>
      <c r="L295" t="n">
        <v>0</v>
      </c>
      <c r="M295" t="n">
        <v>0</v>
      </c>
      <c r="N295" t="n">
        <v>0</v>
      </c>
      <c r="O295" t="n">
        <v>0</v>
      </c>
      <c r="P295" t="n">
        <v>0</v>
      </c>
      <c r="Q295" t="n">
        <v>0</v>
      </c>
      <c r="R295" s="2" t="inlineStr"/>
    </row>
    <row r="296" ht="15" customHeight="1">
      <c r="A296" t="inlineStr">
        <is>
          <t>A 25611-2024</t>
        </is>
      </c>
      <c r="B296" s="1" t="n">
        <v>45463</v>
      </c>
      <c r="C296" s="1" t="n">
        <v>46128</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9239-2025</t>
        </is>
      </c>
      <c r="B297" s="1" t="n">
        <v>45714</v>
      </c>
      <c r="C297" s="1" t="n">
        <v>46128</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16121-2025</t>
        </is>
      </c>
      <c r="B298" s="1" t="n">
        <v>45750.40384259259</v>
      </c>
      <c r="C298" s="1" t="n">
        <v>46128</v>
      </c>
      <c r="D298" t="inlineStr">
        <is>
          <t>SKÅNE LÄN</t>
        </is>
      </c>
      <c r="E298" t="inlineStr">
        <is>
          <t>HÄSSLEHOLM</t>
        </is>
      </c>
      <c r="G298" t="n">
        <v>1.6</v>
      </c>
      <c r="H298" t="n">
        <v>0</v>
      </c>
      <c r="I298" t="n">
        <v>0</v>
      </c>
      <c r="J298" t="n">
        <v>0</v>
      </c>
      <c r="K298" t="n">
        <v>0</v>
      </c>
      <c r="L298" t="n">
        <v>0</v>
      </c>
      <c r="M298" t="n">
        <v>0</v>
      </c>
      <c r="N298" t="n">
        <v>0</v>
      </c>
      <c r="O298" t="n">
        <v>0</v>
      </c>
      <c r="P298" t="n">
        <v>0</v>
      </c>
      <c r="Q298" t="n">
        <v>0</v>
      </c>
      <c r="R298" s="2" t="inlineStr"/>
    </row>
    <row r="299" ht="15" customHeight="1">
      <c r="A299" t="inlineStr">
        <is>
          <t>A 28599-2024</t>
        </is>
      </c>
      <c r="B299" s="1" t="n">
        <v>45478.4247800926</v>
      </c>
      <c r="C299" s="1" t="n">
        <v>46128</v>
      </c>
      <c r="D299" t="inlineStr">
        <is>
          <t>SKÅNE LÄN</t>
        </is>
      </c>
      <c r="E299" t="inlineStr">
        <is>
          <t>HÄSSLEHOLM</t>
        </is>
      </c>
      <c r="G299" t="n">
        <v>8.6</v>
      </c>
      <c r="H299" t="n">
        <v>0</v>
      </c>
      <c r="I299" t="n">
        <v>0</v>
      </c>
      <c r="J299" t="n">
        <v>0</v>
      </c>
      <c r="K299" t="n">
        <v>0</v>
      </c>
      <c r="L299" t="n">
        <v>0</v>
      </c>
      <c r="M299" t="n">
        <v>0</v>
      </c>
      <c r="N299" t="n">
        <v>0</v>
      </c>
      <c r="O299" t="n">
        <v>0</v>
      </c>
      <c r="P299" t="n">
        <v>0</v>
      </c>
      <c r="Q299" t="n">
        <v>0</v>
      </c>
      <c r="R299" s="2" t="inlineStr"/>
    </row>
    <row r="300" ht="15" customHeight="1">
      <c r="A300" t="inlineStr">
        <is>
          <t>A 26536-2022</t>
        </is>
      </c>
      <c r="B300" s="1" t="n">
        <v>44739.45496527778</v>
      </c>
      <c r="C300" s="1" t="n">
        <v>46128</v>
      </c>
      <c r="D300" t="inlineStr">
        <is>
          <t>SKÅNE LÄN</t>
        </is>
      </c>
      <c r="E300" t="inlineStr">
        <is>
          <t>HÄSSLEHOLM</t>
        </is>
      </c>
      <c r="G300" t="n">
        <v>3.1</v>
      </c>
      <c r="H300" t="n">
        <v>0</v>
      </c>
      <c r="I300" t="n">
        <v>0</v>
      </c>
      <c r="J300" t="n">
        <v>0</v>
      </c>
      <c r="K300" t="n">
        <v>0</v>
      </c>
      <c r="L300" t="n">
        <v>0</v>
      </c>
      <c r="M300" t="n">
        <v>0</v>
      </c>
      <c r="N300" t="n">
        <v>0</v>
      </c>
      <c r="O300" t="n">
        <v>0</v>
      </c>
      <c r="P300" t="n">
        <v>0</v>
      </c>
      <c r="Q300" t="n">
        <v>0</v>
      </c>
      <c r="R300" s="2" t="inlineStr"/>
    </row>
    <row r="301" ht="15" customHeight="1">
      <c r="A301" t="inlineStr">
        <is>
          <t>A 11446-2025</t>
        </is>
      </c>
      <c r="B301" s="1" t="n">
        <v>45726</v>
      </c>
      <c r="C301" s="1" t="n">
        <v>46128</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16334-2024</t>
        </is>
      </c>
      <c r="B302" s="1" t="n">
        <v>45407.54856481482</v>
      </c>
      <c r="C302" s="1" t="n">
        <v>46128</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27304-2023</t>
        </is>
      </c>
      <c r="B303" s="1" t="n">
        <v>45096.65199074074</v>
      </c>
      <c r="C303" s="1" t="n">
        <v>46128</v>
      </c>
      <c r="D303" t="inlineStr">
        <is>
          <t>SKÅNE LÄN</t>
        </is>
      </c>
      <c r="E303" t="inlineStr">
        <is>
          <t>HÄSSLEHOLM</t>
        </is>
      </c>
      <c r="G303" t="n">
        <v>0.7</v>
      </c>
      <c r="H303" t="n">
        <v>0</v>
      </c>
      <c r="I303" t="n">
        <v>0</v>
      </c>
      <c r="J303" t="n">
        <v>0</v>
      </c>
      <c r="K303" t="n">
        <v>0</v>
      </c>
      <c r="L303" t="n">
        <v>0</v>
      </c>
      <c r="M303" t="n">
        <v>0</v>
      </c>
      <c r="N303" t="n">
        <v>0</v>
      </c>
      <c r="O303" t="n">
        <v>0</v>
      </c>
      <c r="P303" t="n">
        <v>0</v>
      </c>
      <c r="Q303" t="n">
        <v>0</v>
      </c>
      <c r="R303" s="2" t="inlineStr"/>
    </row>
    <row r="304" ht="15" customHeight="1">
      <c r="A304" t="inlineStr">
        <is>
          <t>A 16860-2025</t>
        </is>
      </c>
      <c r="B304" s="1" t="n">
        <v>45751</v>
      </c>
      <c r="C304" s="1" t="n">
        <v>46128</v>
      </c>
      <c r="D304" t="inlineStr">
        <is>
          <t>SKÅNE LÄN</t>
        </is>
      </c>
      <c r="E304" t="inlineStr">
        <is>
          <t>HÄSSLEHOLM</t>
        </is>
      </c>
      <c r="G304" t="n">
        <v>1.3</v>
      </c>
      <c r="H304" t="n">
        <v>0</v>
      </c>
      <c r="I304" t="n">
        <v>0</v>
      </c>
      <c r="J304" t="n">
        <v>0</v>
      </c>
      <c r="K304" t="n">
        <v>0</v>
      </c>
      <c r="L304" t="n">
        <v>0</v>
      </c>
      <c r="M304" t="n">
        <v>0</v>
      </c>
      <c r="N304" t="n">
        <v>0</v>
      </c>
      <c r="O304" t="n">
        <v>0</v>
      </c>
      <c r="P304" t="n">
        <v>0</v>
      </c>
      <c r="Q304" t="n">
        <v>0</v>
      </c>
      <c r="R304" s="2" t="inlineStr"/>
    </row>
    <row r="305" ht="15" customHeight="1">
      <c r="A305" t="inlineStr">
        <is>
          <t>A 9556-2025</t>
        </is>
      </c>
      <c r="B305" s="1" t="n">
        <v>45714</v>
      </c>
      <c r="C305" s="1" t="n">
        <v>46128</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20279-2025</t>
        </is>
      </c>
      <c r="B306" s="1" t="n">
        <v>45774.38643518519</v>
      </c>
      <c r="C306" s="1" t="n">
        <v>46128</v>
      </c>
      <c r="D306" t="inlineStr">
        <is>
          <t>SKÅNE LÄN</t>
        </is>
      </c>
      <c r="E306" t="inlineStr">
        <is>
          <t>HÄSSLEHOLM</t>
        </is>
      </c>
      <c r="G306" t="n">
        <v>0.8</v>
      </c>
      <c r="H306" t="n">
        <v>0</v>
      </c>
      <c r="I306" t="n">
        <v>0</v>
      </c>
      <c r="J306" t="n">
        <v>0</v>
      </c>
      <c r="K306" t="n">
        <v>0</v>
      </c>
      <c r="L306" t="n">
        <v>0</v>
      </c>
      <c r="M306" t="n">
        <v>0</v>
      </c>
      <c r="N306" t="n">
        <v>0</v>
      </c>
      <c r="O306" t="n">
        <v>0</v>
      </c>
      <c r="P306" t="n">
        <v>0</v>
      </c>
      <c r="Q306" t="n">
        <v>0</v>
      </c>
      <c r="R306" s="2" t="inlineStr"/>
    </row>
    <row r="307" ht="15" customHeight="1">
      <c r="A307" t="inlineStr">
        <is>
          <t>A 41873-2023</t>
        </is>
      </c>
      <c r="B307" s="1" t="n">
        <v>45176</v>
      </c>
      <c r="C307" s="1" t="n">
        <v>46128</v>
      </c>
      <c r="D307" t="inlineStr">
        <is>
          <t>SKÅNE LÄN</t>
        </is>
      </c>
      <c r="E307" t="inlineStr">
        <is>
          <t>HÄSSLEHOLM</t>
        </is>
      </c>
      <c r="G307" t="n">
        <v>2.8</v>
      </c>
      <c r="H307" t="n">
        <v>0</v>
      </c>
      <c r="I307" t="n">
        <v>0</v>
      </c>
      <c r="J307" t="n">
        <v>0</v>
      </c>
      <c r="K307" t="n">
        <v>0</v>
      </c>
      <c r="L307" t="n">
        <v>0</v>
      </c>
      <c r="M307" t="n">
        <v>0</v>
      </c>
      <c r="N307" t="n">
        <v>0</v>
      </c>
      <c r="O307" t="n">
        <v>0</v>
      </c>
      <c r="P307" t="n">
        <v>0</v>
      </c>
      <c r="Q307" t="n">
        <v>0</v>
      </c>
      <c r="R307" s="2" t="inlineStr"/>
    </row>
    <row r="308" ht="15" customHeight="1">
      <c r="A308" t="inlineStr">
        <is>
          <t>A 60973-2024</t>
        </is>
      </c>
      <c r="B308" s="1" t="n">
        <v>45644</v>
      </c>
      <c r="C308" s="1" t="n">
        <v>46128</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62199-2022</t>
        </is>
      </c>
      <c r="B309" s="1" t="n">
        <v>44915</v>
      </c>
      <c r="C309" s="1" t="n">
        <v>46128</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38228-2021</t>
        </is>
      </c>
      <c r="B310" s="1" t="n">
        <v>44405</v>
      </c>
      <c r="C310" s="1" t="n">
        <v>46128</v>
      </c>
      <c r="D310" t="inlineStr">
        <is>
          <t>SKÅNE LÄN</t>
        </is>
      </c>
      <c r="E310" t="inlineStr">
        <is>
          <t>HÄSSLEHOLM</t>
        </is>
      </c>
      <c r="G310" t="n">
        <v>2.8</v>
      </c>
      <c r="H310" t="n">
        <v>0</v>
      </c>
      <c r="I310" t="n">
        <v>0</v>
      </c>
      <c r="J310" t="n">
        <v>0</v>
      </c>
      <c r="K310" t="n">
        <v>0</v>
      </c>
      <c r="L310" t="n">
        <v>0</v>
      </c>
      <c r="M310" t="n">
        <v>0</v>
      </c>
      <c r="N310" t="n">
        <v>0</v>
      </c>
      <c r="O310" t="n">
        <v>0</v>
      </c>
      <c r="P310" t="n">
        <v>0</v>
      </c>
      <c r="Q310" t="n">
        <v>0</v>
      </c>
      <c r="R310" s="2" t="inlineStr"/>
    </row>
    <row r="311" ht="15" customHeight="1">
      <c r="A311" t="inlineStr">
        <is>
          <t>A 14655-2025</t>
        </is>
      </c>
      <c r="B311" s="1" t="n">
        <v>45742.5072337963</v>
      </c>
      <c r="C311" s="1" t="n">
        <v>46128</v>
      </c>
      <c r="D311" t="inlineStr">
        <is>
          <t>SKÅNE LÄN</t>
        </is>
      </c>
      <c r="E311" t="inlineStr">
        <is>
          <t>HÄSSLEHOLM</t>
        </is>
      </c>
      <c r="G311" t="n">
        <v>4.5</v>
      </c>
      <c r="H311" t="n">
        <v>0</v>
      </c>
      <c r="I311" t="n">
        <v>0</v>
      </c>
      <c r="J311" t="n">
        <v>0</v>
      </c>
      <c r="K311" t="n">
        <v>0</v>
      </c>
      <c r="L311" t="n">
        <v>0</v>
      </c>
      <c r="M311" t="n">
        <v>0</v>
      </c>
      <c r="N311" t="n">
        <v>0</v>
      </c>
      <c r="O311" t="n">
        <v>0</v>
      </c>
      <c r="P311" t="n">
        <v>0</v>
      </c>
      <c r="Q311" t="n">
        <v>0</v>
      </c>
      <c r="R311" s="2" t="inlineStr"/>
    </row>
    <row r="312" ht="15" customHeight="1">
      <c r="A312" t="inlineStr">
        <is>
          <t>A 39453-2025</t>
        </is>
      </c>
      <c r="B312" s="1" t="n">
        <v>45889</v>
      </c>
      <c r="C312" s="1" t="n">
        <v>46128</v>
      </c>
      <c r="D312" t="inlineStr">
        <is>
          <t>SKÅNE LÄN</t>
        </is>
      </c>
      <c r="E312" t="inlineStr">
        <is>
          <t>HÄSSLEHOLM</t>
        </is>
      </c>
      <c r="G312" t="n">
        <v>2.5</v>
      </c>
      <c r="H312" t="n">
        <v>0</v>
      </c>
      <c r="I312" t="n">
        <v>0</v>
      </c>
      <c r="J312" t="n">
        <v>0</v>
      </c>
      <c r="K312" t="n">
        <v>0</v>
      </c>
      <c r="L312" t="n">
        <v>0</v>
      </c>
      <c r="M312" t="n">
        <v>0</v>
      </c>
      <c r="N312" t="n">
        <v>0</v>
      </c>
      <c r="O312" t="n">
        <v>0</v>
      </c>
      <c r="P312" t="n">
        <v>0</v>
      </c>
      <c r="Q312" t="n">
        <v>0</v>
      </c>
      <c r="R312" s="2" t="inlineStr"/>
    </row>
    <row r="313" ht="15" customHeight="1">
      <c r="A313" t="inlineStr">
        <is>
          <t>A 48191-2021</t>
        </is>
      </c>
      <c r="B313" s="1" t="n">
        <v>44449</v>
      </c>
      <c r="C313" s="1" t="n">
        <v>46128</v>
      </c>
      <c r="D313" t="inlineStr">
        <is>
          <t>SKÅNE LÄN</t>
        </is>
      </c>
      <c r="E313" t="inlineStr">
        <is>
          <t>HÄSSLEHOLM</t>
        </is>
      </c>
      <c r="G313" t="n">
        <v>6</v>
      </c>
      <c r="H313" t="n">
        <v>0</v>
      </c>
      <c r="I313" t="n">
        <v>0</v>
      </c>
      <c r="J313" t="n">
        <v>0</v>
      </c>
      <c r="K313" t="n">
        <v>0</v>
      </c>
      <c r="L313" t="n">
        <v>0</v>
      </c>
      <c r="M313" t="n">
        <v>0</v>
      </c>
      <c r="N313" t="n">
        <v>0</v>
      </c>
      <c r="O313" t="n">
        <v>0</v>
      </c>
      <c r="P313" t="n">
        <v>0</v>
      </c>
      <c r="Q313" t="n">
        <v>0</v>
      </c>
      <c r="R313" s="2" t="inlineStr"/>
    </row>
    <row r="314" ht="15" customHeight="1">
      <c r="A314" t="inlineStr">
        <is>
          <t>A 6845-2023</t>
        </is>
      </c>
      <c r="B314" s="1" t="n">
        <v>44967</v>
      </c>
      <c r="C314" s="1" t="n">
        <v>46128</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59763-2022</t>
        </is>
      </c>
      <c r="B315" s="1" t="n">
        <v>44900</v>
      </c>
      <c r="C315" s="1" t="n">
        <v>46128</v>
      </c>
      <c r="D315" t="inlineStr">
        <is>
          <t>SKÅNE LÄN</t>
        </is>
      </c>
      <c r="E315" t="inlineStr">
        <is>
          <t>HÄSSLEHOLM</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677-2024</t>
        </is>
      </c>
      <c r="B316" s="1" t="n">
        <v>45300</v>
      </c>
      <c r="C316" s="1" t="n">
        <v>46128</v>
      </c>
      <c r="D316" t="inlineStr">
        <is>
          <t>SKÅNE LÄN</t>
        </is>
      </c>
      <c r="E316" t="inlineStr">
        <is>
          <t>HÄSSLEHOLM</t>
        </is>
      </c>
      <c r="G316" t="n">
        <v>6.8</v>
      </c>
      <c r="H316" t="n">
        <v>0</v>
      </c>
      <c r="I316" t="n">
        <v>0</v>
      </c>
      <c r="J316" t="n">
        <v>0</v>
      </c>
      <c r="K316" t="n">
        <v>0</v>
      </c>
      <c r="L316" t="n">
        <v>0</v>
      </c>
      <c r="M316" t="n">
        <v>0</v>
      </c>
      <c r="N316" t="n">
        <v>0</v>
      </c>
      <c r="O316" t="n">
        <v>0</v>
      </c>
      <c r="P316" t="n">
        <v>0</v>
      </c>
      <c r="Q316" t="n">
        <v>0</v>
      </c>
      <c r="R316" s="2" t="inlineStr"/>
    </row>
    <row r="317" ht="15" customHeight="1">
      <c r="A317" t="inlineStr">
        <is>
          <t>A 39457-2025</t>
        </is>
      </c>
      <c r="B317" s="1" t="n">
        <v>45889.76887731482</v>
      </c>
      <c r="C317" s="1" t="n">
        <v>46128</v>
      </c>
      <c r="D317" t="inlineStr">
        <is>
          <t>SKÅNE LÄN</t>
        </is>
      </c>
      <c r="E317" t="inlineStr">
        <is>
          <t>HÄSSLEHOLM</t>
        </is>
      </c>
      <c r="G317" t="n">
        <v>6.6</v>
      </c>
      <c r="H317" t="n">
        <v>0</v>
      </c>
      <c r="I317" t="n">
        <v>0</v>
      </c>
      <c r="J317" t="n">
        <v>0</v>
      </c>
      <c r="K317" t="n">
        <v>0</v>
      </c>
      <c r="L317" t="n">
        <v>0</v>
      </c>
      <c r="M317" t="n">
        <v>0</v>
      </c>
      <c r="N317" t="n">
        <v>0</v>
      </c>
      <c r="O317" t="n">
        <v>0</v>
      </c>
      <c r="P317" t="n">
        <v>0</v>
      </c>
      <c r="Q317" t="n">
        <v>0</v>
      </c>
      <c r="R317" s="2" t="inlineStr"/>
    </row>
    <row r="318" ht="15" customHeight="1">
      <c r="A318" t="inlineStr">
        <is>
          <t>A 32834-2024</t>
        </is>
      </c>
      <c r="B318" s="1" t="n">
        <v>45516.6025</v>
      </c>
      <c r="C318" s="1" t="n">
        <v>46128</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43061-2024</t>
        </is>
      </c>
      <c r="B319" s="1" t="n">
        <v>45567</v>
      </c>
      <c r="C319" s="1" t="n">
        <v>46128</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21328-2023</t>
        </is>
      </c>
      <c r="B320" s="1" t="n">
        <v>45062</v>
      </c>
      <c r="C320" s="1" t="n">
        <v>46128</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10277-2023</t>
        </is>
      </c>
      <c r="B321" s="1" t="n">
        <v>44986</v>
      </c>
      <c r="C321" s="1" t="n">
        <v>46128</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10290-2023</t>
        </is>
      </c>
      <c r="B322" s="1" t="n">
        <v>44986</v>
      </c>
      <c r="C322" s="1" t="n">
        <v>46128</v>
      </c>
      <c r="D322" t="inlineStr">
        <is>
          <t>SKÅNE LÄN</t>
        </is>
      </c>
      <c r="E322" t="inlineStr">
        <is>
          <t>HÄSSLEHOLM</t>
        </is>
      </c>
      <c r="G322" t="n">
        <v>1</v>
      </c>
      <c r="H322" t="n">
        <v>0</v>
      </c>
      <c r="I322" t="n">
        <v>0</v>
      </c>
      <c r="J322" t="n">
        <v>0</v>
      </c>
      <c r="K322" t="n">
        <v>0</v>
      </c>
      <c r="L322" t="n">
        <v>0</v>
      </c>
      <c r="M322" t="n">
        <v>0</v>
      </c>
      <c r="N322" t="n">
        <v>0</v>
      </c>
      <c r="O322" t="n">
        <v>0</v>
      </c>
      <c r="P322" t="n">
        <v>0</v>
      </c>
      <c r="Q322" t="n">
        <v>0</v>
      </c>
      <c r="R322" s="2" t="inlineStr"/>
    </row>
    <row r="323" ht="15" customHeight="1">
      <c r="A323" t="inlineStr">
        <is>
          <t>A 49199-2024</t>
        </is>
      </c>
      <c r="B323" s="1" t="n">
        <v>45595</v>
      </c>
      <c r="C323" s="1" t="n">
        <v>46128</v>
      </c>
      <c r="D323" t="inlineStr">
        <is>
          <t>SKÅNE LÄN</t>
        </is>
      </c>
      <c r="E323" t="inlineStr">
        <is>
          <t>HÄSSLEHOLM</t>
        </is>
      </c>
      <c r="G323" t="n">
        <v>5.2</v>
      </c>
      <c r="H323" t="n">
        <v>0</v>
      </c>
      <c r="I323" t="n">
        <v>0</v>
      </c>
      <c r="J323" t="n">
        <v>0</v>
      </c>
      <c r="K323" t="n">
        <v>0</v>
      </c>
      <c r="L323" t="n">
        <v>0</v>
      </c>
      <c r="M323" t="n">
        <v>0</v>
      </c>
      <c r="N323" t="n">
        <v>0</v>
      </c>
      <c r="O323" t="n">
        <v>0</v>
      </c>
      <c r="P323" t="n">
        <v>0</v>
      </c>
      <c r="Q323" t="n">
        <v>0</v>
      </c>
      <c r="R323" s="2" t="inlineStr"/>
    </row>
    <row r="324" ht="15" customHeight="1">
      <c r="A324" t="inlineStr">
        <is>
          <t>A 6619-2024</t>
        </is>
      </c>
      <c r="B324" s="1" t="n">
        <v>45341.6021412037</v>
      </c>
      <c r="C324" s="1" t="n">
        <v>46128</v>
      </c>
      <c r="D324" t="inlineStr">
        <is>
          <t>SKÅNE LÄN</t>
        </is>
      </c>
      <c r="E324" t="inlineStr">
        <is>
          <t>HÄSSLEHOLM</t>
        </is>
      </c>
      <c r="G324" t="n">
        <v>1</v>
      </c>
      <c r="H324" t="n">
        <v>0</v>
      </c>
      <c r="I324" t="n">
        <v>0</v>
      </c>
      <c r="J324" t="n">
        <v>0</v>
      </c>
      <c r="K324" t="n">
        <v>0</v>
      </c>
      <c r="L324" t="n">
        <v>0</v>
      </c>
      <c r="M324" t="n">
        <v>0</v>
      </c>
      <c r="N324" t="n">
        <v>0</v>
      </c>
      <c r="O324" t="n">
        <v>0</v>
      </c>
      <c r="P324" t="n">
        <v>0</v>
      </c>
      <c r="Q324" t="n">
        <v>0</v>
      </c>
      <c r="R324" s="2" t="inlineStr"/>
    </row>
    <row r="325" ht="15" customHeight="1">
      <c r="A325" t="inlineStr">
        <is>
          <t>A 20666-2023</t>
        </is>
      </c>
      <c r="B325" s="1" t="n">
        <v>45058.35664351852</v>
      </c>
      <c r="C325" s="1" t="n">
        <v>46128</v>
      </c>
      <c r="D325" t="inlineStr">
        <is>
          <t>SKÅNE LÄN</t>
        </is>
      </c>
      <c r="E325" t="inlineStr">
        <is>
          <t>HÄSSLEHOLM</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39366-2025</t>
        </is>
      </c>
      <c r="B326" s="1" t="n">
        <v>45889</v>
      </c>
      <c r="C326" s="1" t="n">
        <v>46128</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19593-2023</t>
        </is>
      </c>
      <c r="B327" s="1" t="n">
        <v>45050.75895833333</v>
      </c>
      <c r="C327" s="1" t="n">
        <v>46128</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58886-2024</t>
        </is>
      </c>
      <c r="B328" s="1" t="n">
        <v>45636.45380787037</v>
      </c>
      <c r="C328" s="1" t="n">
        <v>46128</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15562-2024</t>
        </is>
      </c>
      <c r="B329" s="1" t="n">
        <v>45401.64975694445</v>
      </c>
      <c r="C329" s="1" t="n">
        <v>46128</v>
      </c>
      <c r="D329" t="inlineStr">
        <is>
          <t>SKÅNE LÄN</t>
        </is>
      </c>
      <c r="E329" t="inlineStr">
        <is>
          <t>HÄSSLEHOLM</t>
        </is>
      </c>
      <c r="G329" t="n">
        <v>0.8</v>
      </c>
      <c r="H329" t="n">
        <v>0</v>
      </c>
      <c r="I329" t="n">
        <v>0</v>
      </c>
      <c r="J329" t="n">
        <v>0</v>
      </c>
      <c r="K329" t="n">
        <v>0</v>
      </c>
      <c r="L329" t="n">
        <v>0</v>
      </c>
      <c r="M329" t="n">
        <v>0</v>
      </c>
      <c r="N329" t="n">
        <v>0</v>
      </c>
      <c r="O329" t="n">
        <v>0</v>
      </c>
      <c r="P329" t="n">
        <v>0</v>
      </c>
      <c r="Q329" t="n">
        <v>0</v>
      </c>
      <c r="R329" s="2" t="inlineStr"/>
    </row>
    <row r="330" ht="15" customHeight="1">
      <c r="A330" t="inlineStr">
        <is>
          <t>A 7494-2023</t>
        </is>
      </c>
      <c r="B330" s="1" t="n">
        <v>44971.70835648148</v>
      </c>
      <c r="C330" s="1" t="n">
        <v>46128</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6087-2025</t>
        </is>
      </c>
      <c r="B331" s="1" t="n">
        <v>45697.69782407407</v>
      </c>
      <c r="C331" s="1" t="n">
        <v>46128</v>
      </c>
      <c r="D331" t="inlineStr">
        <is>
          <t>SKÅNE LÄN</t>
        </is>
      </c>
      <c r="E331" t="inlineStr">
        <is>
          <t>HÄSSLEHOLM</t>
        </is>
      </c>
      <c r="G331" t="n">
        <v>1.4</v>
      </c>
      <c r="H331" t="n">
        <v>0</v>
      </c>
      <c r="I331" t="n">
        <v>0</v>
      </c>
      <c r="J331" t="n">
        <v>0</v>
      </c>
      <c r="K331" t="n">
        <v>0</v>
      </c>
      <c r="L331" t="n">
        <v>0</v>
      </c>
      <c r="M331" t="n">
        <v>0</v>
      </c>
      <c r="N331" t="n">
        <v>0</v>
      </c>
      <c r="O331" t="n">
        <v>0</v>
      </c>
      <c r="P331" t="n">
        <v>0</v>
      </c>
      <c r="Q331" t="n">
        <v>0</v>
      </c>
      <c r="R331" s="2" t="inlineStr"/>
    </row>
    <row r="332" ht="15" customHeight="1">
      <c r="A332" t="inlineStr">
        <is>
          <t>A 13345-2025</t>
        </is>
      </c>
      <c r="B332" s="1" t="n">
        <v>45735.63017361111</v>
      </c>
      <c r="C332" s="1" t="n">
        <v>46128</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50571-2023</t>
        </is>
      </c>
      <c r="B333" s="1" t="n">
        <v>45217.38359953704</v>
      </c>
      <c r="C333" s="1" t="n">
        <v>46128</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12469-2023</t>
        </is>
      </c>
      <c r="B334" s="1" t="n">
        <v>44999.62109953703</v>
      </c>
      <c r="C334" s="1" t="n">
        <v>46128</v>
      </c>
      <c r="D334" t="inlineStr">
        <is>
          <t>SKÅNE LÄN</t>
        </is>
      </c>
      <c r="E334" t="inlineStr">
        <is>
          <t>HÄSSLEHOLM</t>
        </is>
      </c>
      <c r="G334" t="n">
        <v>2.6</v>
      </c>
      <c r="H334" t="n">
        <v>0</v>
      </c>
      <c r="I334" t="n">
        <v>0</v>
      </c>
      <c r="J334" t="n">
        <v>0</v>
      </c>
      <c r="K334" t="n">
        <v>0</v>
      </c>
      <c r="L334" t="n">
        <v>0</v>
      </c>
      <c r="M334" t="n">
        <v>0</v>
      </c>
      <c r="N334" t="n">
        <v>0</v>
      </c>
      <c r="O334" t="n">
        <v>0</v>
      </c>
      <c r="P334" t="n">
        <v>0</v>
      </c>
      <c r="Q334" t="n">
        <v>0</v>
      </c>
      <c r="R334" s="2" t="inlineStr"/>
    </row>
    <row r="335" ht="15" customHeight="1">
      <c r="A335" t="inlineStr">
        <is>
          <t>A 39934-2025</t>
        </is>
      </c>
      <c r="B335" s="1" t="n">
        <v>45891.71465277778</v>
      </c>
      <c r="C335" s="1" t="n">
        <v>46128</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48663-2024</t>
        </is>
      </c>
      <c r="B336" s="1" t="n">
        <v>45593.48892361111</v>
      </c>
      <c r="C336" s="1" t="n">
        <v>46128</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18041-2023</t>
        </is>
      </c>
      <c r="B337" s="1" t="n">
        <v>45040</v>
      </c>
      <c r="C337" s="1" t="n">
        <v>46128</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50659-2023</t>
        </is>
      </c>
      <c r="B338" s="1" t="n">
        <v>45217</v>
      </c>
      <c r="C338" s="1" t="n">
        <v>46128</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16950-2025</t>
        </is>
      </c>
      <c r="B339" s="1" t="n">
        <v>45755</v>
      </c>
      <c r="C339" s="1" t="n">
        <v>46128</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58618-2024</t>
        </is>
      </c>
      <c r="B340" s="1" t="n">
        <v>45635.56150462963</v>
      </c>
      <c r="C340" s="1" t="n">
        <v>46128</v>
      </c>
      <c r="D340" t="inlineStr">
        <is>
          <t>SKÅNE LÄN</t>
        </is>
      </c>
      <c r="E340" t="inlineStr">
        <is>
          <t>HÄSSLEHOLM</t>
        </is>
      </c>
      <c r="G340" t="n">
        <v>2.3</v>
      </c>
      <c r="H340" t="n">
        <v>0</v>
      </c>
      <c r="I340" t="n">
        <v>0</v>
      </c>
      <c r="J340" t="n">
        <v>0</v>
      </c>
      <c r="K340" t="n">
        <v>0</v>
      </c>
      <c r="L340" t="n">
        <v>0</v>
      </c>
      <c r="M340" t="n">
        <v>0</v>
      </c>
      <c r="N340" t="n">
        <v>0</v>
      </c>
      <c r="O340" t="n">
        <v>0</v>
      </c>
      <c r="P340" t="n">
        <v>0</v>
      </c>
      <c r="Q340" t="n">
        <v>0</v>
      </c>
      <c r="R340" s="2" t="inlineStr"/>
    </row>
    <row r="341" ht="15" customHeight="1">
      <c r="A341" t="inlineStr">
        <is>
          <t>A 39937-2025</t>
        </is>
      </c>
      <c r="B341" s="1" t="n">
        <v>45891.73162037037</v>
      </c>
      <c r="C341" s="1" t="n">
        <v>46128</v>
      </c>
      <c r="D341" t="inlineStr">
        <is>
          <t>SKÅNE LÄN</t>
        </is>
      </c>
      <c r="E341" t="inlineStr">
        <is>
          <t>HÄSSLEHOLM</t>
        </is>
      </c>
      <c r="G341" t="n">
        <v>4.5</v>
      </c>
      <c r="H341" t="n">
        <v>0</v>
      </c>
      <c r="I341" t="n">
        <v>0</v>
      </c>
      <c r="J341" t="n">
        <v>0</v>
      </c>
      <c r="K341" t="n">
        <v>0</v>
      </c>
      <c r="L341" t="n">
        <v>0</v>
      </c>
      <c r="M341" t="n">
        <v>0</v>
      </c>
      <c r="N341" t="n">
        <v>0</v>
      </c>
      <c r="O341" t="n">
        <v>0</v>
      </c>
      <c r="P341" t="n">
        <v>0</v>
      </c>
      <c r="Q341" t="n">
        <v>0</v>
      </c>
      <c r="R341" s="2" t="inlineStr"/>
    </row>
    <row r="342" ht="15" customHeight="1">
      <c r="A342" t="inlineStr">
        <is>
          <t>A 27464-2022</t>
        </is>
      </c>
      <c r="B342" s="1" t="n">
        <v>44742.58704861111</v>
      </c>
      <c r="C342" s="1" t="n">
        <v>46128</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9555-2025</t>
        </is>
      </c>
      <c r="B343" s="1" t="n">
        <v>45714</v>
      </c>
      <c r="C343" s="1" t="n">
        <v>46128</v>
      </c>
      <c r="D343" t="inlineStr">
        <is>
          <t>SKÅNE LÄN</t>
        </is>
      </c>
      <c r="E343" t="inlineStr">
        <is>
          <t>HÄSSLEHOLM</t>
        </is>
      </c>
      <c r="G343" t="n">
        <v>5.4</v>
      </c>
      <c r="H343" t="n">
        <v>0</v>
      </c>
      <c r="I343" t="n">
        <v>0</v>
      </c>
      <c r="J343" t="n">
        <v>0</v>
      </c>
      <c r="K343" t="n">
        <v>0</v>
      </c>
      <c r="L343" t="n">
        <v>0</v>
      </c>
      <c r="M343" t="n">
        <v>0</v>
      </c>
      <c r="N343" t="n">
        <v>0</v>
      </c>
      <c r="O343" t="n">
        <v>0</v>
      </c>
      <c r="P343" t="n">
        <v>0</v>
      </c>
      <c r="Q343" t="n">
        <v>0</v>
      </c>
      <c r="R343" s="2" t="inlineStr"/>
    </row>
    <row r="344" ht="15" customHeight="1">
      <c r="A344" t="inlineStr">
        <is>
          <t>A 52337-2023</t>
        </is>
      </c>
      <c r="B344" s="1" t="n">
        <v>45224.66359953704</v>
      </c>
      <c r="C344" s="1" t="n">
        <v>46128</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40241-2025</t>
        </is>
      </c>
      <c r="B345" s="1" t="n">
        <v>45894.87251157407</v>
      </c>
      <c r="C345" s="1" t="n">
        <v>46128</v>
      </c>
      <c r="D345" t="inlineStr">
        <is>
          <t>SKÅNE LÄN</t>
        </is>
      </c>
      <c r="E345" t="inlineStr">
        <is>
          <t>HÄSSLEHOLM</t>
        </is>
      </c>
      <c r="G345" t="n">
        <v>3.8</v>
      </c>
      <c r="H345" t="n">
        <v>0</v>
      </c>
      <c r="I345" t="n">
        <v>0</v>
      </c>
      <c r="J345" t="n">
        <v>0</v>
      </c>
      <c r="K345" t="n">
        <v>0</v>
      </c>
      <c r="L345" t="n">
        <v>0</v>
      </c>
      <c r="M345" t="n">
        <v>0</v>
      </c>
      <c r="N345" t="n">
        <v>0</v>
      </c>
      <c r="O345" t="n">
        <v>0</v>
      </c>
      <c r="P345" t="n">
        <v>0</v>
      </c>
      <c r="Q345" t="n">
        <v>0</v>
      </c>
      <c r="R345" s="2" t="inlineStr"/>
    </row>
    <row r="346" ht="15" customHeight="1">
      <c r="A346" t="inlineStr">
        <is>
          <t>A 18580-2023</t>
        </is>
      </c>
      <c r="B346" s="1" t="n">
        <v>45043.37037037037</v>
      </c>
      <c r="C346" s="1" t="n">
        <v>46128</v>
      </c>
      <c r="D346" t="inlineStr">
        <is>
          <t>SKÅNE LÄN</t>
        </is>
      </c>
      <c r="E346" t="inlineStr">
        <is>
          <t>HÄSSLEHOLM</t>
        </is>
      </c>
      <c r="G346" t="n">
        <v>1.5</v>
      </c>
      <c r="H346" t="n">
        <v>0</v>
      </c>
      <c r="I346" t="n">
        <v>0</v>
      </c>
      <c r="J346" t="n">
        <v>0</v>
      </c>
      <c r="K346" t="n">
        <v>0</v>
      </c>
      <c r="L346" t="n">
        <v>0</v>
      </c>
      <c r="M346" t="n">
        <v>0</v>
      </c>
      <c r="N346" t="n">
        <v>0</v>
      </c>
      <c r="O346" t="n">
        <v>0</v>
      </c>
      <c r="P346" t="n">
        <v>0</v>
      </c>
      <c r="Q346" t="n">
        <v>0</v>
      </c>
      <c r="R346" s="2" t="inlineStr"/>
    </row>
    <row r="347" ht="15" customHeight="1">
      <c r="A347" t="inlineStr">
        <is>
          <t>A 50525-2024</t>
        </is>
      </c>
      <c r="B347" s="1" t="n">
        <v>45601</v>
      </c>
      <c r="C347" s="1" t="n">
        <v>46128</v>
      </c>
      <c r="D347" t="inlineStr">
        <is>
          <t>SKÅNE LÄN</t>
        </is>
      </c>
      <c r="E347" t="inlineStr">
        <is>
          <t>HÄSSLEHOLM</t>
        </is>
      </c>
      <c r="G347" t="n">
        <v>2.6</v>
      </c>
      <c r="H347" t="n">
        <v>0</v>
      </c>
      <c r="I347" t="n">
        <v>0</v>
      </c>
      <c r="J347" t="n">
        <v>0</v>
      </c>
      <c r="K347" t="n">
        <v>0</v>
      </c>
      <c r="L347" t="n">
        <v>0</v>
      </c>
      <c r="M347" t="n">
        <v>0</v>
      </c>
      <c r="N347" t="n">
        <v>0</v>
      </c>
      <c r="O347" t="n">
        <v>0</v>
      </c>
      <c r="P347" t="n">
        <v>0</v>
      </c>
      <c r="Q347" t="n">
        <v>0</v>
      </c>
      <c r="R347" s="2" t="inlineStr"/>
    </row>
    <row r="348" ht="15" customHeight="1">
      <c r="A348" t="inlineStr">
        <is>
          <t>A 27242-2022</t>
        </is>
      </c>
      <c r="B348" s="1" t="n">
        <v>44741</v>
      </c>
      <c r="C348" s="1" t="n">
        <v>46128</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13084-2025</t>
        </is>
      </c>
      <c r="B349" s="1" t="n">
        <v>45734</v>
      </c>
      <c r="C349" s="1" t="n">
        <v>46128</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27197-2021</t>
        </is>
      </c>
      <c r="B350" s="1" t="n">
        <v>44350</v>
      </c>
      <c r="C350" s="1" t="n">
        <v>46128</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17335-2024</t>
        </is>
      </c>
      <c r="B351" s="1" t="n">
        <v>45414.5687962963</v>
      </c>
      <c r="C351" s="1" t="n">
        <v>46128</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50000-2023</t>
        </is>
      </c>
      <c r="B352" s="1" t="n">
        <v>45215.4434837963</v>
      </c>
      <c r="C352" s="1" t="n">
        <v>46128</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27991-2024</t>
        </is>
      </c>
      <c r="B353" s="1" t="n">
        <v>45476</v>
      </c>
      <c r="C353" s="1" t="n">
        <v>46128</v>
      </c>
      <c r="D353" t="inlineStr">
        <is>
          <t>SKÅNE LÄN</t>
        </is>
      </c>
      <c r="E353" t="inlineStr">
        <is>
          <t>HÄSSLEHOLM</t>
        </is>
      </c>
      <c r="G353" t="n">
        <v>5.8</v>
      </c>
      <c r="H353" t="n">
        <v>0</v>
      </c>
      <c r="I353" t="n">
        <v>0</v>
      </c>
      <c r="J353" t="n">
        <v>0</v>
      </c>
      <c r="K353" t="n">
        <v>0</v>
      </c>
      <c r="L353" t="n">
        <v>0</v>
      </c>
      <c r="M353" t="n">
        <v>0</v>
      </c>
      <c r="N353" t="n">
        <v>0</v>
      </c>
      <c r="O353" t="n">
        <v>0</v>
      </c>
      <c r="P353" t="n">
        <v>0</v>
      </c>
      <c r="Q353" t="n">
        <v>0</v>
      </c>
      <c r="R353" s="2" t="inlineStr"/>
    </row>
    <row r="354" ht="15" customHeight="1">
      <c r="A354" t="inlineStr">
        <is>
          <t>A 33465-2024</t>
        </is>
      </c>
      <c r="B354" s="1" t="n">
        <v>45519.59619212963</v>
      </c>
      <c r="C354" s="1" t="n">
        <v>46128</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6612-2024</t>
        </is>
      </c>
      <c r="B355" s="1" t="n">
        <v>45341.58859953703</v>
      </c>
      <c r="C355" s="1" t="n">
        <v>46128</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5887-2025</t>
        </is>
      </c>
      <c r="B356" s="1" t="n">
        <v>45695.37925925926</v>
      </c>
      <c r="C356" s="1" t="n">
        <v>46128</v>
      </c>
      <c r="D356" t="inlineStr">
        <is>
          <t>SKÅNE LÄN</t>
        </is>
      </c>
      <c r="E356" t="inlineStr">
        <is>
          <t>HÄSSLEHOLM</t>
        </is>
      </c>
      <c r="G356" t="n">
        <v>4.8</v>
      </c>
      <c r="H356" t="n">
        <v>0</v>
      </c>
      <c r="I356" t="n">
        <v>0</v>
      </c>
      <c r="J356" t="n">
        <v>0</v>
      </c>
      <c r="K356" t="n">
        <v>0</v>
      </c>
      <c r="L356" t="n">
        <v>0</v>
      </c>
      <c r="M356" t="n">
        <v>0</v>
      </c>
      <c r="N356" t="n">
        <v>0</v>
      </c>
      <c r="O356" t="n">
        <v>0</v>
      </c>
      <c r="P356" t="n">
        <v>0</v>
      </c>
      <c r="Q356" t="n">
        <v>0</v>
      </c>
      <c r="R356" s="2" t="inlineStr"/>
    </row>
    <row r="357" ht="15" customHeight="1">
      <c r="A357" t="inlineStr">
        <is>
          <t>A 8760-2024</t>
        </is>
      </c>
      <c r="B357" s="1" t="n">
        <v>45356.53420138889</v>
      </c>
      <c r="C357" s="1" t="n">
        <v>46128</v>
      </c>
      <c r="D357" t="inlineStr">
        <is>
          <t>SKÅNE LÄN</t>
        </is>
      </c>
      <c r="E357" t="inlineStr">
        <is>
          <t>HÄSSLEHOLM</t>
        </is>
      </c>
      <c r="G357" t="n">
        <v>6.1</v>
      </c>
      <c r="H357" t="n">
        <v>0</v>
      </c>
      <c r="I357" t="n">
        <v>0</v>
      </c>
      <c r="J357" t="n">
        <v>0</v>
      </c>
      <c r="K357" t="n">
        <v>0</v>
      </c>
      <c r="L357" t="n">
        <v>0</v>
      </c>
      <c r="M357" t="n">
        <v>0</v>
      </c>
      <c r="N357" t="n">
        <v>0</v>
      </c>
      <c r="O357" t="n">
        <v>0</v>
      </c>
      <c r="P357" t="n">
        <v>0</v>
      </c>
      <c r="Q357" t="n">
        <v>0</v>
      </c>
      <c r="R357" s="2" t="inlineStr"/>
    </row>
    <row r="358" ht="15" customHeight="1">
      <c r="A358" t="inlineStr">
        <is>
          <t>A 31986-2023</t>
        </is>
      </c>
      <c r="B358" s="1" t="n">
        <v>45119</v>
      </c>
      <c r="C358" s="1" t="n">
        <v>46128</v>
      </c>
      <c r="D358" t="inlineStr">
        <is>
          <t>SKÅNE LÄN</t>
        </is>
      </c>
      <c r="E358" t="inlineStr">
        <is>
          <t>HÄSSLEHOLM</t>
        </is>
      </c>
      <c r="G358" t="n">
        <v>1.7</v>
      </c>
      <c r="H358" t="n">
        <v>0</v>
      </c>
      <c r="I358" t="n">
        <v>0</v>
      </c>
      <c r="J358" t="n">
        <v>0</v>
      </c>
      <c r="K358" t="n">
        <v>0</v>
      </c>
      <c r="L358" t="n">
        <v>0</v>
      </c>
      <c r="M358" t="n">
        <v>0</v>
      </c>
      <c r="N358" t="n">
        <v>0</v>
      </c>
      <c r="O358" t="n">
        <v>0</v>
      </c>
      <c r="P358" t="n">
        <v>0</v>
      </c>
      <c r="Q358" t="n">
        <v>0</v>
      </c>
      <c r="R358" s="2" t="inlineStr"/>
    </row>
    <row r="359" ht="15" customHeight="1">
      <c r="A359" t="inlineStr">
        <is>
          <t>A 50607-2023</t>
        </is>
      </c>
      <c r="B359" s="1" t="n">
        <v>45210</v>
      </c>
      <c r="C359" s="1" t="n">
        <v>46128</v>
      </c>
      <c r="D359" t="inlineStr">
        <is>
          <t>SKÅNE LÄN</t>
        </is>
      </c>
      <c r="E359" t="inlineStr">
        <is>
          <t>HÄSSLEHOLM</t>
        </is>
      </c>
      <c r="G359" t="n">
        <v>1.8</v>
      </c>
      <c r="H359" t="n">
        <v>0</v>
      </c>
      <c r="I359" t="n">
        <v>0</v>
      </c>
      <c r="J359" t="n">
        <v>0</v>
      </c>
      <c r="K359" t="n">
        <v>0</v>
      </c>
      <c r="L359" t="n">
        <v>0</v>
      </c>
      <c r="M359" t="n">
        <v>0</v>
      </c>
      <c r="N359" t="n">
        <v>0</v>
      </c>
      <c r="O359" t="n">
        <v>0</v>
      </c>
      <c r="P359" t="n">
        <v>0</v>
      </c>
      <c r="Q359" t="n">
        <v>0</v>
      </c>
      <c r="R359" s="2" t="inlineStr"/>
    </row>
    <row r="360" ht="15" customHeight="1">
      <c r="A360" t="inlineStr">
        <is>
          <t>A 50616-2023</t>
        </is>
      </c>
      <c r="B360" s="1" t="n">
        <v>45210</v>
      </c>
      <c r="C360" s="1" t="n">
        <v>46128</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48889-2024</t>
        </is>
      </c>
      <c r="B361" s="1" t="n">
        <v>45594.33754629629</v>
      </c>
      <c r="C361" s="1" t="n">
        <v>46128</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41209-2023</t>
        </is>
      </c>
      <c r="B362" s="1" t="n">
        <v>45174.43481481481</v>
      </c>
      <c r="C362" s="1" t="n">
        <v>46128</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61197-2024</t>
        </is>
      </c>
      <c r="B363" s="1" t="n">
        <v>45645.63184027778</v>
      </c>
      <c r="C363" s="1" t="n">
        <v>46128</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13549-2025</t>
        </is>
      </c>
      <c r="B364" s="1" t="n">
        <v>45736</v>
      </c>
      <c r="C364" s="1" t="n">
        <v>46128</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2567-2024</t>
        </is>
      </c>
      <c r="B365" s="1" t="n">
        <v>45313.62460648148</v>
      </c>
      <c r="C365" s="1" t="n">
        <v>46128</v>
      </c>
      <c r="D365" t="inlineStr">
        <is>
          <t>SKÅNE LÄN</t>
        </is>
      </c>
      <c r="E365" t="inlineStr">
        <is>
          <t>HÄSSLEHOLM</t>
        </is>
      </c>
      <c r="G365" t="n">
        <v>1.1</v>
      </c>
      <c r="H365" t="n">
        <v>0</v>
      </c>
      <c r="I365" t="n">
        <v>0</v>
      </c>
      <c r="J365" t="n">
        <v>0</v>
      </c>
      <c r="K365" t="n">
        <v>0</v>
      </c>
      <c r="L365" t="n">
        <v>0</v>
      </c>
      <c r="M365" t="n">
        <v>0</v>
      </c>
      <c r="N365" t="n">
        <v>0</v>
      </c>
      <c r="O365" t="n">
        <v>0</v>
      </c>
      <c r="P365" t="n">
        <v>0</v>
      </c>
      <c r="Q365" t="n">
        <v>0</v>
      </c>
      <c r="R365" s="2" t="inlineStr"/>
    </row>
    <row r="366" ht="15" customHeight="1">
      <c r="A366" t="inlineStr">
        <is>
          <t>A 35833-2023</t>
        </is>
      </c>
      <c r="B366" s="1" t="n">
        <v>45148</v>
      </c>
      <c r="C366" s="1" t="n">
        <v>46128</v>
      </c>
      <c r="D366" t="inlineStr">
        <is>
          <t>SKÅNE LÄN</t>
        </is>
      </c>
      <c r="E366" t="inlineStr">
        <is>
          <t>HÄSSLEHOLM</t>
        </is>
      </c>
      <c r="F366" t="inlineStr">
        <is>
          <t>Kommuner</t>
        </is>
      </c>
      <c r="G366" t="n">
        <v>2</v>
      </c>
      <c r="H366" t="n">
        <v>0</v>
      </c>
      <c r="I366" t="n">
        <v>0</v>
      </c>
      <c r="J366" t="n">
        <v>0</v>
      </c>
      <c r="K366" t="n">
        <v>0</v>
      </c>
      <c r="L366" t="n">
        <v>0</v>
      </c>
      <c r="M366" t="n">
        <v>0</v>
      </c>
      <c r="N366" t="n">
        <v>0</v>
      </c>
      <c r="O366" t="n">
        <v>0</v>
      </c>
      <c r="P366" t="n">
        <v>0</v>
      </c>
      <c r="Q366" t="n">
        <v>0</v>
      </c>
      <c r="R366" s="2" t="inlineStr"/>
    </row>
    <row r="367" ht="15" customHeight="1">
      <c r="A367" t="inlineStr">
        <is>
          <t>A 57491-2024</t>
        </is>
      </c>
      <c r="B367" s="1" t="n">
        <v>45629</v>
      </c>
      <c r="C367" s="1" t="n">
        <v>46128</v>
      </c>
      <c r="D367" t="inlineStr">
        <is>
          <t>SKÅNE LÄN</t>
        </is>
      </c>
      <c r="E367" t="inlineStr">
        <is>
          <t>HÄSSLEHOLM</t>
        </is>
      </c>
      <c r="G367" t="n">
        <v>3.2</v>
      </c>
      <c r="H367" t="n">
        <v>0</v>
      </c>
      <c r="I367" t="n">
        <v>0</v>
      </c>
      <c r="J367" t="n">
        <v>0</v>
      </c>
      <c r="K367" t="n">
        <v>0</v>
      </c>
      <c r="L367" t="n">
        <v>0</v>
      </c>
      <c r="M367" t="n">
        <v>0</v>
      </c>
      <c r="N367" t="n">
        <v>0</v>
      </c>
      <c r="O367" t="n">
        <v>0</v>
      </c>
      <c r="P367" t="n">
        <v>0</v>
      </c>
      <c r="Q367" t="n">
        <v>0</v>
      </c>
      <c r="R367" s="2" t="inlineStr"/>
    </row>
    <row r="368" ht="15" customHeight="1">
      <c r="A368" t="inlineStr">
        <is>
          <t>A 9323-2025</t>
        </is>
      </c>
      <c r="B368" s="1" t="n">
        <v>45714.73532407408</v>
      </c>
      <c r="C368" s="1" t="n">
        <v>46128</v>
      </c>
      <c r="D368" t="inlineStr">
        <is>
          <t>SKÅNE LÄN</t>
        </is>
      </c>
      <c r="E368" t="inlineStr">
        <is>
          <t>HÄSSLEHOLM</t>
        </is>
      </c>
      <c r="G368" t="n">
        <v>5.2</v>
      </c>
      <c r="H368" t="n">
        <v>0</v>
      </c>
      <c r="I368" t="n">
        <v>0</v>
      </c>
      <c r="J368" t="n">
        <v>0</v>
      </c>
      <c r="K368" t="n">
        <v>0</v>
      </c>
      <c r="L368" t="n">
        <v>0</v>
      </c>
      <c r="M368" t="n">
        <v>0</v>
      </c>
      <c r="N368" t="n">
        <v>0</v>
      </c>
      <c r="O368" t="n">
        <v>0</v>
      </c>
      <c r="P368" t="n">
        <v>0</v>
      </c>
      <c r="Q368" t="n">
        <v>0</v>
      </c>
      <c r="R368" s="2" t="inlineStr"/>
    </row>
    <row r="369" ht="15" customHeight="1">
      <c r="A369" t="inlineStr">
        <is>
          <t>A 58250-2024</t>
        </is>
      </c>
      <c r="B369" s="1" t="n">
        <v>45632.55643518519</v>
      </c>
      <c r="C369" s="1" t="n">
        <v>46128</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26207-2021</t>
        </is>
      </c>
      <c r="B370" s="1" t="n">
        <v>44347</v>
      </c>
      <c r="C370" s="1" t="n">
        <v>46128</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41400-2025</t>
        </is>
      </c>
      <c r="B371" s="1" t="n">
        <v>45901</v>
      </c>
      <c r="C371" s="1" t="n">
        <v>46128</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6798-2025</t>
        </is>
      </c>
      <c r="B372" s="1" t="n">
        <v>45700.668125</v>
      </c>
      <c r="C372" s="1" t="n">
        <v>46128</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69357-2021</t>
        </is>
      </c>
      <c r="B373" s="1" t="n">
        <v>44531</v>
      </c>
      <c r="C373" s="1" t="n">
        <v>46128</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29994-2023</t>
        </is>
      </c>
      <c r="B374" s="1" t="n">
        <v>45109.60038194444</v>
      </c>
      <c r="C374" s="1" t="n">
        <v>46128</v>
      </c>
      <c r="D374" t="inlineStr">
        <is>
          <t>SKÅNE LÄN</t>
        </is>
      </c>
      <c r="E374" t="inlineStr">
        <is>
          <t>HÄSSLEHOLM</t>
        </is>
      </c>
      <c r="G374" t="n">
        <v>2.8</v>
      </c>
      <c r="H374" t="n">
        <v>0</v>
      </c>
      <c r="I374" t="n">
        <v>0</v>
      </c>
      <c r="J374" t="n">
        <v>0</v>
      </c>
      <c r="K374" t="n">
        <v>0</v>
      </c>
      <c r="L374" t="n">
        <v>0</v>
      </c>
      <c r="M374" t="n">
        <v>0</v>
      </c>
      <c r="N374" t="n">
        <v>0</v>
      </c>
      <c r="O374" t="n">
        <v>0</v>
      </c>
      <c r="P374" t="n">
        <v>0</v>
      </c>
      <c r="Q374" t="n">
        <v>0</v>
      </c>
      <c r="R374" s="2" t="inlineStr"/>
    </row>
    <row r="375" ht="15" customHeight="1">
      <c r="A375" t="inlineStr">
        <is>
          <t>A 20872-2025</t>
        </is>
      </c>
      <c r="B375" s="1" t="n">
        <v>45777.34688657407</v>
      </c>
      <c r="C375" s="1" t="n">
        <v>46128</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41401-2025</t>
        </is>
      </c>
      <c r="B376" s="1" t="n">
        <v>45901</v>
      </c>
      <c r="C376" s="1" t="n">
        <v>46128</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37898-2021</t>
        </is>
      </c>
      <c r="B377" s="1" t="n">
        <v>44403</v>
      </c>
      <c r="C377" s="1" t="n">
        <v>46128</v>
      </c>
      <c r="D377" t="inlineStr">
        <is>
          <t>SKÅNE LÄN</t>
        </is>
      </c>
      <c r="E377" t="inlineStr">
        <is>
          <t>HÄSSLEHOLM</t>
        </is>
      </c>
      <c r="F377" t="inlineStr">
        <is>
          <t>Kommuner</t>
        </is>
      </c>
      <c r="G377" t="n">
        <v>8.4</v>
      </c>
      <c r="H377" t="n">
        <v>0</v>
      </c>
      <c r="I377" t="n">
        <v>0</v>
      </c>
      <c r="J377" t="n">
        <v>0</v>
      </c>
      <c r="K377" t="n">
        <v>0</v>
      </c>
      <c r="L377" t="n">
        <v>0</v>
      </c>
      <c r="M377" t="n">
        <v>0</v>
      </c>
      <c r="N377" t="n">
        <v>0</v>
      </c>
      <c r="O377" t="n">
        <v>0</v>
      </c>
      <c r="P377" t="n">
        <v>0</v>
      </c>
      <c r="Q377" t="n">
        <v>0</v>
      </c>
      <c r="R377" s="2" t="inlineStr"/>
    </row>
    <row r="378" ht="15" customHeight="1">
      <c r="A378" t="inlineStr">
        <is>
          <t>A 23946-2023</t>
        </is>
      </c>
      <c r="B378" s="1" t="n">
        <v>45078.61601851852</v>
      </c>
      <c r="C378" s="1" t="n">
        <v>46128</v>
      </c>
      <c r="D378" t="inlineStr">
        <is>
          <t>SKÅNE LÄN</t>
        </is>
      </c>
      <c r="E378" t="inlineStr">
        <is>
          <t>HÄSSLEHOLM</t>
        </is>
      </c>
      <c r="G378" t="n">
        <v>0.2</v>
      </c>
      <c r="H378" t="n">
        <v>0</v>
      </c>
      <c r="I378" t="n">
        <v>0</v>
      </c>
      <c r="J378" t="n">
        <v>0</v>
      </c>
      <c r="K378" t="n">
        <v>0</v>
      </c>
      <c r="L378" t="n">
        <v>0</v>
      </c>
      <c r="M378" t="n">
        <v>0</v>
      </c>
      <c r="N378" t="n">
        <v>0</v>
      </c>
      <c r="O378" t="n">
        <v>0</v>
      </c>
      <c r="P378" t="n">
        <v>0</v>
      </c>
      <c r="Q378" t="n">
        <v>0</v>
      </c>
      <c r="R378" s="2" t="inlineStr"/>
    </row>
    <row r="379" ht="15" customHeight="1">
      <c r="A379" t="inlineStr">
        <is>
          <t>A 35810-2023</t>
        </is>
      </c>
      <c r="B379" s="1" t="n">
        <v>45148.44046296296</v>
      </c>
      <c r="C379" s="1" t="n">
        <v>46128</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23172-2022</t>
        </is>
      </c>
      <c r="B380" s="1" t="n">
        <v>44719</v>
      </c>
      <c r="C380" s="1" t="n">
        <v>46128</v>
      </c>
      <c r="D380" t="inlineStr">
        <is>
          <t>SKÅNE LÄN</t>
        </is>
      </c>
      <c r="E380" t="inlineStr">
        <is>
          <t>HÄSSLEHOLM</t>
        </is>
      </c>
      <c r="F380" t="inlineStr">
        <is>
          <t>Övriga Aktiebolag</t>
        </is>
      </c>
      <c r="G380" t="n">
        <v>0.9</v>
      </c>
      <c r="H380" t="n">
        <v>0</v>
      </c>
      <c r="I380" t="n">
        <v>0</v>
      </c>
      <c r="J380" t="n">
        <v>0</v>
      </c>
      <c r="K380" t="n">
        <v>0</v>
      </c>
      <c r="L380" t="n">
        <v>0</v>
      </c>
      <c r="M380" t="n">
        <v>0</v>
      </c>
      <c r="N380" t="n">
        <v>0</v>
      </c>
      <c r="O380" t="n">
        <v>0</v>
      </c>
      <c r="P380" t="n">
        <v>0</v>
      </c>
      <c r="Q380" t="n">
        <v>0</v>
      </c>
      <c r="R380" s="2" t="inlineStr"/>
    </row>
    <row r="381" ht="15" customHeight="1">
      <c r="A381" t="inlineStr">
        <is>
          <t>A 23173-2022</t>
        </is>
      </c>
      <c r="B381" s="1" t="n">
        <v>44719.72155092593</v>
      </c>
      <c r="C381" s="1" t="n">
        <v>46128</v>
      </c>
      <c r="D381" t="inlineStr">
        <is>
          <t>SKÅNE LÄN</t>
        </is>
      </c>
      <c r="E381" t="inlineStr">
        <is>
          <t>HÄSSLEHOLM</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52608-2023</t>
        </is>
      </c>
      <c r="B382" s="1" t="n">
        <v>45219</v>
      </c>
      <c r="C382" s="1" t="n">
        <v>46128</v>
      </c>
      <c r="D382" t="inlineStr">
        <is>
          <t>SKÅNE LÄN</t>
        </is>
      </c>
      <c r="E382" t="inlineStr">
        <is>
          <t>HÄSSLEHOLM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8239-2025</t>
        </is>
      </c>
      <c r="B383" s="1" t="n">
        <v>45708.47984953703</v>
      </c>
      <c r="C383" s="1" t="n">
        <v>46128</v>
      </c>
      <c r="D383" t="inlineStr">
        <is>
          <t>SKÅNE LÄN</t>
        </is>
      </c>
      <c r="E383" t="inlineStr">
        <is>
          <t>HÄSSLEHOLM</t>
        </is>
      </c>
      <c r="G383" t="n">
        <v>2.7</v>
      </c>
      <c r="H383" t="n">
        <v>0</v>
      </c>
      <c r="I383" t="n">
        <v>0</v>
      </c>
      <c r="J383" t="n">
        <v>0</v>
      </c>
      <c r="K383" t="n">
        <v>0</v>
      </c>
      <c r="L383" t="n">
        <v>0</v>
      </c>
      <c r="M383" t="n">
        <v>0</v>
      </c>
      <c r="N383" t="n">
        <v>0</v>
      </c>
      <c r="O383" t="n">
        <v>0</v>
      </c>
      <c r="P383" t="n">
        <v>0</v>
      </c>
      <c r="Q383" t="n">
        <v>0</v>
      </c>
      <c r="R383" s="2" t="inlineStr"/>
    </row>
    <row r="384" ht="15" customHeight="1">
      <c r="A384" t="inlineStr">
        <is>
          <t>A 56355-2023</t>
        </is>
      </c>
      <c r="B384" s="1" t="n">
        <v>45243.3702662037</v>
      </c>
      <c r="C384" s="1" t="n">
        <v>46128</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21091-2025</t>
        </is>
      </c>
      <c r="B385" s="1" t="n">
        <v>45777</v>
      </c>
      <c r="C385" s="1" t="n">
        <v>46128</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49250-2022</t>
        </is>
      </c>
      <c r="B386" s="1" t="n">
        <v>44858</v>
      </c>
      <c r="C386" s="1" t="n">
        <v>46128</v>
      </c>
      <c r="D386" t="inlineStr">
        <is>
          <t>SKÅNE LÄN</t>
        </is>
      </c>
      <c r="E386" t="inlineStr">
        <is>
          <t>HÄSSLEHOLM</t>
        </is>
      </c>
      <c r="F386" t="inlineStr">
        <is>
          <t>Kyrkan</t>
        </is>
      </c>
      <c r="G386" t="n">
        <v>1.5</v>
      </c>
      <c r="H386" t="n">
        <v>0</v>
      </c>
      <c r="I386" t="n">
        <v>0</v>
      </c>
      <c r="J386" t="n">
        <v>0</v>
      </c>
      <c r="K386" t="n">
        <v>0</v>
      </c>
      <c r="L386" t="n">
        <v>0</v>
      </c>
      <c r="M386" t="n">
        <v>0</v>
      </c>
      <c r="N386" t="n">
        <v>0</v>
      </c>
      <c r="O386" t="n">
        <v>0</v>
      </c>
      <c r="P386" t="n">
        <v>0</v>
      </c>
      <c r="Q386" t="n">
        <v>0</v>
      </c>
      <c r="R386" s="2" t="inlineStr"/>
    </row>
    <row r="387" ht="15" customHeight="1">
      <c r="A387" t="inlineStr">
        <is>
          <t>A 21206-2025</t>
        </is>
      </c>
      <c r="B387" s="1" t="n">
        <v>45779.48318287037</v>
      </c>
      <c r="C387" s="1" t="n">
        <v>46128</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9394-2025</t>
        </is>
      </c>
      <c r="B388" s="1" t="n">
        <v>45715.36387731481</v>
      </c>
      <c r="C388" s="1" t="n">
        <v>46128</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7305-2025</t>
        </is>
      </c>
      <c r="B389" s="1" t="n">
        <v>45702</v>
      </c>
      <c r="C389" s="1" t="n">
        <v>46128</v>
      </c>
      <c r="D389" t="inlineStr">
        <is>
          <t>SKÅNE LÄN</t>
        </is>
      </c>
      <c r="E389" t="inlineStr">
        <is>
          <t>HÄSSLEHOLM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52341-2023</t>
        </is>
      </c>
      <c r="B390" s="1" t="n">
        <v>45224.67006944444</v>
      </c>
      <c r="C390" s="1" t="n">
        <v>46128</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29845-2024</t>
        </is>
      </c>
      <c r="B391" s="1" t="n">
        <v>45485.6212037037</v>
      </c>
      <c r="C391" s="1" t="n">
        <v>46128</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20006-2025</t>
        </is>
      </c>
      <c r="B392" s="1" t="n">
        <v>45772.05032407407</v>
      </c>
      <c r="C392" s="1" t="n">
        <v>46128</v>
      </c>
      <c r="D392" t="inlineStr">
        <is>
          <t>SKÅNE LÄN</t>
        </is>
      </c>
      <c r="E392" t="inlineStr">
        <is>
          <t>HÄSSLEHOLM</t>
        </is>
      </c>
      <c r="G392" t="n">
        <v>3.9</v>
      </c>
      <c r="H392" t="n">
        <v>0</v>
      </c>
      <c r="I392" t="n">
        <v>0</v>
      </c>
      <c r="J392" t="n">
        <v>0</v>
      </c>
      <c r="K392" t="n">
        <v>0</v>
      </c>
      <c r="L392" t="n">
        <v>0</v>
      </c>
      <c r="M392" t="n">
        <v>0</v>
      </c>
      <c r="N392" t="n">
        <v>0</v>
      </c>
      <c r="O392" t="n">
        <v>0</v>
      </c>
      <c r="P392" t="n">
        <v>0</v>
      </c>
      <c r="Q392" t="n">
        <v>0</v>
      </c>
      <c r="R392" s="2" t="inlineStr"/>
    </row>
    <row r="393" ht="15" customHeight="1">
      <c r="A393" t="inlineStr">
        <is>
          <t>A 61533-2024</t>
        </is>
      </c>
      <c r="B393" s="1" t="n">
        <v>45646</v>
      </c>
      <c r="C393" s="1" t="n">
        <v>46128</v>
      </c>
      <c r="D393" t="inlineStr">
        <is>
          <t>SKÅNE LÄN</t>
        </is>
      </c>
      <c r="E393" t="inlineStr">
        <is>
          <t>HÄSSLEHOLM</t>
        </is>
      </c>
      <c r="G393" t="n">
        <v>4.5</v>
      </c>
      <c r="H393" t="n">
        <v>0</v>
      </c>
      <c r="I393" t="n">
        <v>0</v>
      </c>
      <c r="J393" t="n">
        <v>0</v>
      </c>
      <c r="K393" t="n">
        <v>0</v>
      </c>
      <c r="L393" t="n">
        <v>0</v>
      </c>
      <c r="M393" t="n">
        <v>0</v>
      </c>
      <c r="N393" t="n">
        <v>0</v>
      </c>
      <c r="O393" t="n">
        <v>0</v>
      </c>
      <c r="P393" t="n">
        <v>0</v>
      </c>
      <c r="Q393" t="n">
        <v>0</v>
      </c>
      <c r="R393" s="2" t="inlineStr"/>
    </row>
    <row r="394" ht="15" customHeight="1">
      <c r="A394" t="inlineStr">
        <is>
          <t>A 27173-2024</t>
        </is>
      </c>
      <c r="B394" s="1" t="n">
        <v>45471.57048611111</v>
      </c>
      <c r="C394" s="1" t="n">
        <v>46128</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8759-2024</t>
        </is>
      </c>
      <c r="B395" s="1" t="n">
        <v>45356.52271990741</v>
      </c>
      <c r="C395" s="1" t="n">
        <v>46128</v>
      </c>
      <c r="D395" t="inlineStr">
        <is>
          <t>SKÅNE LÄN</t>
        </is>
      </c>
      <c r="E395" t="inlineStr">
        <is>
          <t>HÄSSLEHOLM</t>
        </is>
      </c>
      <c r="G395" t="n">
        <v>5.7</v>
      </c>
      <c r="H395" t="n">
        <v>0</v>
      </c>
      <c r="I395" t="n">
        <v>0</v>
      </c>
      <c r="J395" t="n">
        <v>0</v>
      </c>
      <c r="K395" t="n">
        <v>0</v>
      </c>
      <c r="L395" t="n">
        <v>0</v>
      </c>
      <c r="M395" t="n">
        <v>0</v>
      </c>
      <c r="N395" t="n">
        <v>0</v>
      </c>
      <c r="O395" t="n">
        <v>0</v>
      </c>
      <c r="P395" t="n">
        <v>0</v>
      </c>
      <c r="Q395" t="n">
        <v>0</v>
      </c>
      <c r="R395" s="2" t="inlineStr"/>
    </row>
    <row r="396" ht="15" customHeight="1">
      <c r="A396" t="inlineStr">
        <is>
          <t>A 61537-2024</t>
        </is>
      </c>
      <c r="B396" s="1" t="n">
        <v>45646</v>
      </c>
      <c r="C396" s="1" t="n">
        <v>46128</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21638-2025</t>
        </is>
      </c>
      <c r="B397" s="1" t="n">
        <v>45783.43087962963</v>
      </c>
      <c r="C397" s="1" t="n">
        <v>46128</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7818-2024</t>
        </is>
      </c>
      <c r="B398" s="1" t="n">
        <v>45349.68872685185</v>
      </c>
      <c r="C398" s="1" t="n">
        <v>46128</v>
      </c>
      <c r="D398" t="inlineStr">
        <is>
          <t>SKÅNE LÄN</t>
        </is>
      </c>
      <c r="E398" t="inlineStr">
        <is>
          <t>HÄSSLEHOLM</t>
        </is>
      </c>
      <c r="G398" t="n">
        <v>2.5</v>
      </c>
      <c r="H398" t="n">
        <v>0</v>
      </c>
      <c r="I398" t="n">
        <v>0</v>
      </c>
      <c r="J398" t="n">
        <v>0</v>
      </c>
      <c r="K398" t="n">
        <v>0</v>
      </c>
      <c r="L398" t="n">
        <v>0</v>
      </c>
      <c r="M398" t="n">
        <v>0</v>
      </c>
      <c r="N398" t="n">
        <v>0</v>
      </c>
      <c r="O398" t="n">
        <v>0</v>
      </c>
      <c r="P398" t="n">
        <v>0</v>
      </c>
      <c r="Q398" t="n">
        <v>0</v>
      </c>
      <c r="R398" s="2" t="inlineStr"/>
    </row>
    <row r="399" ht="15" customHeight="1">
      <c r="A399" t="inlineStr">
        <is>
          <t>A 10020-2024</t>
        </is>
      </c>
      <c r="B399" s="1" t="n">
        <v>45363.96944444445</v>
      </c>
      <c r="C399" s="1" t="n">
        <v>46128</v>
      </c>
      <c r="D399" t="inlineStr">
        <is>
          <t>SKÅNE LÄN</t>
        </is>
      </c>
      <c r="E399" t="inlineStr">
        <is>
          <t>HÄSSLEHOLM</t>
        </is>
      </c>
      <c r="G399" t="n">
        <v>5.3</v>
      </c>
      <c r="H399" t="n">
        <v>0</v>
      </c>
      <c r="I399" t="n">
        <v>0</v>
      </c>
      <c r="J399" t="n">
        <v>0</v>
      </c>
      <c r="K399" t="n">
        <v>0</v>
      </c>
      <c r="L399" t="n">
        <v>0</v>
      </c>
      <c r="M399" t="n">
        <v>0</v>
      </c>
      <c r="N399" t="n">
        <v>0</v>
      </c>
      <c r="O399" t="n">
        <v>0</v>
      </c>
      <c r="P399" t="n">
        <v>0</v>
      </c>
      <c r="Q399" t="n">
        <v>0</v>
      </c>
      <c r="R399" s="2" t="inlineStr"/>
    </row>
    <row r="400" ht="15" customHeight="1">
      <c r="A400" t="inlineStr">
        <is>
          <t>A 15800-2025</t>
        </is>
      </c>
      <c r="B400" s="1" t="n">
        <v>45748.64831018518</v>
      </c>
      <c r="C400" s="1" t="n">
        <v>46128</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40780-2022</t>
        </is>
      </c>
      <c r="B401" s="1" t="n">
        <v>44820</v>
      </c>
      <c r="C401" s="1" t="n">
        <v>46128</v>
      </c>
      <c r="D401" t="inlineStr">
        <is>
          <t>SKÅNE LÄN</t>
        </is>
      </c>
      <c r="E401" t="inlineStr">
        <is>
          <t>HÄSSLEHOLM</t>
        </is>
      </c>
      <c r="G401" t="n">
        <v>7.4</v>
      </c>
      <c r="H401" t="n">
        <v>0</v>
      </c>
      <c r="I401" t="n">
        <v>0</v>
      </c>
      <c r="J401" t="n">
        <v>0</v>
      </c>
      <c r="K401" t="n">
        <v>0</v>
      </c>
      <c r="L401" t="n">
        <v>0</v>
      </c>
      <c r="M401" t="n">
        <v>0</v>
      </c>
      <c r="N401" t="n">
        <v>0</v>
      </c>
      <c r="O401" t="n">
        <v>0</v>
      </c>
      <c r="P401" t="n">
        <v>0</v>
      </c>
      <c r="Q401" t="n">
        <v>0</v>
      </c>
      <c r="R401" s="2" t="inlineStr"/>
    </row>
    <row r="402" ht="15" customHeight="1">
      <c r="A402" t="inlineStr">
        <is>
          <t>A 51245-2023</t>
        </is>
      </c>
      <c r="B402" s="1" t="n">
        <v>45212</v>
      </c>
      <c r="C402" s="1" t="n">
        <v>46128</v>
      </c>
      <c r="D402" t="inlineStr">
        <is>
          <t>SKÅNE LÄN</t>
        </is>
      </c>
      <c r="E402" t="inlineStr">
        <is>
          <t>HÄSSLEHOLM</t>
        </is>
      </c>
      <c r="G402" t="n">
        <v>2.1</v>
      </c>
      <c r="H402" t="n">
        <v>0</v>
      </c>
      <c r="I402" t="n">
        <v>0</v>
      </c>
      <c r="J402" t="n">
        <v>0</v>
      </c>
      <c r="K402" t="n">
        <v>0</v>
      </c>
      <c r="L402" t="n">
        <v>0</v>
      </c>
      <c r="M402" t="n">
        <v>0</v>
      </c>
      <c r="N402" t="n">
        <v>0</v>
      </c>
      <c r="O402" t="n">
        <v>0</v>
      </c>
      <c r="P402" t="n">
        <v>0</v>
      </c>
      <c r="Q402" t="n">
        <v>0</v>
      </c>
      <c r="R402" s="2" t="inlineStr"/>
    </row>
    <row r="403" ht="15" customHeight="1">
      <c r="A403" t="inlineStr">
        <is>
          <t>A 39111-2023</t>
        </is>
      </c>
      <c r="B403" s="1" t="n">
        <v>45164.87140046297</v>
      </c>
      <c r="C403" s="1" t="n">
        <v>46128</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60851-2024</t>
        </is>
      </c>
      <c r="B404" s="1" t="n">
        <v>45644.66182870371</v>
      </c>
      <c r="C404" s="1" t="n">
        <v>46128</v>
      </c>
      <c r="D404" t="inlineStr">
        <is>
          <t>SKÅNE LÄN</t>
        </is>
      </c>
      <c r="E404" t="inlineStr">
        <is>
          <t>HÄSSLEHOLM</t>
        </is>
      </c>
      <c r="G404" t="n">
        <v>1.5</v>
      </c>
      <c r="H404" t="n">
        <v>0</v>
      </c>
      <c r="I404" t="n">
        <v>0</v>
      </c>
      <c r="J404" t="n">
        <v>0</v>
      </c>
      <c r="K404" t="n">
        <v>0</v>
      </c>
      <c r="L404" t="n">
        <v>0</v>
      </c>
      <c r="M404" t="n">
        <v>0</v>
      </c>
      <c r="N404" t="n">
        <v>0</v>
      </c>
      <c r="O404" t="n">
        <v>0</v>
      </c>
      <c r="P404" t="n">
        <v>0</v>
      </c>
      <c r="Q404" t="n">
        <v>0</v>
      </c>
      <c r="R404" s="2" t="inlineStr"/>
    </row>
    <row r="405" ht="15" customHeight="1">
      <c r="A405" t="inlineStr">
        <is>
          <t>A 317-2025</t>
        </is>
      </c>
      <c r="B405" s="1" t="n">
        <v>45660</v>
      </c>
      <c r="C405" s="1" t="n">
        <v>46128</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21625-2025</t>
        </is>
      </c>
      <c r="B406" s="1" t="n">
        <v>45783.41252314814</v>
      </c>
      <c r="C406" s="1" t="n">
        <v>46128</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60920-2024</t>
        </is>
      </c>
      <c r="B407" s="1" t="n">
        <v>45645.34442129629</v>
      </c>
      <c r="C407" s="1" t="n">
        <v>46128</v>
      </c>
      <c r="D407" t="inlineStr">
        <is>
          <t>SKÅNE LÄN</t>
        </is>
      </c>
      <c r="E407" t="inlineStr">
        <is>
          <t>HÄSSLEHOLM</t>
        </is>
      </c>
      <c r="G407" t="n">
        <v>2.6</v>
      </c>
      <c r="H407" t="n">
        <v>0</v>
      </c>
      <c r="I407" t="n">
        <v>0</v>
      </c>
      <c r="J407" t="n">
        <v>0</v>
      </c>
      <c r="K407" t="n">
        <v>0</v>
      </c>
      <c r="L407" t="n">
        <v>0</v>
      </c>
      <c r="M407" t="n">
        <v>0</v>
      </c>
      <c r="N407" t="n">
        <v>0</v>
      </c>
      <c r="O407" t="n">
        <v>0</v>
      </c>
      <c r="P407" t="n">
        <v>0</v>
      </c>
      <c r="Q407" t="n">
        <v>0</v>
      </c>
      <c r="R407" s="2" t="inlineStr"/>
    </row>
    <row r="408" ht="15" customHeight="1">
      <c r="A408" t="inlineStr">
        <is>
          <t>A 1703-2025</t>
        </is>
      </c>
      <c r="B408" s="1" t="n">
        <v>45670.80732638889</v>
      </c>
      <c r="C408" s="1" t="n">
        <v>46128</v>
      </c>
      <c r="D408" t="inlineStr">
        <is>
          <t>SKÅNE LÄN</t>
        </is>
      </c>
      <c r="E408" t="inlineStr">
        <is>
          <t>HÄSSLEHOLM</t>
        </is>
      </c>
      <c r="G408" t="n">
        <v>0.9</v>
      </c>
      <c r="H408" t="n">
        <v>0</v>
      </c>
      <c r="I408" t="n">
        <v>0</v>
      </c>
      <c r="J408" t="n">
        <v>0</v>
      </c>
      <c r="K408" t="n">
        <v>0</v>
      </c>
      <c r="L408" t="n">
        <v>0</v>
      </c>
      <c r="M408" t="n">
        <v>0</v>
      </c>
      <c r="N408" t="n">
        <v>0</v>
      </c>
      <c r="O408" t="n">
        <v>0</v>
      </c>
      <c r="P408" t="n">
        <v>0</v>
      </c>
      <c r="Q408" t="n">
        <v>0</v>
      </c>
      <c r="R408" s="2" t="inlineStr"/>
    </row>
    <row r="409" ht="15" customHeight="1">
      <c r="A409" t="inlineStr">
        <is>
          <t>A 22024-2025</t>
        </is>
      </c>
      <c r="B409" s="1" t="n">
        <v>45784.85322916666</v>
      </c>
      <c r="C409" s="1" t="n">
        <v>46128</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29274-2023</t>
        </is>
      </c>
      <c r="B410" s="1" t="n">
        <v>45105</v>
      </c>
      <c r="C410" s="1" t="n">
        <v>46128</v>
      </c>
      <c r="D410" t="inlineStr">
        <is>
          <t>SKÅNE LÄN</t>
        </is>
      </c>
      <c r="E410" t="inlineStr">
        <is>
          <t>HÄSSLEHOLM</t>
        </is>
      </c>
      <c r="G410" t="n">
        <v>3.4</v>
      </c>
      <c r="H410" t="n">
        <v>0</v>
      </c>
      <c r="I410" t="n">
        <v>0</v>
      </c>
      <c r="J410" t="n">
        <v>0</v>
      </c>
      <c r="K410" t="n">
        <v>0</v>
      </c>
      <c r="L410" t="n">
        <v>0</v>
      </c>
      <c r="M410" t="n">
        <v>0</v>
      </c>
      <c r="N410" t="n">
        <v>0</v>
      </c>
      <c r="O410" t="n">
        <v>0</v>
      </c>
      <c r="P410" t="n">
        <v>0</v>
      </c>
      <c r="Q410" t="n">
        <v>0</v>
      </c>
      <c r="R410" s="2" t="inlineStr"/>
    </row>
    <row r="411" ht="15" customHeight="1">
      <c r="A411" t="inlineStr">
        <is>
          <t>A 34890-2023</t>
        </is>
      </c>
      <c r="B411" s="1" t="n">
        <v>45142.39475694444</v>
      </c>
      <c r="C411" s="1" t="n">
        <v>46128</v>
      </c>
      <c r="D411" t="inlineStr">
        <is>
          <t>SKÅNE LÄN</t>
        </is>
      </c>
      <c r="E411" t="inlineStr">
        <is>
          <t>HÄSSLEHOLM</t>
        </is>
      </c>
      <c r="G411" t="n">
        <v>4</v>
      </c>
      <c r="H411" t="n">
        <v>0</v>
      </c>
      <c r="I411" t="n">
        <v>0</v>
      </c>
      <c r="J411" t="n">
        <v>0</v>
      </c>
      <c r="K411" t="n">
        <v>0</v>
      </c>
      <c r="L411" t="n">
        <v>0</v>
      </c>
      <c r="M411" t="n">
        <v>0</v>
      </c>
      <c r="N411" t="n">
        <v>0</v>
      </c>
      <c r="O411" t="n">
        <v>0</v>
      </c>
      <c r="P411" t="n">
        <v>0</v>
      </c>
      <c r="Q411" t="n">
        <v>0</v>
      </c>
      <c r="R411" s="2" t="inlineStr"/>
    </row>
    <row r="412" ht="15" customHeight="1">
      <c r="A412" t="inlineStr">
        <is>
          <t>A 3886-2024</t>
        </is>
      </c>
      <c r="B412" s="1" t="n">
        <v>45322.44539351852</v>
      </c>
      <c r="C412" s="1" t="n">
        <v>46128</v>
      </c>
      <c r="D412" t="inlineStr">
        <is>
          <t>SKÅNE LÄN</t>
        </is>
      </c>
      <c r="E412" t="inlineStr">
        <is>
          <t>HÄSSLEHOLM</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61932-2023</t>
        </is>
      </c>
      <c r="B413" s="1" t="n">
        <v>45266.53761574074</v>
      </c>
      <c r="C413" s="1" t="n">
        <v>46128</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13149-2024</t>
        </is>
      </c>
      <c r="B414" s="1" t="n">
        <v>45386</v>
      </c>
      <c r="C414" s="1" t="n">
        <v>46128</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53466-2024</t>
        </is>
      </c>
      <c r="B415" s="1" t="n">
        <v>45614.55304398148</v>
      </c>
      <c r="C415" s="1" t="n">
        <v>46128</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48747-2022</t>
        </is>
      </c>
      <c r="B416" s="1" t="n">
        <v>44859</v>
      </c>
      <c r="C416" s="1" t="n">
        <v>46128</v>
      </c>
      <c r="D416" t="inlineStr">
        <is>
          <t>SKÅNE LÄN</t>
        </is>
      </c>
      <c r="E416" t="inlineStr">
        <is>
          <t>HÄSSLEHOLM</t>
        </is>
      </c>
      <c r="G416" t="n">
        <v>1.9</v>
      </c>
      <c r="H416" t="n">
        <v>0</v>
      </c>
      <c r="I416" t="n">
        <v>0</v>
      </c>
      <c r="J416" t="n">
        <v>0</v>
      </c>
      <c r="K416" t="n">
        <v>0</v>
      </c>
      <c r="L416" t="n">
        <v>0</v>
      </c>
      <c r="M416" t="n">
        <v>0</v>
      </c>
      <c r="N416" t="n">
        <v>0</v>
      </c>
      <c r="O416" t="n">
        <v>0</v>
      </c>
      <c r="P416" t="n">
        <v>0</v>
      </c>
      <c r="Q416" t="n">
        <v>0</v>
      </c>
      <c r="R416" s="2" t="inlineStr"/>
    </row>
    <row r="417" ht="15" customHeight="1">
      <c r="A417" t="inlineStr">
        <is>
          <t>A 7153-2025</t>
        </is>
      </c>
      <c r="B417" s="1" t="n">
        <v>45702.38512731482</v>
      </c>
      <c r="C417" s="1" t="n">
        <v>46128</v>
      </c>
      <c r="D417" t="inlineStr">
        <is>
          <t>SKÅNE LÄN</t>
        </is>
      </c>
      <c r="E417" t="inlineStr">
        <is>
          <t>HÄSSLEHOLM</t>
        </is>
      </c>
      <c r="G417" t="n">
        <v>2.7</v>
      </c>
      <c r="H417" t="n">
        <v>0</v>
      </c>
      <c r="I417" t="n">
        <v>0</v>
      </c>
      <c r="J417" t="n">
        <v>0</v>
      </c>
      <c r="K417" t="n">
        <v>0</v>
      </c>
      <c r="L417" t="n">
        <v>0</v>
      </c>
      <c r="M417" t="n">
        <v>0</v>
      </c>
      <c r="N417" t="n">
        <v>0</v>
      </c>
      <c r="O417" t="n">
        <v>0</v>
      </c>
      <c r="P417" t="n">
        <v>0</v>
      </c>
      <c r="Q417" t="n">
        <v>0</v>
      </c>
      <c r="R417" s="2" t="inlineStr"/>
    </row>
    <row r="418" ht="15" customHeight="1">
      <c r="A418" t="inlineStr">
        <is>
          <t>A 10230-2025</t>
        </is>
      </c>
      <c r="B418" s="1" t="n">
        <v>45720</v>
      </c>
      <c r="C418" s="1" t="n">
        <v>46128</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19735-2023</t>
        </is>
      </c>
      <c r="B419" s="1" t="n">
        <v>45051.52199074074</v>
      </c>
      <c r="C419" s="1" t="n">
        <v>46128</v>
      </c>
      <c r="D419" t="inlineStr">
        <is>
          <t>SKÅNE LÄN</t>
        </is>
      </c>
      <c r="E419" t="inlineStr">
        <is>
          <t>HÄSSLEHOLM</t>
        </is>
      </c>
      <c r="G419" t="n">
        <v>4</v>
      </c>
      <c r="H419" t="n">
        <v>0</v>
      </c>
      <c r="I419" t="n">
        <v>0</v>
      </c>
      <c r="J419" t="n">
        <v>0</v>
      </c>
      <c r="K419" t="n">
        <v>0</v>
      </c>
      <c r="L419" t="n">
        <v>0</v>
      </c>
      <c r="M419" t="n">
        <v>0</v>
      </c>
      <c r="N419" t="n">
        <v>0</v>
      </c>
      <c r="O419" t="n">
        <v>0</v>
      </c>
      <c r="P419" t="n">
        <v>0</v>
      </c>
      <c r="Q419" t="n">
        <v>0</v>
      </c>
      <c r="R419" s="2" t="inlineStr"/>
    </row>
    <row r="420" ht="15" customHeight="1">
      <c r="A420" t="inlineStr">
        <is>
          <t>A 48797-2023</t>
        </is>
      </c>
      <c r="B420" s="1" t="n">
        <v>45209.24986111111</v>
      </c>
      <c r="C420" s="1" t="n">
        <v>46128</v>
      </c>
      <c r="D420" t="inlineStr">
        <is>
          <t>SKÅNE LÄN</t>
        </is>
      </c>
      <c r="E420" t="inlineStr">
        <is>
          <t>HÄSSLEHOLM</t>
        </is>
      </c>
      <c r="G420" t="n">
        <v>1.2</v>
      </c>
      <c r="H420" t="n">
        <v>0</v>
      </c>
      <c r="I420" t="n">
        <v>0</v>
      </c>
      <c r="J420" t="n">
        <v>0</v>
      </c>
      <c r="K420" t="n">
        <v>0</v>
      </c>
      <c r="L420" t="n">
        <v>0</v>
      </c>
      <c r="M420" t="n">
        <v>0</v>
      </c>
      <c r="N420" t="n">
        <v>0</v>
      </c>
      <c r="O420" t="n">
        <v>0</v>
      </c>
      <c r="P420" t="n">
        <v>0</v>
      </c>
      <c r="Q420" t="n">
        <v>0</v>
      </c>
      <c r="R420" s="2" t="inlineStr"/>
    </row>
    <row r="421" ht="15" customHeight="1">
      <c r="A421" t="inlineStr">
        <is>
          <t>A 42520-2025</t>
        </is>
      </c>
      <c r="B421" s="1" t="n">
        <v>45905.54846064815</v>
      </c>
      <c r="C421" s="1" t="n">
        <v>46128</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5532-2025</t>
        </is>
      </c>
      <c r="B422" s="1" t="n">
        <v>45693</v>
      </c>
      <c r="C422" s="1" t="n">
        <v>46128</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55662-2022</t>
        </is>
      </c>
      <c r="B423" s="1" t="n">
        <v>44883</v>
      </c>
      <c r="C423" s="1" t="n">
        <v>46128</v>
      </c>
      <c r="D423" t="inlineStr">
        <is>
          <t>SKÅNE LÄN</t>
        </is>
      </c>
      <c r="E423" t="inlineStr">
        <is>
          <t>HÄSSLEHOLM</t>
        </is>
      </c>
      <c r="F423" t="inlineStr">
        <is>
          <t>Övriga Aktiebolag</t>
        </is>
      </c>
      <c r="G423" t="n">
        <v>2.6</v>
      </c>
      <c r="H423" t="n">
        <v>0</v>
      </c>
      <c r="I423" t="n">
        <v>0</v>
      </c>
      <c r="J423" t="n">
        <v>0</v>
      </c>
      <c r="K423" t="n">
        <v>0</v>
      </c>
      <c r="L423" t="n">
        <v>0</v>
      </c>
      <c r="M423" t="n">
        <v>0</v>
      </c>
      <c r="N423" t="n">
        <v>0</v>
      </c>
      <c r="O423" t="n">
        <v>0</v>
      </c>
      <c r="P423" t="n">
        <v>0</v>
      </c>
      <c r="Q423" t="n">
        <v>0</v>
      </c>
      <c r="R423" s="2" t="inlineStr"/>
    </row>
    <row r="424" ht="15" customHeight="1">
      <c r="A424" t="inlineStr">
        <is>
          <t>A 7581-2023</t>
        </is>
      </c>
      <c r="B424" s="1" t="n">
        <v>44972.39556712963</v>
      </c>
      <c r="C424" s="1" t="n">
        <v>46128</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29844-2024</t>
        </is>
      </c>
      <c r="B425" s="1" t="n">
        <v>45485</v>
      </c>
      <c r="C425" s="1" t="n">
        <v>46128</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40536-2024</t>
        </is>
      </c>
      <c r="B426" s="1" t="n">
        <v>45555.61314814815</v>
      </c>
      <c r="C426" s="1" t="n">
        <v>46128</v>
      </c>
      <c r="D426" t="inlineStr">
        <is>
          <t>SKÅNE LÄN</t>
        </is>
      </c>
      <c r="E426" t="inlineStr">
        <is>
          <t>HÄSSLEHOLM</t>
        </is>
      </c>
      <c r="G426" t="n">
        <v>1</v>
      </c>
      <c r="H426" t="n">
        <v>0</v>
      </c>
      <c r="I426" t="n">
        <v>0</v>
      </c>
      <c r="J426" t="n">
        <v>0</v>
      </c>
      <c r="K426" t="n">
        <v>0</v>
      </c>
      <c r="L426" t="n">
        <v>0</v>
      </c>
      <c r="M426" t="n">
        <v>0</v>
      </c>
      <c r="N426" t="n">
        <v>0</v>
      </c>
      <c r="O426" t="n">
        <v>0</v>
      </c>
      <c r="P426" t="n">
        <v>0</v>
      </c>
      <c r="Q426" t="n">
        <v>0</v>
      </c>
      <c r="R426" s="2" t="inlineStr"/>
    </row>
    <row r="427" ht="15" customHeight="1">
      <c r="A427" t="inlineStr">
        <is>
          <t>A 21141-2024</t>
        </is>
      </c>
      <c r="B427" s="1" t="n">
        <v>45440.39012731481</v>
      </c>
      <c r="C427" s="1" t="n">
        <v>46128</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43333-2025</t>
        </is>
      </c>
      <c r="B428" s="1" t="n">
        <v>45910</v>
      </c>
      <c r="C428" s="1" t="n">
        <v>46128</v>
      </c>
      <c r="D428" t="inlineStr">
        <is>
          <t>SKÅNE LÄN</t>
        </is>
      </c>
      <c r="E428" t="inlineStr">
        <is>
          <t>HÄSSLEHOLM</t>
        </is>
      </c>
      <c r="G428" t="n">
        <v>10.1</v>
      </c>
      <c r="H428" t="n">
        <v>0</v>
      </c>
      <c r="I428" t="n">
        <v>0</v>
      </c>
      <c r="J428" t="n">
        <v>0</v>
      </c>
      <c r="K428" t="n">
        <v>0</v>
      </c>
      <c r="L428" t="n">
        <v>0</v>
      </c>
      <c r="M428" t="n">
        <v>0</v>
      </c>
      <c r="N428" t="n">
        <v>0</v>
      </c>
      <c r="O428" t="n">
        <v>0</v>
      </c>
      <c r="P428" t="n">
        <v>0</v>
      </c>
      <c r="Q428" t="n">
        <v>0</v>
      </c>
      <c r="R428" s="2" t="inlineStr"/>
    </row>
    <row r="429" ht="15" customHeight="1">
      <c r="A429" t="inlineStr">
        <is>
          <t>A 33266-2024</t>
        </is>
      </c>
      <c r="B429" s="1" t="n">
        <v>45518</v>
      </c>
      <c r="C429" s="1" t="n">
        <v>46128</v>
      </c>
      <c r="D429" t="inlineStr">
        <is>
          <t>SKÅNE LÄN</t>
        </is>
      </c>
      <c r="E429" t="inlineStr">
        <is>
          <t>HÄSSLEHOLM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43332-2025</t>
        </is>
      </c>
      <c r="B430" s="1" t="n">
        <v>45910.70217592592</v>
      </c>
      <c r="C430" s="1" t="n">
        <v>46128</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56386-2023</t>
        </is>
      </c>
      <c r="B431" s="1" t="n">
        <v>45243</v>
      </c>
      <c r="C431" s="1" t="n">
        <v>46128</v>
      </c>
      <c r="D431" t="inlineStr">
        <is>
          <t>SKÅNE LÄN</t>
        </is>
      </c>
      <c r="E431" t="inlineStr">
        <is>
          <t>HÄSSLEHOLM</t>
        </is>
      </c>
      <c r="G431" t="n">
        <v>2</v>
      </c>
      <c r="H431" t="n">
        <v>0</v>
      </c>
      <c r="I431" t="n">
        <v>0</v>
      </c>
      <c r="J431" t="n">
        <v>0</v>
      </c>
      <c r="K431" t="n">
        <v>0</v>
      </c>
      <c r="L431" t="n">
        <v>0</v>
      </c>
      <c r="M431" t="n">
        <v>0</v>
      </c>
      <c r="N431" t="n">
        <v>0</v>
      </c>
      <c r="O431" t="n">
        <v>0</v>
      </c>
      <c r="P431" t="n">
        <v>0</v>
      </c>
      <c r="Q431" t="n">
        <v>0</v>
      </c>
      <c r="R431" s="2" t="inlineStr"/>
    </row>
    <row r="432" ht="15" customHeight="1">
      <c r="A432" t="inlineStr">
        <is>
          <t>A 11603-2025</t>
        </is>
      </c>
      <c r="B432" s="1" t="n">
        <v>45727</v>
      </c>
      <c r="C432" s="1" t="n">
        <v>46128</v>
      </c>
      <c r="D432" t="inlineStr">
        <is>
          <t>SKÅNE LÄN</t>
        </is>
      </c>
      <c r="E432" t="inlineStr">
        <is>
          <t>HÄSSLEHOLM</t>
        </is>
      </c>
      <c r="G432" t="n">
        <v>5.6</v>
      </c>
      <c r="H432" t="n">
        <v>0</v>
      </c>
      <c r="I432" t="n">
        <v>0</v>
      </c>
      <c r="J432" t="n">
        <v>0</v>
      </c>
      <c r="K432" t="n">
        <v>0</v>
      </c>
      <c r="L432" t="n">
        <v>0</v>
      </c>
      <c r="M432" t="n">
        <v>0</v>
      </c>
      <c r="N432" t="n">
        <v>0</v>
      </c>
      <c r="O432" t="n">
        <v>0</v>
      </c>
      <c r="P432" t="n">
        <v>0</v>
      </c>
      <c r="Q432" t="n">
        <v>0</v>
      </c>
      <c r="R432" s="2" t="inlineStr"/>
    </row>
    <row r="433" ht="15" customHeight="1">
      <c r="A433" t="inlineStr">
        <is>
          <t>A 13712-2025</t>
        </is>
      </c>
      <c r="B433" s="1" t="n">
        <v>45737</v>
      </c>
      <c r="C433" s="1" t="n">
        <v>46128</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2490-2024</t>
        </is>
      </c>
      <c r="B434" s="1" t="n">
        <v>45313.43649305555</v>
      </c>
      <c r="C434" s="1" t="n">
        <v>46128</v>
      </c>
      <c r="D434" t="inlineStr">
        <is>
          <t>SKÅNE LÄN</t>
        </is>
      </c>
      <c r="E434" t="inlineStr">
        <is>
          <t>HÄSSLEHOLM</t>
        </is>
      </c>
      <c r="G434" t="n">
        <v>4</v>
      </c>
      <c r="H434" t="n">
        <v>0</v>
      </c>
      <c r="I434" t="n">
        <v>0</v>
      </c>
      <c r="J434" t="n">
        <v>0</v>
      </c>
      <c r="K434" t="n">
        <v>0</v>
      </c>
      <c r="L434" t="n">
        <v>0</v>
      </c>
      <c r="M434" t="n">
        <v>0</v>
      </c>
      <c r="N434" t="n">
        <v>0</v>
      </c>
      <c r="O434" t="n">
        <v>0</v>
      </c>
      <c r="P434" t="n">
        <v>0</v>
      </c>
      <c r="Q434" t="n">
        <v>0</v>
      </c>
      <c r="R434" s="2" t="inlineStr"/>
    </row>
    <row r="435" ht="15" customHeight="1">
      <c r="A435" t="inlineStr">
        <is>
          <t>A 50244-2024</t>
        </is>
      </c>
      <c r="B435" s="1" t="n">
        <v>45600.56502314815</v>
      </c>
      <c r="C435" s="1" t="n">
        <v>46128</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46288-2023</t>
        </is>
      </c>
      <c r="B436" s="1" t="n">
        <v>45197.30221064815</v>
      </c>
      <c r="C436" s="1" t="n">
        <v>46128</v>
      </c>
      <c r="D436" t="inlineStr">
        <is>
          <t>SKÅNE LÄN</t>
        </is>
      </c>
      <c r="E436" t="inlineStr">
        <is>
          <t>HÄSSLEHOLM</t>
        </is>
      </c>
      <c r="G436" t="n">
        <v>3</v>
      </c>
      <c r="H436" t="n">
        <v>0</v>
      </c>
      <c r="I436" t="n">
        <v>0</v>
      </c>
      <c r="J436" t="n">
        <v>0</v>
      </c>
      <c r="K436" t="n">
        <v>0</v>
      </c>
      <c r="L436" t="n">
        <v>0</v>
      </c>
      <c r="M436" t="n">
        <v>0</v>
      </c>
      <c r="N436" t="n">
        <v>0</v>
      </c>
      <c r="O436" t="n">
        <v>0</v>
      </c>
      <c r="P436" t="n">
        <v>0</v>
      </c>
      <c r="Q436" t="n">
        <v>0</v>
      </c>
      <c r="R436" s="2" t="inlineStr"/>
    </row>
    <row r="437" ht="15" customHeight="1">
      <c r="A437" t="inlineStr">
        <is>
          <t>A 9924-2025</t>
        </is>
      </c>
      <c r="B437" s="1" t="n">
        <v>45717.72505787037</v>
      </c>
      <c r="C437" s="1" t="n">
        <v>46128</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12936-2025</t>
        </is>
      </c>
      <c r="B438" s="1" t="n">
        <v>45734</v>
      </c>
      <c r="C438" s="1" t="n">
        <v>46128</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57967-2023</t>
        </is>
      </c>
      <c r="B439" s="1" t="n">
        <v>45247.57984953704</v>
      </c>
      <c r="C439" s="1" t="n">
        <v>46128</v>
      </c>
      <c r="D439" t="inlineStr">
        <is>
          <t>SKÅNE LÄN</t>
        </is>
      </c>
      <c r="E439" t="inlineStr">
        <is>
          <t>HÄSSLEHOLM</t>
        </is>
      </c>
      <c r="G439" t="n">
        <v>8.6</v>
      </c>
      <c r="H439" t="n">
        <v>0</v>
      </c>
      <c r="I439" t="n">
        <v>0</v>
      </c>
      <c r="J439" t="n">
        <v>0</v>
      </c>
      <c r="K439" t="n">
        <v>0</v>
      </c>
      <c r="L439" t="n">
        <v>0</v>
      </c>
      <c r="M439" t="n">
        <v>0</v>
      </c>
      <c r="N439" t="n">
        <v>0</v>
      </c>
      <c r="O439" t="n">
        <v>0</v>
      </c>
      <c r="P439" t="n">
        <v>0</v>
      </c>
      <c r="Q439" t="n">
        <v>0</v>
      </c>
      <c r="R439" s="2" t="inlineStr"/>
    </row>
    <row r="440" ht="15" customHeight="1">
      <c r="A440" t="inlineStr">
        <is>
          <t>A 13007-2024</t>
        </is>
      </c>
      <c r="B440" s="1" t="n">
        <v>45385.57092592592</v>
      </c>
      <c r="C440" s="1" t="n">
        <v>46128</v>
      </c>
      <c r="D440" t="inlineStr">
        <is>
          <t>SKÅNE LÄN</t>
        </is>
      </c>
      <c r="E440" t="inlineStr">
        <is>
          <t>HÄSSLEHOLM</t>
        </is>
      </c>
      <c r="G440" t="n">
        <v>1.4</v>
      </c>
      <c r="H440" t="n">
        <v>0</v>
      </c>
      <c r="I440" t="n">
        <v>0</v>
      </c>
      <c r="J440" t="n">
        <v>0</v>
      </c>
      <c r="K440" t="n">
        <v>0</v>
      </c>
      <c r="L440" t="n">
        <v>0</v>
      </c>
      <c r="M440" t="n">
        <v>0</v>
      </c>
      <c r="N440" t="n">
        <v>0</v>
      </c>
      <c r="O440" t="n">
        <v>0</v>
      </c>
      <c r="P440" t="n">
        <v>0</v>
      </c>
      <c r="Q440" t="n">
        <v>0</v>
      </c>
      <c r="R440" s="2" t="inlineStr"/>
    </row>
    <row r="441" ht="15" customHeight="1">
      <c r="A441" t="inlineStr">
        <is>
          <t>A 23007-2025</t>
        </is>
      </c>
      <c r="B441" s="1" t="n">
        <v>45790</v>
      </c>
      <c r="C441" s="1" t="n">
        <v>46128</v>
      </c>
      <c r="D441" t="inlineStr">
        <is>
          <t>SKÅNE LÄN</t>
        </is>
      </c>
      <c r="E441" t="inlineStr">
        <is>
          <t>HÄSSLEHOLM</t>
        </is>
      </c>
      <c r="G441" t="n">
        <v>0.4</v>
      </c>
      <c r="H441" t="n">
        <v>0</v>
      </c>
      <c r="I441" t="n">
        <v>0</v>
      </c>
      <c r="J441" t="n">
        <v>0</v>
      </c>
      <c r="K441" t="n">
        <v>0</v>
      </c>
      <c r="L441" t="n">
        <v>0</v>
      </c>
      <c r="M441" t="n">
        <v>0</v>
      </c>
      <c r="N441" t="n">
        <v>0</v>
      </c>
      <c r="O441" t="n">
        <v>0</v>
      </c>
      <c r="P441" t="n">
        <v>0</v>
      </c>
      <c r="Q441" t="n">
        <v>0</v>
      </c>
      <c r="R441" s="2" t="inlineStr"/>
    </row>
    <row r="442" ht="15" customHeight="1">
      <c r="A442" t="inlineStr">
        <is>
          <t>A 7221-2025</t>
        </is>
      </c>
      <c r="B442" s="1" t="n">
        <v>45701</v>
      </c>
      <c r="C442" s="1" t="n">
        <v>46128</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74030-2021</t>
        </is>
      </c>
      <c r="B443" s="1" t="n">
        <v>44553</v>
      </c>
      <c r="C443" s="1" t="n">
        <v>46128</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27606-2024</t>
        </is>
      </c>
      <c r="B444" s="1" t="n">
        <v>45474</v>
      </c>
      <c r="C444" s="1" t="n">
        <v>46128</v>
      </c>
      <c r="D444" t="inlineStr">
        <is>
          <t>SKÅNE LÄN</t>
        </is>
      </c>
      <c r="E444" t="inlineStr">
        <is>
          <t>HÄSSLEHOLM</t>
        </is>
      </c>
      <c r="G444" t="n">
        <v>3.6</v>
      </c>
      <c r="H444" t="n">
        <v>0</v>
      </c>
      <c r="I444" t="n">
        <v>0</v>
      </c>
      <c r="J444" t="n">
        <v>0</v>
      </c>
      <c r="K444" t="n">
        <v>0</v>
      </c>
      <c r="L444" t="n">
        <v>0</v>
      </c>
      <c r="M444" t="n">
        <v>0</v>
      </c>
      <c r="N444" t="n">
        <v>0</v>
      </c>
      <c r="O444" t="n">
        <v>0</v>
      </c>
      <c r="P444" t="n">
        <v>0</v>
      </c>
      <c r="Q444" t="n">
        <v>0</v>
      </c>
      <c r="R444" s="2" t="inlineStr"/>
    </row>
    <row r="445" ht="15" customHeight="1">
      <c r="A445" t="inlineStr">
        <is>
          <t>A 19744-2023</t>
        </is>
      </c>
      <c r="B445" s="1" t="n">
        <v>45051</v>
      </c>
      <c r="C445" s="1" t="n">
        <v>46128</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43516-2025</t>
        </is>
      </c>
      <c r="B446" s="1" t="n">
        <v>45911</v>
      </c>
      <c r="C446" s="1" t="n">
        <v>46128</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56735-2024</t>
        </is>
      </c>
      <c r="B447" s="1" t="n">
        <v>45628.36234953703</v>
      </c>
      <c r="C447" s="1" t="n">
        <v>46128</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2621-2025</t>
        </is>
      </c>
      <c r="B448" s="1" t="n">
        <v>45675.60765046296</v>
      </c>
      <c r="C448" s="1" t="n">
        <v>46128</v>
      </c>
      <c r="D448" t="inlineStr">
        <is>
          <t>SKÅNE LÄN</t>
        </is>
      </c>
      <c r="E448" t="inlineStr">
        <is>
          <t>HÄSSLEHOLM</t>
        </is>
      </c>
      <c r="F448" t="inlineStr">
        <is>
          <t>Kommuner</t>
        </is>
      </c>
      <c r="G448" t="n">
        <v>3</v>
      </c>
      <c r="H448" t="n">
        <v>0</v>
      </c>
      <c r="I448" t="n">
        <v>0</v>
      </c>
      <c r="J448" t="n">
        <v>0</v>
      </c>
      <c r="K448" t="n">
        <v>0</v>
      </c>
      <c r="L448" t="n">
        <v>0</v>
      </c>
      <c r="M448" t="n">
        <v>0</v>
      </c>
      <c r="N448" t="n">
        <v>0</v>
      </c>
      <c r="O448" t="n">
        <v>0</v>
      </c>
      <c r="P448" t="n">
        <v>0</v>
      </c>
      <c r="Q448" t="n">
        <v>0</v>
      </c>
      <c r="R448" s="2" t="inlineStr"/>
    </row>
    <row r="449" ht="15" customHeight="1">
      <c r="A449" t="inlineStr">
        <is>
          <t>A 15990-2023</t>
        </is>
      </c>
      <c r="B449" s="1" t="n">
        <v>45023.39584490741</v>
      </c>
      <c r="C449" s="1" t="n">
        <v>46128</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43738-2025</t>
        </is>
      </c>
      <c r="B450" s="1" t="n">
        <v>45912.45037037037</v>
      </c>
      <c r="C450" s="1" t="n">
        <v>46128</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43741-2025</t>
        </is>
      </c>
      <c r="B451" s="1" t="n">
        <v>45912.45541666666</v>
      </c>
      <c r="C451" s="1" t="n">
        <v>46128</v>
      </c>
      <c r="D451" t="inlineStr">
        <is>
          <t>SKÅNE LÄN</t>
        </is>
      </c>
      <c r="E451" t="inlineStr">
        <is>
          <t>HÄSSLEHOLM</t>
        </is>
      </c>
      <c r="G451" t="n">
        <v>4.3</v>
      </c>
      <c r="H451" t="n">
        <v>0</v>
      </c>
      <c r="I451" t="n">
        <v>0</v>
      </c>
      <c r="J451" t="n">
        <v>0</v>
      </c>
      <c r="K451" t="n">
        <v>0</v>
      </c>
      <c r="L451" t="n">
        <v>0</v>
      </c>
      <c r="M451" t="n">
        <v>0</v>
      </c>
      <c r="N451" t="n">
        <v>0</v>
      </c>
      <c r="O451" t="n">
        <v>0</v>
      </c>
      <c r="P451" t="n">
        <v>0</v>
      </c>
      <c r="Q451" t="n">
        <v>0</v>
      </c>
      <c r="R451" s="2" t="inlineStr"/>
    </row>
    <row r="452" ht="15" customHeight="1">
      <c r="A452" t="inlineStr">
        <is>
          <t>A 23005-2025</t>
        </is>
      </c>
      <c r="B452" s="1" t="n">
        <v>45790</v>
      </c>
      <c r="C452" s="1" t="n">
        <v>46128</v>
      </c>
      <c r="D452" t="inlineStr">
        <is>
          <t>SKÅNE LÄN</t>
        </is>
      </c>
      <c r="E452" t="inlineStr">
        <is>
          <t>HÄSSLEHOLM</t>
        </is>
      </c>
      <c r="G452" t="n">
        <v>0.3</v>
      </c>
      <c r="H452" t="n">
        <v>0</v>
      </c>
      <c r="I452" t="n">
        <v>0</v>
      </c>
      <c r="J452" t="n">
        <v>0</v>
      </c>
      <c r="K452" t="n">
        <v>0</v>
      </c>
      <c r="L452" t="n">
        <v>0</v>
      </c>
      <c r="M452" t="n">
        <v>0</v>
      </c>
      <c r="N452" t="n">
        <v>0</v>
      </c>
      <c r="O452" t="n">
        <v>0</v>
      </c>
      <c r="P452" t="n">
        <v>0</v>
      </c>
      <c r="Q452" t="n">
        <v>0</v>
      </c>
      <c r="R452" s="2" t="inlineStr"/>
    </row>
    <row r="453" ht="15" customHeight="1">
      <c r="A453" t="inlineStr">
        <is>
          <t>A 8737-2025</t>
        </is>
      </c>
      <c r="B453" s="1" t="n">
        <v>45712.54578703704</v>
      </c>
      <c r="C453" s="1" t="n">
        <v>46128</v>
      </c>
      <c r="D453" t="inlineStr">
        <is>
          <t>SKÅNE LÄN</t>
        </is>
      </c>
      <c r="E453" t="inlineStr">
        <is>
          <t>HÄSSLEHOLM</t>
        </is>
      </c>
      <c r="G453" t="n">
        <v>2.7</v>
      </c>
      <c r="H453" t="n">
        <v>0</v>
      </c>
      <c r="I453" t="n">
        <v>0</v>
      </c>
      <c r="J453" t="n">
        <v>0</v>
      </c>
      <c r="K453" t="n">
        <v>0</v>
      </c>
      <c r="L453" t="n">
        <v>0</v>
      </c>
      <c r="M453" t="n">
        <v>0</v>
      </c>
      <c r="N453" t="n">
        <v>0</v>
      </c>
      <c r="O453" t="n">
        <v>0</v>
      </c>
      <c r="P453" t="n">
        <v>0</v>
      </c>
      <c r="Q453" t="n">
        <v>0</v>
      </c>
      <c r="R453" s="2" t="inlineStr"/>
    </row>
    <row r="454" ht="15" customHeight="1">
      <c r="A454" t="inlineStr">
        <is>
          <t>A 22587-2025</t>
        </is>
      </c>
      <c r="B454" s="1" t="n">
        <v>45789.39974537037</v>
      </c>
      <c r="C454" s="1" t="n">
        <v>46128</v>
      </c>
      <c r="D454" t="inlineStr">
        <is>
          <t>SKÅNE LÄN</t>
        </is>
      </c>
      <c r="E454" t="inlineStr">
        <is>
          <t>HÄSSLEHOLM</t>
        </is>
      </c>
      <c r="G454" t="n">
        <v>5.7</v>
      </c>
      <c r="H454" t="n">
        <v>0</v>
      </c>
      <c r="I454" t="n">
        <v>0</v>
      </c>
      <c r="J454" t="n">
        <v>0</v>
      </c>
      <c r="K454" t="n">
        <v>0</v>
      </c>
      <c r="L454" t="n">
        <v>0</v>
      </c>
      <c r="M454" t="n">
        <v>0</v>
      </c>
      <c r="N454" t="n">
        <v>0</v>
      </c>
      <c r="O454" t="n">
        <v>0</v>
      </c>
      <c r="P454" t="n">
        <v>0</v>
      </c>
      <c r="Q454" t="n">
        <v>0</v>
      </c>
      <c r="R454" s="2" t="inlineStr"/>
    </row>
    <row r="455" ht="15" customHeight="1">
      <c r="A455" t="inlineStr">
        <is>
          <t>A 22592-2025</t>
        </is>
      </c>
      <c r="B455" s="1" t="n">
        <v>45789.40502314815</v>
      </c>
      <c r="C455" s="1" t="n">
        <v>46128</v>
      </c>
      <c r="D455" t="inlineStr">
        <is>
          <t>SKÅNE LÄN</t>
        </is>
      </c>
      <c r="E455" t="inlineStr">
        <is>
          <t>HÄSSLEHOLM</t>
        </is>
      </c>
      <c r="G455" t="n">
        <v>7.1</v>
      </c>
      <c r="H455" t="n">
        <v>0</v>
      </c>
      <c r="I455" t="n">
        <v>0</v>
      </c>
      <c r="J455" t="n">
        <v>0</v>
      </c>
      <c r="K455" t="n">
        <v>0</v>
      </c>
      <c r="L455" t="n">
        <v>0</v>
      </c>
      <c r="M455" t="n">
        <v>0</v>
      </c>
      <c r="N455" t="n">
        <v>0</v>
      </c>
      <c r="O455" t="n">
        <v>0</v>
      </c>
      <c r="P455" t="n">
        <v>0</v>
      </c>
      <c r="Q455" t="n">
        <v>0</v>
      </c>
      <c r="R455" s="2" t="inlineStr"/>
    </row>
    <row r="456" ht="15" customHeight="1">
      <c r="A456" t="inlineStr">
        <is>
          <t>A 43869-2025</t>
        </is>
      </c>
      <c r="B456" s="1" t="n">
        <v>45912.66452546296</v>
      </c>
      <c r="C456" s="1" t="n">
        <v>46128</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17171-2025</t>
        </is>
      </c>
      <c r="B457" s="1" t="n">
        <v>45755</v>
      </c>
      <c r="C457" s="1" t="n">
        <v>46128</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47907-2021</t>
        </is>
      </c>
      <c r="B458" s="1" t="n">
        <v>44448</v>
      </c>
      <c r="C458" s="1" t="n">
        <v>46128</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13954-2023</t>
        </is>
      </c>
      <c r="B459" s="1" t="n">
        <v>45008</v>
      </c>
      <c r="C459" s="1" t="n">
        <v>46128</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51018-2023</t>
        </is>
      </c>
      <c r="B460" s="1" t="n">
        <v>45218</v>
      </c>
      <c r="C460" s="1" t="n">
        <v>46128</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7513-2025</t>
        </is>
      </c>
      <c r="B461" s="1" t="n">
        <v>45702</v>
      </c>
      <c r="C461" s="1" t="n">
        <v>46128</v>
      </c>
      <c r="D461" t="inlineStr">
        <is>
          <t>SKÅNE LÄN</t>
        </is>
      </c>
      <c r="E461" t="inlineStr">
        <is>
          <t>HÄSSLEHOLM</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40152-2024</t>
        </is>
      </c>
      <c r="B462" s="1" t="n">
        <v>45554</v>
      </c>
      <c r="C462" s="1" t="n">
        <v>46128</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31254-2024</t>
        </is>
      </c>
      <c r="B463" s="1" t="n">
        <v>45503</v>
      </c>
      <c r="C463" s="1" t="n">
        <v>46128</v>
      </c>
      <c r="D463" t="inlineStr">
        <is>
          <t>SKÅNE LÄN</t>
        </is>
      </c>
      <c r="E463" t="inlineStr">
        <is>
          <t>HÄSSLEHOLM</t>
        </is>
      </c>
      <c r="G463" t="n">
        <v>2.2</v>
      </c>
      <c r="H463" t="n">
        <v>0</v>
      </c>
      <c r="I463" t="n">
        <v>0</v>
      </c>
      <c r="J463" t="n">
        <v>0</v>
      </c>
      <c r="K463" t="n">
        <v>0</v>
      </c>
      <c r="L463" t="n">
        <v>0</v>
      </c>
      <c r="M463" t="n">
        <v>0</v>
      </c>
      <c r="N463" t="n">
        <v>0</v>
      </c>
      <c r="O463" t="n">
        <v>0</v>
      </c>
      <c r="P463" t="n">
        <v>0</v>
      </c>
      <c r="Q463" t="n">
        <v>0</v>
      </c>
      <c r="R463" s="2" t="inlineStr"/>
    </row>
    <row r="464" ht="15" customHeight="1">
      <c r="A464" t="inlineStr">
        <is>
          <t>A 27825-2024</t>
        </is>
      </c>
      <c r="B464" s="1" t="n">
        <v>45475</v>
      </c>
      <c r="C464" s="1" t="n">
        <v>46128</v>
      </c>
      <c r="D464" t="inlineStr">
        <is>
          <t>SKÅNE LÄN</t>
        </is>
      </c>
      <c r="E464" t="inlineStr">
        <is>
          <t>HÄSSLEHOLM</t>
        </is>
      </c>
      <c r="F464" t="inlineStr">
        <is>
          <t>Kommuner</t>
        </is>
      </c>
      <c r="G464" t="n">
        <v>1.1</v>
      </c>
      <c r="H464" t="n">
        <v>0</v>
      </c>
      <c r="I464" t="n">
        <v>0</v>
      </c>
      <c r="J464" t="n">
        <v>0</v>
      </c>
      <c r="K464" t="n">
        <v>0</v>
      </c>
      <c r="L464" t="n">
        <v>0</v>
      </c>
      <c r="M464" t="n">
        <v>0</v>
      </c>
      <c r="N464" t="n">
        <v>0</v>
      </c>
      <c r="O464" t="n">
        <v>0</v>
      </c>
      <c r="P464" t="n">
        <v>0</v>
      </c>
      <c r="Q464" t="n">
        <v>0</v>
      </c>
      <c r="R464" s="2" t="inlineStr"/>
    </row>
    <row r="465" ht="15" customHeight="1">
      <c r="A465" t="inlineStr">
        <is>
          <t>A 8749-2024</t>
        </is>
      </c>
      <c r="B465" s="1" t="n">
        <v>45356.50387731481</v>
      </c>
      <c r="C465" s="1" t="n">
        <v>46128</v>
      </c>
      <c r="D465" t="inlineStr">
        <is>
          <t>SKÅNE LÄN</t>
        </is>
      </c>
      <c r="E465" t="inlineStr">
        <is>
          <t>HÄSSLEHOLM</t>
        </is>
      </c>
      <c r="G465" t="n">
        <v>2.9</v>
      </c>
      <c r="H465" t="n">
        <v>0</v>
      </c>
      <c r="I465" t="n">
        <v>0</v>
      </c>
      <c r="J465" t="n">
        <v>0</v>
      </c>
      <c r="K465" t="n">
        <v>0</v>
      </c>
      <c r="L465" t="n">
        <v>0</v>
      </c>
      <c r="M465" t="n">
        <v>0</v>
      </c>
      <c r="N465" t="n">
        <v>0</v>
      </c>
      <c r="O465" t="n">
        <v>0</v>
      </c>
      <c r="P465" t="n">
        <v>0</v>
      </c>
      <c r="Q465" t="n">
        <v>0</v>
      </c>
      <c r="R465" s="2" t="inlineStr"/>
    </row>
    <row r="466" ht="15" customHeight="1">
      <c r="A466" t="inlineStr">
        <is>
          <t>A 45400-2022</t>
        </is>
      </c>
      <c r="B466" s="1" t="n">
        <v>44844.713125</v>
      </c>
      <c r="C466" s="1" t="n">
        <v>46128</v>
      </c>
      <c r="D466" t="inlineStr">
        <is>
          <t>SKÅNE LÄN</t>
        </is>
      </c>
      <c r="E466" t="inlineStr">
        <is>
          <t>HÄSSLEHOLM</t>
        </is>
      </c>
      <c r="G466" t="n">
        <v>1.6</v>
      </c>
      <c r="H466" t="n">
        <v>0</v>
      </c>
      <c r="I466" t="n">
        <v>0</v>
      </c>
      <c r="J466" t="n">
        <v>0</v>
      </c>
      <c r="K466" t="n">
        <v>0</v>
      </c>
      <c r="L466" t="n">
        <v>0</v>
      </c>
      <c r="M466" t="n">
        <v>0</v>
      </c>
      <c r="N466" t="n">
        <v>0</v>
      </c>
      <c r="O466" t="n">
        <v>0</v>
      </c>
      <c r="P466" t="n">
        <v>0</v>
      </c>
      <c r="Q466" t="n">
        <v>0</v>
      </c>
      <c r="R466" s="2" t="inlineStr"/>
    </row>
    <row r="467" ht="15" customHeight="1">
      <c r="A467" t="inlineStr">
        <is>
          <t>A 8752-2024</t>
        </is>
      </c>
      <c r="B467" s="1" t="n">
        <v>45356</v>
      </c>
      <c r="C467" s="1" t="n">
        <v>46128</v>
      </c>
      <c r="D467" t="inlineStr">
        <is>
          <t>SKÅNE LÄN</t>
        </is>
      </c>
      <c r="E467" t="inlineStr">
        <is>
          <t>HÄSSLEHOLM</t>
        </is>
      </c>
      <c r="G467" t="n">
        <v>3.4</v>
      </c>
      <c r="H467" t="n">
        <v>0</v>
      </c>
      <c r="I467" t="n">
        <v>0</v>
      </c>
      <c r="J467" t="n">
        <v>0</v>
      </c>
      <c r="K467" t="n">
        <v>0</v>
      </c>
      <c r="L467" t="n">
        <v>0</v>
      </c>
      <c r="M467" t="n">
        <v>0</v>
      </c>
      <c r="N467" t="n">
        <v>0</v>
      </c>
      <c r="O467" t="n">
        <v>0</v>
      </c>
      <c r="P467" t="n">
        <v>0</v>
      </c>
      <c r="Q467" t="n">
        <v>0</v>
      </c>
      <c r="R467" s="2" t="inlineStr"/>
    </row>
    <row r="468" ht="15" customHeight="1">
      <c r="A468" t="inlineStr">
        <is>
          <t>A 42906-2022</t>
        </is>
      </c>
      <c r="B468" s="1" t="n">
        <v>44833</v>
      </c>
      <c r="C468" s="1" t="n">
        <v>46128</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37764-2022</t>
        </is>
      </c>
      <c r="B469" s="1" t="n">
        <v>44810</v>
      </c>
      <c r="C469" s="1" t="n">
        <v>46128</v>
      </c>
      <c r="D469" t="inlineStr">
        <is>
          <t>SKÅNE LÄN</t>
        </is>
      </c>
      <c r="E469" t="inlineStr">
        <is>
          <t>HÄSSLEHOLM</t>
        </is>
      </c>
      <c r="F469" t="inlineStr">
        <is>
          <t>Kyrkan</t>
        </is>
      </c>
      <c r="G469" t="n">
        <v>9.4</v>
      </c>
      <c r="H469" t="n">
        <v>0</v>
      </c>
      <c r="I469" t="n">
        <v>0</v>
      </c>
      <c r="J469" t="n">
        <v>0</v>
      </c>
      <c r="K469" t="n">
        <v>0</v>
      </c>
      <c r="L469" t="n">
        <v>0</v>
      </c>
      <c r="M469" t="n">
        <v>0</v>
      </c>
      <c r="N469" t="n">
        <v>0</v>
      </c>
      <c r="O469" t="n">
        <v>0</v>
      </c>
      <c r="P469" t="n">
        <v>0</v>
      </c>
      <c r="Q469" t="n">
        <v>0</v>
      </c>
      <c r="R469" s="2" t="inlineStr"/>
    </row>
    <row r="470" ht="15" customHeight="1">
      <c r="A470" t="inlineStr">
        <is>
          <t>A 54874-2022</t>
        </is>
      </c>
      <c r="B470" s="1" t="n">
        <v>44881</v>
      </c>
      <c r="C470" s="1" t="n">
        <v>46128</v>
      </c>
      <c r="D470" t="inlineStr">
        <is>
          <t>SKÅNE LÄN</t>
        </is>
      </c>
      <c r="E470" t="inlineStr">
        <is>
          <t>HÄSSLEHOLM</t>
        </is>
      </c>
      <c r="G470" t="n">
        <v>8.1</v>
      </c>
      <c r="H470" t="n">
        <v>0</v>
      </c>
      <c r="I470" t="n">
        <v>0</v>
      </c>
      <c r="J470" t="n">
        <v>0</v>
      </c>
      <c r="K470" t="n">
        <v>0</v>
      </c>
      <c r="L470" t="n">
        <v>0</v>
      </c>
      <c r="M470" t="n">
        <v>0</v>
      </c>
      <c r="N470" t="n">
        <v>0</v>
      </c>
      <c r="O470" t="n">
        <v>0</v>
      </c>
      <c r="P470" t="n">
        <v>0</v>
      </c>
      <c r="Q470" t="n">
        <v>0</v>
      </c>
      <c r="R470" s="2" t="inlineStr"/>
    </row>
    <row r="471" ht="15" customHeight="1">
      <c r="A471" t="inlineStr">
        <is>
          <t>A 15036-2024</t>
        </is>
      </c>
      <c r="B471" s="1" t="n">
        <v>45399.48100694444</v>
      </c>
      <c r="C471" s="1" t="n">
        <v>46128</v>
      </c>
      <c r="D471" t="inlineStr">
        <is>
          <t>SKÅNE LÄN</t>
        </is>
      </c>
      <c r="E471" t="inlineStr">
        <is>
          <t>HÄSSLEHOLM</t>
        </is>
      </c>
      <c r="G471" t="n">
        <v>1.6</v>
      </c>
      <c r="H471" t="n">
        <v>0</v>
      </c>
      <c r="I471" t="n">
        <v>0</v>
      </c>
      <c r="J471" t="n">
        <v>0</v>
      </c>
      <c r="K471" t="n">
        <v>0</v>
      </c>
      <c r="L471" t="n">
        <v>0</v>
      </c>
      <c r="M471" t="n">
        <v>0</v>
      </c>
      <c r="N471" t="n">
        <v>0</v>
      </c>
      <c r="O471" t="n">
        <v>0</v>
      </c>
      <c r="P471" t="n">
        <v>0</v>
      </c>
      <c r="Q471" t="n">
        <v>0</v>
      </c>
      <c r="R471" s="2" t="inlineStr"/>
    </row>
    <row r="472" ht="15" customHeight="1">
      <c r="A472" t="inlineStr">
        <is>
          <t>A 44330-2025</t>
        </is>
      </c>
      <c r="B472" s="1" t="n">
        <v>45916.42120370371</v>
      </c>
      <c r="C472" s="1" t="n">
        <v>46128</v>
      </c>
      <c r="D472" t="inlineStr">
        <is>
          <t>SKÅNE LÄN</t>
        </is>
      </c>
      <c r="E472" t="inlineStr">
        <is>
          <t>HÄSSLEHOLM</t>
        </is>
      </c>
      <c r="G472" t="n">
        <v>2.7</v>
      </c>
      <c r="H472" t="n">
        <v>0</v>
      </c>
      <c r="I472" t="n">
        <v>0</v>
      </c>
      <c r="J472" t="n">
        <v>0</v>
      </c>
      <c r="K472" t="n">
        <v>0</v>
      </c>
      <c r="L472" t="n">
        <v>0</v>
      </c>
      <c r="M472" t="n">
        <v>0</v>
      </c>
      <c r="N472" t="n">
        <v>0</v>
      </c>
      <c r="O472" t="n">
        <v>0</v>
      </c>
      <c r="P472" t="n">
        <v>0</v>
      </c>
      <c r="Q472" t="n">
        <v>0</v>
      </c>
      <c r="R472" s="2" t="inlineStr"/>
    </row>
    <row r="473" ht="15" customHeight="1">
      <c r="A473" t="inlineStr">
        <is>
          <t>A 1706-2025</t>
        </is>
      </c>
      <c r="B473" s="1" t="n">
        <v>45670</v>
      </c>
      <c r="C473" s="1" t="n">
        <v>46128</v>
      </c>
      <c r="D473" t="inlineStr">
        <is>
          <t>SKÅNE LÄN</t>
        </is>
      </c>
      <c r="E473" t="inlineStr">
        <is>
          <t>HÄSSLEHOLM</t>
        </is>
      </c>
      <c r="G473" t="n">
        <v>5</v>
      </c>
      <c r="H473" t="n">
        <v>0</v>
      </c>
      <c r="I473" t="n">
        <v>0</v>
      </c>
      <c r="J473" t="n">
        <v>0</v>
      </c>
      <c r="K473" t="n">
        <v>0</v>
      </c>
      <c r="L473" t="n">
        <v>0</v>
      </c>
      <c r="M473" t="n">
        <v>0</v>
      </c>
      <c r="N473" t="n">
        <v>0</v>
      </c>
      <c r="O473" t="n">
        <v>0</v>
      </c>
      <c r="P473" t="n">
        <v>0</v>
      </c>
      <c r="Q473" t="n">
        <v>0</v>
      </c>
      <c r="R473" s="2" t="inlineStr"/>
    </row>
    <row r="474" ht="15" customHeight="1">
      <c r="A474" t="inlineStr">
        <is>
          <t>A 44523-2025</t>
        </is>
      </c>
      <c r="B474" s="1" t="n">
        <v>45916</v>
      </c>
      <c r="C474" s="1" t="n">
        <v>46128</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61625-2022</t>
        </is>
      </c>
      <c r="B475" s="1" t="n">
        <v>44916</v>
      </c>
      <c r="C475" s="1" t="n">
        <v>46128</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31268-2024</t>
        </is>
      </c>
      <c r="B476" s="1" t="n">
        <v>45504</v>
      </c>
      <c r="C476" s="1" t="n">
        <v>46128</v>
      </c>
      <c r="D476" t="inlineStr">
        <is>
          <t>SKÅNE LÄN</t>
        </is>
      </c>
      <c r="E476" t="inlineStr">
        <is>
          <t>HÄSSLEHOLM</t>
        </is>
      </c>
      <c r="G476" t="n">
        <v>1.5</v>
      </c>
      <c r="H476" t="n">
        <v>0</v>
      </c>
      <c r="I476" t="n">
        <v>0</v>
      </c>
      <c r="J476" t="n">
        <v>0</v>
      </c>
      <c r="K476" t="n">
        <v>0</v>
      </c>
      <c r="L476" t="n">
        <v>0</v>
      </c>
      <c r="M476" t="n">
        <v>0</v>
      </c>
      <c r="N476" t="n">
        <v>0</v>
      </c>
      <c r="O476" t="n">
        <v>0</v>
      </c>
      <c r="P476" t="n">
        <v>0</v>
      </c>
      <c r="Q476" t="n">
        <v>0</v>
      </c>
      <c r="R476" s="2" t="inlineStr"/>
    </row>
    <row r="477" ht="15" customHeight="1">
      <c r="A477" t="inlineStr">
        <is>
          <t>A 13856-2025</t>
        </is>
      </c>
      <c r="B477" s="1" t="n">
        <v>45737.57289351852</v>
      </c>
      <c r="C477" s="1" t="n">
        <v>46128</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37486-2024</t>
        </is>
      </c>
      <c r="B478" s="1" t="n">
        <v>45541</v>
      </c>
      <c r="C478" s="1" t="n">
        <v>46128</v>
      </c>
      <c r="D478" t="inlineStr">
        <is>
          <t>SKÅNE LÄN</t>
        </is>
      </c>
      <c r="E478" t="inlineStr">
        <is>
          <t>HÄSSLEHOLM</t>
        </is>
      </c>
      <c r="G478" t="n">
        <v>8.5</v>
      </c>
      <c r="H478" t="n">
        <v>0</v>
      </c>
      <c r="I478" t="n">
        <v>0</v>
      </c>
      <c r="J478" t="n">
        <v>0</v>
      </c>
      <c r="K478" t="n">
        <v>0</v>
      </c>
      <c r="L478" t="n">
        <v>0</v>
      </c>
      <c r="M478" t="n">
        <v>0</v>
      </c>
      <c r="N478" t="n">
        <v>0</v>
      </c>
      <c r="O478" t="n">
        <v>0</v>
      </c>
      <c r="P478" t="n">
        <v>0</v>
      </c>
      <c r="Q478" t="n">
        <v>0</v>
      </c>
      <c r="R478" s="2" t="inlineStr"/>
    </row>
    <row r="479" ht="15" customHeight="1">
      <c r="A479" t="inlineStr">
        <is>
          <t>A 44838-2023</t>
        </is>
      </c>
      <c r="B479" s="1" t="n">
        <v>45190</v>
      </c>
      <c r="C479" s="1" t="n">
        <v>46128</v>
      </c>
      <c r="D479" t="inlineStr">
        <is>
          <t>SKÅNE LÄN</t>
        </is>
      </c>
      <c r="E479" t="inlineStr">
        <is>
          <t>HÄSSLEHOLM</t>
        </is>
      </c>
      <c r="F479" t="inlineStr">
        <is>
          <t>Kommuner</t>
        </is>
      </c>
      <c r="G479" t="n">
        <v>2</v>
      </c>
      <c r="H479" t="n">
        <v>0</v>
      </c>
      <c r="I479" t="n">
        <v>0</v>
      </c>
      <c r="J479" t="n">
        <v>0</v>
      </c>
      <c r="K479" t="n">
        <v>0</v>
      </c>
      <c r="L479" t="n">
        <v>0</v>
      </c>
      <c r="M479" t="n">
        <v>0</v>
      </c>
      <c r="N479" t="n">
        <v>0</v>
      </c>
      <c r="O479" t="n">
        <v>0</v>
      </c>
      <c r="P479" t="n">
        <v>0</v>
      </c>
      <c r="Q479" t="n">
        <v>0</v>
      </c>
      <c r="R479" s="2" t="inlineStr"/>
    </row>
    <row r="480" ht="15" customHeight="1">
      <c r="A480" t="inlineStr">
        <is>
          <t>A 44515-2025</t>
        </is>
      </c>
      <c r="B480" s="1" t="n">
        <v>45916.7062037037</v>
      </c>
      <c r="C480" s="1" t="n">
        <v>46128</v>
      </c>
      <c r="D480" t="inlineStr">
        <is>
          <t>SKÅNE LÄN</t>
        </is>
      </c>
      <c r="E480" t="inlineStr">
        <is>
          <t>HÄSSLEHOLM</t>
        </is>
      </c>
      <c r="G480" t="n">
        <v>1.5</v>
      </c>
      <c r="H480" t="n">
        <v>0</v>
      </c>
      <c r="I480" t="n">
        <v>0</v>
      </c>
      <c r="J480" t="n">
        <v>0</v>
      </c>
      <c r="K480" t="n">
        <v>0</v>
      </c>
      <c r="L480" t="n">
        <v>0</v>
      </c>
      <c r="M480" t="n">
        <v>0</v>
      </c>
      <c r="N480" t="n">
        <v>0</v>
      </c>
      <c r="O480" t="n">
        <v>0</v>
      </c>
      <c r="P480" t="n">
        <v>0</v>
      </c>
      <c r="Q480" t="n">
        <v>0</v>
      </c>
      <c r="R480" s="2" t="inlineStr"/>
    </row>
    <row r="481" ht="15" customHeight="1">
      <c r="A481" t="inlineStr">
        <is>
          <t>A 36568-2024</t>
        </is>
      </c>
      <c r="B481" s="1" t="n">
        <v>45537</v>
      </c>
      <c r="C481" s="1" t="n">
        <v>46128</v>
      </c>
      <c r="D481" t="inlineStr">
        <is>
          <t>SKÅNE LÄN</t>
        </is>
      </c>
      <c r="E481" t="inlineStr">
        <is>
          <t>HÄSSLEHOLM</t>
        </is>
      </c>
      <c r="G481" t="n">
        <v>4.3</v>
      </c>
      <c r="H481" t="n">
        <v>0</v>
      </c>
      <c r="I481" t="n">
        <v>0</v>
      </c>
      <c r="J481" t="n">
        <v>0</v>
      </c>
      <c r="K481" t="n">
        <v>0</v>
      </c>
      <c r="L481" t="n">
        <v>0</v>
      </c>
      <c r="M481" t="n">
        <v>0</v>
      </c>
      <c r="N481" t="n">
        <v>0</v>
      </c>
      <c r="O481" t="n">
        <v>0</v>
      </c>
      <c r="P481" t="n">
        <v>0</v>
      </c>
      <c r="Q481" t="n">
        <v>0</v>
      </c>
      <c r="R481" s="2" t="inlineStr"/>
    </row>
    <row r="482" ht="15" customHeight="1">
      <c r="A482" t="inlineStr">
        <is>
          <t>A 32794-2021</t>
        </is>
      </c>
      <c r="B482" s="1" t="n">
        <v>44375</v>
      </c>
      <c r="C482" s="1" t="n">
        <v>46128</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13961-2023</t>
        </is>
      </c>
      <c r="B483" s="1" t="n">
        <v>45008</v>
      </c>
      <c r="C483" s="1" t="n">
        <v>46128</v>
      </c>
      <c r="D483" t="inlineStr">
        <is>
          <t>SKÅNE LÄN</t>
        </is>
      </c>
      <c r="E483" t="inlineStr">
        <is>
          <t>HÄSSLEHOLM</t>
        </is>
      </c>
      <c r="G483" t="n">
        <v>3.8</v>
      </c>
      <c r="H483" t="n">
        <v>0</v>
      </c>
      <c r="I483" t="n">
        <v>0</v>
      </c>
      <c r="J483" t="n">
        <v>0</v>
      </c>
      <c r="K483" t="n">
        <v>0</v>
      </c>
      <c r="L483" t="n">
        <v>0</v>
      </c>
      <c r="M483" t="n">
        <v>0</v>
      </c>
      <c r="N483" t="n">
        <v>0</v>
      </c>
      <c r="O483" t="n">
        <v>0</v>
      </c>
      <c r="P483" t="n">
        <v>0</v>
      </c>
      <c r="Q483" t="n">
        <v>0</v>
      </c>
      <c r="R483" s="2" t="inlineStr"/>
    </row>
    <row r="484" ht="15" customHeight="1">
      <c r="A484" t="inlineStr">
        <is>
          <t>A 15072-2024</t>
        </is>
      </c>
      <c r="B484" s="1" t="n">
        <v>45399.5996875</v>
      </c>
      <c r="C484" s="1" t="n">
        <v>46128</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16930-2024</t>
        </is>
      </c>
      <c r="B485" s="1" t="n">
        <v>45411</v>
      </c>
      <c r="C485" s="1" t="n">
        <v>46128</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11262-2025</t>
        </is>
      </c>
      <c r="B486" s="1" t="n">
        <v>45726</v>
      </c>
      <c r="C486" s="1" t="n">
        <v>46128</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5395-2024</t>
        </is>
      </c>
      <c r="B487" s="1" t="n">
        <v>45331</v>
      </c>
      <c r="C487" s="1" t="n">
        <v>46128</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56069-2024</t>
        </is>
      </c>
      <c r="B488" s="1" t="n">
        <v>45624.38006944444</v>
      </c>
      <c r="C488" s="1" t="n">
        <v>46128</v>
      </c>
      <c r="D488" t="inlineStr">
        <is>
          <t>SKÅNE LÄN</t>
        </is>
      </c>
      <c r="E488" t="inlineStr">
        <is>
          <t>HÄSSLEHOLM</t>
        </is>
      </c>
      <c r="F488" t="inlineStr">
        <is>
          <t>Övriga Aktiebolag</t>
        </is>
      </c>
      <c r="G488" t="n">
        <v>2.3</v>
      </c>
      <c r="H488" t="n">
        <v>0</v>
      </c>
      <c r="I488" t="n">
        <v>0</v>
      </c>
      <c r="J488" t="n">
        <v>0</v>
      </c>
      <c r="K488" t="n">
        <v>0</v>
      </c>
      <c r="L488" t="n">
        <v>0</v>
      </c>
      <c r="M488" t="n">
        <v>0</v>
      </c>
      <c r="N488" t="n">
        <v>0</v>
      </c>
      <c r="O488" t="n">
        <v>0</v>
      </c>
      <c r="P488" t="n">
        <v>0</v>
      </c>
      <c r="Q488" t="n">
        <v>0</v>
      </c>
      <c r="R488" s="2" t="inlineStr"/>
    </row>
    <row r="489" ht="15" customHeight="1">
      <c r="A489" t="inlineStr">
        <is>
          <t>A 3855-2023</t>
        </is>
      </c>
      <c r="B489" s="1" t="n">
        <v>44951.69708333333</v>
      </c>
      <c r="C489" s="1" t="n">
        <v>46128</v>
      </c>
      <c r="D489" t="inlineStr">
        <is>
          <t>SKÅNE LÄN</t>
        </is>
      </c>
      <c r="E489" t="inlineStr">
        <is>
          <t>HÄSSLEHOLM</t>
        </is>
      </c>
      <c r="G489" t="n">
        <v>2.3</v>
      </c>
      <c r="H489" t="n">
        <v>0</v>
      </c>
      <c r="I489" t="n">
        <v>0</v>
      </c>
      <c r="J489" t="n">
        <v>0</v>
      </c>
      <c r="K489" t="n">
        <v>0</v>
      </c>
      <c r="L489" t="n">
        <v>0</v>
      </c>
      <c r="M489" t="n">
        <v>0</v>
      </c>
      <c r="N489" t="n">
        <v>0</v>
      </c>
      <c r="O489" t="n">
        <v>0</v>
      </c>
      <c r="P489" t="n">
        <v>0</v>
      </c>
      <c r="Q489" t="n">
        <v>0</v>
      </c>
      <c r="R489" s="2" t="inlineStr"/>
    </row>
    <row r="490" ht="15" customHeight="1">
      <c r="A490" t="inlineStr">
        <is>
          <t>A 60797-2024</t>
        </is>
      </c>
      <c r="B490" s="1" t="n">
        <v>45644</v>
      </c>
      <c r="C490" s="1" t="n">
        <v>46128</v>
      </c>
      <c r="D490" t="inlineStr">
        <is>
          <t>SKÅNE LÄN</t>
        </is>
      </c>
      <c r="E490" t="inlineStr">
        <is>
          <t>HÄSSLEHOLM</t>
        </is>
      </c>
      <c r="G490" t="n">
        <v>3.4</v>
      </c>
      <c r="H490" t="n">
        <v>0</v>
      </c>
      <c r="I490" t="n">
        <v>0</v>
      </c>
      <c r="J490" t="n">
        <v>0</v>
      </c>
      <c r="K490" t="n">
        <v>0</v>
      </c>
      <c r="L490" t="n">
        <v>0</v>
      </c>
      <c r="M490" t="n">
        <v>0</v>
      </c>
      <c r="N490" t="n">
        <v>0</v>
      </c>
      <c r="O490" t="n">
        <v>0</v>
      </c>
      <c r="P490" t="n">
        <v>0</v>
      </c>
      <c r="Q490" t="n">
        <v>0</v>
      </c>
      <c r="R490" s="2" t="inlineStr"/>
    </row>
    <row r="491" ht="15" customHeight="1">
      <c r="A491" t="inlineStr">
        <is>
          <t>A 44624-2025</t>
        </is>
      </c>
      <c r="B491" s="1" t="n">
        <v>45917.47152777778</v>
      </c>
      <c r="C491" s="1" t="n">
        <v>46128</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34301-2024</t>
        </is>
      </c>
      <c r="B492" s="1" t="n">
        <v>45524</v>
      </c>
      <c r="C492" s="1" t="n">
        <v>46128</v>
      </c>
      <c r="D492" t="inlineStr">
        <is>
          <t>SKÅNE LÄN</t>
        </is>
      </c>
      <c r="E492" t="inlineStr">
        <is>
          <t>HÄSSLEHOLM</t>
        </is>
      </c>
      <c r="G492" t="n">
        <v>0.4</v>
      </c>
      <c r="H492" t="n">
        <v>0</v>
      </c>
      <c r="I492" t="n">
        <v>0</v>
      </c>
      <c r="J492" t="n">
        <v>0</v>
      </c>
      <c r="K492" t="n">
        <v>0</v>
      </c>
      <c r="L492" t="n">
        <v>0</v>
      </c>
      <c r="M492" t="n">
        <v>0</v>
      </c>
      <c r="N492" t="n">
        <v>0</v>
      </c>
      <c r="O492" t="n">
        <v>0</v>
      </c>
      <c r="P492" t="n">
        <v>0</v>
      </c>
      <c r="Q492" t="n">
        <v>0</v>
      </c>
      <c r="R492" s="2" t="inlineStr"/>
    </row>
    <row r="493" ht="15" customHeight="1">
      <c r="A493" t="inlineStr">
        <is>
          <t>A 15060-2023</t>
        </is>
      </c>
      <c r="B493" s="1" t="n">
        <v>45015.69832175926</v>
      </c>
      <c r="C493" s="1" t="n">
        <v>46128</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54171-2021</t>
        </is>
      </c>
      <c r="B494" s="1" t="n">
        <v>44470</v>
      </c>
      <c r="C494" s="1" t="n">
        <v>46128</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58915-2023</t>
        </is>
      </c>
      <c r="B495" s="1" t="n">
        <v>45250</v>
      </c>
      <c r="C495" s="1" t="n">
        <v>46128</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24034-2025</t>
        </is>
      </c>
      <c r="B496" s="1" t="n">
        <v>45796.48251157408</v>
      </c>
      <c r="C496" s="1" t="n">
        <v>46128</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18648-2021</t>
        </is>
      </c>
      <c r="B497" s="1" t="n">
        <v>44306.70583333333</v>
      </c>
      <c r="C497" s="1" t="n">
        <v>46128</v>
      </c>
      <c r="D497" t="inlineStr">
        <is>
          <t>SKÅNE LÄN</t>
        </is>
      </c>
      <c r="E497" t="inlineStr">
        <is>
          <t>HÄSSLEHOLM</t>
        </is>
      </c>
      <c r="G497" t="n">
        <v>2.5</v>
      </c>
      <c r="H497" t="n">
        <v>0</v>
      </c>
      <c r="I497" t="n">
        <v>0</v>
      </c>
      <c r="J497" t="n">
        <v>0</v>
      </c>
      <c r="K497" t="n">
        <v>0</v>
      </c>
      <c r="L497" t="n">
        <v>0</v>
      </c>
      <c r="M497" t="n">
        <v>0</v>
      </c>
      <c r="N497" t="n">
        <v>0</v>
      </c>
      <c r="O497" t="n">
        <v>0</v>
      </c>
      <c r="P497" t="n">
        <v>0</v>
      </c>
      <c r="Q497" t="n">
        <v>0</v>
      </c>
      <c r="R497" s="2" t="inlineStr"/>
    </row>
    <row r="498" ht="15" customHeight="1">
      <c r="A498" t="inlineStr">
        <is>
          <t>A 44611-2025</t>
        </is>
      </c>
      <c r="B498" s="1" t="n">
        <v>45917.45109953704</v>
      </c>
      <c r="C498" s="1" t="n">
        <v>46128</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45084-2025</t>
        </is>
      </c>
      <c r="B499" s="1" t="n">
        <v>45918</v>
      </c>
      <c r="C499" s="1" t="n">
        <v>46128</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20494-2024</t>
        </is>
      </c>
      <c r="B500" s="1" t="n">
        <v>45435</v>
      </c>
      <c r="C500" s="1" t="n">
        <v>46128</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44616-2025</t>
        </is>
      </c>
      <c r="B501" s="1" t="n">
        <v>45917.45572916666</v>
      </c>
      <c r="C501" s="1" t="n">
        <v>46128</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57033-2022</t>
        </is>
      </c>
      <c r="B502" s="1" t="n">
        <v>44895.31270833333</v>
      </c>
      <c r="C502" s="1" t="n">
        <v>46128</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44614-2025</t>
        </is>
      </c>
      <c r="B503" s="1" t="n">
        <v>45917.45422453704</v>
      </c>
      <c r="C503" s="1" t="n">
        <v>46128</v>
      </c>
      <c r="D503" t="inlineStr">
        <is>
          <t>SKÅNE LÄN</t>
        </is>
      </c>
      <c r="E503" t="inlineStr">
        <is>
          <t>HÄSSLEHOLM</t>
        </is>
      </c>
      <c r="G503" t="n">
        <v>5.4</v>
      </c>
      <c r="H503" t="n">
        <v>0</v>
      </c>
      <c r="I503" t="n">
        <v>0</v>
      </c>
      <c r="J503" t="n">
        <v>0</v>
      </c>
      <c r="K503" t="n">
        <v>0</v>
      </c>
      <c r="L503" t="n">
        <v>0</v>
      </c>
      <c r="M503" t="n">
        <v>0</v>
      </c>
      <c r="N503" t="n">
        <v>0</v>
      </c>
      <c r="O503" t="n">
        <v>0</v>
      </c>
      <c r="P503" t="n">
        <v>0</v>
      </c>
      <c r="Q503" t="n">
        <v>0</v>
      </c>
      <c r="R503" s="2" t="inlineStr"/>
    </row>
    <row r="504" ht="15" customHeight="1">
      <c r="A504" t="inlineStr">
        <is>
          <t>A 24039-2025</t>
        </is>
      </c>
      <c r="B504" s="1" t="n">
        <v>45796.48675925926</v>
      </c>
      <c r="C504" s="1" t="n">
        <v>46128</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13347-2025</t>
        </is>
      </c>
      <c r="B505" s="1" t="n">
        <v>45735.63175925926</v>
      </c>
      <c r="C505" s="1" t="n">
        <v>46128</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7681-2025</t>
        </is>
      </c>
      <c r="B506" s="1" t="n">
        <v>45706.36758101852</v>
      </c>
      <c r="C506" s="1" t="n">
        <v>46128</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45495-2025</t>
        </is>
      </c>
      <c r="B507" s="1" t="n">
        <v>45922.56369212963</v>
      </c>
      <c r="C507" s="1" t="n">
        <v>46128</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45176-2025</t>
        </is>
      </c>
      <c r="B508" s="1" t="n">
        <v>45919.52307870371</v>
      </c>
      <c r="C508" s="1" t="n">
        <v>46128</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24032-2025</t>
        </is>
      </c>
      <c r="B509" s="1" t="n">
        <v>45796.478125</v>
      </c>
      <c r="C509" s="1" t="n">
        <v>46128</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45273-2025</t>
        </is>
      </c>
      <c r="B510" s="1" t="n">
        <v>45919.70486111111</v>
      </c>
      <c r="C510" s="1" t="n">
        <v>46128</v>
      </c>
      <c r="D510" t="inlineStr">
        <is>
          <t>SKÅNE LÄN</t>
        </is>
      </c>
      <c r="E510" t="inlineStr">
        <is>
          <t>HÄSSLEHOLM</t>
        </is>
      </c>
      <c r="G510" t="n">
        <v>4.4</v>
      </c>
      <c r="H510" t="n">
        <v>0</v>
      </c>
      <c r="I510" t="n">
        <v>0</v>
      </c>
      <c r="J510" t="n">
        <v>0</v>
      </c>
      <c r="K510" t="n">
        <v>0</v>
      </c>
      <c r="L510" t="n">
        <v>0</v>
      </c>
      <c r="M510" t="n">
        <v>0</v>
      </c>
      <c r="N510" t="n">
        <v>0</v>
      </c>
      <c r="O510" t="n">
        <v>0</v>
      </c>
      <c r="P510" t="n">
        <v>0</v>
      </c>
      <c r="Q510" t="n">
        <v>0</v>
      </c>
      <c r="R510" s="2" t="inlineStr"/>
    </row>
    <row r="511" ht="15" customHeight="1">
      <c r="A511" t="inlineStr">
        <is>
          <t>A 13198-2025</t>
        </is>
      </c>
      <c r="B511" s="1" t="n">
        <v>45735</v>
      </c>
      <c r="C511" s="1" t="n">
        <v>46128</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45314-2025</t>
        </is>
      </c>
      <c r="B512" s="1" t="n">
        <v>45921.81738425926</v>
      </c>
      <c r="C512" s="1" t="n">
        <v>46128</v>
      </c>
      <c r="D512" t="inlineStr">
        <is>
          <t>SKÅNE LÄN</t>
        </is>
      </c>
      <c r="E512" t="inlineStr">
        <is>
          <t>HÄSSLEHOLM</t>
        </is>
      </c>
      <c r="G512" t="n">
        <v>2.4</v>
      </c>
      <c r="H512" t="n">
        <v>0</v>
      </c>
      <c r="I512" t="n">
        <v>0</v>
      </c>
      <c r="J512" t="n">
        <v>0</v>
      </c>
      <c r="K512" t="n">
        <v>0</v>
      </c>
      <c r="L512" t="n">
        <v>0</v>
      </c>
      <c r="M512" t="n">
        <v>0</v>
      </c>
      <c r="N512" t="n">
        <v>0</v>
      </c>
      <c r="O512" t="n">
        <v>0</v>
      </c>
      <c r="P512" t="n">
        <v>0</v>
      </c>
      <c r="Q512" t="n">
        <v>0</v>
      </c>
      <c r="R512" s="2" t="inlineStr"/>
    </row>
    <row r="513" ht="15" customHeight="1">
      <c r="A513" t="inlineStr">
        <is>
          <t>A 3135-2023</t>
        </is>
      </c>
      <c r="B513" s="1" t="n">
        <v>44946.51672453704</v>
      </c>
      <c r="C513" s="1" t="n">
        <v>46128</v>
      </c>
      <c r="D513" t="inlineStr">
        <is>
          <t>SKÅNE LÄN</t>
        </is>
      </c>
      <c r="E513" t="inlineStr">
        <is>
          <t>HÄSSLEHOLM</t>
        </is>
      </c>
      <c r="G513" t="n">
        <v>7.2</v>
      </c>
      <c r="H513" t="n">
        <v>0</v>
      </c>
      <c r="I513" t="n">
        <v>0</v>
      </c>
      <c r="J513" t="n">
        <v>0</v>
      </c>
      <c r="K513" t="n">
        <v>0</v>
      </c>
      <c r="L513" t="n">
        <v>0</v>
      </c>
      <c r="M513" t="n">
        <v>0</v>
      </c>
      <c r="N513" t="n">
        <v>0</v>
      </c>
      <c r="O513" t="n">
        <v>0</v>
      </c>
      <c r="P513" t="n">
        <v>0</v>
      </c>
      <c r="Q513" t="n">
        <v>0</v>
      </c>
      <c r="R513" s="2" t="inlineStr"/>
    </row>
    <row r="514" ht="15" customHeight="1">
      <c r="A514" t="inlineStr">
        <is>
          <t>A 5252-2025</t>
        </is>
      </c>
      <c r="B514" s="1" t="n">
        <v>45692.3449537037</v>
      </c>
      <c r="C514" s="1" t="n">
        <v>46128</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59429-2023</t>
        </is>
      </c>
      <c r="B515" s="1" t="n">
        <v>45254.2875</v>
      </c>
      <c r="C515" s="1" t="n">
        <v>46128</v>
      </c>
      <c r="D515" t="inlineStr">
        <is>
          <t>SKÅNE LÄN</t>
        </is>
      </c>
      <c r="E515" t="inlineStr">
        <is>
          <t>HÄSSLEHOLM</t>
        </is>
      </c>
      <c r="G515" t="n">
        <v>0</v>
      </c>
      <c r="H515" t="n">
        <v>0</v>
      </c>
      <c r="I515" t="n">
        <v>0</v>
      </c>
      <c r="J515" t="n">
        <v>0</v>
      </c>
      <c r="K515" t="n">
        <v>0</v>
      </c>
      <c r="L515" t="n">
        <v>0</v>
      </c>
      <c r="M515" t="n">
        <v>0</v>
      </c>
      <c r="N515" t="n">
        <v>0</v>
      </c>
      <c r="O515" t="n">
        <v>0</v>
      </c>
      <c r="P515" t="n">
        <v>0</v>
      </c>
      <c r="Q515" t="n">
        <v>0</v>
      </c>
      <c r="R515" s="2" t="inlineStr"/>
    </row>
    <row r="516" ht="15" customHeight="1">
      <c r="A516" t="inlineStr">
        <is>
          <t>A 24047-2025</t>
        </is>
      </c>
      <c r="B516" s="1" t="n">
        <v>45796.49528935185</v>
      </c>
      <c r="C516" s="1" t="n">
        <v>46128</v>
      </c>
      <c r="D516" t="inlineStr">
        <is>
          <t>SKÅNE LÄN</t>
        </is>
      </c>
      <c r="E516" t="inlineStr">
        <is>
          <t>HÄSSLEHOLM</t>
        </is>
      </c>
      <c r="G516" t="n">
        <v>1.1</v>
      </c>
      <c r="H516" t="n">
        <v>0</v>
      </c>
      <c r="I516" t="n">
        <v>0</v>
      </c>
      <c r="J516" t="n">
        <v>0</v>
      </c>
      <c r="K516" t="n">
        <v>0</v>
      </c>
      <c r="L516" t="n">
        <v>0</v>
      </c>
      <c r="M516" t="n">
        <v>0</v>
      </c>
      <c r="N516" t="n">
        <v>0</v>
      </c>
      <c r="O516" t="n">
        <v>0</v>
      </c>
      <c r="P516" t="n">
        <v>0</v>
      </c>
      <c r="Q516" t="n">
        <v>0</v>
      </c>
      <c r="R516" s="2" t="inlineStr"/>
    </row>
    <row r="517" ht="15" customHeight="1">
      <c r="A517" t="inlineStr">
        <is>
          <t>A 40202-2022</t>
        </is>
      </c>
      <c r="B517" s="1" t="n">
        <v>44820.60614583334</v>
      </c>
      <c r="C517" s="1" t="n">
        <v>46128</v>
      </c>
      <c r="D517" t="inlineStr">
        <is>
          <t>SKÅNE LÄN</t>
        </is>
      </c>
      <c r="E517" t="inlineStr">
        <is>
          <t>HÄSSLEHOLM</t>
        </is>
      </c>
      <c r="G517" t="n">
        <v>1.1</v>
      </c>
      <c r="H517" t="n">
        <v>0</v>
      </c>
      <c r="I517" t="n">
        <v>0</v>
      </c>
      <c r="J517" t="n">
        <v>0</v>
      </c>
      <c r="K517" t="n">
        <v>0</v>
      </c>
      <c r="L517" t="n">
        <v>0</v>
      </c>
      <c r="M517" t="n">
        <v>0</v>
      </c>
      <c r="N517" t="n">
        <v>0</v>
      </c>
      <c r="O517" t="n">
        <v>0</v>
      </c>
      <c r="P517" t="n">
        <v>0</v>
      </c>
      <c r="Q517" t="n">
        <v>0</v>
      </c>
      <c r="R517" s="2" t="inlineStr"/>
    </row>
    <row r="518" ht="15" customHeight="1">
      <c r="A518" t="inlineStr">
        <is>
          <t>A 60789-2024</t>
        </is>
      </c>
      <c r="B518" s="1" t="n">
        <v>45644</v>
      </c>
      <c r="C518" s="1" t="n">
        <v>46128</v>
      </c>
      <c r="D518" t="inlineStr">
        <is>
          <t>SKÅNE LÄN</t>
        </is>
      </c>
      <c r="E518" t="inlineStr">
        <is>
          <t>HÄSSLEHOLM</t>
        </is>
      </c>
      <c r="G518" t="n">
        <v>3</v>
      </c>
      <c r="H518" t="n">
        <v>0</v>
      </c>
      <c r="I518" t="n">
        <v>0</v>
      </c>
      <c r="J518" t="n">
        <v>0</v>
      </c>
      <c r="K518" t="n">
        <v>0</v>
      </c>
      <c r="L518" t="n">
        <v>0</v>
      </c>
      <c r="M518" t="n">
        <v>0</v>
      </c>
      <c r="N518" t="n">
        <v>0</v>
      </c>
      <c r="O518" t="n">
        <v>0</v>
      </c>
      <c r="P518" t="n">
        <v>0</v>
      </c>
      <c r="Q518" t="n">
        <v>0</v>
      </c>
      <c r="R518" s="2" t="inlineStr"/>
    </row>
    <row r="519" ht="15" customHeight="1">
      <c r="A519" t="inlineStr">
        <is>
          <t>A 45516-2025</t>
        </is>
      </c>
      <c r="B519" s="1" t="n">
        <v>45922</v>
      </c>
      <c r="C519" s="1" t="n">
        <v>46128</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24029-2025</t>
        </is>
      </c>
      <c r="B520" s="1" t="n">
        <v>45796.47552083333</v>
      </c>
      <c r="C520" s="1" t="n">
        <v>46128</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45514-2025</t>
        </is>
      </c>
      <c r="B521" s="1" t="n">
        <v>45922</v>
      </c>
      <c r="C521" s="1" t="n">
        <v>46128</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44697-2021</t>
        </is>
      </c>
      <c r="B522" s="1" t="n">
        <v>44438</v>
      </c>
      <c r="C522" s="1" t="n">
        <v>46128</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45221-2025</t>
        </is>
      </c>
      <c r="B523" s="1" t="n">
        <v>45919.57760416667</v>
      </c>
      <c r="C523" s="1" t="n">
        <v>46128</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45414-2025</t>
        </is>
      </c>
      <c r="B524" s="1" t="n">
        <v>45920</v>
      </c>
      <c r="C524" s="1" t="n">
        <v>46128</v>
      </c>
      <c r="D524" t="inlineStr">
        <is>
          <t>SKÅNE LÄN</t>
        </is>
      </c>
      <c r="E524" t="inlineStr">
        <is>
          <t>HÄSSLEHOLM</t>
        </is>
      </c>
      <c r="G524" t="n">
        <v>14.7</v>
      </c>
      <c r="H524" t="n">
        <v>0</v>
      </c>
      <c r="I524" t="n">
        <v>0</v>
      </c>
      <c r="J524" t="n">
        <v>0</v>
      </c>
      <c r="K524" t="n">
        <v>0</v>
      </c>
      <c r="L524" t="n">
        <v>0</v>
      </c>
      <c r="M524" t="n">
        <v>0</v>
      </c>
      <c r="N524" t="n">
        <v>0</v>
      </c>
      <c r="O524" t="n">
        <v>0</v>
      </c>
      <c r="P524" t="n">
        <v>0</v>
      </c>
      <c r="Q524" t="n">
        <v>0</v>
      </c>
      <c r="R524" s="2" t="inlineStr"/>
    </row>
    <row r="525" ht="15" customHeight="1">
      <c r="A525" t="inlineStr">
        <is>
          <t>A 45443-2025</t>
        </is>
      </c>
      <c r="B525" s="1" t="n">
        <v>45920</v>
      </c>
      <c r="C525" s="1" t="n">
        <v>46128</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24675-2025</t>
        </is>
      </c>
      <c r="B526" s="1" t="n">
        <v>45798.653125</v>
      </c>
      <c r="C526" s="1" t="n">
        <v>46128</v>
      </c>
      <c r="D526" t="inlineStr">
        <is>
          <t>SKÅNE LÄN</t>
        </is>
      </c>
      <c r="E526" t="inlineStr">
        <is>
          <t>HÄSSLEHOLM</t>
        </is>
      </c>
      <c r="G526" t="n">
        <v>1.8</v>
      </c>
      <c r="H526" t="n">
        <v>0</v>
      </c>
      <c r="I526" t="n">
        <v>0</v>
      </c>
      <c r="J526" t="n">
        <v>0</v>
      </c>
      <c r="K526" t="n">
        <v>0</v>
      </c>
      <c r="L526" t="n">
        <v>0</v>
      </c>
      <c r="M526" t="n">
        <v>0</v>
      </c>
      <c r="N526" t="n">
        <v>0</v>
      </c>
      <c r="O526" t="n">
        <v>0</v>
      </c>
      <c r="P526" t="n">
        <v>0</v>
      </c>
      <c r="Q526" t="n">
        <v>0</v>
      </c>
      <c r="R526" s="2" t="inlineStr"/>
    </row>
    <row r="527" ht="15" customHeight="1">
      <c r="A527" t="inlineStr">
        <is>
          <t>A 45496-2025</t>
        </is>
      </c>
      <c r="B527" s="1" t="n">
        <v>45922</v>
      </c>
      <c r="C527" s="1" t="n">
        <v>46128</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45458-2025</t>
        </is>
      </c>
      <c r="B528" s="1" t="n">
        <v>45920</v>
      </c>
      <c r="C528" s="1" t="n">
        <v>46128</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45465-2025</t>
        </is>
      </c>
      <c r="B529" s="1" t="n">
        <v>45920</v>
      </c>
      <c r="C529" s="1" t="n">
        <v>46128</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10562-2025</t>
        </is>
      </c>
      <c r="B530" s="1" t="n">
        <v>45721.52913194444</v>
      </c>
      <c r="C530" s="1" t="n">
        <v>46128</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54326-2022</t>
        </is>
      </c>
      <c r="B531" s="1" t="n">
        <v>44882.42965277778</v>
      </c>
      <c r="C531" s="1" t="n">
        <v>46128</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41998-2021</t>
        </is>
      </c>
      <c r="B532" s="1" t="n">
        <v>44425</v>
      </c>
      <c r="C532" s="1" t="n">
        <v>46128</v>
      </c>
      <c r="D532" t="inlineStr">
        <is>
          <t>SKÅNE LÄN</t>
        </is>
      </c>
      <c r="E532" t="inlineStr">
        <is>
          <t>HÄSSLEHOLM</t>
        </is>
      </c>
      <c r="G532" t="n">
        <v>1.3</v>
      </c>
      <c r="H532" t="n">
        <v>0</v>
      </c>
      <c r="I532" t="n">
        <v>0</v>
      </c>
      <c r="J532" t="n">
        <v>0</v>
      </c>
      <c r="K532" t="n">
        <v>0</v>
      </c>
      <c r="L532" t="n">
        <v>0</v>
      </c>
      <c r="M532" t="n">
        <v>0</v>
      </c>
      <c r="N532" t="n">
        <v>0</v>
      </c>
      <c r="O532" t="n">
        <v>0</v>
      </c>
      <c r="P532" t="n">
        <v>0</v>
      </c>
      <c r="Q532" t="n">
        <v>0</v>
      </c>
      <c r="R532" s="2" t="inlineStr"/>
    </row>
    <row r="533" ht="15" customHeight="1">
      <c r="A533" t="inlineStr">
        <is>
          <t>A 61524-2022</t>
        </is>
      </c>
      <c r="B533" s="1" t="n">
        <v>44910</v>
      </c>
      <c r="C533" s="1" t="n">
        <v>46128</v>
      </c>
      <c r="D533" t="inlineStr">
        <is>
          <t>SKÅNE LÄN</t>
        </is>
      </c>
      <c r="E533" t="inlineStr">
        <is>
          <t>HÄSSLEHOLM</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32512-2024</t>
        </is>
      </c>
      <c r="B534" s="1" t="n">
        <v>45513.45613425926</v>
      </c>
      <c r="C534" s="1" t="n">
        <v>46128</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53067-2022</t>
        </is>
      </c>
      <c r="B535" s="1" t="n">
        <v>44873</v>
      </c>
      <c r="C535" s="1" t="n">
        <v>46128</v>
      </c>
      <c r="D535" t="inlineStr">
        <is>
          <t>SKÅNE LÄN</t>
        </is>
      </c>
      <c r="E535" t="inlineStr">
        <is>
          <t>HÄSSLEHOLM</t>
        </is>
      </c>
      <c r="G535" t="n">
        <v>1.2</v>
      </c>
      <c r="H535" t="n">
        <v>0</v>
      </c>
      <c r="I535" t="n">
        <v>0</v>
      </c>
      <c r="J535" t="n">
        <v>0</v>
      </c>
      <c r="K535" t="n">
        <v>0</v>
      </c>
      <c r="L535" t="n">
        <v>0</v>
      </c>
      <c r="M535" t="n">
        <v>0</v>
      </c>
      <c r="N535" t="n">
        <v>0</v>
      </c>
      <c r="O535" t="n">
        <v>0</v>
      </c>
      <c r="P535" t="n">
        <v>0</v>
      </c>
      <c r="Q535" t="n">
        <v>0</v>
      </c>
      <c r="R535" s="2" t="inlineStr"/>
    </row>
    <row r="536" ht="15" customHeight="1">
      <c r="A536" t="inlineStr">
        <is>
          <t>A 9678-2025</t>
        </is>
      </c>
      <c r="B536" s="1" t="n">
        <v>45716</v>
      </c>
      <c r="C536" s="1" t="n">
        <v>46128</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61533-2022</t>
        </is>
      </c>
      <c r="B537" s="1" t="n">
        <v>44910</v>
      </c>
      <c r="C537" s="1" t="n">
        <v>46128</v>
      </c>
      <c r="D537" t="inlineStr">
        <is>
          <t>SKÅNE LÄN</t>
        </is>
      </c>
      <c r="E537" t="inlineStr">
        <is>
          <t>HÄSSLEHOLM</t>
        </is>
      </c>
      <c r="F537" t="inlineStr">
        <is>
          <t>Kyrkan</t>
        </is>
      </c>
      <c r="G537" t="n">
        <v>1</v>
      </c>
      <c r="H537" t="n">
        <v>0</v>
      </c>
      <c r="I537" t="n">
        <v>0</v>
      </c>
      <c r="J537" t="n">
        <v>0</v>
      </c>
      <c r="K537" t="n">
        <v>0</v>
      </c>
      <c r="L537" t="n">
        <v>0</v>
      </c>
      <c r="M537" t="n">
        <v>0</v>
      </c>
      <c r="N537" t="n">
        <v>0</v>
      </c>
      <c r="O537" t="n">
        <v>0</v>
      </c>
      <c r="P537" t="n">
        <v>0</v>
      </c>
      <c r="Q537" t="n">
        <v>0</v>
      </c>
      <c r="R537" s="2" t="inlineStr"/>
    </row>
    <row r="538" ht="15" customHeight="1">
      <c r="A538" t="inlineStr">
        <is>
          <t>A 55522-2024</t>
        </is>
      </c>
      <c r="B538" s="1" t="n">
        <v>45622</v>
      </c>
      <c r="C538" s="1" t="n">
        <v>46128</v>
      </c>
      <c r="D538" t="inlineStr">
        <is>
          <t>SKÅNE LÄN</t>
        </is>
      </c>
      <c r="E538" t="inlineStr">
        <is>
          <t>HÄSSLEHOLM</t>
        </is>
      </c>
      <c r="G538" t="n">
        <v>5.6</v>
      </c>
      <c r="H538" t="n">
        <v>0</v>
      </c>
      <c r="I538" t="n">
        <v>0</v>
      </c>
      <c r="J538" t="n">
        <v>0</v>
      </c>
      <c r="K538" t="n">
        <v>0</v>
      </c>
      <c r="L538" t="n">
        <v>0</v>
      </c>
      <c r="M538" t="n">
        <v>0</v>
      </c>
      <c r="N538" t="n">
        <v>0</v>
      </c>
      <c r="O538" t="n">
        <v>0</v>
      </c>
      <c r="P538" t="n">
        <v>0</v>
      </c>
      <c r="Q538" t="n">
        <v>0</v>
      </c>
      <c r="R538" s="2" t="inlineStr"/>
    </row>
    <row r="539" ht="15" customHeight="1">
      <c r="A539" t="inlineStr">
        <is>
          <t>A 45683-2025</t>
        </is>
      </c>
      <c r="B539" s="1" t="n">
        <v>45923.37590277778</v>
      </c>
      <c r="C539" s="1" t="n">
        <v>46128</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5242-2025</t>
        </is>
      </c>
      <c r="B540" s="1" t="n">
        <v>45692.32883101852</v>
      </c>
      <c r="C540" s="1" t="n">
        <v>46128</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61929-2023</t>
        </is>
      </c>
      <c r="B541" s="1" t="n">
        <v>45266</v>
      </c>
      <c r="C541" s="1" t="n">
        <v>46128</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8619-2023</t>
        </is>
      </c>
      <c r="B542" s="1" t="n">
        <v>44977.81979166667</v>
      </c>
      <c r="C542" s="1" t="n">
        <v>46128</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42735-2024</t>
        </is>
      </c>
      <c r="B543" s="1" t="n">
        <v>45566.47274305556</v>
      </c>
      <c r="C543" s="1" t="n">
        <v>46128</v>
      </c>
      <c r="D543" t="inlineStr">
        <is>
          <t>SKÅNE LÄN</t>
        </is>
      </c>
      <c r="E543" t="inlineStr">
        <is>
          <t>HÄSSLEHOLM</t>
        </is>
      </c>
      <c r="G543" t="n">
        <v>3.7</v>
      </c>
      <c r="H543" t="n">
        <v>0</v>
      </c>
      <c r="I543" t="n">
        <v>0</v>
      </c>
      <c r="J543" t="n">
        <v>0</v>
      </c>
      <c r="K543" t="n">
        <v>0</v>
      </c>
      <c r="L543" t="n">
        <v>0</v>
      </c>
      <c r="M543" t="n">
        <v>0</v>
      </c>
      <c r="N543" t="n">
        <v>0</v>
      </c>
      <c r="O543" t="n">
        <v>0</v>
      </c>
      <c r="P543" t="n">
        <v>0</v>
      </c>
      <c r="Q543" t="n">
        <v>0</v>
      </c>
      <c r="R543" s="2" t="inlineStr"/>
    </row>
    <row r="544" ht="15" customHeight="1">
      <c r="A544" t="inlineStr">
        <is>
          <t>A 24658-2025</t>
        </is>
      </c>
      <c r="B544" s="1" t="n">
        <v>45798.64134259259</v>
      </c>
      <c r="C544" s="1" t="n">
        <v>46128</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11121-2023</t>
        </is>
      </c>
      <c r="B545" s="1" t="n">
        <v>44986</v>
      </c>
      <c r="C545" s="1" t="n">
        <v>46128</v>
      </c>
      <c r="D545" t="inlineStr">
        <is>
          <t>SKÅNE LÄN</t>
        </is>
      </c>
      <c r="E545" t="inlineStr">
        <is>
          <t>HÄSSLEHOLM</t>
        </is>
      </c>
      <c r="F545" t="inlineStr">
        <is>
          <t>Kommuner</t>
        </is>
      </c>
      <c r="G545" t="n">
        <v>5.8</v>
      </c>
      <c r="H545" t="n">
        <v>0</v>
      </c>
      <c r="I545" t="n">
        <v>0</v>
      </c>
      <c r="J545" t="n">
        <v>0</v>
      </c>
      <c r="K545" t="n">
        <v>0</v>
      </c>
      <c r="L545" t="n">
        <v>0</v>
      </c>
      <c r="M545" t="n">
        <v>0</v>
      </c>
      <c r="N545" t="n">
        <v>0</v>
      </c>
      <c r="O545" t="n">
        <v>0</v>
      </c>
      <c r="P545" t="n">
        <v>0</v>
      </c>
      <c r="Q545" t="n">
        <v>0</v>
      </c>
      <c r="R545" s="2" t="inlineStr"/>
    </row>
    <row r="546" ht="15" customHeight="1">
      <c r="A546" t="inlineStr">
        <is>
          <t>A 49219-2021</t>
        </is>
      </c>
      <c r="B546" s="1" t="n">
        <v>44454</v>
      </c>
      <c r="C546" s="1" t="n">
        <v>46128</v>
      </c>
      <c r="D546" t="inlineStr">
        <is>
          <t>SKÅNE LÄN</t>
        </is>
      </c>
      <c r="E546" t="inlineStr">
        <is>
          <t>HÄSSLEHOLM</t>
        </is>
      </c>
      <c r="G546" t="n">
        <v>7.8</v>
      </c>
      <c r="H546" t="n">
        <v>0</v>
      </c>
      <c r="I546" t="n">
        <v>0</v>
      </c>
      <c r="J546" t="n">
        <v>0</v>
      </c>
      <c r="K546" t="n">
        <v>0</v>
      </c>
      <c r="L546" t="n">
        <v>0</v>
      </c>
      <c r="M546" t="n">
        <v>0</v>
      </c>
      <c r="N546" t="n">
        <v>0</v>
      </c>
      <c r="O546" t="n">
        <v>0</v>
      </c>
      <c r="P546" t="n">
        <v>0</v>
      </c>
      <c r="Q546" t="n">
        <v>0</v>
      </c>
      <c r="R546" s="2" t="inlineStr"/>
    </row>
    <row r="547" ht="15" customHeight="1">
      <c r="A547" t="inlineStr">
        <is>
          <t>A 24250-2025</t>
        </is>
      </c>
      <c r="B547" s="1" t="n">
        <v>45797.40260416667</v>
      </c>
      <c r="C547" s="1" t="n">
        <v>46128</v>
      </c>
      <c r="D547" t="inlineStr">
        <is>
          <t>SKÅNE LÄN</t>
        </is>
      </c>
      <c r="E547" t="inlineStr">
        <is>
          <t>HÄSSLEHOLM</t>
        </is>
      </c>
      <c r="G547" t="n">
        <v>2.3</v>
      </c>
      <c r="H547" t="n">
        <v>0</v>
      </c>
      <c r="I547" t="n">
        <v>0</v>
      </c>
      <c r="J547" t="n">
        <v>0</v>
      </c>
      <c r="K547" t="n">
        <v>0</v>
      </c>
      <c r="L547" t="n">
        <v>0</v>
      </c>
      <c r="M547" t="n">
        <v>0</v>
      </c>
      <c r="N547" t="n">
        <v>0</v>
      </c>
      <c r="O547" t="n">
        <v>0</v>
      </c>
      <c r="P547" t="n">
        <v>0</v>
      </c>
      <c r="Q547" t="n">
        <v>0</v>
      </c>
      <c r="R547" s="2" t="inlineStr"/>
    </row>
    <row r="548" ht="15" customHeight="1">
      <c r="A548" t="inlineStr">
        <is>
          <t>A 46000-2021</t>
        </is>
      </c>
      <c r="B548" s="1" t="n">
        <v>44441</v>
      </c>
      <c r="C548" s="1" t="n">
        <v>46128</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1120-2024</t>
        </is>
      </c>
      <c r="B549" s="1" t="n">
        <v>45302.4452662037</v>
      </c>
      <c r="C549" s="1" t="n">
        <v>46128</v>
      </c>
      <c r="D549" t="inlineStr">
        <is>
          <t>SKÅNE LÄN</t>
        </is>
      </c>
      <c r="E549" t="inlineStr">
        <is>
          <t>HÄSSLEHOLM</t>
        </is>
      </c>
      <c r="G549" t="n">
        <v>2.7</v>
      </c>
      <c r="H549" t="n">
        <v>0</v>
      </c>
      <c r="I549" t="n">
        <v>0</v>
      </c>
      <c r="J549" t="n">
        <v>0</v>
      </c>
      <c r="K549" t="n">
        <v>0</v>
      </c>
      <c r="L549" t="n">
        <v>0</v>
      </c>
      <c r="M549" t="n">
        <v>0</v>
      </c>
      <c r="N549" t="n">
        <v>0</v>
      </c>
      <c r="O549" t="n">
        <v>0</v>
      </c>
      <c r="P549" t="n">
        <v>0</v>
      </c>
      <c r="Q549" t="n">
        <v>0</v>
      </c>
      <c r="R549" s="2" t="inlineStr"/>
    </row>
    <row r="550" ht="15" customHeight="1">
      <c r="A550" t="inlineStr">
        <is>
          <t>A 32826-2024</t>
        </is>
      </c>
      <c r="B550" s="1" t="n">
        <v>45516.59056712963</v>
      </c>
      <c r="C550" s="1" t="n">
        <v>46128</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45763-2025</t>
        </is>
      </c>
      <c r="B551" s="1" t="n">
        <v>45923.51778935185</v>
      </c>
      <c r="C551" s="1" t="n">
        <v>46128</v>
      </c>
      <c r="D551" t="inlineStr">
        <is>
          <t>SKÅNE LÄN</t>
        </is>
      </c>
      <c r="E551" t="inlineStr">
        <is>
          <t>HÄSSLEHOLM</t>
        </is>
      </c>
      <c r="G551" t="n">
        <v>4.8</v>
      </c>
      <c r="H551" t="n">
        <v>0</v>
      </c>
      <c r="I551" t="n">
        <v>0</v>
      </c>
      <c r="J551" t="n">
        <v>0</v>
      </c>
      <c r="K551" t="n">
        <v>0</v>
      </c>
      <c r="L551" t="n">
        <v>0</v>
      </c>
      <c r="M551" t="n">
        <v>0</v>
      </c>
      <c r="N551" t="n">
        <v>0</v>
      </c>
      <c r="O551" t="n">
        <v>0</v>
      </c>
      <c r="P551" t="n">
        <v>0</v>
      </c>
      <c r="Q551" t="n">
        <v>0</v>
      </c>
      <c r="R551" s="2" t="inlineStr"/>
    </row>
    <row r="552" ht="15" customHeight="1">
      <c r="A552" t="inlineStr">
        <is>
          <t>A 45764-2025</t>
        </is>
      </c>
      <c r="B552" s="1" t="n">
        <v>45923.52037037037</v>
      </c>
      <c r="C552" s="1" t="n">
        <v>46128</v>
      </c>
      <c r="D552" t="inlineStr">
        <is>
          <t>SKÅNE LÄN</t>
        </is>
      </c>
      <c r="E552" t="inlineStr">
        <is>
          <t>HÄSSLEHOLM</t>
        </is>
      </c>
      <c r="G552" t="n">
        <v>6.3</v>
      </c>
      <c r="H552" t="n">
        <v>0</v>
      </c>
      <c r="I552" t="n">
        <v>0</v>
      </c>
      <c r="J552" t="n">
        <v>0</v>
      </c>
      <c r="K552" t="n">
        <v>0</v>
      </c>
      <c r="L552" t="n">
        <v>0</v>
      </c>
      <c r="M552" t="n">
        <v>0</v>
      </c>
      <c r="N552" t="n">
        <v>0</v>
      </c>
      <c r="O552" t="n">
        <v>0</v>
      </c>
      <c r="P552" t="n">
        <v>0</v>
      </c>
      <c r="Q552" t="n">
        <v>0</v>
      </c>
      <c r="R552" s="2" t="inlineStr"/>
    </row>
    <row r="553" ht="15" customHeight="1">
      <c r="A553" t="inlineStr">
        <is>
          <t>A 62171-2022</t>
        </is>
      </c>
      <c r="B553" s="1" t="n">
        <v>44915</v>
      </c>
      <c r="C553" s="1" t="n">
        <v>46128</v>
      </c>
      <c r="D553" t="inlineStr">
        <is>
          <t>SKÅNE LÄN</t>
        </is>
      </c>
      <c r="E553" t="inlineStr">
        <is>
          <t>HÄSSLEHOLM</t>
        </is>
      </c>
      <c r="F553" t="inlineStr">
        <is>
          <t>Kyrkan</t>
        </is>
      </c>
      <c r="G553" t="n">
        <v>9</v>
      </c>
      <c r="H553" t="n">
        <v>0</v>
      </c>
      <c r="I553" t="n">
        <v>0</v>
      </c>
      <c r="J553" t="n">
        <v>0</v>
      </c>
      <c r="K553" t="n">
        <v>0</v>
      </c>
      <c r="L553" t="n">
        <v>0</v>
      </c>
      <c r="M553" t="n">
        <v>0</v>
      </c>
      <c r="N553" t="n">
        <v>0</v>
      </c>
      <c r="O553" t="n">
        <v>0</v>
      </c>
      <c r="P553" t="n">
        <v>0</v>
      </c>
      <c r="Q553" t="n">
        <v>0</v>
      </c>
      <c r="R553" s="2" t="inlineStr"/>
    </row>
    <row r="554" ht="15" customHeight="1">
      <c r="A554" t="inlineStr">
        <is>
          <t>A 11116-2023</t>
        </is>
      </c>
      <c r="B554" s="1" t="n">
        <v>44986</v>
      </c>
      <c r="C554" s="1" t="n">
        <v>46128</v>
      </c>
      <c r="D554" t="inlineStr">
        <is>
          <t>SKÅNE LÄN</t>
        </is>
      </c>
      <c r="E554" t="inlineStr">
        <is>
          <t>HÄSSLEHOLM</t>
        </is>
      </c>
      <c r="F554" t="inlineStr">
        <is>
          <t>Kommuner</t>
        </is>
      </c>
      <c r="G554" t="n">
        <v>15.1</v>
      </c>
      <c r="H554" t="n">
        <v>0</v>
      </c>
      <c r="I554" t="n">
        <v>0</v>
      </c>
      <c r="J554" t="n">
        <v>0</v>
      </c>
      <c r="K554" t="n">
        <v>0</v>
      </c>
      <c r="L554" t="n">
        <v>0</v>
      </c>
      <c r="M554" t="n">
        <v>0</v>
      </c>
      <c r="N554" t="n">
        <v>0</v>
      </c>
      <c r="O554" t="n">
        <v>0</v>
      </c>
      <c r="P554" t="n">
        <v>0</v>
      </c>
      <c r="Q554" t="n">
        <v>0</v>
      </c>
      <c r="R554" s="2" t="inlineStr"/>
    </row>
    <row r="555" ht="15" customHeight="1">
      <c r="A555" t="inlineStr">
        <is>
          <t>A 32100-2024</t>
        </is>
      </c>
      <c r="B555" s="1" t="n">
        <v>45511.41451388889</v>
      </c>
      <c r="C555" s="1" t="n">
        <v>46128</v>
      </c>
      <c r="D555" t="inlineStr">
        <is>
          <t>SKÅNE LÄN</t>
        </is>
      </c>
      <c r="E555" t="inlineStr">
        <is>
          <t>HÄSSLEHOLM</t>
        </is>
      </c>
      <c r="G555" t="n">
        <v>0.8</v>
      </c>
      <c r="H555" t="n">
        <v>0</v>
      </c>
      <c r="I555" t="n">
        <v>0</v>
      </c>
      <c r="J555" t="n">
        <v>0</v>
      </c>
      <c r="K555" t="n">
        <v>0</v>
      </c>
      <c r="L555" t="n">
        <v>0</v>
      </c>
      <c r="M555" t="n">
        <v>0</v>
      </c>
      <c r="N555" t="n">
        <v>0</v>
      </c>
      <c r="O555" t="n">
        <v>0</v>
      </c>
      <c r="P555" t="n">
        <v>0</v>
      </c>
      <c r="Q555" t="n">
        <v>0</v>
      </c>
      <c r="R555" s="2" t="inlineStr"/>
    </row>
    <row r="556" ht="15" customHeight="1">
      <c r="A556" t="inlineStr">
        <is>
          <t>A 33481-2024</t>
        </is>
      </c>
      <c r="B556" s="1" t="n">
        <v>45519</v>
      </c>
      <c r="C556" s="1" t="n">
        <v>46128</v>
      </c>
      <c r="D556" t="inlineStr">
        <is>
          <t>SKÅNE LÄN</t>
        </is>
      </c>
      <c r="E556" t="inlineStr">
        <is>
          <t>HÄSSLEHOLM</t>
        </is>
      </c>
      <c r="G556" t="n">
        <v>3</v>
      </c>
      <c r="H556" t="n">
        <v>0</v>
      </c>
      <c r="I556" t="n">
        <v>0</v>
      </c>
      <c r="J556" t="n">
        <v>0</v>
      </c>
      <c r="K556" t="n">
        <v>0</v>
      </c>
      <c r="L556" t="n">
        <v>0</v>
      </c>
      <c r="M556" t="n">
        <v>0</v>
      </c>
      <c r="N556" t="n">
        <v>0</v>
      </c>
      <c r="O556" t="n">
        <v>0</v>
      </c>
      <c r="P556" t="n">
        <v>0</v>
      </c>
      <c r="Q556" t="n">
        <v>0</v>
      </c>
      <c r="R556" s="2" t="inlineStr"/>
    </row>
    <row r="557" ht="15" customHeight="1">
      <c r="A557" t="inlineStr">
        <is>
          <t>A 24985-2025</t>
        </is>
      </c>
      <c r="B557" s="1" t="n">
        <v>45799.60256944445</v>
      </c>
      <c r="C557" s="1" t="n">
        <v>46128</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48807-2021</t>
        </is>
      </c>
      <c r="B558" s="1" t="n">
        <v>44452</v>
      </c>
      <c r="C558" s="1" t="n">
        <v>46128</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27177-2024</t>
        </is>
      </c>
      <c r="B559" s="1" t="n">
        <v>45471.57201388889</v>
      </c>
      <c r="C559" s="1" t="n">
        <v>46128</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42428-2022</t>
        </is>
      </c>
      <c r="B560" s="1" t="n">
        <v>44831</v>
      </c>
      <c r="C560" s="1" t="n">
        <v>46128</v>
      </c>
      <c r="D560" t="inlineStr">
        <is>
          <t>SKÅNE LÄN</t>
        </is>
      </c>
      <c r="E560" t="inlineStr">
        <is>
          <t>HÄSSLEHOLM</t>
        </is>
      </c>
      <c r="G560" t="n">
        <v>2.8</v>
      </c>
      <c r="H560" t="n">
        <v>0</v>
      </c>
      <c r="I560" t="n">
        <v>0</v>
      </c>
      <c r="J560" t="n">
        <v>0</v>
      </c>
      <c r="K560" t="n">
        <v>0</v>
      </c>
      <c r="L560" t="n">
        <v>0</v>
      </c>
      <c r="M560" t="n">
        <v>0</v>
      </c>
      <c r="N560" t="n">
        <v>0</v>
      </c>
      <c r="O560" t="n">
        <v>0</v>
      </c>
      <c r="P560" t="n">
        <v>0</v>
      </c>
      <c r="Q560" t="n">
        <v>0</v>
      </c>
      <c r="R560" s="2" t="inlineStr"/>
    </row>
    <row r="561" ht="15" customHeight="1">
      <c r="A561" t="inlineStr">
        <is>
          <t>A 45762-2025</t>
        </is>
      </c>
      <c r="B561" s="1" t="n">
        <v>45923.51548611111</v>
      </c>
      <c r="C561" s="1" t="n">
        <v>46128</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54176-2022</t>
        </is>
      </c>
      <c r="B562" s="1" t="n">
        <v>44881</v>
      </c>
      <c r="C562" s="1" t="n">
        <v>46128</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27837-2024</t>
        </is>
      </c>
      <c r="B563" s="1" t="n">
        <v>45475</v>
      </c>
      <c r="C563" s="1" t="n">
        <v>46128</v>
      </c>
      <c r="D563" t="inlineStr">
        <is>
          <t>SKÅNE LÄN</t>
        </is>
      </c>
      <c r="E563" t="inlineStr">
        <is>
          <t>HÄSSLEHOLM</t>
        </is>
      </c>
      <c r="F563" t="inlineStr">
        <is>
          <t>Kommuner</t>
        </is>
      </c>
      <c r="G563" t="n">
        <v>2.3</v>
      </c>
      <c r="H563" t="n">
        <v>0</v>
      </c>
      <c r="I563" t="n">
        <v>0</v>
      </c>
      <c r="J563" t="n">
        <v>0</v>
      </c>
      <c r="K563" t="n">
        <v>0</v>
      </c>
      <c r="L563" t="n">
        <v>0</v>
      </c>
      <c r="M563" t="n">
        <v>0</v>
      </c>
      <c r="N563" t="n">
        <v>0</v>
      </c>
      <c r="O563" t="n">
        <v>0</v>
      </c>
      <c r="P563" t="n">
        <v>0</v>
      </c>
      <c r="Q563" t="n">
        <v>0</v>
      </c>
      <c r="R563" s="2" t="inlineStr"/>
    </row>
    <row r="564" ht="15" customHeight="1">
      <c r="A564" t="inlineStr">
        <is>
          <t>A 29659-2024</t>
        </is>
      </c>
      <c r="B564" s="1" t="n">
        <v>45484.92587962963</v>
      </c>
      <c r="C564" s="1" t="n">
        <v>46128</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16614-2025</t>
        </is>
      </c>
      <c r="B565" s="1" t="n">
        <v>45754.283125</v>
      </c>
      <c r="C565" s="1" t="n">
        <v>46128</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9668-2025</t>
        </is>
      </c>
      <c r="B566" s="1" t="n">
        <v>45716</v>
      </c>
      <c r="C566" s="1" t="n">
        <v>46128</v>
      </c>
      <c r="D566" t="inlineStr">
        <is>
          <t>SKÅNE LÄN</t>
        </is>
      </c>
      <c r="E566" t="inlineStr">
        <is>
          <t>HÄSSLEHOLM</t>
        </is>
      </c>
      <c r="G566" t="n">
        <v>1.2</v>
      </c>
      <c r="H566" t="n">
        <v>0</v>
      </c>
      <c r="I566" t="n">
        <v>0</v>
      </c>
      <c r="J566" t="n">
        <v>0</v>
      </c>
      <c r="K566" t="n">
        <v>0</v>
      </c>
      <c r="L566" t="n">
        <v>0</v>
      </c>
      <c r="M566" t="n">
        <v>0</v>
      </c>
      <c r="N566" t="n">
        <v>0</v>
      </c>
      <c r="O566" t="n">
        <v>0</v>
      </c>
      <c r="P566" t="n">
        <v>0</v>
      </c>
      <c r="Q566" t="n">
        <v>0</v>
      </c>
      <c r="R566" s="2" t="inlineStr"/>
    </row>
    <row r="567" ht="15" customHeight="1">
      <c r="A567" t="inlineStr">
        <is>
          <t>A 1679-2022</t>
        </is>
      </c>
      <c r="B567" s="1" t="n">
        <v>44573</v>
      </c>
      <c r="C567" s="1" t="n">
        <v>46128</v>
      </c>
      <c r="D567" t="inlineStr">
        <is>
          <t>SKÅNE LÄN</t>
        </is>
      </c>
      <c r="E567" t="inlineStr">
        <is>
          <t>HÄSSLEHOLM</t>
        </is>
      </c>
      <c r="F567" t="inlineStr">
        <is>
          <t>Kyrkan</t>
        </is>
      </c>
      <c r="G567" t="n">
        <v>4.3</v>
      </c>
      <c r="H567" t="n">
        <v>0</v>
      </c>
      <c r="I567" t="n">
        <v>0</v>
      </c>
      <c r="J567" t="n">
        <v>0</v>
      </c>
      <c r="K567" t="n">
        <v>0</v>
      </c>
      <c r="L567" t="n">
        <v>0</v>
      </c>
      <c r="M567" t="n">
        <v>0</v>
      </c>
      <c r="N567" t="n">
        <v>0</v>
      </c>
      <c r="O567" t="n">
        <v>0</v>
      </c>
      <c r="P567" t="n">
        <v>0</v>
      </c>
      <c r="Q567" t="n">
        <v>0</v>
      </c>
      <c r="R567" s="2" t="inlineStr"/>
    </row>
    <row r="568" ht="15" customHeight="1">
      <c r="A568" t="inlineStr">
        <is>
          <t>A 22595-2024</t>
        </is>
      </c>
      <c r="B568" s="1" t="n">
        <v>45447.61053240741</v>
      </c>
      <c r="C568" s="1" t="n">
        <v>46128</v>
      </c>
      <c r="D568" t="inlineStr">
        <is>
          <t>SKÅNE LÄN</t>
        </is>
      </c>
      <c r="E568" t="inlineStr">
        <is>
          <t>HÄSSLEHOLM</t>
        </is>
      </c>
      <c r="G568" t="n">
        <v>0.9</v>
      </c>
      <c r="H568" t="n">
        <v>0</v>
      </c>
      <c r="I568" t="n">
        <v>0</v>
      </c>
      <c r="J568" t="n">
        <v>0</v>
      </c>
      <c r="K568" t="n">
        <v>0</v>
      </c>
      <c r="L568" t="n">
        <v>0</v>
      </c>
      <c r="M568" t="n">
        <v>0</v>
      </c>
      <c r="N568" t="n">
        <v>0</v>
      </c>
      <c r="O568" t="n">
        <v>0</v>
      </c>
      <c r="P568" t="n">
        <v>0</v>
      </c>
      <c r="Q568" t="n">
        <v>0</v>
      </c>
      <c r="R568" s="2" t="inlineStr"/>
    </row>
    <row r="569" ht="15" customHeight="1">
      <c r="A569" t="inlineStr">
        <is>
          <t>A 23723-2023</t>
        </is>
      </c>
      <c r="B569" s="1" t="n">
        <v>45077</v>
      </c>
      <c r="C569" s="1" t="n">
        <v>46128</v>
      </c>
      <c r="D569" t="inlineStr">
        <is>
          <t>SKÅNE LÄN</t>
        </is>
      </c>
      <c r="E569" t="inlineStr">
        <is>
          <t>HÄSSLEHOLM</t>
        </is>
      </c>
      <c r="G569" t="n">
        <v>3.9</v>
      </c>
      <c r="H569" t="n">
        <v>0</v>
      </c>
      <c r="I569" t="n">
        <v>0</v>
      </c>
      <c r="J569" t="n">
        <v>0</v>
      </c>
      <c r="K569" t="n">
        <v>0</v>
      </c>
      <c r="L569" t="n">
        <v>0</v>
      </c>
      <c r="M569" t="n">
        <v>0</v>
      </c>
      <c r="N569" t="n">
        <v>0</v>
      </c>
      <c r="O569" t="n">
        <v>0</v>
      </c>
      <c r="P569" t="n">
        <v>0</v>
      </c>
      <c r="Q569" t="n">
        <v>0</v>
      </c>
      <c r="R569" s="2" t="inlineStr"/>
    </row>
    <row r="570" ht="15" customHeight="1">
      <c r="A570" t="inlineStr">
        <is>
          <t>A 259-2024</t>
        </is>
      </c>
      <c r="B570" s="1" t="n">
        <v>45294</v>
      </c>
      <c r="C570" s="1" t="n">
        <v>46128</v>
      </c>
      <c r="D570" t="inlineStr">
        <is>
          <t>SKÅNE LÄN</t>
        </is>
      </c>
      <c r="E570" t="inlineStr">
        <is>
          <t>HÄSSLEHOLM</t>
        </is>
      </c>
      <c r="G570" t="n">
        <v>8</v>
      </c>
      <c r="H570" t="n">
        <v>0</v>
      </c>
      <c r="I570" t="n">
        <v>0</v>
      </c>
      <c r="J570" t="n">
        <v>0</v>
      </c>
      <c r="K570" t="n">
        <v>0</v>
      </c>
      <c r="L570" t="n">
        <v>0</v>
      </c>
      <c r="M570" t="n">
        <v>0</v>
      </c>
      <c r="N570" t="n">
        <v>0</v>
      </c>
      <c r="O570" t="n">
        <v>0</v>
      </c>
      <c r="P570" t="n">
        <v>0</v>
      </c>
      <c r="Q570" t="n">
        <v>0</v>
      </c>
      <c r="R570" s="2" t="inlineStr"/>
    </row>
    <row r="571" ht="15" customHeight="1">
      <c r="A571" t="inlineStr">
        <is>
          <t>A 46605-2025</t>
        </is>
      </c>
      <c r="B571" s="1" t="n">
        <v>45926.41214120371</v>
      </c>
      <c r="C571" s="1" t="n">
        <v>46128</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4945-2022</t>
        </is>
      </c>
      <c r="B572" s="1" t="n">
        <v>44593</v>
      </c>
      <c r="C572" s="1" t="n">
        <v>46128</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47248-2023</t>
        </is>
      </c>
      <c r="B573" s="1" t="n">
        <v>45202</v>
      </c>
      <c r="C573" s="1" t="n">
        <v>46128</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25372-2025</t>
        </is>
      </c>
      <c r="B574" s="1" t="n">
        <v>45799</v>
      </c>
      <c r="C574" s="1" t="n">
        <v>46128</v>
      </c>
      <c r="D574" t="inlineStr">
        <is>
          <t>SKÅNE LÄN</t>
        </is>
      </c>
      <c r="E574" t="inlineStr">
        <is>
          <t>HÄSSLEHOLM</t>
        </is>
      </c>
      <c r="G574" t="n">
        <v>3.1</v>
      </c>
      <c r="H574" t="n">
        <v>0</v>
      </c>
      <c r="I574" t="n">
        <v>0</v>
      </c>
      <c r="J574" t="n">
        <v>0</v>
      </c>
      <c r="K574" t="n">
        <v>0</v>
      </c>
      <c r="L574" t="n">
        <v>0</v>
      </c>
      <c r="M574" t="n">
        <v>0</v>
      </c>
      <c r="N574" t="n">
        <v>0</v>
      </c>
      <c r="O574" t="n">
        <v>0</v>
      </c>
      <c r="P574" t="n">
        <v>0</v>
      </c>
      <c r="Q574" t="n">
        <v>0</v>
      </c>
      <c r="R574" s="2" t="inlineStr"/>
    </row>
    <row r="575" ht="15" customHeight="1">
      <c r="A575" t="inlineStr">
        <is>
          <t>A 9399-2025</t>
        </is>
      </c>
      <c r="B575" s="1" t="n">
        <v>45715.37861111111</v>
      </c>
      <c r="C575" s="1" t="n">
        <v>46128</v>
      </c>
      <c r="D575" t="inlineStr">
        <is>
          <t>SKÅNE LÄN</t>
        </is>
      </c>
      <c r="E575" t="inlineStr">
        <is>
          <t>HÄSSLEHOLM</t>
        </is>
      </c>
      <c r="G575" t="n">
        <v>5.2</v>
      </c>
      <c r="H575" t="n">
        <v>0</v>
      </c>
      <c r="I575" t="n">
        <v>0</v>
      </c>
      <c r="J575" t="n">
        <v>0</v>
      </c>
      <c r="K575" t="n">
        <v>0</v>
      </c>
      <c r="L575" t="n">
        <v>0</v>
      </c>
      <c r="M575" t="n">
        <v>0</v>
      </c>
      <c r="N575" t="n">
        <v>0</v>
      </c>
      <c r="O575" t="n">
        <v>0</v>
      </c>
      <c r="P575" t="n">
        <v>0</v>
      </c>
      <c r="Q575" t="n">
        <v>0</v>
      </c>
      <c r="R575" s="2" t="inlineStr"/>
    </row>
    <row r="576" ht="15" customHeight="1">
      <c r="A576" t="inlineStr">
        <is>
          <t>A 38306-2022</t>
        </is>
      </c>
      <c r="B576" s="1" t="n">
        <v>44812.57515046297</v>
      </c>
      <c r="C576" s="1" t="n">
        <v>46128</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46761-2025</t>
        </is>
      </c>
      <c r="B577" s="1" t="n">
        <v>45926.62289351852</v>
      </c>
      <c r="C577" s="1" t="n">
        <v>46128</v>
      </c>
      <c r="D577" t="inlineStr">
        <is>
          <t>SKÅNE LÄN</t>
        </is>
      </c>
      <c r="E577" t="inlineStr">
        <is>
          <t>HÄSSLEHOLM</t>
        </is>
      </c>
      <c r="G577" t="n">
        <v>1.6</v>
      </c>
      <c r="H577" t="n">
        <v>0</v>
      </c>
      <c r="I577" t="n">
        <v>0</v>
      </c>
      <c r="J577" t="n">
        <v>0</v>
      </c>
      <c r="K577" t="n">
        <v>0</v>
      </c>
      <c r="L577" t="n">
        <v>0</v>
      </c>
      <c r="M577" t="n">
        <v>0</v>
      </c>
      <c r="N577" t="n">
        <v>0</v>
      </c>
      <c r="O577" t="n">
        <v>0</v>
      </c>
      <c r="P577" t="n">
        <v>0</v>
      </c>
      <c r="Q577" t="n">
        <v>0</v>
      </c>
      <c r="R577" s="2" t="inlineStr"/>
    </row>
    <row r="578" ht="15" customHeight="1">
      <c r="A578" t="inlineStr">
        <is>
          <t>A 35845-2022</t>
        </is>
      </c>
      <c r="B578" s="1" t="n">
        <v>44802</v>
      </c>
      <c r="C578" s="1" t="n">
        <v>46128</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51565-2023</t>
        </is>
      </c>
      <c r="B579" s="1" t="n">
        <v>45222</v>
      </c>
      <c r="C579" s="1" t="n">
        <v>46128</v>
      </c>
      <c r="D579" t="inlineStr">
        <is>
          <t>SKÅNE LÄN</t>
        </is>
      </c>
      <c r="E579" t="inlineStr">
        <is>
          <t>HÄSSLEHOLM</t>
        </is>
      </c>
      <c r="G579" t="n">
        <v>2.1</v>
      </c>
      <c r="H579" t="n">
        <v>0</v>
      </c>
      <c r="I579" t="n">
        <v>0</v>
      </c>
      <c r="J579" t="n">
        <v>0</v>
      </c>
      <c r="K579" t="n">
        <v>0</v>
      </c>
      <c r="L579" t="n">
        <v>0</v>
      </c>
      <c r="M579" t="n">
        <v>0</v>
      </c>
      <c r="N579" t="n">
        <v>0</v>
      </c>
      <c r="O579" t="n">
        <v>0</v>
      </c>
      <c r="P579" t="n">
        <v>0</v>
      </c>
      <c r="Q579" t="n">
        <v>0</v>
      </c>
      <c r="R579" s="2" t="inlineStr"/>
    </row>
    <row r="580" ht="15" customHeight="1">
      <c r="A580" t="inlineStr">
        <is>
          <t>A 25430-2025</t>
        </is>
      </c>
      <c r="B580" s="1" t="n">
        <v>45800.78212962963</v>
      </c>
      <c r="C580" s="1" t="n">
        <v>46128</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46786-2025</t>
        </is>
      </c>
      <c r="B581" s="1" t="n">
        <v>45926.64484953704</v>
      </c>
      <c r="C581" s="1" t="n">
        <v>46128</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12503-2022</t>
        </is>
      </c>
      <c r="B582" s="1" t="n">
        <v>44638</v>
      </c>
      <c r="C582" s="1" t="n">
        <v>46128</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11470-2025</t>
        </is>
      </c>
      <c r="B583" s="1" t="n">
        <v>45726</v>
      </c>
      <c r="C583" s="1" t="n">
        <v>46128</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25615-2025</t>
        </is>
      </c>
      <c r="B584" s="1" t="n">
        <v>45803</v>
      </c>
      <c r="C584" s="1" t="n">
        <v>46128</v>
      </c>
      <c r="D584" t="inlineStr">
        <is>
          <t>SKÅNE LÄN</t>
        </is>
      </c>
      <c r="E584" t="inlineStr">
        <is>
          <t>HÄSSLEHOLM</t>
        </is>
      </c>
      <c r="G584" t="n">
        <v>2.6</v>
      </c>
      <c r="H584" t="n">
        <v>0</v>
      </c>
      <c r="I584" t="n">
        <v>0</v>
      </c>
      <c r="J584" t="n">
        <v>0</v>
      </c>
      <c r="K584" t="n">
        <v>0</v>
      </c>
      <c r="L584" t="n">
        <v>0</v>
      </c>
      <c r="M584" t="n">
        <v>0</v>
      </c>
      <c r="N584" t="n">
        <v>0</v>
      </c>
      <c r="O584" t="n">
        <v>0</v>
      </c>
      <c r="P584" t="n">
        <v>0</v>
      </c>
      <c r="Q584" t="n">
        <v>0</v>
      </c>
      <c r="R584" s="2" t="inlineStr"/>
    </row>
    <row r="585" ht="15" customHeight="1">
      <c r="A585" t="inlineStr">
        <is>
          <t>A 23950-2023</t>
        </is>
      </c>
      <c r="B585" s="1" t="n">
        <v>45078.61771990741</v>
      </c>
      <c r="C585" s="1" t="n">
        <v>46128</v>
      </c>
      <c r="D585" t="inlineStr">
        <is>
          <t>SKÅNE LÄN</t>
        </is>
      </c>
      <c r="E585" t="inlineStr">
        <is>
          <t>HÄSSLEHOLM</t>
        </is>
      </c>
      <c r="G585" t="n">
        <v>0.6</v>
      </c>
      <c r="H585" t="n">
        <v>0</v>
      </c>
      <c r="I585" t="n">
        <v>0</v>
      </c>
      <c r="J585" t="n">
        <v>0</v>
      </c>
      <c r="K585" t="n">
        <v>0</v>
      </c>
      <c r="L585" t="n">
        <v>0</v>
      </c>
      <c r="M585" t="n">
        <v>0</v>
      </c>
      <c r="N585" t="n">
        <v>0</v>
      </c>
      <c r="O585" t="n">
        <v>0</v>
      </c>
      <c r="P585" t="n">
        <v>0</v>
      </c>
      <c r="Q585" t="n">
        <v>0</v>
      </c>
      <c r="R585" s="2" t="inlineStr"/>
    </row>
    <row r="586" ht="15" customHeight="1">
      <c r="A586" t="inlineStr">
        <is>
          <t>A 23952-2023</t>
        </is>
      </c>
      <c r="B586" s="1" t="n">
        <v>45078.62064814815</v>
      </c>
      <c r="C586" s="1" t="n">
        <v>46128</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25431-2025</t>
        </is>
      </c>
      <c r="B587" s="1" t="n">
        <v>45800.78340277778</v>
      </c>
      <c r="C587" s="1" t="n">
        <v>46128</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25432-2025</t>
        </is>
      </c>
      <c r="B588" s="1" t="n">
        <v>45800.7847800926</v>
      </c>
      <c r="C588" s="1" t="n">
        <v>46128</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11412-2025</t>
        </is>
      </c>
      <c r="B589" s="1" t="n">
        <v>45726</v>
      </c>
      <c r="C589" s="1" t="n">
        <v>46128</v>
      </c>
      <c r="D589" t="inlineStr">
        <is>
          <t>SKÅNE LÄN</t>
        </is>
      </c>
      <c r="E589" t="inlineStr">
        <is>
          <t>HÄSSLEHOLM</t>
        </is>
      </c>
      <c r="G589" t="n">
        <v>2.1</v>
      </c>
      <c r="H589" t="n">
        <v>0</v>
      </c>
      <c r="I589" t="n">
        <v>0</v>
      </c>
      <c r="J589" t="n">
        <v>0</v>
      </c>
      <c r="K589" t="n">
        <v>0</v>
      </c>
      <c r="L589" t="n">
        <v>0</v>
      </c>
      <c r="M589" t="n">
        <v>0</v>
      </c>
      <c r="N589" t="n">
        <v>0</v>
      </c>
      <c r="O589" t="n">
        <v>0</v>
      </c>
      <c r="P589" t="n">
        <v>0</v>
      </c>
      <c r="Q589" t="n">
        <v>0</v>
      </c>
      <c r="R589" s="2" t="inlineStr"/>
    </row>
    <row r="590" ht="15" customHeight="1">
      <c r="A590" t="inlineStr">
        <is>
          <t>A 47259-2025</t>
        </is>
      </c>
      <c r="B590" s="1" t="n">
        <v>45930</v>
      </c>
      <c r="C590" s="1" t="n">
        <v>46128</v>
      </c>
      <c r="D590" t="inlineStr">
        <is>
          <t>SKÅNE LÄN</t>
        </is>
      </c>
      <c r="E590" t="inlineStr">
        <is>
          <t>HÄSSLEHOLM</t>
        </is>
      </c>
      <c r="G590" t="n">
        <v>1.6</v>
      </c>
      <c r="H590" t="n">
        <v>0</v>
      </c>
      <c r="I590" t="n">
        <v>0</v>
      </c>
      <c r="J590" t="n">
        <v>0</v>
      </c>
      <c r="K590" t="n">
        <v>0</v>
      </c>
      <c r="L590" t="n">
        <v>0</v>
      </c>
      <c r="M590" t="n">
        <v>0</v>
      </c>
      <c r="N590" t="n">
        <v>0</v>
      </c>
      <c r="O590" t="n">
        <v>0</v>
      </c>
      <c r="P590" t="n">
        <v>0</v>
      </c>
      <c r="Q590" t="n">
        <v>0</v>
      </c>
      <c r="R590" s="2" t="inlineStr"/>
    </row>
    <row r="591" ht="15" customHeight="1">
      <c r="A591" t="inlineStr">
        <is>
          <t>A 38148-2022</t>
        </is>
      </c>
      <c r="B591" s="1" t="n">
        <v>44811</v>
      </c>
      <c r="C591" s="1" t="n">
        <v>46128</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2144-2023</t>
        </is>
      </c>
      <c r="B592" s="1" t="n">
        <v>44940.79054398148</v>
      </c>
      <c r="C592" s="1" t="n">
        <v>46128</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61680-2022</t>
        </is>
      </c>
      <c r="B593" s="1" t="n">
        <v>44917.36372685185</v>
      </c>
      <c r="C593" s="1" t="n">
        <v>46128</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16550-2025</t>
        </is>
      </c>
      <c r="B594" s="1" t="n">
        <v>45751.69412037037</v>
      </c>
      <c r="C594" s="1" t="n">
        <v>46128</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16285-2025</t>
        </is>
      </c>
      <c r="B595" s="1" t="n">
        <v>45751.30045138889</v>
      </c>
      <c r="C595" s="1" t="n">
        <v>46128</v>
      </c>
      <c r="D595" t="inlineStr">
        <is>
          <t>SKÅNE LÄN</t>
        </is>
      </c>
      <c r="E595" t="inlineStr">
        <is>
          <t>HÄSSLEHOLM</t>
        </is>
      </c>
      <c r="G595" t="n">
        <v>2</v>
      </c>
      <c r="H595" t="n">
        <v>0</v>
      </c>
      <c r="I595" t="n">
        <v>0</v>
      </c>
      <c r="J595" t="n">
        <v>0</v>
      </c>
      <c r="K595" t="n">
        <v>0</v>
      </c>
      <c r="L595" t="n">
        <v>0</v>
      </c>
      <c r="M595" t="n">
        <v>0</v>
      </c>
      <c r="N595" t="n">
        <v>0</v>
      </c>
      <c r="O595" t="n">
        <v>0</v>
      </c>
      <c r="P595" t="n">
        <v>0</v>
      </c>
      <c r="Q595" t="n">
        <v>0</v>
      </c>
      <c r="R595" s="2" t="inlineStr"/>
    </row>
    <row r="596" ht="15" customHeight="1">
      <c r="A596" t="inlineStr">
        <is>
          <t>A 11466-2025</t>
        </is>
      </c>
      <c r="B596" s="1" t="n">
        <v>45726</v>
      </c>
      <c r="C596" s="1" t="n">
        <v>46128</v>
      </c>
      <c r="D596" t="inlineStr">
        <is>
          <t>SKÅNE LÄN</t>
        </is>
      </c>
      <c r="E596" t="inlineStr">
        <is>
          <t>HÄSSLEHOLM</t>
        </is>
      </c>
      <c r="G596" t="n">
        <v>3.2</v>
      </c>
      <c r="H596" t="n">
        <v>0</v>
      </c>
      <c r="I596" t="n">
        <v>0</v>
      </c>
      <c r="J596" t="n">
        <v>0</v>
      </c>
      <c r="K596" t="n">
        <v>0</v>
      </c>
      <c r="L596" t="n">
        <v>0</v>
      </c>
      <c r="M596" t="n">
        <v>0</v>
      </c>
      <c r="N596" t="n">
        <v>0</v>
      </c>
      <c r="O596" t="n">
        <v>0</v>
      </c>
      <c r="P596" t="n">
        <v>0</v>
      </c>
      <c r="Q596" t="n">
        <v>0</v>
      </c>
      <c r="R596" s="2" t="inlineStr"/>
    </row>
    <row r="597" ht="15" customHeight="1">
      <c r="A597" t="inlineStr">
        <is>
          <t>A 5780-2024</t>
        </is>
      </c>
      <c r="B597" s="1" t="n">
        <v>45335.41983796296</v>
      </c>
      <c r="C597" s="1" t="n">
        <v>46128</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47473-2025</t>
        </is>
      </c>
      <c r="B598" s="1" t="n">
        <v>45930.67763888889</v>
      </c>
      <c r="C598" s="1" t="n">
        <v>46128</v>
      </c>
      <c r="D598" t="inlineStr">
        <is>
          <t>SKÅNE LÄN</t>
        </is>
      </c>
      <c r="E598" t="inlineStr">
        <is>
          <t>HÄSSLEHOLM</t>
        </is>
      </c>
      <c r="G598" t="n">
        <v>4.7</v>
      </c>
      <c r="H598" t="n">
        <v>0</v>
      </c>
      <c r="I598" t="n">
        <v>0</v>
      </c>
      <c r="J598" t="n">
        <v>0</v>
      </c>
      <c r="K598" t="n">
        <v>0</v>
      </c>
      <c r="L598" t="n">
        <v>0</v>
      </c>
      <c r="M598" t="n">
        <v>0</v>
      </c>
      <c r="N598" t="n">
        <v>0</v>
      </c>
      <c r="O598" t="n">
        <v>0</v>
      </c>
      <c r="P598" t="n">
        <v>0</v>
      </c>
      <c r="Q598" t="n">
        <v>0</v>
      </c>
      <c r="R598" s="2" t="inlineStr"/>
    </row>
    <row r="599" ht="15" customHeight="1">
      <c r="A599" t="inlineStr">
        <is>
          <t>A 26232-2025</t>
        </is>
      </c>
      <c r="B599" s="1" t="n">
        <v>45805.56642361111</v>
      </c>
      <c r="C599" s="1" t="n">
        <v>46128</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46855-2025</t>
        </is>
      </c>
      <c r="B600" s="1" t="n">
        <v>45928.88497685185</v>
      </c>
      <c r="C600" s="1" t="n">
        <v>46128</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47466-2025</t>
        </is>
      </c>
      <c r="B601" s="1" t="n">
        <v>45930.66677083333</v>
      </c>
      <c r="C601" s="1" t="n">
        <v>46128</v>
      </c>
      <c r="D601" t="inlineStr">
        <is>
          <t>SKÅNE LÄN</t>
        </is>
      </c>
      <c r="E601" t="inlineStr">
        <is>
          <t>HÄSSLEHOLM</t>
        </is>
      </c>
      <c r="G601" t="n">
        <v>1.8</v>
      </c>
      <c r="H601" t="n">
        <v>0</v>
      </c>
      <c r="I601" t="n">
        <v>0</v>
      </c>
      <c r="J601" t="n">
        <v>0</v>
      </c>
      <c r="K601" t="n">
        <v>0</v>
      </c>
      <c r="L601" t="n">
        <v>0</v>
      </c>
      <c r="M601" t="n">
        <v>0</v>
      </c>
      <c r="N601" t="n">
        <v>0</v>
      </c>
      <c r="O601" t="n">
        <v>0</v>
      </c>
      <c r="P601" t="n">
        <v>0</v>
      </c>
      <c r="Q601" t="n">
        <v>0</v>
      </c>
      <c r="R601" s="2" t="inlineStr"/>
    </row>
    <row r="602" ht="15" customHeight="1">
      <c r="A602" t="inlineStr">
        <is>
          <t>A 15897-2025</t>
        </is>
      </c>
      <c r="B602" s="1" t="n">
        <v>45749.41598379629</v>
      </c>
      <c r="C602" s="1" t="n">
        <v>46128</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61504-2022</t>
        </is>
      </c>
      <c r="B603" s="1" t="n">
        <v>44910</v>
      </c>
      <c r="C603" s="1" t="n">
        <v>46128</v>
      </c>
      <c r="D603" t="inlineStr">
        <is>
          <t>SKÅNE LÄN</t>
        </is>
      </c>
      <c r="E603" t="inlineStr">
        <is>
          <t>HÄSSLEHOLM</t>
        </is>
      </c>
      <c r="F603" t="inlineStr">
        <is>
          <t>Kyrkan</t>
        </is>
      </c>
      <c r="G603" t="n">
        <v>2.9</v>
      </c>
      <c r="H603" t="n">
        <v>0</v>
      </c>
      <c r="I603" t="n">
        <v>0</v>
      </c>
      <c r="J603" t="n">
        <v>0</v>
      </c>
      <c r="K603" t="n">
        <v>0</v>
      </c>
      <c r="L603" t="n">
        <v>0</v>
      </c>
      <c r="M603" t="n">
        <v>0</v>
      </c>
      <c r="N603" t="n">
        <v>0</v>
      </c>
      <c r="O603" t="n">
        <v>0</v>
      </c>
      <c r="P603" t="n">
        <v>0</v>
      </c>
      <c r="Q603" t="n">
        <v>0</v>
      </c>
      <c r="R603" s="2" t="inlineStr"/>
    </row>
    <row r="604" ht="15" customHeight="1">
      <c r="A604" t="inlineStr">
        <is>
          <t>A 29275-2023</t>
        </is>
      </c>
      <c r="B604" s="1" t="n">
        <v>45105</v>
      </c>
      <c r="C604" s="1" t="n">
        <v>46128</v>
      </c>
      <c r="D604" t="inlineStr">
        <is>
          <t>SKÅNE LÄN</t>
        </is>
      </c>
      <c r="E604" t="inlineStr">
        <is>
          <t>HÄSSLEHOLM</t>
        </is>
      </c>
      <c r="G604" t="n">
        <v>2.1</v>
      </c>
      <c r="H604" t="n">
        <v>0</v>
      </c>
      <c r="I604" t="n">
        <v>0</v>
      </c>
      <c r="J604" t="n">
        <v>0</v>
      </c>
      <c r="K604" t="n">
        <v>0</v>
      </c>
      <c r="L604" t="n">
        <v>0</v>
      </c>
      <c r="M604" t="n">
        <v>0</v>
      </c>
      <c r="N604" t="n">
        <v>0</v>
      </c>
      <c r="O604" t="n">
        <v>0</v>
      </c>
      <c r="P604" t="n">
        <v>0</v>
      </c>
      <c r="Q604" t="n">
        <v>0</v>
      </c>
      <c r="R604" s="2" t="inlineStr"/>
    </row>
    <row r="605" ht="15" customHeight="1">
      <c r="A605" t="inlineStr">
        <is>
          <t>A 47126-2025</t>
        </is>
      </c>
      <c r="B605" s="1" t="n">
        <v>45929.685625</v>
      </c>
      <c r="C605" s="1" t="n">
        <v>46128</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47127-2025</t>
        </is>
      </c>
      <c r="B606" s="1" t="n">
        <v>45929.6893287037</v>
      </c>
      <c r="C606" s="1" t="n">
        <v>46128</v>
      </c>
      <c r="D606" t="inlineStr">
        <is>
          <t>SKÅNE LÄN</t>
        </is>
      </c>
      <c r="E606" t="inlineStr">
        <is>
          <t>HÄSSLEHOLM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27502-2023</t>
        </is>
      </c>
      <c r="B607" s="1" t="n">
        <v>45092</v>
      </c>
      <c r="C607" s="1" t="n">
        <v>46128</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26244-2025</t>
        </is>
      </c>
      <c r="B608" s="1" t="n">
        <v>45805.57364583333</v>
      </c>
      <c r="C608" s="1" t="n">
        <v>46128</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54473-2023</t>
        </is>
      </c>
      <c r="B609" s="1" t="n">
        <v>45233</v>
      </c>
      <c r="C609" s="1" t="n">
        <v>46128</v>
      </c>
      <c r="D609" t="inlineStr">
        <is>
          <t>SKÅNE LÄN</t>
        </is>
      </c>
      <c r="E609" t="inlineStr">
        <is>
          <t>HÄSSLEHOLM</t>
        </is>
      </c>
      <c r="G609" t="n">
        <v>24.5</v>
      </c>
      <c r="H609" t="n">
        <v>0</v>
      </c>
      <c r="I609" t="n">
        <v>0</v>
      </c>
      <c r="J609" t="n">
        <v>0</v>
      </c>
      <c r="K609" t="n">
        <v>0</v>
      </c>
      <c r="L609" t="n">
        <v>0</v>
      </c>
      <c r="M609" t="n">
        <v>0</v>
      </c>
      <c r="N609" t="n">
        <v>0</v>
      </c>
      <c r="O609" t="n">
        <v>0</v>
      </c>
      <c r="P609" t="n">
        <v>0</v>
      </c>
      <c r="Q609" t="n">
        <v>0</v>
      </c>
      <c r="R609" s="2" t="inlineStr"/>
    </row>
    <row r="610" ht="15" customHeight="1">
      <c r="A610" t="inlineStr">
        <is>
          <t>A 26641-2023</t>
        </is>
      </c>
      <c r="B610" s="1" t="n">
        <v>45092.89619212963</v>
      </c>
      <c r="C610" s="1" t="n">
        <v>46128</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38358-2024</t>
        </is>
      </c>
      <c r="B611" s="1" t="n">
        <v>45545.79068287037</v>
      </c>
      <c r="C611" s="1" t="n">
        <v>46128</v>
      </c>
      <c r="D611" t="inlineStr">
        <is>
          <t>SKÅNE LÄN</t>
        </is>
      </c>
      <c r="E611" t="inlineStr">
        <is>
          <t>HÄSSLEHOLM</t>
        </is>
      </c>
      <c r="G611" t="n">
        <v>9</v>
      </c>
      <c r="H611" t="n">
        <v>0</v>
      </c>
      <c r="I611" t="n">
        <v>0</v>
      </c>
      <c r="J611" t="n">
        <v>0</v>
      </c>
      <c r="K611" t="n">
        <v>0</v>
      </c>
      <c r="L611" t="n">
        <v>0</v>
      </c>
      <c r="M611" t="n">
        <v>0</v>
      </c>
      <c r="N611" t="n">
        <v>0</v>
      </c>
      <c r="O611" t="n">
        <v>0</v>
      </c>
      <c r="P611" t="n">
        <v>0</v>
      </c>
      <c r="Q611" t="n">
        <v>0</v>
      </c>
      <c r="R611" s="2" t="inlineStr"/>
    </row>
    <row r="612" ht="15" customHeight="1">
      <c r="A612" t="inlineStr">
        <is>
          <t>A 51752-2023</t>
        </is>
      </c>
      <c r="B612" s="1" t="n">
        <v>45222</v>
      </c>
      <c r="C612" s="1" t="n">
        <v>46128</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61186-2022</t>
        </is>
      </c>
      <c r="B613" s="1" t="n">
        <v>44915.50745370371</v>
      </c>
      <c r="C613" s="1" t="n">
        <v>46128</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20800-2023</t>
        </is>
      </c>
      <c r="B614" s="1" t="n">
        <v>45058.61640046296</v>
      </c>
      <c r="C614" s="1" t="n">
        <v>46128</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49219-2024</t>
        </is>
      </c>
      <c r="B615" s="1" t="n">
        <v>45595.40923611111</v>
      </c>
      <c r="C615" s="1" t="n">
        <v>46128</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7152-2025</t>
        </is>
      </c>
      <c r="B616" s="1" t="n">
        <v>45702.3837037037</v>
      </c>
      <c r="C616" s="1" t="n">
        <v>46128</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7160-2025</t>
        </is>
      </c>
      <c r="B617" s="1" t="n">
        <v>45702.3875462963</v>
      </c>
      <c r="C617" s="1" t="n">
        <v>46128</v>
      </c>
      <c r="D617" t="inlineStr">
        <is>
          <t>SKÅNE LÄN</t>
        </is>
      </c>
      <c r="E617" t="inlineStr">
        <is>
          <t>HÄSSLEHOLM</t>
        </is>
      </c>
      <c r="G617" t="n">
        <v>2.5</v>
      </c>
      <c r="H617" t="n">
        <v>0</v>
      </c>
      <c r="I617" t="n">
        <v>0</v>
      </c>
      <c r="J617" t="n">
        <v>0</v>
      </c>
      <c r="K617" t="n">
        <v>0</v>
      </c>
      <c r="L617" t="n">
        <v>0</v>
      </c>
      <c r="M617" t="n">
        <v>0</v>
      </c>
      <c r="N617" t="n">
        <v>0</v>
      </c>
      <c r="O617" t="n">
        <v>0</v>
      </c>
      <c r="P617" t="n">
        <v>0</v>
      </c>
      <c r="Q617" t="n">
        <v>0</v>
      </c>
      <c r="R617" s="2" t="inlineStr"/>
    </row>
    <row r="618" ht="15" customHeight="1">
      <c r="A618" t="inlineStr">
        <is>
          <t>A 14939-2023</t>
        </is>
      </c>
      <c r="B618" s="1" t="n">
        <v>45014</v>
      </c>
      <c r="C618" s="1" t="n">
        <v>46128</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25726-2025</t>
        </is>
      </c>
      <c r="B619" s="1" t="n">
        <v>45803</v>
      </c>
      <c r="C619" s="1" t="n">
        <v>46128</v>
      </c>
      <c r="D619" t="inlineStr">
        <is>
          <t>SKÅNE LÄN</t>
        </is>
      </c>
      <c r="E619" t="inlineStr">
        <is>
          <t>HÄSSLEHOLM</t>
        </is>
      </c>
      <c r="G619" t="n">
        <v>5.5</v>
      </c>
      <c r="H619" t="n">
        <v>0</v>
      </c>
      <c r="I619" t="n">
        <v>0</v>
      </c>
      <c r="J619" t="n">
        <v>0</v>
      </c>
      <c r="K619" t="n">
        <v>0</v>
      </c>
      <c r="L619" t="n">
        <v>0</v>
      </c>
      <c r="M619" t="n">
        <v>0</v>
      </c>
      <c r="N619" t="n">
        <v>0</v>
      </c>
      <c r="O619" t="n">
        <v>0</v>
      </c>
      <c r="P619" t="n">
        <v>0</v>
      </c>
      <c r="Q619" t="n">
        <v>0</v>
      </c>
      <c r="R619" s="2" t="inlineStr"/>
    </row>
    <row r="620" ht="15" customHeight="1">
      <c r="A620" t="inlineStr">
        <is>
          <t>A 15104-2023</t>
        </is>
      </c>
      <c r="B620" s="1" t="n">
        <v>45016.40576388889</v>
      </c>
      <c r="C620" s="1" t="n">
        <v>46128</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66321-2021</t>
        </is>
      </c>
      <c r="B621" s="1" t="n">
        <v>44518</v>
      </c>
      <c r="C621" s="1" t="n">
        <v>46128</v>
      </c>
      <c r="D621" t="inlineStr">
        <is>
          <t>SKÅNE LÄN</t>
        </is>
      </c>
      <c r="E621" t="inlineStr">
        <is>
          <t>HÄSSLEHOLM</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21494-2023</t>
        </is>
      </c>
      <c r="B622" s="1" t="n">
        <v>45063</v>
      </c>
      <c r="C622" s="1" t="n">
        <v>46128</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21495-2023</t>
        </is>
      </c>
      <c r="B623" s="1" t="n">
        <v>45063</v>
      </c>
      <c r="C623" s="1" t="n">
        <v>46128</v>
      </c>
      <c r="D623" t="inlineStr">
        <is>
          <t>SKÅNE LÄN</t>
        </is>
      </c>
      <c r="E623" t="inlineStr">
        <is>
          <t>HÄSSLEHOLM</t>
        </is>
      </c>
      <c r="G623" t="n">
        <v>1.2</v>
      </c>
      <c r="H623" t="n">
        <v>0</v>
      </c>
      <c r="I623" t="n">
        <v>0</v>
      </c>
      <c r="J623" t="n">
        <v>0</v>
      </c>
      <c r="K623" t="n">
        <v>0</v>
      </c>
      <c r="L623" t="n">
        <v>0</v>
      </c>
      <c r="M623" t="n">
        <v>0</v>
      </c>
      <c r="N623" t="n">
        <v>0</v>
      </c>
      <c r="O623" t="n">
        <v>0</v>
      </c>
      <c r="P623" t="n">
        <v>0</v>
      </c>
      <c r="Q623" t="n">
        <v>0</v>
      </c>
      <c r="R623" s="2" t="inlineStr"/>
    </row>
    <row r="624" ht="15" customHeight="1">
      <c r="A624" t="inlineStr">
        <is>
          <t>A 13018-2024</t>
        </is>
      </c>
      <c r="B624" s="1" t="n">
        <v>45385.58274305556</v>
      </c>
      <c r="C624" s="1" t="n">
        <v>46128</v>
      </c>
      <c r="D624" t="inlineStr">
        <is>
          <t>SKÅNE LÄN</t>
        </is>
      </c>
      <c r="E624" t="inlineStr">
        <is>
          <t>HÄSSLEHOLM</t>
        </is>
      </c>
      <c r="G624" t="n">
        <v>4.8</v>
      </c>
      <c r="H624" t="n">
        <v>0</v>
      </c>
      <c r="I624" t="n">
        <v>0</v>
      </c>
      <c r="J624" t="n">
        <v>0</v>
      </c>
      <c r="K624" t="n">
        <v>0</v>
      </c>
      <c r="L624" t="n">
        <v>0</v>
      </c>
      <c r="M624" t="n">
        <v>0</v>
      </c>
      <c r="N624" t="n">
        <v>0</v>
      </c>
      <c r="O624" t="n">
        <v>0</v>
      </c>
      <c r="P624" t="n">
        <v>0</v>
      </c>
      <c r="Q624" t="n">
        <v>0</v>
      </c>
      <c r="R624" s="2" t="inlineStr"/>
    </row>
    <row r="625" ht="15" customHeight="1">
      <c r="A625" t="inlineStr">
        <is>
          <t>A 40739-2024</t>
        </is>
      </c>
      <c r="B625" s="1" t="n">
        <v>45558</v>
      </c>
      <c r="C625" s="1" t="n">
        <v>46128</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16368-2025</t>
        </is>
      </c>
      <c r="B626" s="1" t="n">
        <v>45751</v>
      </c>
      <c r="C626" s="1" t="n">
        <v>46128</v>
      </c>
      <c r="D626" t="inlineStr">
        <is>
          <t>SKÅNE LÄN</t>
        </is>
      </c>
      <c r="E626" t="inlineStr">
        <is>
          <t>HÄSSLEHOLM</t>
        </is>
      </c>
      <c r="G626" t="n">
        <v>5</v>
      </c>
      <c r="H626" t="n">
        <v>0</v>
      </c>
      <c r="I626" t="n">
        <v>0</v>
      </c>
      <c r="J626" t="n">
        <v>0</v>
      </c>
      <c r="K626" t="n">
        <v>0</v>
      </c>
      <c r="L626" t="n">
        <v>0</v>
      </c>
      <c r="M626" t="n">
        <v>0</v>
      </c>
      <c r="N626" t="n">
        <v>0</v>
      </c>
      <c r="O626" t="n">
        <v>0</v>
      </c>
      <c r="P626" t="n">
        <v>0</v>
      </c>
      <c r="Q626" t="n">
        <v>0</v>
      </c>
      <c r="R626" s="2" t="inlineStr"/>
    </row>
    <row r="627" ht="15" customHeight="1">
      <c r="A627" t="inlineStr">
        <is>
          <t>A 64884-2023</t>
        </is>
      </c>
      <c r="B627" s="1" t="n">
        <v>45282.57809027778</v>
      </c>
      <c r="C627" s="1" t="n">
        <v>46128</v>
      </c>
      <c r="D627" t="inlineStr">
        <is>
          <t>SKÅNE LÄN</t>
        </is>
      </c>
      <c r="E627" t="inlineStr">
        <is>
          <t>HÄSSLEHOLM</t>
        </is>
      </c>
      <c r="G627" t="n">
        <v>4.6</v>
      </c>
      <c r="H627" t="n">
        <v>0</v>
      </c>
      <c r="I627" t="n">
        <v>0</v>
      </c>
      <c r="J627" t="n">
        <v>0</v>
      </c>
      <c r="K627" t="n">
        <v>0</v>
      </c>
      <c r="L627" t="n">
        <v>0</v>
      </c>
      <c r="M627" t="n">
        <v>0</v>
      </c>
      <c r="N627" t="n">
        <v>0</v>
      </c>
      <c r="O627" t="n">
        <v>0</v>
      </c>
      <c r="P627" t="n">
        <v>0</v>
      </c>
      <c r="Q627" t="n">
        <v>0</v>
      </c>
      <c r="R627" s="2" t="inlineStr"/>
    </row>
    <row r="628" ht="15" customHeight="1">
      <c r="A628" t="inlineStr">
        <is>
          <t>A 34342-2021</t>
        </is>
      </c>
      <c r="B628" s="1" t="n">
        <v>44379</v>
      </c>
      <c r="C628" s="1" t="n">
        <v>46128</v>
      </c>
      <c r="D628" t="inlineStr">
        <is>
          <t>SKÅNE LÄN</t>
        </is>
      </c>
      <c r="E628" t="inlineStr">
        <is>
          <t>HÄSSLEHOLM</t>
        </is>
      </c>
      <c r="G628" t="n">
        <v>7</v>
      </c>
      <c r="H628" t="n">
        <v>0</v>
      </c>
      <c r="I628" t="n">
        <v>0</v>
      </c>
      <c r="J628" t="n">
        <v>0</v>
      </c>
      <c r="K628" t="n">
        <v>0</v>
      </c>
      <c r="L628" t="n">
        <v>0</v>
      </c>
      <c r="M628" t="n">
        <v>0</v>
      </c>
      <c r="N628" t="n">
        <v>0</v>
      </c>
      <c r="O628" t="n">
        <v>0</v>
      </c>
      <c r="P628" t="n">
        <v>0</v>
      </c>
      <c r="Q628" t="n">
        <v>0</v>
      </c>
      <c r="R628" s="2" t="inlineStr"/>
    </row>
    <row r="629" ht="15" customHeight="1">
      <c r="A629" t="inlineStr">
        <is>
          <t>A 22140-2023</t>
        </is>
      </c>
      <c r="B629" s="1" t="n">
        <v>45065</v>
      </c>
      <c r="C629" s="1" t="n">
        <v>46128</v>
      </c>
      <c r="D629" t="inlineStr">
        <is>
          <t>SKÅNE LÄN</t>
        </is>
      </c>
      <c r="E629" t="inlineStr">
        <is>
          <t>HÄSSLEHOLM</t>
        </is>
      </c>
      <c r="G629" t="n">
        <v>6.7</v>
      </c>
      <c r="H629" t="n">
        <v>0</v>
      </c>
      <c r="I629" t="n">
        <v>0</v>
      </c>
      <c r="J629" t="n">
        <v>0</v>
      </c>
      <c r="K629" t="n">
        <v>0</v>
      </c>
      <c r="L629" t="n">
        <v>0</v>
      </c>
      <c r="M629" t="n">
        <v>0</v>
      </c>
      <c r="N629" t="n">
        <v>0</v>
      </c>
      <c r="O629" t="n">
        <v>0</v>
      </c>
      <c r="P629" t="n">
        <v>0</v>
      </c>
      <c r="Q629" t="n">
        <v>0</v>
      </c>
      <c r="R629" s="2" t="inlineStr"/>
    </row>
    <row r="630" ht="15" customHeight="1">
      <c r="A630" t="inlineStr">
        <is>
          <t>A 31944-2023</t>
        </is>
      </c>
      <c r="B630" s="1" t="n">
        <v>45119.34895833334</v>
      </c>
      <c r="C630" s="1" t="n">
        <v>46128</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7890-2024</t>
        </is>
      </c>
      <c r="B631" s="1" t="n">
        <v>45350.40780092592</v>
      </c>
      <c r="C631" s="1" t="n">
        <v>46128</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31946-2023</t>
        </is>
      </c>
      <c r="B632" s="1" t="n">
        <v>45119.35158564815</v>
      </c>
      <c r="C632" s="1" t="n">
        <v>46128</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8755-2024</t>
        </is>
      </c>
      <c r="B633" s="1" t="n">
        <v>45356</v>
      </c>
      <c r="C633" s="1" t="n">
        <v>46128</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48184-2025</t>
        </is>
      </c>
      <c r="B634" s="1" t="n">
        <v>45933.46131944445</v>
      </c>
      <c r="C634" s="1" t="n">
        <v>46128</v>
      </c>
      <c r="D634" t="inlineStr">
        <is>
          <t>SKÅNE LÄN</t>
        </is>
      </c>
      <c r="E634" t="inlineStr">
        <is>
          <t>HÄSSLEHOLM</t>
        </is>
      </c>
      <c r="G634" t="n">
        <v>3</v>
      </c>
      <c r="H634" t="n">
        <v>0</v>
      </c>
      <c r="I634" t="n">
        <v>0</v>
      </c>
      <c r="J634" t="n">
        <v>0</v>
      </c>
      <c r="K634" t="n">
        <v>0</v>
      </c>
      <c r="L634" t="n">
        <v>0</v>
      </c>
      <c r="M634" t="n">
        <v>0</v>
      </c>
      <c r="N634" t="n">
        <v>0</v>
      </c>
      <c r="O634" t="n">
        <v>0</v>
      </c>
      <c r="P634" t="n">
        <v>0</v>
      </c>
      <c r="Q634" t="n">
        <v>0</v>
      </c>
      <c r="R634" s="2" t="inlineStr"/>
    </row>
    <row r="635" ht="15" customHeight="1">
      <c r="A635" t="inlineStr">
        <is>
          <t>A 48185-2025</t>
        </is>
      </c>
      <c r="B635" s="1" t="n">
        <v>45933.46434027778</v>
      </c>
      <c r="C635" s="1" t="n">
        <v>46128</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61178-2022</t>
        </is>
      </c>
      <c r="B636" s="1" t="n">
        <v>44915</v>
      </c>
      <c r="C636" s="1" t="n">
        <v>46128</v>
      </c>
      <c r="D636" t="inlineStr">
        <is>
          <t>SKÅNE LÄN</t>
        </is>
      </c>
      <c r="E636" t="inlineStr">
        <is>
          <t>HÄSSLEHOLM</t>
        </is>
      </c>
      <c r="G636" t="n">
        <v>1.2</v>
      </c>
      <c r="H636" t="n">
        <v>0</v>
      </c>
      <c r="I636" t="n">
        <v>0</v>
      </c>
      <c r="J636" t="n">
        <v>0</v>
      </c>
      <c r="K636" t="n">
        <v>0</v>
      </c>
      <c r="L636" t="n">
        <v>0</v>
      </c>
      <c r="M636" t="n">
        <v>0</v>
      </c>
      <c r="N636" t="n">
        <v>0</v>
      </c>
      <c r="O636" t="n">
        <v>0</v>
      </c>
      <c r="P636" t="n">
        <v>0</v>
      </c>
      <c r="Q636" t="n">
        <v>0</v>
      </c>
      <c r="R636" s="2" t="inlineStr"/>
    </row>
    <row r="637" ht="15" customHeight="1">
      <c r="A637" t="inlineStr">
        <is>
          <t>A 61185-2022</t>
        </is>
      </c>
      <c r="B637" s="1" t="n">
        <v>44915</v>
      </c>
      <c r="C637" s="1" t="n">
        <v>46128</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27393-2025</t>
        </is>
      </c>
      <c r="B638" s="1" t="n">
        <v>45812.68295138889</v>
      </c>
      <c r="C638" s="1" t="n">
        <v>46128</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61691-2021</t>
        </is>
      </c>
      <c r="B639" s="1" t="n">
        <v>44501</v>
      </c>
      <c r="C639" s="1" t="n">
        <v>46128</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25221-2023</t>
        </is>
      </c>
      <c r="B640" s="1" t="n">
        <v>45086.60842592592</v>
      </c>
      <c r="C640" s="1" t="n">
        <v>46128</v>
      </c>
      <c r="D640" t="inlineStr">
        <is>
          <t>SKÅNE LÄN</t>
        </is>
      </c>
      <c r="E640" t="inlineStr">
        <is>
          <t>HÄSSLEHOLM</t>
        </is>
      </c>
      <c r="G640" t="n">
        <v>2.5</v>
      </c>
      <c r="H640" t="n">
        <v>0</v>
      </c>
      <c r="I640" t="n">
        <v>0</v>
      </c>
      <c r="J640" t="n">
        <v>0</v>
      </c>
      <c r="K640" t="n">
        <v>0</v>
      </c>
      <c r="L640" t="n">
        <v>0</v>
      </c>
      <c r="M640" t="n">
        <v>0</v>
      </c>
      <c r="N640" t="n">
        <v>0</v>
      </c>
      <c r="O640" t="n">
        <v>0</v>
      </c>
      <c r="P640" t="n">
        <v>0</v>
      </c>
      <c r="Q640" t="n">
        <v>0</v>
      </c>
      <c r="R640" s="2" t="inlineStr"/>
    </row>
    <row r="641" ht="15" customHeight="1">
      <c r="A641" t="inlineStr">
        <is>
          <t>A 59390-2021</t>
        </is>
      </c>
      <c r="B641" s="1" t="n">
        <v>44490</v>
      </c>
      <c r="C641" s="1" t="n">
        <v>46128</v>
      </c>
      <c r="D641" t="inlineStr">
        <is>
          <t>SKÅNE LÄN</t>
        </is>
      </c>
      <c r="E641" t="inlineStr">
        <is>
          <t>HÄSSLEHOLM</t>
        </is>
      </c>
      <c r="G641" t="n">
        <v>7.1</v>
      </c>
      <c r="H641" t="n">
        <v>0</v>
      </c>
      <c r="I641" t="n">
        <v>0</v>
      </c>
      <c r="J641" t="n">
        <v>0</v>
      </c>
      <c r="K641" t="n">
        <v>0</v>
      </c>
      <c r="L641" t="n">
        <v>0</v>
      </c>
      <c r="M641" t="n">
        <v>0</v>
      </c>
      <c r="N641" t="n">
        <v>0</v>
      </c>
      <c r="O641" t="n">
        <v>0</v>
      </c>
      <c r="P641" t="n">
        <v>0</v>
      </c>
      <c r="Q641" t="n">
        <v>0</v>
      </c>
      <c r="R641" s="2" t="inlineStr"/>
    </row>
    <row r="642" ht="15" customHeight="1">
      <c r="A642" t="inlineStr">
        <is>
          <t>A 48722-2025</t>
        </is>
      </c>
      <c r="B642" s="1" t="n">
        <v>45935</v>
      </c>
      <c r="C642" s="1" t="n">
        <v>46128</v>
      </c>
      <c r="D642" t="inlineStr">
        <is>
          <t>SKÅNE LÄN</t>
        </is>
      </c>
      <c r="E642" t="inlineStr">
        <is>
          <t>HÄSSLEHOLM</t>
        </is>
      </c>
      <c r="G642" t="n">
        <v>4.3</v>
      </c>
      <c r="H642" t="n">
        <v>0</v>
      </c>
      <c r="I642" t="n">
        <v>0</v>
      </c>
      <c r="J642" t="n">
        <v>0</v>
      </c>
      <c r="K642" t="n">
        <v>0</v>
      </c>
      <c r="L642" t="n">
        <v>0</v>
      </c>
      <c r="M642" t="n">
        <v>0</v>
      </c>
      <c r="N642" t="n">
        <v>0</v>
      </c>
      <c r="O642" t="n">
        <v>0</v>
      </c>
      <c r="P642" t="n">
        <v>0</v>
      </c>
      <c r="Q642" t="n">
        <v>0</v>
      </c>
      <c r="R642" s="2" t="inlineStr"/>
    </row>
    <row r="643" ht="15" customHeight="1">
      <c r="A643" t="inlineStr">
        <is>
          <t>A 50564-2023</t>
        </is>
      </c>
      <c r="B643" s="1" t="n">
        <v>45217.37957175926</v>
      </c>
      <c r="C643" s="1" t="n">
        <v>46128</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42776-2021</t>
        </is>
      </c>
      <c r="B644" s="1" t="n">
        <v>44428</v>
      </c>
      <c r="C644" s="1" t="n">
        <v>46128</v>
      </c>
      <c r="D644" t="inlineStr">
        <is>
          <t>SKÅNE LÄN</t>
        </is>
      </c>
      <c r="E644" t="inlineStr">
        <is>
          <t>HÄSSLEHOLM</t>
        </is>
      </c>
      <c r="G644" t="n">
        <v>3.2</v>
      </c>
      <c r="H644" t="n">
        <v>0</v>
      </c>
      <c r="I644" t="n">
        <v>0</v>
      </c>
      <c r="J644" t="n">
        <v>0</v>
      </c>
      <c r="K644" t="n">
        <v>0</v>
      </c>
      <c r="L644" t="n">
        <v>0</v>
      </c>
      <c r="M644" t="n">
        <v>0</v>
      </c>
      <c r="N644" t="n">
        <v>0</v>
      </c>
      <c r="O644" t="n">
        <v>0</v>
      </c>
      <c r="P644" t="n">
        <v>0</v>
      </c>
      <c r="Q644" t="n">
        <v>0</v>
      </c>
      <c r="R644" s="2" t="inlineStr"/>
    </row>
    <row r="645" ht="15" customHeight="1">
      <c r="A645" t="inlineStr">
        <is>
          <t>A 15133-2023</t>
        </is>
      </c>
      <c r="B645" s="1" t="n">
        <v>45016</v>
      </c>
      <c r="C645" s="1" t="n">
        <v>46128</v>
      </c>
      <c r="D645" t="inlineStr">
        <is>
          <t>SKÅNE LÄN</t>
        </is>
      </c>
      <c r="E645" t="inlineStr">
        <is>
          <t>HÄSSLEHOLM</t>
        </is>
      </c>
      <c r="G645" t="n">
        <v>7.8</v>
      </c>
      <c r="H645" t="n">
        <v>0</v>
      </c>
      <c r="I645" t="n">
        <v>0</v>
      </c>
      <c r="J645" t="n">
        <v>0</v>
      </c>
      <c r="K645" t="n">
        <v>0</v>
      </c>
      <c r="L645" t="n">
        <v>0</v>
      </c>
      <c r="M645" t="n">
        <v>0</v>
      </c>
      <c r="N645" t="n">
        <v>0</v>
      </c>
      <c r="O645" t="n">
        <v>0</v>
      </c>
      <c r="P645" t="n">
        <v>0</v>
      </c>
      <c r="Q645" t="n">
        <v>0</v>
      </c>
      <c r="R645" s="2" t="inlineStr"/>
    </row>
    <row r="646" ht="15" customHeight="1">
      <c r="A646" t="inlineStr">
        <is>
          <t>A 15053-2023</t>
        </is>
      </c>
      <c r="B646" s="1" t="n">
        <v>45015</v>
      </c>
      <c r="C646" s="1" t="n">
        <v>46128</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28240-2025</t>
        </is>
      </c>
      <c r="B647" s="1" t="n">
        <v>45817</v>
      </c>
      <c r="C647" s="1" t="n">
        <v>46128</v>
      </c>
      <c r="D647" t="inlineStr">
        <is>
          <t>SKÅNE LÄN</t>
        </is>
      </c>
      <c r="E647" t="inlineStr">
        <is>
          <t>HÄSSLEHOLM</t>
        </is>
      </c>
      <c r="G647" t="n">
        <v>7.7</v>
      </c>
      <c r="H647" t="n">
        <v>0</v>
      </c>
      <c r="I647" t="n">
        <v>0</v>
      </c>
      <c r="J647" t="n">
        <v>0</v>
      </c>
      <c r="K647" t="n">
        <v>0</v>
      </c>
      <c r="L647" t="n">
        <v>0</v>
      </c>
      <c r="M647" t="n">
        <v>0</v>
      </c>
      <c r="N647" t="n">
        <v>0</v>
      </c>
      <c r="O647" t="n">
        <v>0</v>
      </c>
      <c r="P647" t="n">
        <v>0</v>
      </c>
      <c r="Q647" t="n">
        <v>0</v>
      </c>
      <c r="R647" s="2" t="inlineStr"/>
    </row>
    <row r="648" ht="15" customHeight="1">
      <c r="A648" t="inlineStr">
        <is>
          <t>A 23857-2024</t>
        </is>
      </c>
      <c r="B648" s="1" t="n">
        <v>45455</v>
      </c>
      <c r="C648" s="1" t="n">
        <v>46128</v>
      </c>
      <c r="D648" t="inlineStr">
        <is>
          <t>SKÅNE LÄN</t>
        </is>
      </c>
      <c r="E648" t="inlineStr">
        <is>
          <t>HÄSSLEHOLM</t>
        </is>
      </c>
      <c r="G648" t="n">
        <v>3</v>
      </c>
      <c r="H648" t="n">
        <v>0</v>
      </c>
      <c r="I648" t="n">
        <v>0</v>
      </c>
      <c r="J648" t="n">
        <v>0</v>
      </c>
      <c r="K648" t="n">
        <v>0</v>
      </c>
      <c r="L648" t="n">
        <v>0</v>
      </c>
      <c r="M648" t="n">
        <v>0</v>
      </c>
      <c r="N648" t="n">
        <v>0</v>
      </c>
      <c r="O648" t="n">
        <v>0</v>
      </c>
      <c r="P648" t="n">
        <v>0</v>
      </c>
      <c r="Q648" t="n">
        <v>0</v>
      </c>
      <c r="R648" s="2" t="inlineStr"/>
    </row>
    <row r="649" ht="15" customHeight="1">
      <c r="A649" t="inlineStr">
        <is>
          <t>A 35644-2023</t>
        </is>
      </c>
      <c r="B649" s="1" t="n">
        <v>45147</v>
      </c>
      <c r="C649" s="1" t="n">
        <v>46128</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46185-2022</t>
        </is>
      </c>
      <c r="B650" s="1" t="n">
        <v>44847</v>
      </c>
      <c r="C650" s="1" t="n">
        <v>46128</v>
      </c>
      <c r="D650" t="inlineStr">
        <is>
          <t>SKÅNE LÄN</t>
        </is>
      </c>
      <c r="E650" t="inlineStr">
        <is>
          <t>HÄSSLEHOLM</t>
        </is>
      </c>
      <c r="G650" t="n">
        <v>16.8</v>
      </c>
      <c r="H650" t="n">
        <v>0</v>
      </c>
      <c r="I650" t="n">
        <v>0</v>
      </c>
      <c r="J650" t="n">
        <v>0</v>
      </c>
      <c r="K650" t="n">
        <v>0</v>
      </c>
      <c r="L650" t="n">
        <v>0</v>
      </c>
      <c r="M650" t="n">
        <v>0</v>
      </c>
      <c r="N650" t="n">
        <v>0</v>
      </c>
      <c r="O650" t="n">
        <v>0</v>
      </c>
      <c r="P650" t="n">
        <v>0</v>
      </c>
      <c r="Q650" t="n">
        <v>0</v>
      </c>
      <c r="R650" s="2" t="inlineStr"/>
    </row>
    <row r="651" ht="15" customHeight="1">
      <c r="A651" t="inlineStr">
        <is>
          <t>A 8433-2024</t>
        </is>
      </c>
      <c r="B651" s="1" t="n">
        <v>45353.48434027778</v>
      </c>
      <c r="C651" s="1" t="n">
        <v>46128</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28095-2025</t>
        </is>
      </c>
      <c r="B652" s="1" t="n">
        <v>45817</v>
      </c>
      <c r="C652" s="1" t="n">
        <v>46128</v>
      </c>
      <c r="D652" t="inlineStr">
        <is>
          <t>SKÅNE LÄN</t>
        </is>
      </c>
      <c r="E652" t="inlineStr">
        <is>
          <t>HÄSSLEHOLM</t>
        </is>
      </c>
      <c r="G652" t="n">
        <v>2.5</v>
      </c>
      <c r="H652" t="n">
        <v>0</v>
      </c>
      <c r="I652" t="n">
        <v>0</v>
      </c>
      <c r="J652" t="n">
        <v>0</v>
      </c>
      <c r="K652" t="n">
        <v>0</v>
      </c>
      <c r="L652" t="n">
        <v>0</v>
      </c>
      <c r="M652" t="n">
        <v>0</v>
      </c>
      <c r="N652" t="n">
        <v>0</v>
      </c>
      <c r="O652" t="n">
        <v>0</v>
      </c>
      <c r="P652" t="n">
        <v>0</v>
      </c>
      <c r="Q652" t="n">
        <v>0</v>
      </c>
      <c r="R652" s="2" t="inlineStr"/>
    </row>
    <row r="653" ht="15" customHeight="1">
      <c r="A653" t="inlineStr">
        <is>
          <t>A 62055-2023</t>
        </is>
      </c>
      <c r="B653" s="1" t="n">
        <v>45266.70287037037</v>
      </c>
      <c r="C653" s="1" t="n">
        <v>46128</v>
      </c>
      <c r="D653" t="inlineStr">
        <is>
          <t>SKÅNE LÄN</t>
        </is>
      </c>
      <c r="E653" t="inlineStr">
        <is>
          <t>HÄSSLEHOLM</t>
        </is>
      </c>
      <c r="G653" t="n">
        <v>5.2</v>
      </c>
      <c r="H653" t="n">
        <v>0</v>
      </c>
      <c r="I653" t="n">
        <v>0</v>
      </c>
      <c r="J653" t="n">
        <v>0</v>
      </c>
      <c r="K653" t="n">
        <v>0</v>
      </c>
      <c r="L653" t="n">
        <v>0</v>
      </c>
      <c r="M653" t="n">
        <v>0</v>
      </c>
      <c r="N653" t="n">
        <v>0</v>
      </c>
      <c r="O653" t="n">
        <v>0</v>
      </c>
      <c r="P653" t="n">
        <v>0</v>
      </c>
      <c r="Q653" t="n">
        <v>0</v>
      </c>
      <c r="R653" s="2" t="inlineStr"/>
    </row>
    <row r="654" ht="15" customHeight="1">
      <c r="A654" t="inlineStr">
        <is>
          <t>A 27940-2025</t>
        </is>
      </c>
      <c r="B654" s="1" t="n">
        <v>45817.50439814815</v>
      </c>
      <c r="C654" s="1" t="n">
        <v>46128</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27887-2025</t>
        </is>
      </c>
      <c r="B655" s="1" t="n">
        <v>45817.45994212963</v>
      </c>
      <c r="C655" s="1" t="n">
        <v>46128</v>
      </c>
      <c r="D655" t="inlineStr">
        <is>
          <t>SKÅNE LÄN</t>
        </is>
      </c>
      <c r="E655" t="inlineStr">
        <is>
          <t>HÄSSLEHOLM</t>
        </is>
      </c>
      <c r="G655" t="n">
        <v>4.8</v>
      </c>
      <c r="H655" t="n">
        <v>0</v>
      </c>
      <c r="I655" t="n">
        <v>0</v>
      </c>
      <c r="J655" t="n">
        <v>0</v>
      </c>
      <c r="K655" t="n">
        <v>0</v>
      </c>
      <c r="L655" t="n">
        <v>0</v>
      </c>
      <c r="M655" t="n">
        <v>0</v>
      </c>
      <c r="N655" t="n">
        <v>0</v>
      </c>
      <c r="O655" t="n">
        <v>0</v>
      </c>
      <c r="P655" t="n">
        <v>0</v>
      </c>
      <c r="Q655" t="n">
        <v>0</v>
      </c>
      <c r="R655" s="2" t="inlineStr"/>
    </row>
    <row r="656" ht="15" customHeight="1">
      <c r="A656" t="inlineStr">
        <is>
          <t>A 49827-2022</t>
        </is>
      </c>
      <c r="B656" s="1" t="n">
        <v>44859</v>
      </c>
      <c r="C656" s="1" t="n">
        <v>46128</v>
      </c>
      <c r="D656" t="inlineStr">
        <is>
          <t>SKÅNE LÄN</t>
        </is>
      </c>
      <c r="E656" t="inlineStr">
        <is>
          <t>HÄSSLEHOLM</t>
        </is>
      </c>
      <c r="G656" t="n">
        <v>6.1</v>
      </c>
      <c r="H656" t="n">
        <v>0</v>
      </c>
      <c r="I656" t="n">
        <v>0</v>
      </c>
      <c r="J656" t="n">
        <v>0</v>
      </c>
      <c r="K656" t="n">
        <v>0</v>
      </c>
      <c r="L656" t="n">
        <v>0</v>
      </c>
      <c r="M656" t="n">
        <v>0</v>
      </c>
      <c r="N656" t="n">
        <v>0</v>
      </c>
      <c r="O656" t="n">
        <v>0</v>
      </c>
      <c r="P656" t="n">
        <v>0</v>
      </c>
      <c r="Q656" t="n">
        <v>0</v>
      </c>
      <c r="R656" s="2" t="inlineStr"/>
    </row>
    <row r="657" ht="15" customHeight="1">
      <c r="A657" t="inlineStr">
        <is>
          <t>A 28251-2025</t>
        </is>
      </c>
      <c r="B657" s="1" t="n">
        <v>45817</v>
      </c>
      <c r="C657" s="1" t="n">
        <v>46128</v>
      </c>
      <c r="D657" t="inlineStr">
        <is>
          <t>SKÅNE LÄN</t>
        </is>
      </c>
      <c r="E657" t="inlineStr">
        <is>
          <t>HÄSSLEHOLM</t>
        </is>
      </c>
      <c r="G657" t="n">
        <v>7.2</v>
      </c>
      <c r="H657" t="n">
        <v>0</v>
      </c>
      <c r="I657" t="n">
        <v>0</v>
      </c>
      <c r="J657" t="n">
        <v>0</v>
      </c>
      <c r="K657" t="n">
        <v>0</v>
      </c>
      <c r="L657" t="n">
        <v>0</v>
      </c>
      <c r="M657" t="n">
        <v>0</v>
      </c>
      <c r="N657" t="n">
        <v>0</v>
      </c>
      <c r="O657" t="n">
        <v>0</v>
      </c>
      <c r="P657" t="n">
        <v>0</v>
      </c>
      <c r="Q657" t="n">
        <v>0</v>
      </c>
      <c r="R657" s="2" t="inlineStr"/>
    </row>
    <row r="658" ht="15" customHeight="1">
      <c r="A658" t="inlineStr">
        <is>
          <t>A 27934-2025</t>
        </is>
      </c>
      <c r="B658" s="1" t="n">
        <v>45817.49761574074</v>
      </c>
      <c r="C658" s="1" t="n">
        <v>46128</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28122-2025</t>
        </is>
      </c>
      <c r="B659" s="1" t="n">
        <v>45817</v>
      </c>
      <c r="C659" s="1" t="n">
        <v>46128</v>
      </c>
      <c r="D659" t="inlineStr">
        <is>
          <t>SKÅNE LÄN</t>
        </is>
      </c>
      <c r="E659" t="inlineStr">
        <is>
          <t>HÄSSLEHOLM</t>
        </is>
      </c>
      <c r="G659" t="n">
        <v>2.4</v>
      </c>
      <c r="H659" t="n">
        <v>0</v>
      </c>
      <c r="I659" t="n">
        <v>0</v>
      </c>
      <c r="J659" t="n">
        <v>0</v>
      </c>
      <c r="K659" t="n">
        <v>0</v>
      </c>
      <c r="L659" t="n">
        <v>0</v>
      </c>
      <c r="M659" t="n">
        <v>0</v>
      </c>
      <c r="N659" t="n">
        <v>0</v>
      </c>
      <c r="O659" t="n">
        <v>0</v>
      </c>
      <c r="P659" t="n">
        <v>0</v>
      </c>
      <c r="Q659" t="n">
        <v>0</v>
      </c>
      <c r="R659" s="2" t="inlineStr"/>
    </row>
    <row r="660" ht="15" customHeight="1">
      <c r="A660" t="inlineStr">
        <is>
          <t>A 13555-2025</t>
        </is>
      </c>
      <c r="B660" s="1" t="n">
        <v>45736</v>
      </c>
      <c r="C660" s="1" t="n">
        <v>46128</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12780-2024</t>
        </is>
      </c>
      <c r="B661" s="1" t="n">
        <v>45384.59726851852</v>
      </c>
      <c r="C661" s="1" t="n">
        <v>46128</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49135-2025</t>
        </is>
      </c>
      <c r="B662" s="1" t="n">
        <v>45938.00990740741</v>
      </c>
      <c r="C662" s="1" t="n">
        <v>46128</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49136-2025</t>
        </is>
      </c>
      <c r="B663" s="1" t="n">
        <v>45938.01277777777</v>
      </c>
      <c r="C663" s="1" t="n">
        <v>46128</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49137-2025</t>
        </is>
      </c>
      <c r="B664" s="1" t="n">
        <v>45938.05672453704</v>
      </c>
      <c r="C664" s="1" t="n">
        <v>46128</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28632-2024</t>
        </is>
      </c>
      <c r="B665" s="1" t="n">
        <v>45478</v>
      </c>
      <c r="C665" s="1" t="n">
        <v>46128</v>
      </c>
      <c r="D665" t="inlineStr">
        <is>
          <t>SKÅNE LÄN</t>
        </is>
      </c>
      <c r="E665" t="inlineStr">
        <is>
          <t>HÄSSLEHOLM</t>
        </is>
      </c>
      <c r="G665" t="n">
        <v>4</v>
      </c>
      <c r="H665" t="n">
        <v>0</v>
      </c>
      <c r="I665" t="n">
        <v>0</v>
      </c>
      <c r="J665" t="n">
        <v>0</v>
      </c>
      <c r="K665" t="n">
        <v>0</v>
      </c>
      <c r="L665" t="n">
        <v>0</v>
      </c>
      <c r="M665" t="n">
        <v>0</v>
      </c>
      <c r="N665" t="n">
        <v>0</v>
      </c>
      <c r="O665" t="n">
        <v>0</v>
      </c>
      <c r="P665" t="n">
        <v>0</v>
      </c>
      <c r="Q665" t="n">
        <v>0</v>
      </c>
      <c r="R665" s="2" t="inlineStr"/>
    </row>
    <row r="666" ht="15" customHeight="1">
      <c r="A666" t="inlineStr">
        <is>
          <t>A 35712-2024</t>
        </is>
      </c>
      <c r="B666" s="1" t="n">
        <v>45532</v>
      </c>
      <c r="C666" s="1" t="n">
        <v>46128</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28457-2024</t>
        </is>
      </c>
      <c r="B667" s="1" t="n">
        <v>45477.68884259259</v>
      </c>
      <c r="C667" s="1" t="n">
        <v>46128</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22594-2024</t>
        </is>
      </c>
      <c r="B668" s="1" t="n">
        <v>45447.60892361111</v>
      </c>
      <c r="C668" s="1" t="n">
        <v>46128</v>
      </c>
      <c r="D668" t="inlineStr">
        <is>
          <t>SKÅNE LÄN</t>
        </is>
      </c>
      <c r="E668" t="inlineStr">
        <is>
          <t>HÄSSLEHOLM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33466-2024</t>
        </is>
      </c>
      <c r="B669" s="1" t="n">
        <v>45519</v>
      </c>
      <c r="C669" s="1" t="n">
        <v>46128</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29170-2025</t>
        </is>
      </c>
      <c r="B670" s="1" t="n">
        <v>45821.69766203704</v>
      </c>
      <c r="C670" s="1" t="n">
        <v>46128</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55056-2021</t>
        </is>
      </c>
      <c r="B671" s="1" t="n">
        <v>44474.62072916667</v>
      </c>
      <c r="C671" s="1" t="n">
        <v>46128</v>
      </c>
      <c r="D671" t="inlineStr">
        <is>
          <t>SKÅNE LÄN</t>
        </is>
      </c>
      <c r="E671" t="inlineStr">
        <is>
          <t>HÄSSLEHOLM</t>
        </is>
      </c>
      <c r="G671" t="n">
        <v>2.5</v>
      </c>
      <c r="H671" t="n">
        <v>0</v>
      </c>
      <c r="I671" t="n">
        <v>0</v>
      </c>
      <c r="J671" t="n">
        <v>0</v>
      </c>
      <c r="K671" t="n">
        <v>0</v>
      </c>
      <c r="L671" t="n">
        <v>0</v>
      </c>
      <c r="M671" t="n">
        <v>0</v>
      </c>
      <c r="N671" t="n">
        <v>0</v>
      </c>
      <c r="O671" t="n">
        <v>0</v>
      </c>
      <c r="P671" t="n">
        <v>0</v>
      </c>
      <c r="Q671" t="n">
        <v>0</v>
      </c>
      <c r="R671" s="2" t="inlineStr"/>
    </row>
    <row r="672" ht="15" customHeight="1">
      <c r="A672" t="inlineStr">
        <is>
          <t>A 49845-2025</t>
        </is>
      </c>
      <c r="B672" s="1" t="n">
        <v>45940.48015046296</v>
      </c>
      <c r="C672" s="1" t="n">
        <v>46128</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26397-2023</t>
        </is>
      </c>
      <c r="B673" s="1" t="n">
        <v>45087</v>
      </c>
      <c r="C673" s="1" t="n">
        <v>46128</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27175-2024</t>
        </is>
      </c>
      <c r="B674" s="1" t="n">
        <v>45471.57111111111</v>
      </c>
      <c r="C674" s="1" t="n">
        <v>46128</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1197-2024</t>
        </is>
      </c>
      <c r="B675" s="1" t="n">
        <v>45302</v>
      </c>
      <c r="C675" s="1" t="n">
        <v>46128</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4042-2023</t>
        </is>
      </c>
      <c r="B676" s="1" t="n">
        <v>44952.59950231481</v>
      </c>
      <c r="C676" s="1" t="n">
        <v>46128</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48097-2024</t>
        </is>
      </c>
      <c r="B677" s="1" t="n">
        <v>45589.61413194444</v>
      </c>
      <c r="C677" s="1" t="n">
        <v>46128</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29168-2025</t>
        </is>
      </c>
      <c r="B678" s="1" t="n">
        <v>45821.69547453704</v>
      </c>
      <c r="C678" s="1" t="n">
        <v>46128</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53077-2022</t>
        </is>
      </c>
      <c r="B679" s="1" t="n">
        <v>44873</v>
      </c>
      <c r="C679" s="1" t="n">
        <v>46128</v>
      </c>
      <c r="D679" t="inlineStr">
        <is>
          <t>SKÅNE LÄN</t>
        </is>
      </c>
      <c r="E679" t="inlineStr">
        <is>
          <t>HÄSSLEHOLM</t>
        </is>
      </c>
      <c r="G679" t="n">
        <v>3</v>
      </c>
      <c r="H679" t="n">
        <v>0</v>
      </c>
      <c r="I679" t="n">
        <v>0</v>
      </c>
      <c r="J679" t="n">
        <v>0</v>
      </c>
      <c r="K679" t="n">
        <v>0</v>
      </c>
      <c r="L679" t="n">
        <v>0</v>
      </c>
      <c r="M679" t="n">
        <v>0</v>
      </c>
      <c r="N679" t="n">
        <v>0</v>
      </c>
      <c r="O679" t="n">
        <v>0</v>
      </c>
      <c r="P679" t="n">
        <v>0</v>
      </c>
      <c r="Q679" t="n">
        <v>0</v>
      </c>
      <c r="R679" s="2" t="inlineStr"/>
    </row>
    <row r="680" ht="15" customHeight="1">
      <c r="A680" t="inlineStr">
        <is>
          <t>A 29171-2025</t>
        </is>
      </c>
      <c r="B680" s="1" t="n">
        <v>45821.69863425926</v>
      </c>
      <c r="C680" s="1" t="n">
        <v>46128</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3123-2023</t>
        </is>
      </c>
      <c r="B681" s="1" t="n">
        <v>44946.4925</v>
      </c>
      <c r="C681" s="1" t="n">
        <v>46128</v>
      </c>
      <c r="D681" t="inlineStr">
        <is>
          <t>SKÅNE LÄN</t>
        </is>
      </c>
      <c r="E681" t="inlineStr">
        <is>
          <t>HÄSSLEHOLM</t>
        </is>
      </c>
      <c r="G681" t="n">
        <v>3.5</v>
      </c>
      <c r="H681" t="n">
        <v>0</v>
      </c>
      <c r="I681" t="n">
        <v>0</v>
      </c>
      <c r="J681" t="n">
        <v>0</v>
      </c>
      <c r="K681" t="n">
        <v>0</v>
      </c>
      <c r="L681" t="n">
        <v>0</v>
      </c>
      <c r="M681" t="n">
        <v>0</v>
      </c>
      <c r="N681" t="n">
        <v>0</v>
      </c>
      <c r="O681" t="n">
        <v>0</v>
      </c>
      <c r="P681" t="n">
        <v>0</v>
      </c>
      <c r="Q681" t="n">
        <v>0</v>
      </c>
      <c r="R681" s="2" t="inlineStr"/>
    </row>
    <row r="682" ht="15" customHeight="1">
      <c r="A682" t="inlineStr">
        <is>
          <t>A 3126-2023</t>
        </is>
      </c>
      <c r="B682" s="1" t="n">
        <v>44946.49570601852</v>
      </c>
      <c r="C682" s="1" t="n">
        <v>46128</v>
      </c>
      <c r="D682" t="inlineStr">
        <is>
          <t>SKÅNE LÄN</t>
        </is>
      </c>
      <c r="E682" t="inlineStr">
        <is>
          <t>HÄSSLEHOLM</t>
        </is>
      </c>
      <c r="G682" t="n">
        <v>2.2</v>
      </c>
      <c r="H682" t="n">
        <v>0</v>
      </c>
      <c r="I682" t="n">
        <v>0</v>
      </c>
      <c r="J682" t="n">
        <v>0</v>
      </c>
      <c r="K682" t="n">
        <v>0</v>
      </c>
      <c r="L682" t="n">
        <v>0</v>
      </c>
      <c r="M682" t="n">
        <v>0</v>
      </c>
      <c r="N682" t="n">
        <v>0</v>
      </c>
      <c r="O682" t="n">
        <v>0</v>
      </c>
      <c r="P682" t="n">
        <v>0</v>
      </c>
      <c r="Q682" t="n">
        <v>0</v>
      </c>
      <c r="R682" s="2" t="inlineStr"/>
    </row>
    <row r="683" ht="15" customHeight="1">
      <c r="A683" t="inlineStr">
        <is>
          <t>A 19020-2024</t>
        </is>
      </c>
      <c r="B683" s="1" t="n">
        <v>45427.66167824074</v>
      </c>
      <c r="C683" s="1" t="n">
        <v>46128</v>
      </c>
      <c r="D683" t="inlineStr">
        <is>
          <t>SKÅNE LÄN</t>
        </is>
      </c>
      <c r="E683" t="inlineStr">
        <is>
          <t>HÄSSLEHOLM</t>
        </is>
      </c>
      <c r="G683" t="n">
        <v>2.3</v>
      </c>
      <c r="H683" t="n">
        <v>0</v>
      </c>
      <c r="I683" t="n">
        <v>0</v>
      </c>
      <c r="J683" t="n">
        <v>0</v>
      </c>
      <c r="K683" t="n">
        <v>0</v>
      </c>
      <c r="L683" t="n">
        <v>0</v>
      </c>
      <c r="M683" t="n">
        <v>0</v>
      </c>
      <c r="N683" t="n">
        <v>0</v>
      </c>
      <c r="O683" t="n">
        <v>0</v>
      </c>
      <c r="P683" t="n">
        <v>0</v>
      </c>
      <c r="Q683" t="n">
        <v>0</v>
      </c>
      <c r="R683" s="2" t="inlineStr"/>
    </row>
    <row r="684" ht="15" customHeight="1">
      <c r="A684" t="inlineStr">
        <is>
          <t>A 52912-2022</t>
        </is>
      </c>
      <c r="B684" s="1" t="n">
        <v>44872</v>
      </c>
      <c r="C684" s="1" t="n">
        <v>46128</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24640-2023</t>
        </is>
      </c>
      <c r="B685" s="1" t="n">
        <v>45084.43181712963</v>
      </c>
      <c r="C685" s="1" t="n">
        <v>46128</v>
      </c>
      <c r="D685" t="inlineStr">
        <is>
          <t>SKÅNE LÄN</t>
        </is>
      </c>
      <c r="E685" t="inlineStr">
        <is>
          <t>HÄSSLEHOLM</t>
        </is>
      </c>
      <c r="G685" t="n">
        <v>1.5</v>
      </c>
      <c r="H685" t="n">
        <v>0</v>
      </c>
      <c r="I685" t="n">
        <v>0</v>
      </c>
      <c r="J685" t="n">
        <v>0</v>
      </c>
      <c r="K685" t="n">
        <v>0</v>
      </c>
      <c r="L685" t="n">
        <v>0</v>
      </c>
      <c r="M685" t="n">
        <v>0</v>
      </c>
      <c r="N685" t="n">
        <v>0</v>
      </c>
      <c r="O685" t="n">
        <v>0</v>
      </c>
      <c r="P685" t="n">
        <v>0</v>
      </c>
      <c r="Q685" t="n">
        <v>0</v>
      </c>
      <c r="R685" s="2" t="inlineStr"/>
    </row>
    <row r="686" ht="15" customHeight="1">
      <c r="A686" t="inlineStr">
        <is>
          <t>A 22535-2024</t>
        </is>
      </c>
      <c r="B686" s="1" t="n">
        <v>45447</v>
      </c>
      <c r="C686" s="1" t="n">
        <v>46128</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30010-2025</t>
        </is>
      </c>
      <c r="B687" s="1" t="n">
        <v>45826</v>
      </c>
      <c r="C687" s="1" t="n">
        <v>46128</v>
      </c>
      <c r="D687" t="inlineStr">
        <is>
          <t>SKÅNE LÄN</t>
        </is>
      </c>
      <c r="E687" t="inlineStr">
        <is>
          <t>HÄSSLEHOLM</t>
        </is>
      </c>
      <c r="G687" t="n">
        <v>4.5</v>
      </c>
      <c r="H687" t="n">
        <v>0</v>
      </c>
      <c r="I687" t="n">
        <v>0</v>
      </c>
      <c r="J687" t="n">
        <v>0</v>
      </c>
      <c r="K687" t="n">
        <v>0</v>
      </c>
      <c r="L687" t="n">
        <v>0</v>
      </c>
      <c r="M687" t="n">
        <v>0</v>
      </c>
      <c r="N687" t="n">
        <v>0</v>
      </c>
      <c r="O687" t="n">
        <v>0</v>
      </c>
      <c r="P687" t="n">
        <v>0</v>
      </c>
      <c r="Q687" t="n">
        <v>0</v>
      </c>
      <c r="R687" s="2" t="inlineStr"/>
    </row>
    <row r="688" ht="15" customHeight="1">
      <c r="A688" t="inlineStr">
        <is>
          <t>A 30007-2023</t>
        </is>
      </c>
      <c r="B688" s="1" t="n">
        <v>45109.80349537037</v>
      </c>
      <c r="C688" s="1" t="n">
        <v>46128</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1289-2024</t>
        </is>
      </c>
      <c r="B689" s="1" t="n">
        <v>45303.32234953704</v>
      </c>
      <c r="C689" s="1" t="n">
        <v>46128</v>
      </c>
      <c r="D689" t="inlineStr">
        <is>
          <t>SKÅNE LÄN</t>
        </is>
      </c>
      <c r="E689" t="inlineStr">
        <is>
          <t>HÄSSLEHOLM</t>
        </is>
      </c>
      <c r="G689" t="n">
        <v>4.6</v>
      </c>
      <c r="H689" t="n">
        <v>0</v>
      </c>
      <c r="I689" t="n">
        <v>0</v>
      </c>
      <c r="J689" t="n">
        <v>0</v>
      </c>
      <c r="K689" t="n">
        <v>0</v>
      </c>
      <c r="L689" t="n">
        <v>0</v>
      </c>
      <c r="M689" t="n">
        <v>0</v>
      </c>
      <c r="N689" t="n">
        <v>0</v>
      </c>
      <c r="O689" t="n">
        <v>0</v>
      </c>
      <c r="P689" t="n">
        <v>0</v>
      </c>
      <c r="Q689" t="n">
        <v>0</v>
      </c>
      <c r="R689" s="2" t="inlineStr"/>
    </row>
    <row r="690" ht="15" customHeight="1">
      <c r="A690" t="inlineStr">
        <is>
          <t>A 11715-2023</t>
        </is>
      </c>
      <c r="B690" s="1" t="n">
        <v>44992</v>
      </c>
      <c r="C690" s="1" t="n">
        <v>46128</v>
      </c>
      <c r="D690" t="inlineStr">
        <is>
          <t>SKÅNE LÄN</t>
        </is>
      </c>
      <c r="E690" t="inlineStr">
        <is>
          <t>HÄSSLEHOLM</t>
        </is>
      </c>
      <c r="F690" t="inlineStr">
        <is>
          <t>Övriga Aktiebolag</t>
        </is>
      </c>
      <c r="G690" t="n">
        <v>2</v>
      </c>
      <c r="H690" t="n">
        <v>0</v>
      </c>
      <c r="I690" t="n">
        <v>0</v>
      </c>
      <c r="J690" t="n">
        <v>0</v>
      </c>
      <c r="K690" t="n">
        <v>0</v>
      </c>
      <c r="L690" t="n">
        <v>0</v>
      </c>
      <c r="M690" t="n">
        <v>0</v>
      </c>
      <c r="N690" t="n">
        <v>0</v>
      </c>
      <c r="O690" t="n">
        <v>0</v>
      </c>
      <c r="P690" t="n">
        <v>0</v>
      </c>
      <c r="Q690" t="n">
        <v>0</v>
      </c>
      <c r="R690" s="2" t="inlineStr"/>
    </row>
    <row r="691" ht="15" customHeight="1">
      <c r="A691" t="inlineStr">
        <is>
          <t>A 25606-2024</t>
        </is>
      </c>
      <c r="B691" s="1" t="n">
        <v>45463.63179398148</v>
      </c>
      <c r="C691" s="1" t="n">
        <v>46128</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24904-2025</t>
        </is>
      </c>
      <c r="B692" s="1" t="n">
        <v>45799</v>
      </c>
      <c r="C692" s="1" t="n">
        <v>46128</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50676-2025</t>
        </is>
      </c>
      <c r="B693" s="1" t="n">
        <v>45945</v>
      </c>
      <c r="C693" s="1" t="n">
        <v>46128</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50677-2025</t>
        </is>
      </c>
      <c r="B694" s="1" t="n">
        <v>45945</v>
      </c>
      <c r="C694" s="1" t="n">
        <v>46128</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25213-2023</t>
        </is>
      </c>
      <c r="B695" s="1" t="n">
        <v>45086.60010416667</v>
      </c>
      <c r="C695" s="1" t="n">
        <v>46128</v>
      </c>
      <c r="D695" t="inlineStr">
        <is>
          <t>SKÅNE LÄN</t>
        </is>
      </c>
      <c r="E695" t="inlineStr">
        <is>
          <t>HÄSSLEHOLM</t>
        </is>
      </c>
      <c r="G695" t="n">
        <v>7.2</v>
      </c>
      <c r="H695" t="n">
        <v>0</v>
      </c>
      <c r="I695" t="n">
        <v>0</v>
      </c>
      <c r="J695" t="n">
        <v>0</v>
      </c>
      <c r="K695" t="n">
        <v>0</v>
      </c>
      <c r="L695" t="n">
        <v>0</v>
      </c>
      <c r="M695" t="n">
        <v>0</v>
      </c>
      <c r="N695" t="n">
        <v>0</v>
      </c>
      <c r="O695" t="n">
        <v>0</v>
      </c>
      <c r="P695" t="n">
        <v>0</v>
      </c>
      <c r="Q695" t="n">
        <v>0</v>
      </c>
      <c r="R695" s="2" t="inlineStr"/>
    </row>
    <row r="696" ht="15" customHeight="1">
      <c r="A696" t="inlineStr">
        <is>
          <t>A 50834-2025</t>
        </is>
      </c>
      <c r="B696" s="1" t="n">
        <v>45946.55746527778</v>
      </c>
      <c r="C696" s="1" t="n">
        <v>46128</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1538-2024</t>
        </is>
      </c>
      <c r="B697" s="1" t="n">
        <v>45306</v>
      </c>
      <c r="C697" s="1" t="n">
        <v>46128</v>
      </c>
      <c r="D697" t="inlineStr">
        <is>
          <t>SKÅNE LÄN</t>
        </is>
      </c>
      <c r="E697" t="inlineStr">
        <is>
          <t>HÄSSLEHOLM</t>
        </is>
      </c>
      <c r="G697" t="n">
        <v>4.8</v>
      </c>
      <c r="H697" t="n">
        <v>0</v>
      </c>
      <c r="I697" t="n">
        <v>0</v>
      </c>
      <c r="J697" t="n">
        <v>0</v>
      </c>
      <c r="K697" t="n">
        <v>0</v>
      </c>
      <c r="L697" t="n">
        <v>0</v>
      </c>
      <c r="M697" t="n">
        <v>0</v>
      </c>
      <c r="N697" t="n">
        <v>0</v>
      </c>
      <c r="O697" t="n">
        <v>0</v>
      </c>
      <c r="P697" t="n">
        <v>0</v>
      </c>
      <c r="Q697" t="n">
        <v>0</v>
      </c>
      <c r="R697" s="2" t="inlineStr"/>
    </row>
    <row r="698" ht="15" customHeight="1">
      <c r="A698" t="inlineStr">
        <is>
          <t>A 51287-2022</t>
        </is>
      </c>
      <c r="B698" s="1" t="n">
        <v>44868.83146990741</v>
      </c>
      <c r="C698" s="1" t="n">
        <v>46128</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25533-2024</t>
        </is>
      </c>
      <c r="B699" s="1" t="n">
        <v>45463</v>
      </c>
      <c r="C699" s="1" t="n">
        <v>46128</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50839-2025</t>
        </is>
      </c>
      <c r="B700" s="1" t="n">
        <v>45946</v>
      </c>
      <c r="C700" s="1" t="n">
        <v>46128</v>
      </c>
      <c r="D700" t="inlineStr">
        <is>
          <t>SKÅNE LÄN</t>
        </is>
      </c>
      <c r="E700" t="inlineStr">
        <is>
          <t>HÄSSLEHOLM</t>
        </is>
      </c>
      <c r="G700" t="n">
        <v>0.9</v>
      </c>
      <c r="H700" t="n">
        <v>0</v>
      </c>
      <c r="I700" t="n">
        <v>0</v>
      </c>
      <c r="J700" t="n">
        <v>0</v>
      </c>
      <c r="K700" t="n">
        <v>0</v>
      </c>
      <c r="L700" t="n">
        <v>0</v>
      </c>
      <c r="M700" t="n">
        <v>0</v>
      </c>
      <c r="N700" t="n">
        <v>0</v>
      </c>
      <c r="O700" t="n">
        <v>0</v>
      </c>
      <c r="P700" t="n">
        <v>0</v>
      </c>
      <c r="Q700" t="n">
        <v>0</v>
      </c>
      <c r="R700" s="2" t="inlineStr"/>
    </row>
    <row r="701" ht="15" customHeight="1">
      <c r="A701" t="inlineStr">
        <is>
          <t>A 50678-2025</t>
        </is>
      </c>
      <c r="B701" s="1" t="n">
        <v>45945</v>
      </c>
      <c r="C701" s="1" t="n">
        <v>46128</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31934-2024</t>
        </is>
      </c>
      <c r="B702" s="1" t="n">
        <v>45510.41177083334</v>
      </c>
      <c r="C702" s="1" t="n">
        <v>46128</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29847-2024</t>
        </is>
      </c>
      <c r="B703" s="1" t="n">
        <v>45485.6278587963</v>
      </c>
      <c r="C703" s="1" t="n">
        <v>46128</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1886-2025</t>
        </is>
      </c>
      <c r="B704" s="1" t="n">
        <v>45671</v>
      </c>
      <c r="C704" s="1" t="n">
        <v>46128</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15536-2025</t>
        </is>
      </c>
      <c r="B705" s="1" t="n">
        <v>45747</v>
      </c>
      <c r="C705" s="1" t="n">
        <v>46128</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50829-2025</t>
        </is>
      </c>
      <c r="B706" s="1" t="n">
        <v>45946.55309027778</v>
      </c>
      <c r="C706" s="1" t="n">
        <v>46128</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7653-2024</t>
        </is>
      </c>
      <c r="B707" s="1" t="n">
        <v>45348.69043981482</v>
      </c>
      <c r="C707" s="1" t="n">
        <v>46128</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49824-2024</t>
        </is>
      </c>
      <c r="B708" s="1" t="n">
        <v>45597</v>
      </c>
      <c r="C708" s="1" t="n">
        <v>46128</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12570-2023</t>
        </is>
      </c>
      <c r="B709" s="1" t="n">
        <v>44999</v>
      </c>
      <c r="C709" s="1" t="n">
        <v>46128</v>
      </c>
      <c r="D709" t="inlineStr">
        <is>
          <t>SKÅNE LÄN</t>
        </is>
      </c>
      <c r="E709" t="inlineStr">
        <is>
          <t>HÄSSLEHOLM</t>
        </is>
      </c>
      <c r="G709" t="n">
        <v>3.4</v>
      </c>
      <c r="H709" t="n">
        <v>0</v>
      </c>
      <c r="I709" t="n">
        <v>0</v>
      </c>
      <c r="J709" t="n">
        <v>0</v>
      </c>
      <c r="K709" t="n">
        <v>0</v>
      </c>
      <c r="L709" t="n">
        <v>0</v>
      </c>
      <c r="M709" t="n">
        <v>0</v>
      </c>
      <c r="N709" t="n">
        <v>0</v>
      </c>
      <c r="O709" t="n">
        <v>0</v>
      </c>
      <c r="P709" t="n">
        <v>0</v>
      </c>
      <c r="Q709" t="n">
        <v>0</v>
      </c>
      <c r="R709" s="2" t="inlineStr"/>
    </row>
    <row r="710" ht="15" customHeight="1">
      <c r="A710" t="inlineStr">
        <is>
          <t>A 14926-2024</t>
        </is>
      </c>
      <c r="B710" s="1" t="n">
        <v>45398</v>
      </c>
      <c r="C710" s="1" t="n">
        <v>46128</v>
      </c>
      <c r="D710" t="inlineStr">
        <is>
          <t>SKÅNE LÄN</t>
        </is>
      </c>
      <c r="E710" t="inlineStr">
        <is>
          <t>HÄSSLEHOLM</t>
        </is>
      </c>
      <c r="G710" t="n">
        <v>3.4</v>
      </c>
      <c r="H710" t="n">
        <v>0</v>
      </c>
      <c r="I710" t="n">
        <v>0</v>
      </c>
      <c r="J710" t="n">
        <v>0</v>
      </c>
      <c r="K710" t="n">
        <v>0</v>
      </c>
      <c r="L710" t="n">
        <v>0</v>
      </c>
      <c r="M710" t="n">
        <v>0</v>
      </c>
      <c r="N710" t="n">
        <v>0</v>
      </c>
      <c r="O710" t="n">
        <v>0</v>
      </c>
      <c r="P710" t="n">
        <v>0</v>
      </c>
      <c r="Q710" t="n">
        <v>0</v>
      </c>
      <c r="R710" s="2" t="inlineStr"/>
    </row>
    <row r="711" ht="15" customHeight="1">
      <c r="A711" t="inlineStr">
        <is>
          <t>A 2688-2024</t>
        </is>
      </c>
      <c r="B711" s="1" t="n">
        <v>45314</v>
      </c>
      <c r="C711" s="1" t="n">
        <v>46128</v>
      </c>
      <c r="D711" t="inlineStr">
        <is>
          <t>SKÅNE LÄN</t>
        </is>
      </c>
      <c r="E711" t="inlineStr">
        <is>
          <t>HÄSSLEHOLM</t>
        </is>
      </c>
      <c r="F711" t="inlineStr">
        <is>
          <t>Övriga Aktiebolag</t>
        </is>
      </c>
      <c r="G711" t="n">
        <v>2.8</v>
      </c>
      <c r="H711" t="n">
        <v>0</v>
      </c>
      <c r="I711" t="n">
        <v>0</v>
      </c>
      <c r="J711" t="n">
        <v>0</v>
      </c>
      <c r="K711" t="n">
        <v>0</v>
      </c>
      <c r="L711" t="n">
        <v>0</v>
      </c>
      <c r="M711" t="n">
        <v>0</v>
      </c>
      <c r="N711" t="n">
        <v>0</v>
      </c>
      <c r="O711" t="n">
        <v>0</v>
      </c>
      <c r="P711" t="n">
        <v>0</v>
      </c>
      <c r="Q711" t="n">
        <v>0</v>
      </c>
      <c r="R711" s="2" t="inlineStr"/>
    </row>
    <row r="712" ht="15" customHeight="1">
      <c r="A712" t="inlineStr">
        <is>
          <t>A 36733-2023</t>
        </is>
      </c>
      <c r="B712" s="1" t="n">
        <v>45153.69989583334</v>
      </c>
      <c r="C712" s="1" t="n">
        <v>46128</v>
      </c>
      <c r="D712" t="inlineStr">
        <is>
          <t>SKÅNE LÄN</t>
        </is>
      </c>
      <c r="E712" t="inlineStr">
        <is>
          <t>HÄSSLEHOLM</t>
        </is>
      </c>
      <c r="G712" t="n">
        <v>4.8</v>
      </c>
      <c r="H712" t="n">
        <v>0</v>
      </c>
      <c r="I712" t="n">
        <v>0</v>
      </c>
      <c r="J712" t="n">
        <v>0</v>
      </c>
      <c r="K712" t="n">
        <v>0</v>
      </c>
      <c r="L712" t="n">
        <v>0</v>
      </c>
      <c r="M712" t="n">
        <v>0</v>
      </c>
      <c r="N712" t="n">
        <v>0</v>
      </c>
      <c r="O712" t="n">
        <v>0</v>
      </c>
      <c r="P712" t="n">
        <v>0</v>
      </c>
      <c r="Q712" t="n">
        <v>0</v>
      </c>
      <c r="R712" s="2" t="inlineStr"/>
    </row>
    <row r="713" ht="15" customHeight="1">
      <c r="A713" t="inlineStr">
        <is>
          <t>A 31159-2025</t>
        </is>
      </c>
      <c r="B713" s="1" t="n">
        <v>45832.65322916667</v>
      </c>
      <c r="C713" s="1" t="n">
        <v>46128</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24865-2024</t>
        </is>
      </c>
      <c r="B714" s="1" t="n">
        <v>45461.48974537037</v>
      </c>
      <c r="C714" s="1" t="n">
        <v>46128</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51024-2025</t>
        </is>
      </c>
      <c r="B715" s="1" t="n">
        <v>45947.395</v>
      </c>
      <c r="C715" s="1" t="n">
        <v>46128</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8244-2023</t>
        </is>
      </c>
      <c r="B716" s="1" t="n">
        <v>44974</v>
      </c>
      <c r="C716" s="1" t="n">
        <v>46128</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8246-2023</t>
        </is>
      </c>
      <c r="B717" s="1" t="n">
        <v>44974</v>
      </c>
      <c r="C717" s="1" t="n">
        <v>46128</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34834-2023</t>
        </is>
      </c>
      <c r="B718" s="1" t="n">
        <v>45141.7199537037</v>
      </c>
      <c r="C718" s="1" t="n">
        <v>46128</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24679-2023</t>
        </is>
      </c>
      <c r="B719" s="1" t="n">
        <v>45084</v>
      </c>
      <c r="C719" s="1" t="n">
        <v>46128</v>
      </c>
      <c r="D719" t="inlineStr">
        <is>
          <t>SKÅNE LÄN</t>
        </is>
      </c>
      <c r="E719" t="inlineStr">
        <is>
          <t>HÄSSLEHOLM</t>
        </is>
      </c>
      <c r="G719" t="n">
        <v>7.1</v>
      </c>
      <c r="H719" t="n">
        <v>0</v>
      </c>
      <c r="I719" t="n">
        <v>0</v>
      </c>
      <c r="J719" t="n">
        <v>0</v>
      </c>
      <c r="K719" t="n">
        <v>0</v>
      </c>
      <c r="L719" t="n">
        <v>0</v>
      </c>
      <c r="M719" t="n">
        <v>0</v>
      </c>
      <c r="N719" t="n">
        <v>0</v>
      </c>
      <c r="O719" t="n">
        <v>0</v>
      </c>
      <c r="P719" t="n">
        <v>0</v>
      </c>
      <c r="Q719" t="n">
        <v>0</v>
      </c>
      <c r="R719" s="2" t="inlineStr"/>
    </row>
    <row r="720" ht="15" customHeight="1">
      <c r="A720" t="inlineStr">
        <is>
          <t>A 51097-2025</t>
        </is>
      </c>
      <c r="B720" s="1" t="n">
        <v>45947.48018518519</v>
      </c>
      <c r="C720" s="1" t="n">
        <v>46128</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51795-2025</t>
        </is>
      </c>
      <c r="B721" s="1" t="n">
        <v>45951</v>
      </c>
      <c r="C721" s="1" t="n">
        <v>46128</v>
      </c>
      <c r="D721" t="inlineStr">
        <is>
          <t>SKÅNE LÄN</t>
        </is>
      </c>
      <c r="E721" t="inlineStr">
        <is>
          <t>HÄSSLEHOLM</t>
        </is>
      </c>
      <c r="G721" t="n">
        <v>2.4</v>
      </c>
      <c r="H721" t="n">
        <v>0</v>
      </c>
      <c r="I721" t="n">
        <v>0</v>
      </c>
      <c r="J721" t="n">
        <v>0</v>
      </c>
      <c r="K721" t="n">
        <v>0</v>
      </c>
      <c r="L721" t="n">
        <v>0</v>
      </c>
      <c r="M721" t="n">
        <v>0</v>
      </c>
      <c r="N721" t="n">
        <v>0</v>
      </c>
      <c r="O721" t="n">
        <v>0</v>
      </c>
      <c r="P721" t="n">
        <v>0</v>
      </c>
      <c r="Q721" t="n">
        <v>0</v>
      </c>
      <c r="R721" s="2" t="inlineStr"/>
    </row>
    <row r="722" ht="15" customHeight="1">
      <c r="A722" t="inlineStr">
        <is>
          <t>A 51796-2025</t>
        </is>
      </c>
      <c r="B722" s="1" t="n">
        <v>45951.74546296296</v>
      </c>
      <c r="C722" s="1" t="n">
        <v>46128</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15508-2023</t>
        </is>
      </c>
      <c r="B723" s="1" t="n">
        <v>45020.50045138889</v>
      </c>
      <c r="C723" s="1" t="n">
        <v>46128</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33927-2021</t>
        </is>
      </c>
      <c r="B724" s="1" t="n">
        <v>44378</v>
      </c>
      <c r="C724" s="1" t="n">
        <v>46128</v>
      </c>
      <c r="D724" t="inlineStr">
        <is>
          <t>SKÅNE LÄN</t>
        </is>
      </c>
      <c r="E724" t="inlineStr">
        <is>
          <t>HÄSSLEHOLM</t>
        </is>
      </c>
      <c r="G724" t="n">
        <v>16.7</v>
      </c>
      <c r="H724" t="n">
        <v>0</v>
      </c>
      <c r="I724" t="n">
        <v>0</v>
      </c>
      <c r="J724" t="n">
        <v>0</v>
      </c>
      <c r="K724" t="n">
        <v>0</v>
      </c>
      <c r="L724" t="n">
        <v>0</v>
      </c>
      <c r="M724" t="n">
        <v>0</v>
      </c>
      <c r="N724" t="n">
        <v>0</v>
      </c>
      <c r="O724" t="n">
        <v>0</v>
      </c>
      <c r="P724" t="n">
        <v>0</v>
      </c>
      <c r="Q724" t="n">
        <v>0</v>
      </c>
      <c r="R724" s="2" t="inlineStr"/>
    </row>
    <row r="725" ht="15" customHeight="1">
      <c r="A725" t="inlineStr">
        <is>
          <t>A 34187-2023</t>
        </is>
      </c>
      <c r="B725" s="1" t="n">
        <v>45138</v>
      </c>
      <c r="C725" s="1" t="n">
        <v>46128</v>
      </c>
      <c r="D725" t="inlineStr">
        <is>
          <t>SKÅNE LÄN</t>
        </is>
      </c>
      <c r="E725" t="inlineStr">
        <is>
          <t>HÄSSLEHOLM</t>
        </is>
      </c>
      <c r="G725" t="n">
        <v>0.4</v>
      </c>
      <c r="H725" t="n">
        <v>0</v>
      </c>
      <c r="I725" t="n">
        <v>0</v>
      </c>
      <c r="J725" t="n">
        <v>0</v>
      </c>
      <c r="K725" t="n">
        <v>0</v>
      </c>
      <c r="L725" t="n">
        <v>0</v>
      </c>
      <c r="M725" t="n">
        <v>0</v>
      </c>
      <c r="N725" t="n">
        <v>0</v>
      </c>
      <c r="O725" t="n">
        <v>0</v>
      </c>
      <c r="P725" t="n">
        <v>0</v>
      </c>
      <c r="Q725" t="n">
        <v>0</v>
      </c>
      <c r="R725" s="2" t="inlineStr"/>
    </row>
    <row r="726" ht="15" customHeight="1">
      <c r="A726" t="inlineStr">
        <is>
          <t>A 11019-2025</t>
        </is>
      </c>
      <c r="B726" s="1" t="n">
        <v>45723</v>
      </c>
      <c r="C726" s="1" t="n">
        <v>46128</v>
      </c>
      <c r="D726" t="inlineStr">
        <is>
          <t>SKÅNE LÄN</t>
        </is>
      </c>
      <c r="E726" t="inlineStr">
        <is>
          <t>HÄSSLEHOLM</t>
        </is>
      </c>
      <c r="G726" t="n">
        <v>3.2</v>
      </c>
      <c r="H726" t="n">
        <v>0</v>
      </c>
      <c r="I726" t="n">
        <v>0</v>
      </c>
      <c r="J726" t="n">
        <v>0</v>
      </c>
      <c r="K726" t="n">
        <v>0</v>
      </c>
      <c r="L726" t="n">
        <v>0</v>
      </c>
      <c r="M726" t="n">
        <v>0</v>
      </c>
      <c r="N726" t="n">
        <v>0</v>
      </c>
      <c r="O726" t="n">
        <v>0</v>
      </c>
      <c r="P726" t="n">
        <v>0</v>
      </c>
      <c r="Q726" t="n">
        <v>0</v>
      </c>
      <c r="R726" s="2" t="inlineStr"/>
    </row>
    <row r="727" ht="15" customHeight="1">
      <c r="A727" t="inlineStr">
        <is>
          <t>A 51640-2025</t>
        </is>
      </c>
      <c r="B727" s="1" t="n">
        <v>45951.44361111111</v>
      </c>
      <c r="C727" s="1" t="n">
        <v>46128</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56062-2024</t>
        </is>
      </c>
      <c r="B728" s="1" t="n">
        <v>45624.37105324074</v>
      </c>
      <c r="C728" s="1" t="n">
        <v>46128</v>
      </c>
      <c r="D728" t="inlineStr">
        <is>
          <t>SKÅNE LÄN</t>
        </is>
      </c>
      <c r="E728" t="inlineStr">
        <is>
          <t>HÄSSLEHOLM</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51597-2025</t>
        </is>
      </c>
      <c r="B729" s="1" t="n">
        <v>45951.37163194444</v>
      </c>
      <c r="C729" s="1" t="n">
        <v>46128</v>
      </c>
      <c r="D729" t="inlineStr">
        <is>
          <t>SKÅNE LÄN</t>
        </is>
      </c>
      <c r="E729" t="inlineStr">
        <is>
          <t>HÄSSLEHOLM</t>
        </is>
      </c>
      <c r="G729" t="n">
        <v>3.5</v>
      </c>
      <c r="H729" t="n">
        <v>0</v>
      </c>
      <c r="I729" t="n">
        <v>0</v>
      </c>
      <c r="J729" t="n">
        <v>0</v>
      </c>
      <c r="K729" t="n">
        <v>0</v>
      </c>
      <c r="L729" t="n">
        <v>0</v>
      </c>
      <c r="M729" t="n">
        <v>0</v>
      </c>
      <c r="N729" t="n">
        <v>0</v>
      </c>
      <c r="O729" t="n">
        <v>0</v>
      </c>
      <c r="P729" t="n">
        <v>0</v>
      </c>
      <c r="Q729" t="n">
        <v>0</v>
      </c>
      <c r="R729" s="2" t="inlineStr"/>
    </row>
    <row r="730" ht="15" customHeight="1">
      <c r="A730" t="inlineStr">
        <is>
          <t>A 45299-2024</t>
        </is>
      </c>
      <c r="B730" s="1" t="n">
        <v>45576.40599537037</v>
      </c>
      <c r="C730" s="1" t="n">
        <v>46128</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34369-2023</t>
        </is>
      </c>
      <c r="B731" s="1" t="n">
        <v>45139.47817129629</v>
      </c>
      <c r="C731" s="1" t="n">
        <v>46128</v>
      </c>
      <c r="D731" t="inlineStr">
        <is>
          <t>SKÅNE LÄN</t>
        </is>
      </c>
      <c r="E731" t="inlineStr">
        <is>
          <t>HÄSSLEHOLM</t>
        </is>
      </c>
      <c r="G731" t="n">
        <v>2</v>
      </c>
      <c r="H731" t="n">
        <v>0</v>
      </c>
      <c r="I731" t="n">
        <v>0</v>
      </c>
      <c r="J731" t="n">
        <v>0</v>
      </c>
      <c r="K731" t="n">
        <v>0</v>
      </c>
      <c r="L731" t="n">
        <v>0</v>
      </c>
      <c r="M731" t="n">
        <v>0</v>
      </c>
      <c r="N731" t="n">
        <v>0</v>
      </c>
      <c r="O731" t="n">
        <v>0</v>
      </c>
      <c r="P731" t="n">
        <v>0</v>
      </c>
      <c r="Q731" t="n">
        <v>0</v>
      </c>
      <c r="R731" s="2" t="inlineStr"/>
    </row>
    <row r="732" ht="15" customHeight="1">
      <c r="A732" t="inlineStr">
        <is>
          <t>A 25057-2024</t>
        </is>
      </c>
      <c r="B732" s="1" t="n">
        <v>45462</v>
      </c>
      <c r="C732" s="1" t="n">
        <v>46128</v>
      </c>
      <c r="D732" t="inlineStr">
        <is>
          <t>SKÅNE LÄN</t>
        </is>
      </c>
      <c r="E732" t="inlineStr">
        <is>
          <t>HÄSSLEHOLM</t>
        </is>
      </c>
      <c r="G732" t="n">
        <v>4.3</v>
      </c>
      <c r="H732" t="n">
        <v>0</v>
      </c>
      <c r="I732" t="n">
        <v>0</v>
      </c>
      <c r="J732" t="n">
        <v>0</v>
      </c>
      <c r="K732" t="n">
        <v>0</v>
      </c>
      <c r="L732" t="n">
        <v>0</v>
      </c>
      <c r="M732" t="n">
        <v>0</v>
      </c>
      <c r="N732" t="n">
        <v>0</v>
      </c>
      <c r="O732" t="n">
        <v>0</v>
      </c>
      <c r="P732" t="n">
        <v>0</v>
      </c>
      <c r="Q732" t="n">
        <v>0</v>
      </c>
      <c r="R732" s="2" t="inlineStr"/>
    </row>
    <row r="733" ht="15" customHeight="1">
      <c r="A733" t="inlineStr">
        <is>
          <t>A 52126-2025</t>
        </is>
      </c>
      <c r="B733" s="1" t="n">
        <v>45952.72109953704</v>
      </c>
      <c r="C733" s="1" t="n">
        <v>46128</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10028-2024</t>
        </is>
      </c>
      <c r="B734" s="1" t="n">
        <v>45363.97292824074</v>
      </c>
      <c r="C734" s="1" t="n">
        <v>46128</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8378-2023</t>
        </is>
      </c>
      <c r="B735" s="1" t="n">
        <v>44971</v>
      </c>
      <c r="C735" s="1" t="n">
        <v>46128</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60704-2023</t>
        </is>
      </c>
      <c r="B736" s="1" t="n">
        <v>45260.51340277777</v>
      </c>
      <c r="C736" s="1" t="n">
        <v>46128</v>
      </c>
      <c r="D736" t="inlineStr">
        <is>
          <t>SKÅNE LÄN</t>
        </is>
      </c>
      <c r="E736" t="inlineStr">
        <is>
          <t>HÄSSLEHOLM</t>
        </is>
      </c>
      <c r="G736" t="n">
        <v>2.1</v>
      </c>
      <c r="H736" t="n">
        <v>0</v>
      </c>
      <c r="I736" t="n">
        <v>0</v>
      </c>
      <c r="J736" t="n">
        <v>0</v>
      </c>
      <c r="K736" t="n">
        <v>0</v>
      </c>
      <c r="L736" t="n">
        <v>0</v>
      </c>
      <c r="M736" t="n">
        <v>0</v>
      </c>
      <c r="N736" t="n">
        <v>0</v>
      </c>
      <c r="O736" t="n">
        <v>0</v>
      </c>
      <c r="P736" t="n">
        <v>0</v>
      </c>
      <c r="Q736" t="n">
        <v>0</v>
      </c>
      <c r="R736" s="2" t="inlineStr"/>
    </row>
    <row r="737" ht="15" customHeight="1">
      <c r="A737" t="inlineStr">
        <is>
          <t>A 61569-2023</t>
        </is>
      </c>
      <c r="B737" s="1" t="n">
        <v>45265</v>
      </c>
      <c r="C737" s="1" t="n">
        <v>46128</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61158-2022</t>
        </is>
      </c>
      <c r="B738" s="1" t="n">
        <v>44915.47112268519</v>
      </c>
      <c r="C738" s="1" t="n">
        <v>46128</v>
      </c>
      <c r="D738" t="inlineStr">
        <is>
          <t>SKÅNE LÄN</t>
        </is>
      </c>
      <c r="E738" t="inlineStr">
        <is>
          <t>HÄSSLEHOLM</t>
        </is>
      </c>
      <c r="G738" t="n">
        <v>8.4</v>
      </c>
      <c r="H738" t="n">
        <v>0</v>
      </c>
      <c r="I738" t="n">
        <v>0</v>
      </c>
      <c r="J738" t="n">
        <v>0</v>
      </c>
      <c r="K738" t="n">
        <v>0</v>
      </c>
      <c r="L738" t="n">
        <v>0</v>
      </c>
      <c r="M738" t="n">
        <v>0</v>
      </c>
      <c r="N738" t="n">
        <v>0</v>
      </c>
      <c r="O738" t="n">
        <v>0</v>
      </c>
      <c r="P738" t="n">
        <v>0</v>
      </c>
      <c r="Q738" t="n">
        <v>0</v>
      </c>
      <c r="R738" s="2" t="inlineStr"/>
    </row>
    <row r="739" ht="15" customHeight="1">
      <c r="A739" t="inlineStr">
        <is>
          <t>A 12468-2024</t>
        </is>
      </c>
      <c r="B739" s="1" t="n">
        <v>45379</v>
      </c>
      <c r="C739" s="1" t="n">
        <v>46128</v>
      </c>
      <c r="D739" t="inlineStr">
        <is>
          <t>SKÅNE LÄN</t>
        </is>
      </c>
      <c r="E739" t="inlineStr">
        <is>
          <t>HÄSSLEHOLM</t>
        </is>
      </c>
      <c r="G739" t="n">
        <v>15.5</v>
      </c>
      <c r="H739" t="n">
        <v>0</v>
      </c>
      <c r="I739" t="n">
        <v>0</v>
      </c>
      <c r="J739" t="n">
        <v>0</v>
      </c>
      <c r="K739" t="n">
        <v>0</v>
      </c>
      <c r="L739" t="n">
        <v>0</v>
      </c>
      <c r="M739" t="n">
        <v>0</v>
      </c>
      <c r="N739" t="n">
        <v>0</v>
      </c>
      <c r="O739" t="n">
        <v>0</v>
      </c>
      <c r="P739" t="n">
        <v>0</v>
      </c>
      <c r="Q739" t="n">
        <v>0</v>
      </c>
      <c r="R739" s="2" t="inlineStr"/>
    </row>
    <row r="740" ht="15" customHeight="1">
      <c r="A740" t="inlineStr">
        <is>
          <t>A 53018-2025</t>
        </is>
      </c>
      <c r="B740" s="1" t="n">
        <v>45957.90064814815</v>
      </c>
      <c r="C740" s="1" t="n">
        <v>46128</v>
      </c>
      <c r="D740" t="inlineStr">
        <is>
          <t>SKÅNE LÄN</t>
        </is>
      </c>
      <c r="E740" t="inlineStr">
        <is>
          <t>HÄSSLEHOLM</t>
        </is>
      </c>
      <c r="G740" t="n">
        <v>2.2</v>
      </c>
      <c r="H740" t="n">
        <v>0</v>
      </c>
      <c r="I740" t="n">
        <v>0</v>
      </c>
      <c r="J740" t="n">
        <v>0</v>
      </c>
      <c r="K740" t="n">
        <v>0</v>
      </c>
      <c r="L740" t="n">
        <v>0</v>
      </c>
      <c r="M740" t="n">
        <v>0</v>
      </c>
      <c r="N740" t="n">
        <v>0</v>
      </c>
      <c r="O740" t="n">
        <v>0</v>
      </c>
      <c r="P740" t="n">
        <v>0</v>
      </c>
      <c r="Q740" t="n">
        <v>0</v>
      </c>
      <c r="R740" s="2" t="inlineStr"/>
    </row>
    <row r="741" ht="15" customHeight="1">
      <c r="A741" t="inlineStr">
        <is>
          <t>A 315-2022</t>
        </is>
      </c>
      <c r="B741" s="1" t="n">
        <v>44565.55630787037</v>
      </c>
      <c r="C741" s="1" t="n">
        <v>46128</v>
      </c>
      <c r="D741" t="inlineStr">
        <is>
          <t>SKÅNE LÄN</t>
        </is>
      </c>
      <c r="E741" t="inlineStr">
        <is>
          <t>HÄSSLEHOLM</t>
        </is>
      </c>
      <c r="G741" t="n">
        <v>0.4</v>
      </c>
      <c r="H741" t="n">
        <v>0</v>
      </c>
      <c r="I741" t="n">
        <v>0</v>
      </c>
      <c r="J741" t="n">
        <v>0</v>
      </c>
      <c r="K741" t="n">
        <v>0</v>
      </c>
      <c r="L741" t="n">
        <v>0</v>
      </c>
      <c r="M741" t="n">
        <v>0</v>
      </c>
      <c r="N741" t="n">
        <v>0</v>
      </c>
      <c r="O741" t="n">
        <v>0</v>
      </c>
      <c r="P741" t="n">
        <v>0</v>
      </c>
      <c r="Q741" t="n">
        <v>0</v>
      </c>
      <c r="R741" s="2" t="inlineStr"/>
    </row>
    <row r="742" ht="15" customHeight="1">
      <c r="A742" t="inlineStr">
        <is>
          <t>A 4009-2024</t>
        </is>
      </c>
      <c r="B742" s="1" t="n">
        <v>45323</v>
      </c>
      <c r="C742" s="1" t="n">
        <v>46128</v>
      </c>
      <c r="D742" t="inlineStr">
        <is>
          <t>SKÅNE LÄN</t>
        </is>
      </c>
      <c r="E742" t="inlineStr">
        <is>
          <t>HÄSSLEHOLM</t>
        </is>
      </c>
      <c r="G742" t="n">
        <v>2.4</v>
      </c>
      <c r="H742" t="n">
        <v>0</v>
      </c>
      <c r="I742" t="n">
        <v>0</v>
      </c>
      <c r="J742" t="n">
        <v>0</v>
      </c>
      <c r="K742" t="n">
        <v>0</v>
      </c>
      <c r="L742" t="n">
        <v>0</v>
      </c>
      <c r="M742" t="n">
        <v>0</v>
      </c>
      <c r="N742" t="n">
        <v>0</v>
      </c>
      <c r="O742" t="n">
        <v>0</v>
      </c>
      <c r="P742" t="n">
        <v>0</v>
      </c>
      <c r="Q742" t="n">
        <v>0</v>
      </c>
      <c r="R742" s="2" t="inlineStr"/>
    </row>
    <row r="743" ht="15" customHeight="1">
      <c r="A743" t="inlineStr">
        <is>
          <t>A 53056-2025</t>
        </is>
      </c>
      <c r="B743" s="1" t="n">
        <v>45958.36518518518</v>
      </c>
      <c r="C743" s="1" t="n">
        <v>46128</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31161-2024</t>
        </is>
      </c>
      <c r="B744" s="1" t="n">
        <v>45503</v>
      </c>
      <c r="C744" s="1" t="n">
        <v>46128</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33067-2024</t>
        </is>
      </c>
      <c r="B745" s="1" t="n">
        <v>45517.6520949074</v>
      </c>
      <c r="C745" s="1" t="n">
        <v>46128</v>
      </c>
      <c r="D745" t="inlineStr">
        <is>
          <t>SKÅNE LÄN</t>
        </is>
      </c>
      <c r="E745" t="inlineStr">
        <is>
          <t>HÄSSLEHOLM</t>
        </is>
      </c>
      <c r="G745" t="n">
        <v>0.4</v>
      </c>
      <c r="H745" t="n">
        <v>0</v>
      </c>
      <c r="I745" t="n">
        <v>0</v>
      </c>
      <c r="J745" t="n">
        <v>0</v>
      </c>
      <c r="K745" t="n">
        <v>0</v>
      </c>
      <c r="L745" t="n">
        <v>0</v>
      </c>
      <c r="M745" t="n">
        <v>0</v>
      </c>
      <c r="N745" t="n">
        <v>0</v>
      </c>
      <c r="O745" t="n">
        <v>0</v>
      </c>
      <c r="P745" t="n">
        <v>0</v>
      </c>
      <c r="Q745" t="n">
        <v>0</v>
      </c>
      <c r="R745" s="2" t="inlineStr"/>
    </row>
    <row r="746" ht="15" customHeight="1">
      <c r="A746" t="inlineStr">
        <is>
          <t>A 60848-2022</t>
        </is>
      </c>
      <c r="B746" s="1" t="n">
        <v>44914</v>
      </c>
      <c r="C746" s="1" t="n">
        <v>46128</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32585-2025</t>
        </is>
      </c>
      <c r="B747" s="1" t="n">
        <v>45838.60021990741</v>
      </c>
      <c r="C747" s="1" t="n">
        <v>46128</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53020-2025</t>
        </is>
      </c>
      <c r="B748" s="1" t="n">
        <v>45957.90707175926</v>
      </c>
      <c r="C748" s="1" t="n">
        <v>46128</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38888-2023</t>
        </is>
      </c>
      <c r="B749" s="1" t="n">
        <v>45161</v>
      </c>
      <c r="C749" s="1" t="n">
        <v>46128</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32592-2025</t>
        </is>
      </c>
      <c r="B750" s="1" t="n">
        <v>45838.61020833333</v>
      </c>
      <c r="C750" s="1" t="n">
        <v>46128</v>
      </c>
      <c r="D750" t="inlineStr">
        <is>
          <t>SKÅNE LÄN</t>
        </is>
      </c>
      <c r="E750" t="inlineStr">
        <is>
          <t>HÄSSLEHOLM</t>
        </is>
      </c>
      <c r="G750" t="n">
        <v>2.1</v>
      </c>
      <c r="H750" t="n">
        <v>0</v>
      </c>
      <c r="I750" t="n">
        <v>0</v>
      </c>
      <c r="J750" t="n">
        <v>0</v>
      </c>
      <c r="K750" t="n">
        <v>0</v>
      </c>
      <c r="L750" t="n">
        <v>0</v>
      </c>
      <c r="M750" t="n">
        <v>0</v>
      </c>
      <c r="N750" t="n">
        <v>0</v>
      </c>
      <c r="O750" t="n">
        <v>0</v>
      </c>
      <c r="P750" t="n">
        <v>0</v>
      </c>
      <c r="Q750" t="n">
        <v>0</v>
      </c>
      <c r="R750" s="2" t="inlineStr"/>
    </row>
    <row r="751" ht="15" customHeight="1">
      <c r="A751" t="inlineStr">
        <is>
          <t>A 5992-2022</t>
        </is>
      </c>
      <c r="B751" s="1" t="n">
        <v>44599</v>
      </c>
      <c r="C751" s="1" t="n">
        <v>46128</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11240-2023</t>
        </is>
      </c>
      <c r="B752" s="1" t="n">
        <v>44992</v>
      </c>
      <c r="C752" s="1" t="n">
        <v>46128</v>
      </c>
      <c r="D752" t="inlineStr">
        <is>
          <t>SKÅNE LÄN</t>
        </is>
      </c>
      <c r="E752" t="inlineStr">
        <is>
          <t>HÄSSLEHOLM</t>
        </is>
      </c>
      <c r="G752" t="n">
        <v>2.1</v>
      </c>
      <c r="H752" t="n">
        <v>0</v>
      </c>
      <c r="I752" t="n">
        <v>0</v>
      </c>
      <c r="J752" t="n">
        <v>0</v>
      </c>
      <c r="K752" t="n">
        <v>0</v>
      </c>
      <c r="L752" t="n">
        <v>0</v>
      </c>
      <c r="M752" t="n">
        <v>0</v>
      </c>
      <c r="N752" t="n">
        <v>0</v>
      </c>
      <c r="O752" t="n">
        <v>0</v>
      </c>
      <c r="P752" t="n">
        <v>0</v>
      </c>
      <c r="Q752" t="n">
        <v>0</v>
      </c>
      <c r="R752" s="2" t="inlineStr"/>
    </row>
    <row r="753" ht="15" customHeight="1">
      <c r="A753" t="inlineStr">
        <is>
          <t>A 3248-2022</t>
        </is>
      </c>
      <c r="B753" s="1" t="n">
        <v>44583</v>
      </c>
      <c r="C753" s="1" t="n">
        <v>46128</v>
      </c>
      <c r="D753" t="inlineStr">
        <is>
          <t>SKÅNE LÄN</t>
        </is>
      </c>
      <c r="E753" t="inlineStr">
        <is>
          <t>HÄSSLEHOLM</t>
        </is>
      </c>
      <c r="G753" t="n">
        <v>3</v>
      </c>
      <c r="H753" t="n">
        <v>0</v>
      </c>
      <c r="I753" t="n">
        <v>0</v>
      </c>
      <c r="J753" t="n">
        <v>0</v>
      </c>
      <c r="K753" t="n">
        <v>0</v>
      </c>
      <c r="L753" t="n">
        <v>0</v>
      </c>
      <c r="M753" t="n">
        <v>0</v>
      </c>
      <c r="N753" t="n">
        <v>0</v>
      </c>
      <c r="O753" t="n">
        <v>0</v>
      </c>
      <c r="P753" t="n">
        <v>0</v>
      </c>
      <c r="Q753" t="n">
        <v>0</v>
      </c>
      <c r="R753" s="2" t="inlineStr"/>
    </row>
    <row r="754" ht="15" customHeight="1">
      <c r="A754" t="inlineStr">
        <is>
          <t>A 6310-2025</t>
        </is>
      </c>
      <c r="B754" s="1" t="n">
        <v>45698</v>
      </c>
      <c r="C754" s="1" t="n">
        <v>46128</v>
      </c>
      <c r="D754" t="inlineStr">
        <is>
          <t>SKÅNE LÄN</t>
        </is>
      </c>
      <c r="E754" t="inlineStr">
        <is>
          <t>HÄSSLEHOLM</t>
        </is>
      </c>
      <c r="G754" t="n">
        <v>2.7</v>
      </c>
      <c r="H754" t="n">
        <v>0</v>
      </c>
      <c r="I754" t="n">
        <v>0</v>
      </c>
      <c r="J754" t="n">
        <v>0</v>
      </c>
      <c r="K754" t="n">
        <v>0</v>
      </c>
      <c r="L754" t="n">
        <v>0</v>
      </c>
      <c r="M754" t="n">
        <v>0</v>
      </c>
      <c r="N754" t="n">
        <v>0</v>
      </c>
      <c r="O754" t="n">
        <v>0</v>
      </c>
      <c r="P754" t="n">
        <v>0</v>
      </c>
      <c r="Q754" t="n">
        <v>0</v>
      </c>
      <c r="R754" s="2" t="inlineStr"/>
    </row>
    <row r="755" ht="15" customHeight="1">
      <c r="A755" t="inlineStr">
        <is>
          <t>A 53424-2025</t>
        </is>
      </c>
      <c r="B755" s="1" t="n">
        <v>45959</v>
      </c>
      <c r="C755" s="1" t="n">
        <v>46128</v>
      </c>
      <c r="D755" t="inlineStr">
        <is>
          <t>SKÅNE LÄN</t>
        </is>
      </c>
      <c r="E755" t="inlineStr">
        <is>
          <t>HÄSSLEHOLM</t>
        </is>
      </c>
      <c r="G755" t="n">
        <v>3.4</v>
      </c>
      <c r="H755" t="n">
        <v>0</v>
      </c>
      <c r="I755" t="n">
        <v>0</v>
      </c>
      <c r="J755" t="n">
        <v>0</v>
      </c>
      <c r="K755" t="n">
        <v>0</v>
      </c>
      <c r="L755" t="n">
        <v>0</v>
      </c>
      <c r="M755" t="n">
        <v>0</v>
      </c>
      <c r="N755" t="n">
        <v>0</v>
      </c>
      <c r="O755" t="n">
        <v>0</v>
      </c>
      <c r="P755" t="n">
        <v>0</v>
      </c>
      <c r="Q755" t="n">
        <v>0</v>
      </c>
      <c r="R755" s="2" t="inlineStr"/>
    </row>
    <row r="756" ht="15" customHeight="1">
      <c r="A756" t="inlineStr">
        <is>
          <t>A 57649-2022</t>
        </is>
      </c>
      <c r="B756" s="1" t="n">
        <v>44897.42755787037</v>
      </c>
      <c r="C756" s="1" t="n">
        <v>46128</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57665-2022</t>
        </is>
      </c>
      <c r="B757" s="1" t="n">
        <v>44897.4494212963</v>
      </c>
      <c r="C757" s="1" t="n">
        <v>46128</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57676-2022</t>
        </is>
      </c>
      <c r="B758" s="1" t="n">
        <v>44897</v>
      </c>
      <c r="C758" s="1" t="n">
        <v>46128</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16474-2025</t>
        </is>
      </c>
      <c r="B759" s="1" t="n">
        <v>45751.56834490741</v>
      </c>
      <c r="C759" s="1" t="n">
        <v>46128</v>
      </c>
      <c r="D759" t="inlineStr">
        <is>
          <t>SKÅNE LÄN</t>
        </is>
      </c>
      <c r="E759" t="inlineStr">
        <is>
          <t>HÄSSLEHOLM</t>
        </is>
      </c>
      <c r="G759" t="n">
        <v>5.9</v>
      </c>
      <c r="H759" t="n">
        <v>0</v>
      </c>
      <c r="I759" t="n">
        <v>0</v>
      </c>
      <c r="J759" t="n">
        <v>0</v>
      </c>
      <c r="K759" t="n">
        <v>0</v>
      </c>
      <c r="L759" t="n">
        <v>0</v>
      </c>
      <c r="M759" t="n">
        <v>0</v>
      </c>
      <c r="N759" t="n">
        <v>0</v>
      </c>
      <c r="O759" t="n">
        <v>0</v>
      </c>
      <c r="P759" t="n">
        <v>0</v>
      </c>
      <c r="Q759" t="n">
        <v>0</v>
      </c>
      <c r="R759" s="2" t="inlineStr"/>
    </row>
    <row r="760" ht="15" customHeight="1">
      <c r="A760" t="inlineStr">
        <is>
          <t>A 8524-2024</t>
        </is>
      </c>
      <c r="B760" s="1" t="n">
        <v>45355.48570601852</v>
      </c>
      <c r="C760" s="1" t="n">
        <v>46128</v>
      </c>
      <c r="D760" t="inlineStr">
        <is>
          <t>SKÅNE LÄN</t>
        </is>
      </c>
      <c r="E760" t="inlineStr">
        <is>
          <t>HÄSSLEHOLM</t>
        </is>
      </c>
      <c r="G760" t="n">
        <v>4</v>
      </c>
      <c r="H760" t="n">
        <v>0</v>
      </c>
      <c r="I760" t="n">
        <v>0</v>
      </c>
      <c r="J760" t="n">
        <v>0</v>
      </c>
      <c r="K760" t="n">
        <v>0</v>
      </c>
      <c r="L760" t="n">
        <v>0</v>
      </c>
      <c r="M760" t="n">
        <v>0</v>
      </c>
      <c r="N760" t="n">
        <v>0</v>
      </c>
      <c r="O760" t="n">
        <v>0</v>
      </c>
      <c r="P760" t="n">
        <v>0</v>
      </c>
      <c r="Q760" t="n">
        <v>0</v>
      </c>
      <c r="R760" s="2" t="inlineStr"/>
    </row>
    <row r="761" ht="15" customHeight="1">
      <c r="A761" t="inlineStr">
        <is>
          <t>A 22157-2024</t>
        </is>
      </c>
      <c r="B761" s="1" t="n">
        <v>45445.85290509259</v>
      </c>
      <c r="C761" s="1" t="n">
        <v>46128</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29649-2025</t>
        </is>
      </c>
      <c r="B762" s="1" t="n">
        <v>45825.47446759259</v>
      </c>
      <c r="C762" s="1" t="n">
        <v>46128</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14145-2023</t>
        </is>
      </c>
      <c r="B763" s="1" t="n">
        <v>45009</v>
      </c>
      <c r="C763" s="1" t="n">
        <v>46128</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33948-2025</t>
        </is>
      </c>
      <c r="B764" s="1" t="n">
        <v>45842.65945601852</v>
      </c>
      <c r="C764" s="1" t="n">
        <v>46128</v>
      </c>
      <c r="D764" t="inlineStr">
        <is>
          <t>SKÅNE LÄN</t>
        </is>
      </c>
      <c r="E764" t="inlineStr">
        <is>
          <t>HÄSSLEHOLM</t>
        </is>
      </c>
      <c r="G764" t="n">
        <v>8.5</v>
      </c>
      <c r="H764" t="n">
        <v>0</v>
      </c>
      <c r="I764" t="n">
        <v>0</v>
      </c>
      <c r="J764" t="n">
        <v>0</v>
      </c>
      <c r="K764" t="n">
        <v>0</v>
      </c>
      <c r="L764" t="n">
        <v>0</v>
      </c>
      <c r="M764" t="n">
        <v>0</v>
      </c>
      <c r="N764" t="n">
        <v>0</v>
      </c>
      <c r="O764" t="n">
        <v>0</v>
      </c>
      <c r="P764" t="n">
        <v>0</v>
      </c>
      <c r="Q764" t="n">
        <v>0</v>
      </c>
      <c r="R764" s="2" t="inlineStr"/>
    </row>
    <row r="765" ht="15" customHeight="1">
      <c r="A765" t="inlineStr">
        <is>
          <t>A 33875-2025</t>
        </is>
      </c>
      <c r="B765" s="1" t="n">
        <v>45842.55300925926</v>
      </c>
      <c r="C765" s="1" t="n">
        <v>46128</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12344-2023</t>
        </is>
      </c>
      <c r="B766" s="1" t="n">
        <v>44999</v>
      </c>
      <c r="C766" s="1" t="n">
        <v>46128</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58272-2024</t>
        </is>
      </c>
      <c r="B767" s="1" t="n">
        <v>45632.57025462963</v>
      </c>
      <c r="C767" s="1" t="n">
        <v>46128</v>
      </c>
      <c r="D767" t="inlineStr">
        <is>
          <t>SKÅNE LÄN</t>
        </is>
      </c>
      <c r="E767" t="inlineStr">
        <is>
          <t>HÄSSLEHOLM</t>
        </is>
      </c>
      <c r="G767" t="n">
        <v>2.3</v>
      </c>
      <c r="H767" t="n">
        <v>0</v>
      </c>
      <c r="I767" t="n">
        <v>0</v>
      </c>
      <c r="J767" t="n">
        <v>0</v>
      </c>
      <c r="K767" t="n">
        <v>0</v>
      </c>
      <c r="L767" t="n">
        <v>0</v>
      </c>
      <c r="M767" t="n">
        <v>0</v>
      </c>
      <c r="N767" t="n">
        <v>0</v>
      </c>
      <c r="O767" t="n">
        <v>0</v>
      </c>
      <c r="P767" t="n">
        <v>0</v>
      </c>
      <c r="Q767" t="n">
        <v>0</v>
      </c>
      <c r="R767" s="2" t="inlineStr"/>
    </row>
    <row r="768" ht="15" customHeight="1">
      <c r="A768" t="inlineStr">
        <is>
          <t>A 54671-2022</t>
        </is>
      </c>
      <c r="B768" s="1" t="n">
        <v>44883</v>
      </c>
      <c r="C768" s="1" t="n">
        <v>46128</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33877-2025</t>
        </is>
      </c>
      <c r="B769" s="1" t="n">
        <v>45842.55564814815</v>
      </c>
      <c r="C769" s="1" t="n">
        <v>46128</v>
      </c>
      <c r="D769" t="inlineStr">
        <is>
          <t>SKÅNE LÄN</t>
        </is>
      </c>
      <c r="E769" t="inlineStr">
        <is>
          <t>HÄSSLEHOLM</t>
        </is>
      </c>
      <c r="G769" t="n">
        <v>3.9</v>
      </c>
      <c r="H769" t="n">
        <v>0</v>
      </c>
      <c r="I769" t="n">
        <v>0</v>
      </c>
      <c r="J769" t="n">
        <v>0</v>
      </c>
      <c r="K769" t="n">
        <v>0</v>
      </c>
      <c r="L769" t="n">
        <v>0</v>
      </c>
      <c r="M769" t="n">
        <v>0</v>
      </c>
      <c r="N769" t="n">
        <v>0</v>
      </c>
      <c r="O769" t="n">
        <v>0</v>
      </c>
      <c r="P769" t="n">
        <v>0</v>
      </c>
      <c r="Q769" t="n">
        <v>0</v>
      </c>
      <c r="R769" s="2" t="inlineStr"/>
    </row>
    <row r="770" ht="15" customHeight="1">
      <c r="A770" t="inlineStr">
        <is>
          <t>A 33879-2025</t>
        </is>
      </c>
      <c r="B770" s="1" t="n">
        <v>45842.55766203703</v>
      </c>
      <c r="C770" s="1" t="n">
        <v>46128</v>
      </c>
      <c r="D770" t="inlineStr">
        <is>
          <t>SKÅNE LÄN</t>
        </is>
      </c>
      <c r="E770" t="inlineStr">
        <is>
          <t>HÄSSLEHOLM</t>
        </is>
      </c>
      <c r="G770" t="n">
        <v>6.1</v>
      </c>
      <c r="H770" t="n">
        <v>0</v>
      </c>
      <c r="I770" t="n">
        <v>0</v>
      </c>
      <c r="J770" t="n">
        <v>0</v>
      </c>
      <c r="K770" t="n">
        <v>0</v>
      </c>
      <c r="L770" t="n">
        <v>0</v>
      </c>
      <c r="M770" t="n">
        <v>0</v>
      </c>
      <c r="N770" t="n">
        <v>0</v>
      </c>
      <c r="O770" t="n">
        <v>0</v>
      </c>
      <c r="P770" t="n">
        <v>0</v>
      </c>
      <c r="Q770" t="n">
        <v>0</v>
      </c>
      <c r="R770" s="2" t="inlineStr"/>
    </row>
    <row r="771" ht="15" customHeight="1">
      <c r="A771" t="inlineStr">
        <is>
          <t>A 31391-2023</t>
        </is>
      </c>
      <c r="B771" s="1" t="n">
        <v>45114.56143518518</v>
      </c>
      <c r="C771" s="1" t="n">
        <v>46128</v>
      </c>
      <c r="D771" t="inlineStr">
        <is>
          <t>SKÅNE LÄN</t>
        </is>
      </c>
      <c r="E771" t="inlineStr">
        <is>
          <t>HÄSSLEHOLM</t>
        </is>
      </c>
      <c r="G771" t="n">
        <v>3.1</v>
      </c>
      <c r="H771" t="n">
        <v>0</v>
      </c>
      <c r="I771" t="n">
        <v>0</v>
      </c>
      <c r="J771" t="n">
        <v>0</v>
      </c>
      <c r="K771" t="n">
        <v>0</v>
      </c>
      <c r="L771" t="n">
        <v>0</v>
      </c>
      <c r="M771" t="n">
        <v>0</v>
      </c>
      <c r="N771" t="n">
        <v>0</v>
      </c>
      <c r="O771" t="n">
        <v>0</v>
      </c>
      <c r="P771" t="n">
        <v>0</v>
      </c>
      <c r="Q771" t="n">
        <v>0</v>
      </c>
      <c r="R771" s="2" t="inlineStr"/>
    </row>
    <row r="772" ht="15" customHeight="1">
      <c r="A772" t="inlineStr">
        <is>
          <t>A 45361-2023</t>
        </is>
      </c>
      <c r="B772" s="1" t="n">
        <v>45192.49068287037</v>
      </c>
      <c r="C772" s="1" t="n">
        <v>46128</v>
      </c>
      <c r="D772" t="inlineStr">
        <is>
          <t>SKÅNE LÄN</t>
        </is>
      </c>
      <c r="E772" t="inlineStr">
        <is>
          <t>HÄSSLEHOLM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53887-2023</t>
        </is>
      </c>
      <c r="B773" s="1" t="n">
        <v>45231.52675925926</v>
      </c>
      <c r="C773" s="1" t="n">
        <v>46128</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33562-2025</t>
        </is>
      </c>
      <c r="B774" s="1" t="n">
        <v>45841.57803240741</v>
      </c>
      <c r="C774" s="1" t="n">
        <v>46128</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33950-2025</t>
        </is>
      </c>
      <c r="B775" s="1" t="n">
        <v>45842</v>
      </c>
      <c r="C775" s="1" t="n">
        <v>46128</v>
      </c>
      <c r="D775" t="inlineStr">
        <is>
          <t>SKÅNE LÄN</t>
        </is>
      </c>
      <c r="E775" t="inlineStr">
        <is>
          <t>HÄSSLEHOLM</t>
        </is>
      </c>
      <c r="G775" t="n">
        <v>5.7</v>
      </c>
      <c r="H775" t="n">
        <v>0</v>
      </c>
      <c r="I775" t="n">
        <v>0</v>
      </c>
      <c r="J775" t="n">
        <v>0</v>
      </c>
      <c r="K775" t="n">
        <v>0</v>
      </c>
      <c r="L775" t="n">
        <v>0</v>
      </c>
      <c r="M775" t="n">
        <v>0</v>
      </c>
      <c r="N775" t="n">
        <v>0</v>
      </c>
      <c r="O775" t="n">
        <v>0</v>
      </c>
      <c r="P775" t="n">
        <v>0</v>
      </c>
      <c r="Q775" t="n">
        <v>0</v>
      </c>
      <c r="R775" s="2" t="inlineStr"/>
    </row>
    <row r="776" ht="15" customHeight="1">
      <c r="A776" t="inlineStr">
        <is>
          <t>A 47161-2025</t>
        </is>
      </c>
      <c r="B776" s="1" t="n">
        <v>45929</v>
      </c>
      <c r="C776" s="1" t="n">
        <v>46128</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54668-2025</t>
        </is>
      </c>
      <c r="B777" s="1" t="n">
        <v>45966.40803240741</v>
      </c>
      <c r="C777" s="1" t="n">
        <v>46128</v>
      </c>
      <c r="D777" t="inlineStr">
        <is>
          <t>SKÅNE LÄN</t>
        </is>
      </c>
      <c r="E777" t="inlineStr">
        <is>
          <t>HÄSSLEHOLM</t>
        </is>
      </c>
      <c r="G777" t="n">
        <v>0.9</v>
      </c>
      <c r="H777" t="n">
        <v>0</v>
      </c>
      <c r="I777" t="n">
        <v>0</v>
      </c>
      <c r="J777" t="n">
        <v>0</v>
      </c>
      <c r="K777" t="n">
        <v>0</v>
      </c>
      <c r="L777" t="n">
        <v>0</v>
      </c>
      <c r="M777" t="n">
        <v>0</v>
      </c>
      <c r="N777" t="n">
        <v>0</v>
      </c>
      <c r="O777" t="n">
        <v>0</v>
      </c>
      <c r="P777" t="n">
        <v>0</v>
      </c>
      <c r="Q777" t="n">
        <v>0</v>
      </c>
      <c r="R777" s="2" t="inlineStr"/>
    </row>
    <row r="778" ht="15" customHeight="1">
      <c r="A778" t="inlineStr">
        <is>
          <t>A 45220-2023</t>
        </is>
      </c>
      <c r="B778" s="1" t="n">
        <v>45191</v>
      </c>
      <c r="C778" s="1" t="n">
        <v>46128</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38712-2024</t>
        </is>
      </c>
      <c r="B779" s="1" t="n">
        <v>45547</v>
      </c>
      <c r="C779" s="1" t="n">
        <v>46128</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57647-2024</t>
        </is>
      </c>
      <c r="B780" s="1" t="n">
        <v>45630</v>
      </c>
      <c r="C780" s="1" t="n">
        <v>46128</v>
      </c>
      <c r="D780" t="inlineStr">
        <is>
          <t>SKÅNE LÄN</t>
        </is>
      </c>
      <c r="E780" t="inlineStr">
        <is>
          <t>HÄSSLEHOLM</t>
        </is>
      </c>
      <c r="G780" t="n">
        <v>2.9</v>
      </c>
      <c r="H780" t="n">
        <v>0</v>
      </c>
      <c r="I780" t="n">
        <v>0</v>
      </c>
      <c r="J780" t="n">
        <v>0</v>
      </c>
      <c r="K780" t="n">
        <v>0</v>
      </c>
      <c r="L780" t="n">
        <v>0</v>
      </c>
      <c r="M780" t="n">
        <v>0</v>
      </c>
      <c r="N780" t="n">
        <v>0</v>
      </c>
      <c r="O780" t="n">
        <v>0</v>
      </c>
      <c r="P780" t="n">
        <v>0</v>
      </c>
      <c r="Q780" t="n">
        <v>0</v>
      </c>
      <c r="R780" s="2" t="inlineStr"/>
    </row>
    <row r="781" ht="15" customHeight="1">
      <c r="A781" t="inlineStr">
        <is>
          <t>A 34174-2025</t>
        </is>
      </c>
      <c r="B781" s="1" t="n">
        <v>45844</v>
      </c>
      <c r="C781" s="1" t="n">
        <v>46128</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54763-2025</t>
        </is>
      </c>
      <c r="B782" s="1" t="n">
        <v>45966.60167824074</v>
      </c>
      <c r="C782" s="1" t="n">
        <v>46128</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61182-2024</t>
        </is>
      </c>
      <c r="B783" s="1" t="n">
        <v>45645</v>
      </c>
      <c r="C783" s="1" t="n">
        <v>46128</v>
      </c>
      <c r="D783" t="inlineStr">
        <is>
          <t>SKÅNE LÄN</t>
        </is>
      </c>
      <c r="E783" t="inlineStr">
        <is>
          <t>HÄSSLEHOLM</t>
        </is>
      </c>
      <c r="G783" t="n">
        <v>3.2</v>
      </c>
      <c r="H783" t="n">
        <v>0</v>
      </c>
      <c r="I783" t="n">
        <v>0</v>
      </c>
      <c r="J783" t="n">
        <v>0</v>
      </c>
      <c r="K783" t="n">
        <v>0</v>
      </c>
      <c r="L783" t="n">
        <v>0</v>
      </c>
      <c r="M783" t="n">
        <v>0</v>
      </c>
      <c r="N783" t="n">
        <v>0</v>
      </c>
      <c r="O783" t="n">
        <v>0</v>
      </c>
      <c r="P783" t="n">
        <v>0</v>
      </c>
      <c r="Q783" t="n">
        <v>0</v>
      </c>
      <c r="R783" s="2" t="inlineStr"/>
    </row>
    <row r="784" ht="15" customHeight="1">
      <c r="A784" t="inlineStr">
        <is>
          <t>A 49167-2022</t>
        </is>
      </c>
      <c r="B784" s="1" t="n">
        <v>44860</v>
      </c>
      <c r="C784" s="1" t="n">
        <v>46128</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28071-2023</t>
        </is>
      </c>
      <c r="B785" s="1" t="n">
        <v>45099.37755787037</v>
      </c>
      <c r="C785" s="1" t="n">
        <v>46128</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34177-2025</t>
        </is>
      </c>
      <c r="B786" s="1" t="n">
        <v>45844</v>
      </c>
      <c r="C786" s="1" t="n">
        <v>46128</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54664-2025</t>
        </is>
      </c>
      <c r="B787" s="1" t="n">
        <v>45966.40738425926</v>
      </c>
      <c r="C787" s="1" t="n">
        <v>46128</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13990-2022</t>
        </is>
      </c>
      <c r="B788" s="1" t="n">
        <v>44650</v>
      </c>
      <c r="C788" s="1" t="n">
        <v>46128</v>
      </c>
      <c r="D788" t="inlineStr">
        <is>
          <t>SKÅNE LÄN</t>
        </is>
      </c>
      <c r="E788" t="inlineStr">
        <is>
          <t>HÄSSLEHOLM</t>
        </is>
      </c>
      <c r="G788" t="n">
        <v>3.6</v>
      </c>
      <c r="H788" t="n">
        <v>0</v>
      </c>
      <c r="I788" t="n">
        <v>0</v>
      </c>
      <c r="J788" t="n">
        <v>0</v>
      </c>
      <c r="K788" t="n">
        <v>0</v>
      </c>
      <c r="L788" t="n">
        <v>0</v>
      </c>
      <c r="M788" t="n">
        <v>0</v>
      </c>
      <c r="N788" t="n">
        <v>0</v>
      </c>
      <c r="O788" t="n">
        <v>0</v>
      </c>
      <c r="P788" t="n">
        <v>0</v>
      </c>
      <c r="Q788" t="n">
        <v>0</v>
      </c>
      <c r="R788" s="2" t="inlineStr"/>
    </row>
    <row r="789" ht="15" customHeight="1">
      <c r="A789" t="inlineStr">
        <is>
          <t>A 22678-2025</t>
        </is>
      </c>
      <c r="B789" s="1" t="n">
        <v>45789.49725694444</v>
      </c>
      <c r="C789" s="1" t="n">
        <v>46128</v>
      </c>
      <c r="D789" t="inlineStr">
        <is>
          <t>SKÅNE LÄN</t>
        </is>
      </c>
      <c r="E789" t="inlineStr">
        <is>
          <t>HÄSSLEHOLM</t>
        </is>
      </c>
      <c r="G789" t="n">
        <v>2.2</v>
      </c>
      <c r="H789" t="n">
        <v>0</v>
      </c>
      <c r="I789" t="n">
        <v>0</v>
      </c>
      <c r="J789" t="n">
        <v>0</v>
      </c>
      <c r="K789" t="n">
        <v>0</v>
      </c>
      <c r="L789" t="n">
        <v>0</v>
      </c>
      <c r="M789" t="n">
        <v>0</v>
      </c>
      <c r="N789" t="n">
        <v>0</v>
      </c>
      <c r="O789" t="n">
        <v>0</v>
      </c>
      <c r="P789" t="n">
        <v>0</v>
      </c>
      <c r="Q789" t="n">
        <v>0</v>
      </c>
      <c r="R789" s="2" t="inlineStr"/>
    </row>
    <row r="790" ht="15" customHeight="1">
      <c r="A790" t="inlineStr">
        <is>
          <t>A 54771-2025</t>
        </is>
      </c>
      <c r="B790" s="1" t="n">
        <v>45966.60829861111</v>
      </c>
      <c r="C790" s="1" t="n">
        <v>46128</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32958-2023</t>
        </is>
      </c>
      <c r="B791" s="1" t="n">
        <v>45125.52142361111</v>
      </c>
      <c r="C791" s="1" t="n">
        <v>46128</v>
      </c>
      <c r="D791" t="inlineStr">
        <is>
          <t>SKÅNE LÄN</t>
        </is>
      </c>
      <c r="E791" t="inlineStr">
        <is>
          <t>HÄSSLEHOLM</t>
        </is>
      </c>
      <c r="G791" t="n">
        <v>7.9</v>
      </c>
      <c r="H791" t="n">
        <v>0</v>
      </c>
      <c r="I791" t="n">
        <v>0</v>
      </c>
      <c r="J791" t="n">
        <v>0</v>
      </c>
      <c r="K791" t="n">
        <v>0</v>
      </c>
      <c r="L791" t="n">
        <v>0</v>
      </c>
      <c r="M791" t="n">
        <v>0</v>
      </c>
      <c r="N791" t="n">
        <v>0</v>
      </c>
      <c r="O791" t="n">
        <v>0</v>
      </c>
      <c r="P791" t="n">
        <v>0</v>
      </c>
      <c r="Q791" t="n">
        <v>0</v>
      </c>
      <c r="R791" s="2" t="inlineStr"/>
    </row>
    <row r="792" ht="15" customHeight="1">
      <c r="A792" t="inlineStr">
        <is>
          <t>A 3507-2024</t>
        </is>
      </c>
      <c r="B792" s="1" t="n">
        <v>45320.4906712963</v>
      </c>
      <c r="C792" s="1" t="n">
        <v>46128</v>
      </c>
      <c r="D792" t="inlineStr">
        <is>
          <t>SKÅNE LÄN</t>
        </is>
      </c>
      <c r="E792" t="inlineStr">
        <is>
          <t>HÄSSLEHOLM</t>
        </is>
      </c>
      <c r="G792" t="n">
        <v>6.4</v>
      </c>
      <c r="H792" t="n">
        <v>0</v>
      </c>
      <c r="I792" t="n">
        <v>0</v>
      </c>
      <c r="J792" t="n">
        <v>0</v>
      </c>
      <c r="K792" t="n">
        <v>0</v>
      </c>
      <c r="L792" t="n">
        <v>0</v>
      </c>
      <c r="M792" t="n">
        <v>0</v>
      </c>
      <c r="N792" t="n">
        <v>0</v>
      </c>
      <c r="O792" t="n">
        <v>0</v>
      </c>
      <c r="P792" t="n">
        <v>0</v>
      </c>
      <c r="Q792" t="n">
        <v>0</v>
      </c>
      <c r="R792" s="2" t="inlineStr"/>
    </row>
    <row r="793" ht="15" customHeight="1">
      <c r="A793" t="inlineStr">
        <is>
          <t>A 25219-2023</t>
        </is>
      </c>
      <c r="B793" s="1" t="n">
        <v>45086.60541666667</v>
      </c>
      <c r="C793" s="1" t="n">
        <v>46128</v>
      </c>
      <c r="D793" t="inlineStr">
        <is>
          <t>SKÅNE LÄN</t>
        </is>
      </c>
      <c r="E793" t="inlineStr">
        <is>
          <t>HÄSSLEHOLM</t>
        </is>
      </c>
      <c r="G793" t="n">
        <v>6.9</v>
      </c>
      <c r="H793" t="n">
        <v>0</v>
      </c>
      <c r="I793" t="n">
        <v>0</v>
      </c>
      <c r="J793" t="n">
        <v>0</v>
      </c>
      <c r="K793" t="n">
        <v>0</v>
      </c>
      <c r="L793" t="n">
        <v>0</v>
      </c>
      <c r="M793" t="n">
        <v>0</v>
      </c>
      <c r="N793" t="n">
        <v>0</v>
      </c>
      <c r="O793" t="n">
        <v>0</v>
      </c>
      <c r="P793" t="n">
        <v>0</v>
      </c>
      <c r="Q793" t="n">
        <v>0</v>
      </c>
      <c r="R793" s="2" t="inlineStr"/>
    </row>
    <row r="794" ht="15" customHeight="1">
      <c r="A794" t="inlineStr">
        <is>
          <t>A 9302-2025</t>
        </is>
      </c>
      <c r="B794" s="1" t="n">
        <v>45714.67233796296</v>
      </c>
      <c r="C794" s="1" t="n">
        <v>46128</v>
      </c>
      <c r="D794" t="inlineStr">
        <is>
          <t>SKÅNE LÄN</t>
        </is>
      </c>
      <c r="E794" t="inlineStr">
        <is>
          <t>HÄSSLEHOLM</t>
        </is>
      </c>
      <c r="G794" t="n">
        <v>2.6</v>
      </c>
      <c r="H794" t="n">
        <v>0</v>
      </c>
      <c r="I794" t="n">
        <v>0</v>
      </c>
      <c r="J794" t="n">
        <v>0</v>
      </c>
      <c r="K794" t="n">
        <v>0</v>
      </c>
      <c r="L794" t="n">
        <v>0</v>
      </c>
      <c r="M794" t="n">
        <v>0</v>
      </c>
      <c r="N794" t="n">
        <v>0</v>
      </c>
      <c r="O794" t="n">
        <v>0</v>
      </c>
      <c r="P794" t="n">
        <v>0</v>
      </c>
      <c r="Q794" t="n">
        <v>0</v>
      </c>
      <c r="R794" s="2" t="inlineStr"/>
    </row>
    <row r="795" ht="15" customHeight="1">
      <c r="A795" t="inlineStr">
        <is>
          <t>A 9322-2025</t>
        </is>
      </c>
      <c r="B795" s="1" t="n">
        <v>45714.72241898148</v>
      </c>
      <c r="C795" s="1" t="n">
        <v>46128</v>
      </c>
      <c r="D795" t="inlineStr">
        <is>
          <t>SKÅNE LÄN</t>
        </is>
      </c>
      <c r="E795" t="inlineStr">
        <is>
          <t>HÄSSLEHOLM</t>
        </is>
      </c>
      <c r="G795" t="n">
        <v>2.6</v>
      </c>
      <c r="H795" t="n">
        <v>0</v>
      </c>
      <c r="I795" t="n">
        <v>0</v>
      </c>
      <c r="J795" t="n">
        <v>0</v>
      </c>
      <c r="K795" t="n">
        <v>0</v>
      </c>
      <c r="L795" t="n">
        <v>0</v>
      </c>
      <c r="M795" t="n">
        <v>0</v>
      </c>
      <c r="N795" t="n">
        <v>0</v>
      </c>
      <c r="O795" t="n">
        <v>0</v>
      </c>
      <c r="P795" t="n">
        <v>0</v>
      </c>
      <c r="Q795" t="n">
        <v>0</v>
      </c>
      <c r="R795" s="2" t="inlineStr"/>
    </row>
    <row r="796" ht="15" customHeight="1">
      <c r="A796" t="inlineStr">
        <is>
          <t>A 4119-2024</t>
        </is>
      </c>
      <c r="B796" s="1" t="n">
        <v>45323.67920138889</v>
      </c>
      <c r="C796" s="1" t="n">
        <v>46128</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37300-2023</t>
        </is>
      </c>
      <c r="B797" s="1" t="n">
        <v>45156</v>
      </c>
      <c r="C797" s="1" t="n">
        <v>46128</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48877-2024</t>
        </is>
      </c>
      <c r="B798" s="1" t="n">
        <v>45594.31729166667</v>
      </c>
      <c r="C798" s="1" t="n">
        <v>46128</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47647-2024</t>
        </is>
      </c>
      <c r="B799" s="1" t="n">
        <v>45588</v>
      </c>
      <c r="C799" s="1" t="n">
        <v>46128</v>
      </c>
      <c r="D799" t="inlineStr">
        <is>
          <t>SKÅNE LÄN</t>
        </is>
      </c>
      <c r="E799" t="inlineStr">
        <is>
          <t>HÄSSLEHOLM</t>
        </is>
      </c>
      <c r="G799" t="n">
        <v>6.5</v>
      </c>
      <c r="H799" t="n">
        <v>0</v>
      </c>
      <c r="I799" t="n">
        <v>0</v>
      </c>
      <c r="J799" t="n">
        <v>0</v>
      </c>
      <c r="K799" t="n">
        <v>0</v>
      </c>
      <c r="L799" t="n">
        <v>0</v>
      </c>
      <c r="M799" t="n">
        <v>0</v>
      </c>
      <c r="N799" t="n">
        <v>0</v>
      </c>
      <c r="O799" t="n">
        <v>0</v>
      </c>
      <c r="P799" t="n">
        <v>0</v>
      </c>
      <c r="Q799" t="n">
        <v>0</v>
      </c>
      <c r="R799" s="2" t="inlineStr"/>
    </row>
    <row r="800" ht="15" customHeight="1">
      <c r="A800" t="inlineStr">
        <is>
          <t>A 39915-2023</t>
        </is>
      </c>
      <c r="B800" s="1" t="n">
        <v>45168.4684375</v>
      </c>
      <c r="C800" s="1" t="n">
        <v>46128</v>
      </c>
      <c r="D800" t="inlineStr">
        <is>
          <t>SKÅNE LÄN</t>
        </is>
      </c>
      <c r="E800" t="inlineStr">
        <is>
          <t>HÄSSLEHOLM</t>
        </is>
      </c>
      <c r="G800" t="n">
        <v>0.4</v>
      </c>
      <c r="H800" t="n">
        <v>0</v>
      </c>
      <c r="I800" t="n">
        <v>0</v>
      </c>
      <c r="J800" t="n">
        <v>0</v>
      </c>
      <c r="K800" t="n">
        <v>0</v>
      </c>
      <c r="L800" t="n">
        <v>0</v>
      </c>
      <c r="M800" t="n">
        <v>0</v>
      </c>
      <c r="N800" t="n">
        <v>0</v>
      </c>
      <c r="O800" t="n">
        <v>0</v>
      </c>
      <c r="P800" t="n">
        <v>0</v>
      </c>
      <c r="Q800" t="n">
        <v>0</v>
      </c>
      <c r="R800" s="2" t="inlineStr"/>
    </row>
    <row r="801" ht="15" customHeight="1">
      <c r="A801" t="inlineStr">
        <is>
          <t>A 1619-2022</t>
        </is>
      </c>
      <c r="B801" s="1" t="n">
        <v>44573</v>
      </c>
      <c r="C801" s="1" t="n">
        <v>46128</v>
      </c>
      <c r="D801" t="inlineStr">
        <is>
          <t>SKÅNE LÄN</t>
        </is>
      </c>
      <c r="E801" t="inlineStr">
        <is>
          <t>HÄSSLEHOLM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34869-2025</t>
        </is>
      </c>
      <c r="B802" s="1" t="n">
        <v>45849</v>
      </c>
      <c r="C802" s="1" t="n">
        <v>46128</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35890-2023</t>
        </is>
      </c>
      <c r="B803" s="1" t="n">
        <v>45148</v>
      </c>
      <c r="C803" s="1" t="n">
        <v>46128</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35895-2023</t>
        </is>
      </c>
      <c r="B804" s="1" t="n">
        <v>45148</v>
      </c>
      <c r="C804" s="1" t="n">
        <v>46128</v>
      </c>
      <c r="D804" t="inlineStr">
        <is>
          <t>SKÅNE LÄN</t>
        </is>
      </c>
      <c r="E804" t="inlineStr">
        <is>
          <t>HÄSSLEHOLM</t>
        </is>
      </c>
      <c r="G804" t="n">
        <v>0.4</v>
      </c>
      <c r="H804" t="n">
        <v>0</v>
      </c>
      <c r="I804" t="n">
        <v>0</v>
      </c>
      <c r="J804" t="n">
        <v>0</v>
      </c>
      <c r="K804" t="n">
        <v>0</v>
      </c>
      <c r="L804" t="n">
        <v>0</v>
      </c>
      <c r="M804" t="n">
        <v>0</v>
      </c>
      <c r="N804" t="n">
        <v>0</v>
      </c>
      <c r="O804" t="n">
        <v>0</v>
      </c>
      <c r="P804" t="n">
        <v>0</v>
      </c>
      <c r="Q804" t="n">
        <v>0</v>
      </c>
      <c r="R804" s="2" t="inlineStr"/>
    </row>
    <row r="805" ht="15" customHeight="1">
      <c r="A805" t="inlineStr">
        <is>
          <t>A 55268-2025</t>
        </is>
      </c>
      <c r="B805" s="1" t="n">
        <v>45968.6715625</v>
      </c>
      <c r="C805" s="1" t="n">
        <v>46128</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27297-2023</t>
        </is>
      </c>
      <c r="B806" s="1" t="n">
        <v>45096</v>
      </c>
      <c r="C806" s="1" t="n">
        <v>46128</v>
      </c>
      <c r="D806" t="inlineStr">
        <is>
          <t>SKÅNE LÄN</t>
        </is>
      </c>
      <c r="E806" t="inlineStr">
        <is>
          <t>HÄSSLEHOLM</t>
        </is>
      </c>
      <c r="G806" t="n">
        <v>1.3</v>
      </c>
      <c r="H806" t="n">
        <v>0</v>
      </c>
      <c r="I806" t="n">
        <v>0</v>
      </c>
      <c r="J806" t="n">
        <v>0</v>
      </c>
      <c r="K806" t="n">
        <v>0</v>
      </c>
      <c r="L806" t="n">
        <v>0</v>
      </c>
      <c r="M806" t="n">
        <v>0</v>
      </c>
      <c r="N806" t="n">
        <v>0</v>
      </c>
      <c r="O806" t="n">
        <v>0</v>
      </c>
      <c r="P806" t="n">
        <v>0</v>
      </c>
      <c r="Q806" t="n">
        <v>0</v>
      </c>
      <c r="R806" s="2" t="inlineStr"/>
    </row>
    <row r="807" ht="15" customHeight="1">
      <c r="A807" t="inlineStr">
        <is>
          <t>A 55549-2025</t>
        </is>
      </c>
      <c r="B807" s="1" t="n">
        <v>45971.63805555556</v>
      </c>
      <c r="C807" s="1" t="n">
        <v>46128</v>
      </c>
      <c r="D807" t="inlineStr">
        <is>
          <t>SKÅNE LÄN</t>
        </is>
      </c>
      <c r="E807" t="inlineStr">
        <is>
          <t>HÄSSLEHOLM</t>
        </is>
      </c>
      <c r="G807" t="n">
        <v>2.6</v>
      </c>
      <c r="H807" t="n">
        <v>0</v>
      </c>
      <c r="I807" t="n">
        <v>0</v>
      </c>
      <c r="J807" t="n">
        <v>0</v>
      </c>
      <c r="K807" t="n">
        <v>0</v>
      </c>
      <c r="L807" t="n">
        <v>0</v>
      </c>
      <c r="M807" t="n">
        <v>0</v>
      </c>
      <c r="N807" t="n">
        <v>0</v>
      </c>
      <c r="O807" t="n">
        <v>0</v>
      </c>
      <c r="P807" t="n">
        <v>0</v>
      </c>
      <c r="Q807" t="n">
        <v>0</v>
      </c>
      <c r="R807" s="2" t="inlineStr"/>
    </row>
    <row r="808" ht="15" customHeight="1">
      <c r="A808" t="inlineStr">
        <is>
          <t>A 55455-2025</t>
        </is>
      </c>
      <c r="B808" s="1" t="n">
        <v>45971</v>
      </c>
      <c r="C808" s="1" t="n">
        <v>46128</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35259-2025</t>
        </is>
      </c>
      <c r="B809" s="1" t="n">
        <v>45853.76912037037</v>
      </c>
      <c r="C809" s="1" t="n">
        <v>46128</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20970-2025</t>
        </is>
      </c>
      <c r="B810" s="1" t="n">
        <v>45777.45417824074</v>
      </c>
      <c r="C810" s="1" t="n">
        <v>46128</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9747-2024</t>
        </is>
      </c>
      <c r="B811" s="1" t="n">
        <v>45362</v>
      </c>
      <c r="C811" s="1" t="n">
        <v>46128</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55458-2025</t>
        </is>
      </c>
      <c r="B812" s="1" t="n">
        <v>45971</v>
      </c>
      <c r="C812" s="1" t="n">
        <v>46128</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4750-2024</t>
        </is>
      </c>
      <c r="B813" s="1" t="n">
        <v>45328</v>
      </c>
      <c r="C813" s="1" t="n">
        <v>46128</v>
      </c>
      <c r="D813" t="inlineStr">
        <is>
          <t>SKÅNE LÄN</t>
        </is>
      </c>
      <c r="E813" t="inlineStr">
        <is>
          <t>HÄSSLEHOLM</t>
        </is>
      </c>
      <c r="G813" t="n">
        <v>0.3</v>
      </c>
      <c r="H813" t="n">
        <v>0</v>
      </c>
      <c r="I813" t="n">
        <v>0</v>
      </c>
      <c r="J813" t="n">
        <v>0</v>
      </c>
      <c r="K813" t="n">
        <v>0</v>
      </c>
      <c r="L813" t="n">
        <v>0</v>
      </c>
      <c r="M813" t="n">
        <v>0</v>
      </c>
      <c r="N813" t="n">
        <v>0</v>
      </c>
      <c r="O813" t="n">
        <v>0</v>
      </c>
      <c r="P813" t="n">
        <v>0</v>
      </c>
      <c r="Q813" t="n">
        <v>0</v>
      </c>
      <c r="R813" s="2" t="inlineStr"/>
    </row>
    <row r="814" ht="15" customHeight="1">
      <c r="A814" t="inlineStr">
        <is>
          <t>A 17413-2025</t>
        </is>
      </c>
      <c r="B814" s="1" t="n">
        <v>45757.37480324074</v>
      </c>
      <c r="C814" s="1" t="n">
        <v>46128</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23956-2023</t>
        </is>
      </c>
      <c r="B815" s="1" t="n">
        <v>45078.62302083334</v>
      </c>
      <c r="C815" s="1" t="n">
        <v>46128</v>
      </c>
      <c r="D815" t="inlineStr">
        <is>
          <t>SKÅNE LÄN</t>
        </is>
      </c>
      <c r="E815" t="inlineStr">
        <is>
          <t>HÄSSLEHOLM</t>
        </is>
      </c>
      <c r="G815" t="n">
        <v>0.1</v>
      </c>
      <c r="H815" t="n">
        <v>0</v>
      </c>
      <c r="I815" t="n">
        <v>0</v>
      </c>
      <c r="J815" t="n">
        <v>0</v>
      </c>
      <c r="K815" t="n">
        <v>0</v>
      </c>
      <c r="L815" t="n">
        <v>0</v>
      </c>
      <c r="M815" t="n">
        <v>0</v>
      </c>
      <c r="N815" t="n">
        <v>0</v>
      </c>
      <c r="O815" t="n">
        <v>0</v>
      </c>
      <c r="P815" t="n">
        <v>0</v>
      </c>
      <c r="Q815" t="n">
        <v>0</v>
      </c>
      <c r="R815" s="2" t="inlineStr"/>
    </row>
    <row r="816" ht="15" customHeight="1">
      <c r="A816" t="inlineStr">
        <is>
          <t>A 11708-2025</t>
        </is>
      </c>
      <c r="B816" s="1" t="n">
        <v>45727.58626157408</v>
      </c>
      <c r="C816" s="1" t="n">
        <v>46128</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48112-2024</t>
        </is>
      </c>
      <c r="B817" s="1" t="n">
        <v>45589.6295949074</v>
      </c>
      <c r="C817" s="1" t="n">
        <v>46128</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24246-2023</t>
        </is>
      </c>
      <c r="B818" s="1" t="n">
        <v>45079</v>
      </c>
      <c r="C818" s="1" t="n">
        <v>46128</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24249-2023</t>
        </is>
      </c>
      <c r="B819" s="1" t="n">
        <v>45079.62466435185</v>
      </c>
      <c r="C819" s="1" t="n">
        <v>46128</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52548-2023</t>
        </is>
      </c>
      <c r="B820" s="1" t="n">
        <v>45218</v>
      </c>
      <c r="C820" s="1" t="n">
        <v>46128</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36085-2025</t>
        </is>
      </c>
      <c r="B821" s="1" t="n">
        <v>45866.46190972222</v>
      </c>
      <c r="C821" s="1" t="n">
        <v>46128</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36130-2025</t>
        </is>
      </c>
      <c r="B822" s="1" t="n">
        <v>45866.62273148148</v>
      </c>
      <c r="C822" s="1" t="n">
        <v>46128</v>
      </c>
      <c r="D822" t="inlineStr">
        <is>
          <t>SKÅNE LÄN</t>
        </is>
      </c>
      <c r="E822" t="inlineStr">
        <is>
          <t>HÄSSLEHOLM</t>
        </is>
      </c>
      <c r="G822" t="n">
        <v>4.7</v>
      </c>
      <c r="H822" t="n">
        <v>0</v>
      </c>
      <c r="I822" t="n">
        <v>0</v>
      </c>
      <c r="J822" t="n">
        <v>0</v>
      </c>
      <c r="K822" t="n">
        <v>0</v>
      </c>
      <c r="L822" t="n">
        <v>0</v>
      </c>
      <c r="M822" t="n">
        <v>0</v>
      </c>
      <c r="N822" t="n">
        <v>0</v>
      </c>
      <c r="O822" t="n">
        <v>0</v>
      </c>
      <c r="P822" t="n">
        <v>0</v>
      </c>
      <c r="Q822" t="n">
        <v>0</v>
      </c>
      <c r="R822" s="2" t="inlineStr"/>
    </row>
    <row r="823" ht="15" customHeight="1">
      <c r="A823" t="inlineStr">
        <is>
          <t>A 43696-2024</t>
        </is>
      </c>
      <c r="B823" s="1" t="n">
        <v>45569.58855324074</v>
      </c>
      <c r="C823" s="1" t="n">
        <v>46128</v>
      </c>
      <c r="D823" t="inlineStr">
        <is>
          <t>SKÅNE LÄN</t>
        </is>
      </c>
      <c r="E823" t="inlineStr">
        <is>
          <t>HÄSSLEHOLM</t>
        </is>
      </c>
      <c r="G823" t="n">
        <v>2.9</v>
      </c>
      <c r="H823" t="n">
        <v>0</v>
      </c>
      <c r="I823" t="n">
        <v>0</v>
      </c>
      <c r="J823" t="n">
        <v>0</v>
      </c>
      <c r="K823" t="n">
        <v>0</v>
      </c>
      <c r="L823" t="n">
        <v>0</v>
      </c>
      <c r="M823" t="n">
        <v>0</v>
      </c>
      <c r="N823" t="n">
        <v>0</v>
      </c>
      <c r="O823" t="n">
        <v>0</v>
      </c>
      <c r="P823" t="n">
        <v>0</v>
      </c>
      <c r="Q823" t="n">
        <v>0</v>
      </c>
      <c r="R823" s="2" t="inlineStr"/>
    </row>
    <row r="824" ht="15" customHeight="1">
      <c r="A824" t="inlineStr">
        <is>
          <t>A 12182-2025</t>
        </is>
      </c>
      <c r="B824" s="1" t="n">
        <v>45729</v>
      </c>
      <c r="C824" s="1" t="n">
        <v>46128</v>
      </c>
      <c r="D824" t="inlineStr">
        <is>
          <t>SKÅNE LÄN</t>
        </is>
      </c>
      <c r="E824" t="inlineStr">
        <is>
          <t>HÄSSLEHOLM</t>
        </is>
      </c>
      <c r="G824" t="n">
        <v>1.8</v>
      </c>
      <c r="H824" t="n">
        <v>0</v>
      </c>
      <c r="I824" t="n">
        <v>0</v>
      </c>
      <c r="J824" t="n">
        <v>0</v>
      </c>
      <c r="K824" t="n">
        <v>0</v>
      </c>
      <c r="L824" t="n">
        <v>0</v>
      </c>
      <c r="M824" t="n">
        <v>0</v>
      </c>
      <c r="N824" t="n">
        <v>0</v>
      </c>
      <c r="O824" t="n">
        <v>0</v>
      </c>
      <c r="P824" t="n">
        <v>0</v>
      </c>
      <c r="Q824" t="n">
        <v>0</v>
      </c>
      <c r="R824" s="2" t="inlineStr"/>
    </row>
    <row r="825" ht="15" customHeight="1">
      <c r="A825" t="inlineStr">
        <is>
          <t>A 20185-2023</t>
        </is>
      </c>
      <c r="B825" s="1" t="n">
        <v>45055.56795138889</v>
      </c>
      <c r="C825" s="1" t="n">
        <v>46128</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56794-2025</t>
        </is>
      </c>
      <c r="B826" s="1" t="n">
        <v>45978.43039351852</v>
      </c>
      <c r="C826" s="1" t="n">
        <v>46128</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19666-2025</t>
        </is>
      </c>
      <c r="B827" s="1" t="n">
        <v>45770.69326388889</v>
      </c>
      <c r="C827" s="1" t="n">
        <v>46128</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38376-2022</t>
        </is>
      </c>
      <c r="B828" s="1" t="n">
        <v>44812</v>
      </c>
      <c r="C828" s="1" t="n">
        <v>46128</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56667-2025</t>
        </is>
      </c>
      <c r="B829" s="1" t="n">
        <v>45975.68508101852</v>
      </c>
      <c r="C829" s="1" t="n">
        <v>46128</v>
      </c>
      <c r="D829" t="inlineStr">
        <is>
          <t>SKÅNE LÄN</t>
        </is>
      </c>
      <c r="E829" t="inlineStr">
        <is>
          <t>HÄSSLEHOLM</t>
        </is>
      </c>
      <c r="G829" t="n">
        <v>4.4</v>
      </c>
      <c r="H829" t="n">
        <v>0</v>
      </c>
      <c r="I829" t="n">
        <v>0</v>
      </c>
      <c r="J829" t="n">
        <v>0</v>
      </c>
      <c r="K829" t="n">
        <v>0</v>
      </c>
      <c r="L829" t="n">
        <v>0</v>
      </c>
      <c r="M829" t="n">
        <v>0</v>
      </c>
      <c r="N829" t="n">
        <v>0</v>
      </c>
      <c r="O829" t="n">
        <v>0</v>
      </c>
      <c r="P829" t="n">
        <v>0</v>
      </c>
      <c r="Q829" t="n">
        <v>0</v>
      </c>
      <c r="R829" s="2" t="inlineStr"/>
    </row>
    <row r="830" ht="15" customHeight="1">
      <c r="A830" t="inlineStr">
        <is>
          <t>A 36361-2025</t>
        </is>
      </c>
      <c r="B830" s="1" t="n">
        <v>45867</v>
      </c>
      <c r="C830" s="1" t="n">
        <v>46128</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56798-2025</t>
        </is>
      </c>
      <c r="B831" s="1" t="n">
        <v>45978.43378472222</v>
      </c>
      <c r="C831" s="1" t="n">
        <v>46128</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36358-2025</t>
        </is>
      </c>
      <c r="B832" s="1" t="n">
        <v>45867</v>
      </c>
      <c r="C832" s="1" t="n">
        <v>46128</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36359-2025</t>
        </is>
      </c>
      <c r="B833" s="1" t="n">
        <v>45867</v>
      </c>
      <c r="C833" s="1" t="n">
        <v>46128</v>
      </c>
      <c r="D833" t="inlineStr">
        <is>
          <t>SKÅNE LÄN</t>
        </is>
      </c>
      <c r="E833" t="inlineStr">
        <is>
          <t>HÄSSLEHOLM</t>
        </is>
      </c>
      <c r="G833" t="n">
        <v>2.2</v>
      </c>
      <c r="H833" t="n">
        <v>0</v>
      </c>
      <c r="I833" t="n">
        <v>0</v>
      </c>
      <c r="J833" t="n">
        <v>0</v>
      </c>
      <c r="K833" t="n">
        <v>0</v>
      </c>
      <c r="L833" t="n">
        <v>0</v>
      </c>
      <c r="M833" t="n">
        <v>0</v>
      </c>
      <c r="N833" t="n">
        <v>0</v>
      </c>
      <c r="O833" t="n">
        <v>0</v>
      </c>
      <c r="P833" t="n">
        <v>0</v>
      </c>
      <c r="Q833" t="n">
        <v>0</v>
      </c>
      <c r="R833" s="2" t="inlineStr"/>
    </row>
    <row r="834" ht="15" customHeight="1">
      <c r="A834" t="inlineStr">
        <is>
          <t>A 36259-2025</t>
        </is>
      </c>
      <c r="B834" s="1" t="n">
        <v>45867.59799768519</v>
      </c>
      <c r="C834" s="1" t="n">
        <v>46128</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56797-2025</t>
        </is>
      </c>
      <c r="B835" s="1" t="n">
        <v>45978.43273148148</v>
      </c>
      <c r="C835" s="1" t="n">
        <v>46128</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18908-2023</t>
        </is>
      </c>
      <c r="B836" s="1" t="n">
        <v>45044</v>
      </c>
      <c r="C836" s="1" t="n">
        <v>46128</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61436-2024</t>
        </is>
      </c>
      <c r="B837" s="1" t="n">
        <v>45646.46329861111</v>
      </c>
      <c r="C837" s="1" t="n">
        <v>46128</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30092-2025</t>
        </is>
      </c>
      <c r="B838" s="1" t="n">
        <v>45826</v>
      </c>
      <c r="C838" s="1" t="n">
        <v>46128</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30109-2025</t>
        </is>
      </c>
      <c r="B839" s="1" t="n">
        <v>45826</v>
      </c>
      <c r="C839" s="1" t="n">
        <v>46128</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55569-2025</t>
        </is>
      </c>
      <c r="B840" s="1" t="n">
        <v>45971</v>
      </c>
      <c r="C840" s="1" t="n">
        <v>46128</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8209-2025</t>
        </is>
      </c>
      <c r="B841" s="1" t="n">
        <v>45708.44244212963</v>
      </c>
      <c r="C841" s="1" t="n">
        <v>46128</v>
      </c>
      <c r="D841" t="inlineStr">
        <is>
          <t>SKÅNE LÄN</t>
        </is>
      </c>
      <c r="E841" t="inlineStr">
        <is>
          <t>HÄSSLEHOLM</t>
        </is>
      </c>
      <c r="G841" t="n">
        <v>1.5</v>
      </c>
      <c r="H841" t="n">
        <v>0</v>
      </c>
      <c r="I841" t="n">
        <v>0</v>
      </c>
      <c r="J841" t="n">
        <v>0</v>
      </c>
      <c r="K841" t="n">
        <v>0</v>
      </c>
      <c r="L841" t="n">
        <v>0</v>
      </c>
      <c r="M841" t="n">
        <v>0</v>
      </c>
      <c r="N841" t="n">
        <v>0</v>
      </c>
      <c r="O841" t="n">
        <v>0</v>
      </c>
      <c r="P841" t="n">
        <v>0</v>
      </c>
      <c r="Q841" t="n">
        <v>0</v>
      </c>
      <c r="R841" s="2" t="inlineStr"/>
    </row>
    <row r="842" ht="15" customHeight="1">
      <c r="A842" t="inlineStr">
        <is>
          <t>A 36938-2025</t>
        </is>
      </c>
      <c r="B842" s="1" t="n">
        <v>45874.58476851852</v>
      </c>
      <c r="C842" s="1" t="n">
        <v>46128</v>
      </c>
      <c r="D842" t="inlineStr">
        <is>
          <t>SKÅNE LÄN</t>
        </is>
      </c>
      <c r="E842" t="inlineStr">
        <is>
          <t>HÄSSLEHOLM</t>
        </is>
      </c>
      <c r="G842" t="n">
        <v>3.7</v>
      </c>
      <c r="H842" t="n">
        <v>0</v>
      </c>
      <c r="I842" t="n">
        <v>0</v>
      </c>
      <c r="J842" t="n">
        <v>0</v>
      </c>
      <c r="K842" t="n">
        <v>0</v>
      </c>
      <c r="L842" t="n">
        <v>0</v>
      </c>
      <c r="M842" t="n">
        <v>0</v>
      </c>
      <c r="N842" t="n">
        <v>0</v>
      </c>
      <c r="O842" t="n">
        <v>0</v>
      </c>
      <c r="P842" t="n">
        <v>0</v>
      </c>
      <c r="Q842" t="n">
        <v>0</v>
      </c>
      <c r="R842" s="2" t="inlineStr"/>
    </row>
    <row r="843" ht="15" customHeight="1">
      <c r="A843" t="inlineStr">
        <is>
          <t>A 22132-2024</t>
        </is>
      </c>
      <c r="B843" s="1" t="n">
        <v>45444.37234953704</v>
      </c>
      <c r="C843" s="1" t="n">
        <v>46128</v>
      </c>
      <c r="D843" t="inlineStr">
        <is>
          <t>SKÅNE LÄN</t>
        </is>
      </c>
      <c r="E843" t="inlineStr">
        <is>
          <t>HÄSSLEHOLM</t>
        </is>
      </c>
      <c r="G843" t="n">
        <v>3.1</v>
      </c>
      <c r="H843" t="n">
        <v>0</v>
      </c>
      <c r="I843" t="n">
        <v>0</v>
      </c>
      <c r="J843" t="n">
        <v>0</v>
      </c>
      <c r="K843" t="n">
        <v>0</v>
      </c>
      <c r="L843" t="n">
        <v>0</v>
      </c>
      <c r="M843" t="n">
        <v>0</v>
      </c>
      <c r="N843" t="n">
        <v>0</v>
      </c>
      <c r="O843" t="n">
        <v>0</v>
      </c>
      <c r="P843" t="n">
        <v>0</v>
      </c>
      <c r="Q843" t="n">
        <v>0</v>
      </c>
      <c r="R843" s="2" t="inlineStr"/>
    </row>
    <row r="844" ht="15" customHeight="1">
      <c r="A844" t="inlineStr">
        <is>
          <t>A 54171-2022</t>
        </is>
      </c>
      <c r="B844" s="1" t="n">
        <v>44881</v>
      </c>
      <c r="C844" s="1" t="n">
        <v>46128</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57817-2025</t>
        </is>
      </c>
      <c r="B845" s="1" t="n">
        <v>45981.59475694445</v>
      </c>
      <c r="C845" s="1" t="n">
        <v>46128</v>
      </c>
      <c r="D845" t="inlineStr">
        <is>
          <t>SKÅNE LÄN</t>
        </is>
      </c>
      <c r="E845" t="inlineStr">
        <is>
          <t>HÄSSLEHOLM</t>
        </is>
      </c>
      <c r="G845" t="n">
        <v>3.8</v>
      </c>
      <c r="H845" t="n">
        <v>0</v>
      </c>
      <c r="I845" t="n">
        <v>0</v>
      </c>
      <c r="J845" t="n">
        <v>0</v>
      </c>
      <c r="K845" t="n">
        <v>0</v>
      </c>
      <c r="L845" t="n">
        <v>0</v>
      </c>
      <c r="M845" t="n">
        <v>0</v>
      </c>
      <c r="N845" t="n">
        <v>0</v>
      </c>
      <c r="O845" t="n">
        <v>0</v>
      </c>
      <c r="P845" t="n">
        <v>0</v>
      </c>
      <c r="Q845" t="n">
        <v>0</v>
      </c>
      <c r="R845" s="2" t="inlineStr"/>
    </row>
    <row r="846" ht="15" customHeight="1">
      <c r="A846" t="inlineStr">
        <is>
          <t>A 54435-2024</t>
        </is>
      </c>
      <c r="B846" s="1" t="n">
        <v>45617.49494212963</v>
      </c>
      <c r="C846" s="1" t="n">
        <v>46128</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720-2025</t>
        </is>
      </c>
      <c r="B847" s="1" t="n">
        <v>45665.3744212963</v>
      </c>
      <c r="C847" s="1" t="n">
        <v>46128</v>
      </c>
      <c r="D847" t="inlineStr">
        <is>
          <t>SKÅNE LÄN</t>
        </is>
      </c>
      <c r="E847" t="inlineStr">
        <is>
          <t>HÄSSLEHOLM</t>
        </is>
      </c>
      <c r="G847" t="n">
        <v>1.3</v>
      </c>
      <c r="H847" t="n">
        <v>0</v>
      </c>
      <c r="I847" t="n">
        <v>0</v>
      </c>
      <c r="J847" t="n">
        <v>0</v>
      </c>
      <c r="K847" t="n">
        <v>0</v>
      </c>
      <c r="L847" t="n">
        <v>0</v>
      </c>
      <c r="M847" t="n">
        <v>0</v>
      </c>
      <c r="N847" t="n">
        <v>0</v>
      </c>
      <c r="O847" t="n">
        <v>0</v>
      </c>
      <c r="P847" t="n">
        <v>0</v>
      </c>
      <c r="Q847" t="n">
        <v>0</v>
      </c>
      <c r="R847" s="2" t="inlineStr"/>
    </row>
    <row r="848" ht="15" customHeight="1">
      <c r="A848" t="inlineStr">
        <is>
          <t>A 31581-2023</t>
        </is>
      </c>
      <c r="B848" s="1" t="n">
        <v>45117.45165509259</v>
      </c>
      <c r="C848" s="1" t="n">
        <v>46128</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37286-2025</t>
        </is>
      </c>
      <c r="B849" s="1" t="n">
        <v>45876.50116898148</v>
      </c>
      <c r="C849" s="1" t="n">
        <v>46128</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37271-2025</t>
        </is>
      </c>
      <c r="B850" s="1" t="n">
        <v>45876.47828703704</v>
      </c>
      <c r="C850" s="1" t="n">
        <v>46128</v>
      </c>
      <c r="D850" t="inlineStr">
        <is>
          <t>SKÅNE LÄN</t>
        </is>
      </c>
      <c r="E850" t="inlineStr">
        <is>
          <t>HÄSSLEHOLM</t>
        </is>
      </c>
      <c r="G850" t="n">
        <v>4.1</v>
      </c>
      <c r="H850" t="n">
        <v>0</v>
      </c>
      <c r="I850" t="n">
        <v>0</v>
      </c>
      <c r="J850" t="n">
        <v>0</v>
      </c>
      <c r="K850" t="n">
        <v>0</v>
      </c>
      <c r="L850" t="n">
        <v>0</v>
      </c>
      <c r="M850" t="n">
        <v>0</v>
      </c>
      <c r="N850" t="n">
        <v>0</v>
      </c>
      <c r="O850" t="n">
        <v>0</v>
      </c>
      <c r="P850" t="n">
        <v>0</v>
      </c>
      <c r="Q850" t="n">
        <v>0</v>
      </c>
      <c r="R850" s="2" t="inlineStr"/>
    </row>
    <row r="851" ht="15" customHeight="1">
      <c r="A851" t="inlineStr">
        <is>
          <t>A 33597-2023</t>
        </is>
      </c>
      <c r="B851" s="1" t="n">
        <v>45132</v>
      </c>
      <c r="C851" s="1" t="n">
        <v>46128</v>
      </c>
      <c r="D851" t="inlineStr">
        <is>
          <t>SKÅNE LÄN</t>
        </is>
      </c>
      <c r="E851" t="inlineStr">
        <is>
          <t>HÄSSLEHOLM</t>
        </is>
      </c>
      <c r="G851" t="n">
        <v>3.9</v>
      </c>
      <c r="H851" t="n">
        <v>0</v>
      </c>
      <c r="I851" t="n">
        <v>0</v>
      </c>
      <c r="J851" t="n">
        <v>0</v>
      </c>
      <c r="K851" t="n">
        <v>0</v>
      </c>
      <c r="L851" t="n">
        <v>0</v>
      </c>
      <c r="M851" t="n">
        <v>0</v>
      </c>
      <c r="N851" t="n">
        <v>0</v>
      </c>
      <c r="O851" t="n">
        <v>0</v>
      </c>
      <c r="P851" t="n">
        <v>0</v>
      </c>
      <c r="Q851" t="n">
        <v>0</v>
      </c>
      <c r="R851" s="2" t="inlineStr"/>
    </row>
    <row r="852" ht="15" customHeight="1">
      <c r="A852" t="inlineStr">
        <is>
          <t>A 33599-2023</t>
        </is>
      </c>
      <c r="B852" s="1" t="n">
        <v>45132</v>
      </c>
      <c r="C852" s="1" t="n">
        <v>46128</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58241-2025</t>
        </is>
      </c>
      <c r="B853" s="1" t="n">
        <v>45985.38797453704</v>
      </c>
      <c r="C853" s="1" t="n">
        <v>46128</v>
      </c>
      <c r="D853" t="inlineStr">
        <is>
          <t>SKÅNE LÄN</t>
        </is>
      </c>
      <c r="E853" t="inlineStr">
        <is>
          <t>HÄSSLEHOLM</t>
        </is>
      </c>
      <c r="G853" t="n">
        <v>3.6</v>
      </c>
      <c r="H853" t="n">
        <v>0</v>
      </c>
      <c r="I853" t="n">
        <v>0</v>
      </c>
      <c r="J853" t="n">
        <v>0</v>
      </c>
      <c r="K853" t="n">
        <v>0</v>
      </c>
      <c r="L853" t="n">
        <v>0</v>
      </c>
      <c r="M853" t="n">
        <v>0</v>
      </c>
      <c r="N853" t="n">
        <v>0</v>
      </c>
      <c r="O853" t="n">
        <v>0</v>
      </c>
      <c r="P853" t="n">
        <v>0</v>
      </c>
      <c r="Q853" t="n">
        <v>0</v>
      </c>
      <c r="R853" s="2" t="inlineStr"/>
    </row>
    <row r="854" ht="15" customHeight="1">
      <c r="A854" t="inlineStr">
        <is>
          <t>A 33938-2023</t>
        </is>
      </c>
      <c r="B854" s="1" t="n">
        <v>45124</v>
      </c>
      <c r="C854" s="1" t="n">
        <v>46128</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11753-2025</t>
        </is>
      </c>
      <c r="B855" s="1" t="n">
        <v>45727</v>
      </c>
      <c r="C855" s="1" t="n">
        <v>46128</v>
      </c>
      <c r="D855" t="inlineStr">
        <is>
          <t>SKÅNE LÄN</t>
        </is>
      </c>
      <c r="E855" t="inlineStr">
        <is>
          <t>HÄSSLEHOLM</t>
        </is>
      </c>
      <c r="G855" t="n">
        <v>2.7</v>
      </c>
      <c r="H855" t="n">
        <v>0</v>
      </c>
      <c r="I855" t="n">
        <v>0</v>
      </c>
      <c r="J855" t="n">
        <v>0</v>
      </c>
      <c r="K855" t="n">
        <v>0</v>
      </c>
      <c r="L855" t="n">
        <v>0</v>
      </c>
      <c r="M855" t="n">
        <v>0</v>
      </c>
      <c r="N855" t="n">
        <v>0</v>
      </c>
      <c r="O855" t="n">
        <v>0</v>
      </c>
      <c r="P855" t="n">
        <v>0</v>
      </c>
      <c r="Q855" t="n">
        <v>0</v>
      </c>
      <c r="R855" s="2" t="inlineStr"/>
    </row>
    <row r="856" ht="15" customHeight="1">
      <c r="A856" t="inlineStr">
        <is>
          <t>A 32981-2025</t>
        </is>
      </c>
      <c r="B856" s="1" t="n">
        <v>45839.86820601852</v>
      </c>
      <c r="C856" s="1" t="n">
        <v>46128</v>
      </c>
      <c r="D856" t="inlineStr">
        <is>
          <t>SKÅNE LÄN</t>
        </is>
      </c>
      <c r="E856" t="inlineStr">
        <is>
          <t>HÄSSLEHOLM</t>
        </is>
      </c>
      <c r="G856" t="n">
        <v>2.7</v>
      </c>
      <c r="H856" t="n">
        <v>0</v>
      </c>
      <c r="I856" t="n">
        <v>0</v>
      </c>
      <c r="J856" t="n">
        <v>0</v>
      </c>
      <c r="K856" t="n">
        <v>0</v>
      </c>
      <c r="L856" t="n">
        <v>0</v>
      </c>
      <c r="M856" t="n">
        <v>0</v>
      </c>
      <c r="N856" t="n">
        <v>0</v>
      </c>
      <c r="O856" t="n">
        <v>0</v>
      </c>
      <c r="P856" t="n">
        <v>0</v>
      </c>
      <c r="Q856" t="n">
        <v>0</v>
      </c>
      <c r="R856" s="2" t="inlineStr"/>
    </row>
    <row r="857" ht="15" customHeight="1">
      <c r="A857" t="inlineStr">
        <is>
          <t>A 22693-2022</t>
        </is>
      </c>
      <c r="B857" s="1" t="n">
        <v>44714.54729166667</v>
      </c>
      <c r="C857" s="1" t="n">
        <v>46128</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18109-2025</t>
        </is>
      </c>
      <c r="B858" s="1" t="n">
        <v>45761</v>
      </c>
      <c r="C858" s="1" t="n">
        <v>46128</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35889-2023</t>
        </is>
      </c>
      <c r="B859" s="1" t="n">
        <v>45148</v>
      </c>
      <c r="C859" s="1" t="n">
        <v>46128</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35894-2023</t>
        </is>
      </c>
      <c r="B860" s="1" t="n">
        <v>45148</v>
      </c>
      <c r="C860" s="1" t="n">
        <v>46128</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16862-2025</t>
        </is>
      </c>
      <c r="B861" s="1" t="n">
        <v>45751</v>
      </c>
      <c r="C861" s="1" t="n">
        <v>46128</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35974-2022</t>
        </is>
      </c>
      <c r="B862" s="1" t="n">
        <v>44802</v>
      </c>
      <c r="C862" s="1" t="n">
        <v>46128</v>
      </c>
      <c r="D862" t="inlineStr">
        <is>
          <t>SKÅNE LÄN</t>
        </is>
      </c>
      <c r="E862" t="inlineStr">
        <is>
          <t>HÄSSLEHOLM</t>
        </is>
      </c>
      <c r="G862" t="n">
        <v>3.8</v>
      </c>
      <c r="H862" t="n">
        <v>0</v>
      </c>
      <c r="I862" t="n">
        <v>0</v>
      </c>
      <c r="J862" t="n">
        <v>0</v>
      </c>
      <c r="K862" t="n">
        <v>0</v>
      </c>
      <c r="L862" t="n">
        <v>0</v>
      </c>
      <c r="M862" t="n">
        <v>0</v>
      </c>
      <c r="N862" t="n">
        <v>0</v>
      </c>
      <c r="O862" t="n">
        <v>0</v>
      </c>
      <c r="P862" t="n">
        <v>0</v>
      </c>
      <c r="Q862" t="n">
        <v>0</v>
      </c>
      <c r="R862" s="2" t="inlineStr"/>
    </row>
    <row r="863" ht="15" customHeight="1">
      <c r="A863" t="inlineStr">
        <is>
          <t>A 24906-2022</t>
        </is>
      </c>
      <c r="B863" s="1" t="n">
        <v>44728</v>
      </c>
      <c r="C863" s="1" t="n">
        <v>46128</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7150-2025</t>
        </is>
      </c>
      <c r="B864" s="1" t="n">
        <v>45702.38239583333</v>
      </c>
      <c r="C864" s="1" t="n">
        <v>46128</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3245-2022</t>
        </is>
      </c>
      <c r="B865" s="1" t="n">
        <v>44583.39136574074</v>
      </c>
      <c r="C865" s="1" t="n">
        <v>46128</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55303-2024</t>
        </is>
      </c>
      <c r="B866" s="1" t="n">
        <v>45621.6434837963</v>
      </c>
      <c r="C866" s="1" t="n">
        <v>46128</v>
      </c>
      <c r="D866" t="inlineStr">
        <is>
          <t>SKÅNE LÄN</t>
        </is>
      </c>
      <c r="E866" t="inlineStr">
        <is>
          <t>HÄSSLEHOLM</t>
        </is>
      </c>
      <c r="G866" t="n">
        <v>3.3</v>
      </c>
      <c r="H866" t="n">
        <v>0</v>
      </c>
      <c r="I866" t="n">
        <v>0</v>
      </c>
      <c r="J866" t="n">
        <v>0</v>
      </c>
      <c r="K866" t="n">
        <v>0</v>
      </c>
      <c r="L866" t="n">
        <v>0</v>
      </c>
      <c r="M866" t="n">
        <v>0</v>
      </c>
      <c r="N866" t="n">
        <v>0</v>
      </c>
      <c r="O866" t="n">
        <v>0</v>
      </c>
      <c r="P866" t="n">
        <v>0</v>
      </c>
      <c r="Q866" t="n">
        <v>0</v>
      </c>
      <c r="R866" s="2" t="inlineStr"/>
    </row>
    <row r="867" ht="15" customHeight="1">
      <c r="A867" t="inlineStr">
        <is>
          <t>A 58933-2025</t>
        </is>
      </c>
      <c r="B867" s="1" t="n">
        <v>45987.56107638889</v>
      </c>
      <c r="C867" s="1" t="n">
        <v>46128</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16397-2022</t>
        </is>
      </c>
      <c r="B868" s="1" t="n">
        <v>44671</v>
      </c>
      <c r="C868" s="1" t="n">
        <v>46128</v>
      </c>
      <c r="D868" t="inlineStr">
        <is>
          <t>SKÅNE LÄN</t>
        </is>
      </c>
      <c r="E868" t="inlineStr">
        <is>
          <t>HÄSSLEHOLM</t>
        </is>
      </c>
      <c r="G868" t="n">
        <v>2.7</v>
      </c>
      <c r="H868" t="n">
        <v>0</v>
      </c>
      <c r="I868" t="n">
        <v>0</v>
      </c>
      <c r="J868" t="n">
        <v>0</v>
      </c>
      <c r="K868" t="n">
        <v>0</v>
      </c>
      <c r="L868" t="n">
        <v>0</v>
      </c>
      <c r="M868" t="n">
        <v>0</v>
      </c>
      <c r="N868" t="n">
        <v>0</v>
      </c>
      <c r="O868" t="n">
        <v>0</v>
      </c>
      <c r="P868" t="n">
        <v>0</v>
      </c>
      <c r="Q868" t="n">
        <v>0</v>
      </c>
      <c r="R868" s="2" t="inlineStr"/>
    </row>
    <row r="869" ht="15" customHeight="1">
      <c r="A869" t="inlineStr">
        <is>
          <t>A 16398-2022</t>
        </is>
      </c>
      <c r="B869" s="1" t="n">
        <v>44671</v>
      </c>
      <c r="C869" s="1" t="n">
        <v>46128</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59434-2023</t>
        </is>
      </c>
      <c r="B870" s="1" t="n">
        <v>45254.30440972222</v>
      </c>
      <c r="C870" s="1" t="n">
        <v>46128</v>
      </c>
      <c r="D870" t="inlineStr">
        <is>
          <t>SKÅNE LÄN</t>
        </is>
      </c>
      <c r="E870" t="inlineStr">
        <is>
          <t>HÄSSLEHOLM</t>
        </is>
      </c>
      <c r="G870" t="n">
        <v>3.6</v>
      </c>
      <c r="H870" t="n">
        <v>0</v>
      </c>
      <c r="I870" t="n">
        <v>0</v>
      </c>
      <c r="J870" t="n">
        <v>0</v>
      </c>
      <c r="K870" t="n">
        <v>0</v>
      </c>
      <c r="L870" t="n">
        <v>0</v>
      </c>
      <c r="M870" t="n">
        <v>0</v>
      </c>
      <c r="N870" t="n">
        <v>0</v>
      </c>
      <c r="O870" t="n">
        <v>0</v>
      </c>
      <c r="P870" t="n">
        <v>0</v>
      </c>
      <c r="Q870" t="n">
        <v>0</v>
      </c>
      <c r="R870" s="2" t="inlineStr"/>
    </row>
    <row r="871" ht="15" customHeight="1">
      <c r="A871" t="inlineStr">
        <is>
          <t>A 53055-2021</t>
        </is>
      </c>
      <c r="B871" s="1" t="n">
        <v>44467</v>
      </c>
      <c r="C871" s="1" t="n">
        <v>46128</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31255-2024</t>
        </is>
      </c>
      <c r="B872" s="1" t="n">
        <v>45503.69114583333</v>
      </c>
      <c r="C872" s="1" t="n">
        <v>46128</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1557-2023</t>
        </is>
      </c>
      <c r="B873" s="1" t="n">
        <v>44937</v>
      </c>
      <c r="C873" s="1" t="n">
        <v>46128</v>
      </c>
      <c r="D873" t="inlineStr">
        <is>
          <t>SKÅNE LÄN</t>
        </is>
      </c>
      <c r="E873" t="inlineStr">
        <is>
          <t>HÄSSLEHOLM</t>
        </is>
      </c>
      <c r="G873" t="n">
        <v>1.5</v>
      </c>
      <c r="H873" t="n">
        <v>0</v>
      </c>
      <c r="I873" t="n">
        <v>0</v>
      </c>
      <c r="J873" t="n">
        <v>0</v>
      </c>
      <c r="K873" t="n">
        <v>0</v>
      </c>
      <c r="L873" t="n">
        <v>0</v>
      </c>
      <c r="M873" t="n">
        <v>0</v>
      </c>
      <c r="N873" t="n">
        <v>0</v>
      </c>
      <c r="O873" t="n">
        <v>0</v>
      </c>
      <c r="P873" t="n">
        <v>0</v>
      </c>
      <c r="Q873" t="n">
        <v>0</v>
      </c>
      <c r="R873" s="2" t="inlineStr"/>
    </row>
    <row r="874" ht="15" customHeight="1">
      <c r="A874" t="inlineStr">
        <is>
          <t>A 4787-2023</t>
        </is>
      </c>
      <c r="B874" s="1" t="n">
        <v>44957.60079861111</v>
      </c>
      <c r="C874" s="1" t="n">
        <v>46128</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4788-2023</t>
        </is>
      </c>
      <c r="B875" s="1" t="n">
        <v>44957.60130787037</v>
      </c>
      <c r="C875" s="1" t="n">
        <v>46128</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55284-2023</t>
        </is>
      </c>
      <c r="B876" s="1" t="n">
        <v>45237.74259259259</v>
      </c>
      <c r="C876" s="1" t="n">
        <v>46128</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1616-2025</t>
        </is>
      </c>
      <c r="B877" s="1" t="n">
        <v>45670</v>
      </c>
      <c r="C877" s="1" t="n">
        <v>46128</v>
      </c>
      <c r="D877" t="inlineStr">
        <is>
          <t>SKÅNE LÄN</t>
        </is>
      </c>
      <c r="E877" t="inlineStr">
        <is>
          <t>HÄSSLEHOLM</t>
        </is>
      </c>
      <c r="G877" t="n">
        <v>3.6</v>
      </c>
      <c r="H877" t="n">
        <v>0</v>
      </c>
      <c r="I877" t="n">
        <v>0</v>
      </c>
      <c r="J877" t="n">
        <v>0</v>
      </c>
      <c r="K877" t="n">
        <v>0</v>
      </c>
      <c r="L877" t="n">
        <v>0</v>
      </c>
      <c r="M877" t="n">
        <v>0</v>
      </c>
      <c r="N877" t="n">
        <v>0</v>
      </c>
      <c r="O877" t="n">
        <v>0</v>
      </c>
      <c r="P877" t="n">
        <v>0</v>
      </c>
      <c r="Q877" t="n">
        <v>0</v>
      </c>
      <c r="R877" s="2" t="inlineStr"/>
    </row>
    <row r="878" ht="15" customHeight="1">
      <c r="A878" t="inlineStr">
        <is>
          <t>A 59722-2025</t>
        </is>
      </c>
      <c r="B878" s="1" t="n">
        <v>45992.5474537037</v>
      </c>
      <c r="C878" s="1" t="n">
        <v>46128</v>
      </c>
      <c r="D878" t="inlineStr">
        <is>
          <t>SKÅNE LÄN</t>
        </is>
      </c>
      <c r="E878" t="inlineStr">
        <is>
          <t>HÄSSLEHOLM</t>
        </is>
      </c>
      <c r="G878" t="n">
        <v>1.6</v>
      </c>
      <c r="H878" t="n">
        <v>0</v>
      </c>
      <c r="I878" t="n">
        <v>0</v>
      </c>
      <c r="J878" t="n">
        <v>0</v>
      </c>
      <c r="K878" t="n">
        <v>0</v>
      </c>
      <c r="L878" t="n">
        <v>0</v>
      </c>
      <c r="M878" t="n">
        <v>0</v>
      </c>
      <c r="N878" t="n">
        <v>0</v>
      </c>
      <c r="O878" t="n">
        <v>0</v>
      </c>
      <c r="P878" t="n">
        <v>0</v>
      </c>
      <c r="Q878" t="n">
        <v>0</v>
      </c>
      <c r="R878" s="2" t="inlineStr"/>
    </row>
    <row r="879" ht="15" customHeight="1">
      <c r="A879" t="inlineStr">
        <is>
          <t>A 22384-2024</t>
        </is>
      </c>
      <c r="B879" s="1" t="n">
        <v>45446.65592592592</v>
      </c>
      <c r="C879" s="1" t="n">
        <v>46128</v>
      </c>
      <c r="D879" t="inlineStr">
        <is>
          <t>SKÅNE LÄN</t>
        </is>
      </c>
      <c r="E879" t="inlineStr">
        <is>
          <t>HÄSSLEHOLM</t>
        </is>
      </c>
      <c r="G879" t="n">
        <v>2.4</v>
      </c>
      <c r="H879" t="n">
        <v>0</v>
      </c>
      <c r="I879" t="n">
        <v>0</v>
      </c>
      <c r="J879" t="n">
        <v>0</v>
      </c>
      <c r="K879" t="n">
        <v>0</v>
      </c>
      <c r="L879" t="n">
        <v>0</v>
      </c>
      <c r="M879" t="n">
        <v>0</v>
      </c>
      <c r="N879" t="n">
        <v>0</v>
      </c>
      <c r="O879" t="n">
        <v>0</v>
      </c>
      <c r="P879" t="n">
        <v>0</v>
      </c>
      <c r="Q879" t="n">
        <v>0</v>
      </c>
      <c r="R879" s="2" t="inlineStr"/>
    </row>
    <row r="880" ht="15" customHeight="1">
      <c r="A880" t="inlineStr">
        <is>
          <t>A 32210-2024</t>
        </is>
      </c>
      <c r="B880" s="1" t="n">
        <v>45511.67777777778</v>
      </c>
      <c r="C880" s="1" t="n">
        <v>46128</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46641-2023</t>
        </is>
      </c>
      <c r="B881" s="1" t="n">
        <v>45198.44523148148</v>
      </c>
      <c r="C881" s="1" t="n">
        <v>46128</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46645-2023</t>
        </is>
      </c>
      <c r="B882" s="1" t="n">
        <v>45198.44686342592</v>
      </c>
      <c r="C882" s="1" t="n">
        <v>46128</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59431-2023</t>
        </is>
      </c>
      <c r="B883" s="1" t="n">
        <v>45254.29207175926</v>
      </c>
      <c r="C883" s="1" t="n">
        <v>46128</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59433-2023</t>
        </is>
      </c>
      <c r="B884" s="1" t="n">
        <v>45254.29768518519</v>
      </c>
      <c r="C884" s="1" t="n">
        <v>46128</v>
      </c>
      <c r="D884" t="inlineStr">
        <is>
          <t>SKÅNE LÄN</t>
        </is>
      </c>
      <c r="E884" t="inlineStr">
        <is>
          <t>HÄSSLEHOLM</t>
        </is>
      </c>
      <c r="G884" t="n">
        <v>3.1</v>
      </c>
      <c r="H884" t="n">
        <v>0</v>
      </c>
      <c r="I884" t="n">
        <v>0</v>
      </c>
      <c r="J884" t="n">
        <v>0</v>
      </c>
      <c r="K884" t="n">
        <v>0</v>
      </c>
      <c r="L884" t="n">
        <v>0</v>
      </c>
      <c r="M884" t="n">
        <v>0</v>
      </c>
      <c r="N884" t="n">
        <v>0</v>
      </c>
      <c r="O884" t="n">
        <v>0</v>
      </c>
      <c r="P884" t="n">
        <v>0</v>
      </c>
      <c r="Q884" t="n">
        <v>0</v>
      </c>
      <c r="R884" s="2" t="inlineStr"/>
    </row>
    <row r="885" ht="15" customHeight="1">
      <c r="A885" t="inlineStr">
        <is>
          <t>A 59556-2023</t>
        </is>
      </c>
      <c r="B885" s="1" t="n">
        <v>45254.56313657408</v>
      </c>
      <c r="C885" s="1" t="n">
        <v>46128</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9543-2025</t>
        </is>
      </c>
      <c r="B886" s="1" t="n">
        <v>45715</v>
      </c>
      <c r="C886" s="1" t="n">
        <v>46128</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51571-2023</t>
        </is>
      </c>
      <c r="B887" s="1" t="n">
        <v>45222</v>
      </c>
      <c r="C887" s="1" t="n">
        <v>46128</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23864-2024</t>
        </is>
      </c>
      <c r="B888" s="1" t="n">
        <v>45455</v>
      </c>
      <c r="C888" s="1" t="n">
        <v>46128</v>
      </c>
      <c r="D888" t="inlineStr">
        <is>
          <t>SKÅNE LÄN</t>
        </is>
      </c>
      <c r="E888" t="inlineStr">
        <is>
          <t>HÄSSLEHOLM</t>
        </is>
      </c>
      <c r="G888" t="n">
        <v>6.2</v>
      </c>
      <c r="H888" t="n">
        <v>0</v>
      </c>
      <c r="I888" t="n">
        <v>0</v>
      </c>
      <c r="J888" t="n">
        <v>0</v>
      </c>
      <c r="K888" t="n">
        <v>0</v>
      </c>
      <c r="L888" t="n">
        <v>0</v>
      </c>
      <c r="M888" t="n">
        <v>0</v>
      </c>
      <c r="N888" t="n">
        <v>0</v>
      </c>
      <c r="O888" t="n">
        <v>0</v>
      </c>
      <c r="P888" t="n">
        <v>0</v>
      </c>
      <c r="Q888" t="n">
        <v>0</v>
      </c>
      <c r="R888" s="2" t="inlineStr"/>
    </row>
    <row r="889" ht="15" customHeight="1">
      <c r="A889" t="inlineStr">
        <is>
          <t>A 27291-2023</t>
        </is>
      </c>
      <c r="B889" s="1" t="n">
        <v>45096</v>
      </c>
      <c r="C889" s="1" t="n">
        <v>46128</v>
      </c>
      <c r="D889" t="inlineStr">
        <is>
          <t>SKÅNE LÄN</t>
        </is>
      </c>
      <c r="E889" t="inlineStr">
        <is>
          <t>HÄSSLEHOLM</t>
        </is>
      </c>
      <c r="G889" t="n">
        <v>3.5</v>
      </c>
      <c r="H889" t="n">
        <v>0</v>
      </c>
      <c r="I889" t="n">
        <v>0</v>
      </c>
      <c r="J889" t="n">
        <v>0</v>
      </c>
      <c r="K889" t="n">
        <v>0</v>
      </c>
      <c r="L889" t="n">
        <v>0</v>
      </c>
      <c r="M889" t="n">
        <v>0</v>
      </c>
      <c r="N889" t="n">
        <v>0</v>
      </c>
      <c r="O889" t="n">
        <v>0</v>
      </c>
      <c r="P889" t="n">
        <v>0</v>
      </c>
      <c r="Q889" t="n">
        <v>0</v>
      </c>
      <c r="R889" s="2" t="inlineStr"/>
    </row>
    <row r="890" ht="15" customHeight="1">
      <c r="A890" t="inlineStr">
        <is>
          <t>A 54174-2022</t>
        </is>
      </c>
      <c r="B890" s="1" t="n">
        <v>44881</v>
      </c>
      <c r="C890" s="1" t="n">
        <v>46128</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52235-2021</t>
        </is>
      </c>
      <c r="B891" s="1" t="n">
        <v>44463.60085648148</v>
      </c>
      <c r="C891" s="1" t="n">
        <v>46128</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48798-2023</t>
        </is>
      </c>
      <c r="B892" s="1" t="n">
        <v>45209.25318287037</v>
      </c>
      <c r="C892" s="1" t="n">
        <v>46128</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53302-2022</t>
        </is>
      </c>
      <c r="B893" s="1" t="n">
        <v>44877</v>
      </c>
      <c r="C893" s="1" t="n">
        <v>46128</v>
      </c>
      <c r="D893" t="inlineStr">
        <is>
          <t>SKÅNE LÄN</t>
        </is>
      </c>
      <c r="E893" t="inlineStr">
        <is>
          <t>HÄSSLEHOLM</t>
        </is>
      </c>
      <c r="G893" t="n">
        <v>0.1</v>
      </c>
      <c r="H893" t="n">
        <v>0</v>
      </c>
      <c r="I893" t="n">
        <v>0</v>
      </c>
      <c r="J893" t="n">
        <v>0</v>
      </c>
      <c r="K893" t="n">
        <v>0</v>
      </c>
      <c r="L893" t="n">
        <v>0</v>
      </c>
      <c r="M893" t="n">
        <v>0</v>
      </c>
      <c r="N893" t="n">
        <v>0</v>
      </c>
      <c r="O893" t="n">
        <v>0</v>
      </c>
      <c r="P893" t="n">
        <v>0</v>
      </c>
      <c r="Q893" t="n">
        <v>0</v>
      </c>
      <c r="R893" s="2" t="inlineStr"/>
    </row>
    <row r="894" ht="15" customHeight="1">
      <c r="A894" t="inlineStr">
        <is>
          <t>A 61322-2025</t>
        </is>
      </c>
      <c r="B894" s="1" t="n">
        <v>46000</v>
      </c>
      <c r="C894" s="1" t="n">
        <v>46128</v>
      </c>
      <c r="D894" t="inlineStr">
        <is>
          <t>SKÅNE LÄN</t>
        </is>
      </c>
      <c r="E894" t="inlineStr">
        <is>
          <t>HÄSSLEHOLM</t>
        </is>
      </c>
      <c r="G894" t="n">
        <v>2.2</v>
      </c>
      <c r="H894" t="n">
        <v>0</v>
      </c>
      <c r="I894" t="n">
        <v>0</v>
      </c>
      <c r="J894" t="n">
        <v>0</v>
      </c>
      <c r="K894" t="n">
        <v>0</v>
      </c>
      <c r="L894" t="n">
        <v>0</v>
      </c>
      <c r="M894" t="n">
        <v>0</v>
      </c>
      <c r="N894" t="n">
        <v>0</v>
      </c>
      <c r="O894" t="n">
        <v>0</v>
      </c>
      <c r="P894" t="n">
        <v>0</v>
      </c>
      <c r="Q894" t="n">
        <v>0</v>
      </c>
      <c r="R894" s="2" t="inlineStr"/>
    </row>
    <row r="895" ht="15" customHeight="1">
      <c r="A895" t="inlineStr">
        <is>
          <t>A 48627-2023</t>
        </is>
      </c>
      <c r="B895" s="1" t="n">
        <v>45208.57371527778</v>
      </c>
      <c r="C895" s="1" t="n">
        <v>46128</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52642-2021</t>
        </is>
      </c>
      <c r="B896" s="1" t="n">
        <v>44466.64298611111</v>
      </c>
      <c r="C896" s="1" t="n">
        <v>46128</v>
      </c>
      <c r="D896" t="inlineStr">
        <is>
          <t>SKÅNE LÄN</t>
        </is>
      </c>
      <c r="E896" t="inlineStr">
        <is>
          <t>HÄSSLEHOLM</t>
        </is>
      </c>
      <c r="G896" t="n">
        <v>3.7</v>
      </c>
      <c r="H896" t="n">
        <v>0</v>
      </c>
      <c r="I896" t="n">
        <v>0</v>
      </c>
      <c r="J896" t="n">
        <v>0</v>
      </c>
      <c r="K896" t="n">
        <v>0</v>
      </c>
      <c r="L896" t="n">
        <v>0</v>
      </c>
      <c r="M896" t="n">
        <v>0</v>
      </c>
      <c r="N896" t="n">
        <v>0</v>
      </c>
      <c r="O896" t="n">
        <v>0</v>
      </c>
      <c r="P896" t="n">
        <v>0</v>
      </c>
      <c r="Q896" t="n">
        <v>0</v>
      </c>
      <c r="R896" s="2" t="inlineStr"/>
    </row>
    <row r="897" ht="15" customHeight="1">
      <c r="A897" t="inlineStr">
        <is>
          <t>A 29850-2024</t>
        </is>
      </c>
      <c r="B897" s="1" t="n">
        <v>45485.64620370371</v>
      </c>
      <c r="C897" s="1" t="n">
        <v>46128</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17152-2025</t>
        </is>
      </c>
      <c r="B898" s="1" t="n">
        <v>45756.33318287037</v>
      </c>
      <c r="C898" s="1" t="n">
        <v>46128</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48326-2023</t>
        </is>
      </c>
      <c r="B899" s="1" t="n">
        <v>45205</v>
      </c>
      <c r="C899" s="1" t="n">
        <v>46128</v>
      </c>
      <c r="D899" t="inlineStr">
        <is>
          <t>SKÅNE LÄN</t>
        </is>
      </c>
      <c r="E899" t="inlineStr">
        <is>
          <t>HÄSSLEHOLM</t>
        </is>
      </c>
      <c r="G899" t="n">
        <v>12.7</v>
      </c>
      <c r="H899" t="n">
        <v>0</v>
      </c>
      <c r="I899" t="n">
        <v>0</v>
      </c>
      <c r="J899" t="n">
        <v>0</v>
      </c>
      <c r="K899" t="n">
        <v>0</v>
      </c>
      <c r="L899" t="n">
        <v>0</v>
      </c>
      <c r="M899" t="n">
        <v>0</v>
      </c>
      <c r="N899" t="n">
        <v>0</v>
      </c>
      <c r="O899" t="n">
        <v>0</v>
      </c>
      <c r="P899" t="n">
        <v>0</v>
      </c>
      <c r="Q899" t="n">
        <v>0</v>
      </c>
      <c r="R899" s="2" t="inlineStr"/>
    </row>
    <row r="900" ht="15" customHeight="1">
      <c r="A900" t="inlineStr">
        <is>
          <t>A 10752-2025</t>
        </is>
      </c>
      <c r="B900" s="1" t="n">
        <v>45722</v>
      </c>
      <c r="C900" s="1" t="n">
        <v>46128</v>
      </c>
      <c r="D900" t="inlineStr">
        <is>
          <t>SKÅNE LÄN</t>
        </is>
      </c>
      <c r="E900" t="inlineStr">
        <is>
          <t>HÄSSLEHOLM</t>
        </is>
      </c>
      <c r="G900" t="n">
        <v>1.2</v>
      </c>
      <c r="H900" t="n">
        <v>0</v>
      </c>
      <c r="I900" t="n">
        <v>0</v>
      </c>
      <c r="J900" t="n">
        <v>0</v>
      </c>
      <c r="K900" t="n">
        <v>0</v>
      </c>
      <c r="L900" t="n">
        <v>0</v>
      </c>
      <c r="M900" t="n">
        <v>0</v>
      </c>
      <c r="N900" t="n">
        <v>0</v>
      </c>
      <c r="O900" t="n">
        <v>0</v>
      </c>
      <c r="P900" t="n">
        <v>0</v>
      </c>
      <c r="Q900" t="n">
        <v>0</v>
      </c>
      <c r="R900" s="2" t="inlineStr"/>
    </row>
    <row r="901" ht="15" customHeight="1">
      <c r="A901" t="inlineStr">
        <is>
          <t>A 54462-2022</t>
        </is>
      </c>
      <c r="B901" s="1" t="n">
        <v>44882</v>
      </c>
      <c r="C901" s="1" t="n">
        <v>46128</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61474-2025</t>
        </is>
      </c>
      <c r="B902" s="1" t="n">
        <v>46001.61886574074</v>
      </c>
      <c r="C902" s="1" t="n">
        <v>46128</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3890-2024</t>
        </is>
      </c>
      <c r="B903" s="1" t="n">
        <v>45322.45366898148</v>
      </c>
      <c r="C903" s="1" t="n">
        <v>46128</v>
      </c>
      <c r="D903" t="inlineStr">
        <is>
          <t>SKÅNE LÄN</t>
        </is>
      </c>
      <c r="E903" t="inlineStr">
        <is>
          <t>HÄSSLEHOLM</t>
        </is>
      </c>
      <c r="G903" t="n">
        <v>3</v>
      </c>
      <c r="H903" t="n">
        <v>0</v>
      </c>
      <c r="I903" t="n">
        <v>0</v>
      </c>
      <c r="J903" t="n">
        <v>0</v>
      </c>
      <c r="K903" t="n">
        <v>0</v>
      </c>
      <c r="L903" t="n">
        <v>0</v>
      </c>
      <c r="M903" t="n">
        <v>0</v>
      </c>
      <c r="N903" t="n">
        <v>0</v>
      </c>
      <c r="O903" t="n">
        <v>0</v>
      </c>
      <c r="P903" t="n">
        <v>0</v>
      </c>
      <c r="Q903" t="n">
        <v>0</v>
      </c>
      <c r="R903" s="2" t="inlineStr"/>
    </row>
    <row r="904" ht="15" customHeight="1">
      <c r="A904" t="inlineStr">
        <is>
          <t>A 35711-2024</t>
        </is>
      </c>
      <c r="B904" s="1" t="n">
        <v>45532</v>
      </c>
      <c r="C904" s="1" t="n">
        <v>46128</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54471-2023</t>
        </is>
      </c>
      <c r="B905" s="1" t="n">
        <v>45233.4640162037</v>
      </c>
      <c r="C905" s="1" t="n">
        <v>46128</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57963-2023</t>
        </is>
      </c>
      <c r="B906" s="1" t="n">
        <v>45247.57732638889</v>
      </c>
      <c r="C906" s="1" t="n">
        <v>46128</v>
      </c>
      <c r="D906" t="inlineStr">
        <is>
          <t>SKÅNE LÄN</t>
        </is>
      </c>
      <c r="E906" t="inlineStr">
        <is>
          <t>HÄSSLEHOLM</t>
        </is>
      </c>
      <c r="G906" t="n">
        <v>4.6</v>
      </c>
      <c r="H906" t="n">
        <v>0</v>
      </c>
      <c r="I906" t="n">
        <v>0</v>
      </c>
      <c r="J906" t="n">
        <v>0</v>
      </c>
      <c r="K906" t="n">
        <v>0</v>
      </c>
      <c r="L906" t="n">
        <v>0</v>
      </c>
      <c r="M906" t="n">
        <v>0</v>
      </c>
      <c r="N906" t="n">
        <v>0</v>
      </c>
      <c r="O906" t="n">
        <v>0</v>
      </c>
      <c r="P906" t="n">
        <v>0</v>
      </c>
      <c r="Q906" t="n">
        <v>0</v>
      </c>
      <c r="R906" s="2" t="inlineStr"/>
    </row>
    <row r="907" ht="15" customHeight="1">
      <c r="A907" t="inlineStr">
        <is>
          <t>A 59028-2023</t>
        </is>
      </c>
      <c r="B907" s="1" t="n">
        <v>45252.67900462963</v>
      </c>
      <c r="C907" s="1" t="n">
        <v>46128</v>
      </c>
      <c r="D907" t="inlineStr">
        <is>
          <t>SKÅNE LÄN</t>
        </is>
      </c>
      <c r="E907" t="inlineStr">
        <is>
          <t>HÄSSLEHOLM</t>
        </is>
      </c>
      <c r="G907" t="n">
        <v>2.5</v>
      </c>
      <c r="H907" t="n">
        <v>0</v>
      </c>
      <c r="I907" t="n">
        <v>0</v>
      </c>
      <c r="J907" t="n">
        <v>0</v>
      </c>
      <c r="K907" t="n">
        <v>0</v>
      </c>
      <c r="L907" t="n">
        <v>0</v>
      </c>
      <c r="M907" t="n">
        <v>0</v>
      </c>
      <c r="N907" t="n">
        <v>0</v>
      </c>
      <c r="O907" t="n">
        <v>0</v>
      </c>
      <c r="P907" t="n">
        <v>0</v>
      </c>
      <c r="Q907" t="n">
        <v>0</v>
      </c>
      <c r="R907" s="2" t="inlineStr"/>
    </row>
    <row r="908" ht="15" customHeight="1">
      <c r="A908" t="inlineStr">
        <is>
          <t>A 13544-2025</t>
        </is>
      </c>
      <c r="B908" s="1" t="n">
        <v>45736</v>
      </c>
      <c r="C908" s="1" t="n">
        <v>46128</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2712-2024</t>
        </is>
      </c>
      <c r="B909" s="1" t="n">
        <v>45314</v>
      </c>
      <c r="C909" s="1" t="n">
        <v>46128</v>
      </c>
      <c r="D909" t="inlineStr">
        <is>
          <t>SKÅNE LÄN</t>
        </is>
      </c>
      <c r="E909" t="inlineStr">
        <is>
          <t>HÄSSLEHOLM</t>
        </is>
      </c>
      <c r="G909" t="n">
        <v>11.3</v>
      </c>
      <c r="H909" t="n">
        <v>0</v>
      </c>
      <c r="I909" t="n">
        <v>0</v>
      </c>
      <c r="J909" t="n">
        <v>0</v>
      </c>
      <c r="K909" t="n">
        <v>0</v>
      </c>
      <c r="L909" t="n">
        <v>0</v>
      </c>
      <c r="M909" t="n">
        <v>0</v>
      </c>
      <c r="N909" t="n">
        <v>0</v>
      </c>
      <c r="O909" t="n">
        <v>0</v>
      </c>
      <c r="P909" t="n">
        <v>0</v>
      </c>
      <c r="Q909" t="n">
        <v>0</v>
      </c>
      <c r="R909" s="2" t="inlineStr"/>
    </row>
    <row r="910" ht="15" customHeight="1">
      <c r="A910" t="inlineStr">
        <is>
          <t>A 62376-2025</t>
        </is>
      </c>
      <c r="B910" s="1" t="n">
        <v>46006</v>
      </c>
      <c r="C910" s="1" t="n">
        <v>46128</v>
      </c>
      <c r="D910" t="inlineStr">
        <is>
          <t>SKÅNE LÄN</t>
        </is>
      </c>
      <c r="E910" t="inlineStr">
        <is>
          <t>HÄSSLEHOLM</t>
        </is>
      </c>
      <c r="G910" t="n">
        <v>1.2</v>
      </c>
      <c r="H910" t="n">
        <v>0</v>
      </c>
      <c r="I910" t="n">
        <v>0</v>
      </c>
      <c r="J910" t="n">
        <v>0</v>
      </c>
      <c r="K910" t="n">
        <v>0</v>
      </c>
      <c r="L910" t="n">
        <v>0</v>
      </c>
      <c r="M910" t="n">
        <v>0</v>
      </c>
      <c r="N910" t="n">
        <v>0</v>
      </c>
      <c r="O910" t="n">
        <v>0</v>
      </c>
      <c r="P910" t="n">
        <v>0</v>
      </c>
      <c r="Q910" t="n">
        <v>0</v>
      </c>
      <c r="R910" s="2" t="inlineStr"/>
    </row>
    <row r="911" ht="15" customHeight="1">
      <c r="A911" t="inlineStr">
        <is>
          <t>A 260-2024</t>
        </is>
      </c>
      <c r="B911" s="1" t="n">
        <v>45294</v>
      </c>
      <c r="C911" s="1" t="n">
        <v>46128</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8263-2025</t>
        </is>
      </c>
      <c r="B912" s="1" t="n">
        <v>45708.50398148148</v>
      </c>
      <c r="C912" s="1" t="n">
        <v>46128</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62041-2022</t>
        </is>
      </c>
      <c r="B913" s="1" t="n">
        <v>44918.55743055556</v>
      </c>
      <c r="C913" s="1" t="n">
        <v>46128</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30006-2023</t>
        </is>
      </c>
      <c r="B914" s="1" t="n">
        <v>45109.79962962963</v>
      </c>
      <c r="C914" s="1" t="n">
        <v>46128</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46813-2024</t>
        </is>
      </c>
      <c r="B915" s="1" t="n">
        <v>45583</v>
      </c>
      <c r="C915" s="1" t="n">
        <v>46128</v>
      </c>
      <c r="D915" t="inlineStr">
        <is>
          <t>SKÅNE LÄN</t>
        </is>
      </c>
      <c r="E915" t="inlineStr">
        <is>
          <t>HÄSSLEHOLM</t>
        </is>
      </c>
      <c r="G915" t="n">
        <v>14.9</v>
      </c>
      <c r="H915" t="n">
        <v>0</v>
      </c>
      <c r="I915" t="n">
        <v>0</v>
      </c>
      <c r="J915" t="n">
        <v>0</v>
      </c>
      <c r="K915" t="n">
        <v>0</v>
      </c>
      <c r="L915" t="n">
        <v>0</v>
      </c>
      <c r="M915" t="n">
        <v>0</v>
      </c>
      <c r="N915" t="n">
        <v>0</v>
      </c>
      <c r="O915" t="n">
        <v>0</v>
      </c>
      <c r="P915" t="n">
        <v>0</v>
      </c>
      <c r="Q915" t="n">
        <v>0</v>
      </c>
      <c r="R915" s="2" t="inlineStr"/>
    </row>
    <row r="916" ht="15" customHeight="1">
      <c r="A916" t="inlineStr">
        <is>
          <t>A 62271-2025</t>
        </is>
      </c>
      <c r="B916" s="1" t="n">
        <v>46006.62256944444</v>
      </c>
      <c r="C916" s="1" t="n">
        <v>46128</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62264-2025</t>
        </is>
      </c>
      <c r="B917" s="1" t="n">
        <v>46006.61644675926</v>
      </c>
      <c r="C917" s="1" t="n">
        <v>46128</v>
      </c>
      <c r="D917" t="inlineStr">
        <is>
          <t>SKÅNE LÄN</t>
        </is>
      </c>
      <c r="E917" t="inlineStr">
        <is>
          <t>HÄSSLEHOLM</t>
        </is>
      </c>
      <c r="G917" t="n">
        <v>7.5</v>
      </c>
      <c r="H917" t="n">
        <v>0</v>
      </c>
      <c r="I917" t="n">
        <v>0</v>
      </c>
      <c r="J917" t="n">
        <v>0</v>
      </c>
      <c r="K917" t="n">
        <v>0</v>
      </c>
      <c r="L917" t="n">
        <v>0</v>
      </c>
      <c r="M917" t="n">
        <v>0</v>
      </c>
      <c r="N917" t="n">
        <v>0</v>
      </c>
      <c r="O917" t="n">
        <v>0</v>
      </c>
      <c r="P917" t="n">
        <v>0</v>
      </c>
      <c r="Q917" t="n">
        <v>0</v>
      </c>
      <c r="R917" s="2" t="inlineStr"/>
    </row>
    <row r="918" ht="15" customHeight="1">
      <c r="A918" t="inlineStr">
        <is>
          <t>A 42364-2023</t>
        </is>
      </c>
      <c r="B918" s="1" t="n">
        <v>45180.54754629629</v>
      </c>
      <c r="C918" s="1" t="n">
        <v>46128</v>
      </c>
      <c r="D918" t="inlineStr">
        <is>
          <t>SKÅNE LÄN</t>
        </is>
      </c>
      <c r="E918" t="inlineStr">
        <is>
          <t>HÄSSLEHOLM</t>
        </is>
      </c>
      <c r="G918" t="n">
        <v>1.1</v>
      </c>
      <c r="H918" t="n">
        <v>0</v>
      </c>
      <c r="I918" t="n">
        <v>0</v>
      </c>
      <c r="J918" t="n">
        <v>0</v>
      </c>
      <c r="K918" t="n">
        <v>0</v>
      </c>
      <c r="L918" t="n">
        <v>0</v>
      </c>
      <c r="M918" t="n">
        <v>0</v>
      </c>
      <c r="N918" t="n">
        <v>0</v>
      </c>
      <c r="O918" t="n">
        <v>0</v>
      </c>
      <c r="P918" t="n">
        <v>0</v>
      </c>
      <c r="Q918" t="n">
        <v>0</v>
      </c>
      <c r="R918" s="2" t="inlineStr"/>
    </row>
    <row r="919" ht="15" customHeight="1">
      <c r="A919" t="inlineStr">
        <is>
          <t>A 61578-2023</t>
        </is>
      </c>
      <c r="B919" s="1" t="n">
        <v>45265.47399305556</v>
      </c>
      <c r="C919" s="1" t="n">
        <v>46128</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40734-2024</t>
        </is>
      </c>
      <c r="B920" s="1" t="n">
        <v>45558</v>
      </c>
      <c r="C920" s="1" t="n">
        <v>46128</v>
      </c>
      <c r="D920" t="inlineStr">
        <is>
          <t>SKÅNE LÄN</t>
        </is>
      </c>
      <c r="E920" t="inlineStr">
        <is>
          <t>HÄSSLEHOLM</t>
        </is>
      </c>
      <c r="G920" t="n">
        <v>1.4</v>
      </c>
      <c r="H920" t="n">
        <v>0</v>
      </c>
      <c r="I920" t="n">
        <v>0</v>
      </c>
      <c r="J920" t="n">
        <v>0</v>
      </c>
      <c r="K920" t="n">
        <v>0</v>
      </c>
      <c r="L920" t="n">
        <v>0</v>
      </c>
      <c r="M920" t="n">
        <v>0</v>
      </c>
      <c r="N920" t="n">
        <v>0</v>
      </c>
      <c r="O920" t="n">
        <v>0</v>
      </c>
      <c r="P920" t="n">
        <v>0</v>
      </c>
      <c r="Q920" t="n">
        <v>0</v>
      </c>
      <c r="R920" s="2" t="inlineStr"/>
    </row>
    <row r="921" ht="15" customHeight="1">
      <c r="A921" t="inlineStr">
        <is>
          <t>A 40738-2024</t>
        </is>
      </c>
      <c r="B921" s="1" t="n">
        <v>45558</v>
      </c>
      <c r="C921" s="1" t="n">
        <v>46128</v>
      </c>
      <c r="D921" t="inlineStr">
        <is>
          <t>SKÅNE LÄN</t>
        </is>
      </c>
      <c r="E921" t="inlineStr">
        <is>
          <t>HÄSSLEHOLM</t>
        </is>
      </c>
      <c r="G921" t="n">
        <v>2.6</v>
      </c>
      <c r="H921" t="n">
        <v>0</v>
      </c>
      <c r="I921" t="n">
        <v>0</v>
      </c>
      <c r="J921" t="n">
        <v>0</v>
      </c>
      <c r="K921" t="n">
        <v>0</v>
      </c>
      <c r="L921" t="n">
        <v>0</v>
      </c>
      <c r="M921" t="n">
        <v>0</v>
      </c>
      <c r="N921" t="n">
        <v>0</v>
      </c>
      <c r="O921" t="n">
        <v>0</v>
      </c>
      <c r="P921" t="n">
        <v>0</v>
      </c>
      <c r="Q921" t="n">
        <v>0</v>
      </c>
      <c r="R921" s="2" t="inlineStr"/>
    </row>
    <row r="922" ht="15" customHeight="1">
      <c r="A922" t="inlineStr">
        <is>
          <t>A 2597-2024</t>
        </is>
      </c>
      <c r="B922" s="1" t="n">
        <v>45313</v>
      </c>
      <c r="C922" s="1" t="n">
        <v>46128</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62277-2023</t>
        </is>
      </c>
      <c r="B923" s="1" t="n">
        <v>45266</v>
      </c>
      <c r="C923" s="1" t="n">
        <v>46128</v>
      </c>
      <c r="D923" t="inlineStr">
        <is>
          <t>SKÅNE LÄN</t>
        </is>
      </c>
      <c r="E923" t="inlineStr">
        <is>
          <t>HÄSSLEHOLM</t>
        </is>
      </c>
      <c r="G923" t="n">
        <v>1.2</v>
      </c>
      <c r="H923" t="n">
        <v>0</v>
      </c>
      <c r="I923" t="n">
        <v>0</v>
      </c>
      <c r="J923" t="n">
        <v>0</v>
      </c>
      <c r="K923" t="n">
        <v>0</v>
      </c>
      <c r="L923" t="n">
        <v>0</v>
      </c>
      <c r="M923" t="n">
        <v>0</v>
      </c>
      <c r="N923" t="n">
        <v>0</v>
      </c>
      <c r="O923" t="n">
        <v>0</v>
      </c>
      <c r="P923" t="n">
        <v>0</v>
      </c>
      <c r="Q923" t="n">
        <v>0</v>
      </c>
      <c r="R923" s="2" t="inlineStr"/>
    </row>
    <row r="924" ht="15" customHeight="1">
      <c r="A924" t="inlineStr">
        <is>
          <t>A 3888-2024</t>
        </is>
      </c>
      <c r="B924" s="1" t="n">
        <v>45322.45089120371</v>
      </c>
      <c r="C924" s="1" t="n">
        <v>46128</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3889-2024</t>
        </is>
      </c>
      <c r="B925" s="1" t="n">
        <v>45322.45234953704</v>
      </c>
      <c r="C925" s="1" t="n">
        <v>46128</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8249-2023</t>
        </is>
      </c>
      <c r="B926" s="1" t="n">
        <v>44974</v>
      </c>
      <c r="C926" s="1" t="n">
        <v>46128</v>
      </c>
      <c r="D926" t="inlineStr">
        <is>
          <t>SKÅNE LÄN</t>
        </is>
      </c>
      <c r="E926" t="inlineStr">
        <is>
          <t>HÄSSLEHOLM</t>
        </is>
      </c>
      <c r="G926" t="n">
        <v>5.8</v>
      </c>
      <c r="H926" t="n">
        <v>0</v>
      </c>
      <c r="I926" t="n">
        <v>0</v>
      </c>
      <c r="J926" t="n">
        <v>0</v>
      </c>
      <c r="K926" t="n">
        <v>0</v>
      </c>
      <c r="L926" t="n">
        <v>0</v>
      </c>
      <c r="M926" t="n">
        <v>0</v>
      </c>
      <c r="N926" t="n">
        <v>0</v>
      </c>
      <c r="O926" t="n">
        <v>0</v>
      </c>
      <c r="P926" t="n">
        <v>0</v>
      </c>
      <c r="Q926" t="n">
        <v>0</v>
      </c>
      <c r="R926" s="2" t="inlineStr"/>
    </row>
    <row r="927" ht="15" customHeight="1">
      <c r="A927" t="inlineStr">
        <is>
          <t>A 3480-2024</t>
        </is>
      </c>
      <c r="B927" s="1" t="n">
        <v>45320.43998842593</v>
      </c>
      <c r="C927" s="1" t="n">
        <v>46128</v>
      </c>
      <c r="D927" t="inlineStr">
        <is>
          <t>SKÅNE LÄN</t>
        </is>
      </c>
      <c r="E927" t="inlineStr">
        <is>
          <t>HÄSSLEHOLM</t>
        </is>
      </c>
      <c r="G927" t="n">
        <v>0.4</v>
      </c>
      <c r="H927" t="n">
        <v>0</v>
      </c>
      <c r="I927" t="n">
        <v>0</v>
      </c>
      <c r="J927" t="n">
        <v>0</v>
      </c>
      <c r="K927" t="n">
        <v>0</v>
      </c>
      <c r="L927" t="n">
        <v>0</v>
      </c>
      <c r="M927" t="n">
        <v>0</v>
      </c>
      <c r="N927" t="n">
        <v>0</v>
      </c>
      <c r="O927" t="n">
        <v>0</v>
      </c>
      <c r="P927" t="n">
        <v>0</v>
      </c>
      <c r="Q927" t="n">
        <v>0</v>
      </c>
      <c r="R927" s="2" t="inlineStr"/>
    </row>
    <row r="928" ht="15" customHeight="1">
      <c r="A928" t="inlineStr">
        <is>
          <t>A 63284-2025</t>
        </is>
      </c>
      <c r="B928" s="1" t="n">
        <v>46010</v>
      </c>
      <c r="C928" s="1" t="n">
        <v>46128</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37141-2021</t>
        </is>
      </c>
      <c r="B929" s="1" t="n">
        <v>44396</v>
      </c>
      <c r="C929" s="1" t="n">
        <v>46128</v>
      </c>
      <c r="D929" t="inlineStr">
        <is>
          <t>SKÅNE LÄN</t>
        </is>
      </c>
      <c r="E929" t="inlineStr">
        <is>
          <t>HÄSSLEHOLM</t>
        </is>
      </c>
      <c r="G929" t="n">
        <v>12.8</v>
      </c>
      <c r="H929" t="n">
        <v>0</v>
      </c>
      <c r="I929" t="n">
        <v>0</v>
      </c>
      <c r="J929" t="n">
        <v>0</v>
      </c>
      <c r="K929" t="n">
        <v>0</v>
      </c>
      <c r="L929" t="n">
        <v>0</v>
      </c>
      <c r="M929" t="n">
        <v>0</v>
      </c>
      <c r="N929" t="n">
        <v>0</v>
      </c>
      <c r="O929" t="n">
        <v>0</v>
      </c>
      <c r="P929" t="n">
        <v>0</v>
      </c>
      <c r="Q929" t="n">
        <v>0</v>
      </c>
      <c r="R929" s="2" t="inlineStr"/>
    </row>
    <row r="930" ht="15" customHeight="1">
      <c r="A930" t="inlineStr">
        <is>
          <t>A 54798-2025</t>
        </is>
      </c>
      <c r="B930" s="1" t="n">
        <v>45966</v>
      </c>
      <c r="C930" s="1" t="n">
        <v>46128</v>
      </c>
      <c r="D930" t="inlineStr">
        <is>
          <t>SKÅNE LÄN</t>
        </is>
      </c>
      <c r="E930" t="inlineStr">
        <is>
          <t>HÄSSLEHOLM</t>
        </is>
      </c>
      <c r="G930" t="n">
        <v>0.7</v>
      </c>
      <c r="H930" t="n">
        <v>0</v>
      </c>
      <c r="I930" t="n">
        <v>0</v>
      </c>
      <c r="J930" t="n">
        <v>0</v>
      </c>
      <c r="K930" t="n">
        <v>0</v>
      </c>
      <c r="L930" t="n">
        <v>0</v>
      </c>
      <c r="M930" t="n">
        <v>0</v>
      </c>
      <c r="N930" t="n">
        <v>0</v>
      </c>
      <c r="O930" t="n">
        <v>0</v>
      </c>
      <c r="P930" t="n">
        <v>0</v>
      </c>
      <c r="Q930" t="n">
        <v>0</v>
      </c>
      <c r="R930" s="2" t="inlineStr"/>
    </row>
    <row r="931" ht="15" customHeight="1">
      <c r="A931" t="inlineStr">
        <is>
          <t>A 63354-2025</t>
        </is>
      </c>
      <c r="B931" s="1" t="n">
        <v>46010.66957175926</v>
      </c>
      <c r="C931" s="1" t="n">
        <v>46128</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55218-2023</t>
        </is>
      </c>
      <c r="B932" s="1" t="n">
        <v>45237</v>
      </c>
      <c r="C932" s="1" t="n">
        <v>46128</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27349-2025</t>
        </is>
      </c>
      <c r="B933" s="1" t="n">
        <v>45812</v>
      </c>
      <c r="C933" s="1" t="n">
        <v>46128</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1119-2024</t>
        </is>
      </c>
      <c r="B934" s="1" t="n">
        <v>45302</v>
      </c>
      <c r="C934" s="1" t="n">
        <v>46128</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9393-2025</t>
        </is>
      </c>
      <c r="B935" s="1" t="n">
        <v>45715.36230324074</v>
      </c>
      <c r="C935" s="1" t="n">
        <v>46128</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62417-2025</t>
        </is>
      </c>
      <c r="B936" s="1" t="n">
        <v>46007</v>
      </c>
      <c r="C936" s="1" t="n">
        <v>46128</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11422-2025</t>
        </is>
      </c>
      <c r="B937" s="1" t="n">
        <v>45726</v>
      </c>
      <c r="C937" s="1" t="n">
        <v>46128</v>
      </c>
      <c r="D937" t="inlineStr">
        <is>
          <t>SKÅNE LÄN</t>
        </is>
      </c>
      <c r="E937" t="inlineStr">
        <is>
          <t>HÄSSLEHOLM</t>
        </is>
      </c>
      <c r="G937" t="n">
        <v>14.9</v>
      </c>
      <c r="H937" t="n">
        <v>0</v>
      </c>
      <c r="I937" t="n">
        <v>0</v>
      </c>
      <c r="J937" t="n">
        <v>0</v>
      </c>
      <c r="K937" t="n">
        <v>0</v>
      </c>
      <c r="L937" t="n">
        <v>0</v>
      </c>
      <c r="M937" t="n">
        <v>0</v>
      </c>
      <c r="N937" t="n">
        <v>0</v>
      </c>
      <c r="O937" t="n">
        <v>0</v>
      </c>
      <c r="P937" t="n">
        <v>0</v>
      </c>
      <c r="Q937" t="n">
        <v>0</v>
      </c>
      <c r="R937" s="2" t="inlineStr"/>
    </row>
    <row r="938" ht="15" customHeight="1">
      <c r="A938" t="inlineStr">
        <is>
          <t>A 57277-2023</t>
        </is>
      </c>
      <c r="B938" s="1" t="n">
        <v>45245.59104166667</v>
      </c>
      <c r="C938" s="1" t="n">
        <v>46128</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63710-2025</t>
        </is>
      </c>
      <c r="B939" s="1" t="n">
        <v>46014.62143518519</v>
      </c>
      <c r="C939" s="1" t="n">
        <v>46128</v>
      </c>
      <c r="D939" t="inlineStr">
        <is>
          <t>SKÅNE LÄN</t>
        </is>
      </c>
      <c r="E939" t="inlineStr">
        <is>
          <t>HÄSSLEHOLM</t>
        </is>
      </c>
      <c r="G939" t="n">
        <v>1.3</v>
      </c>
      <c r="H939" t="n">
        <v>0</v>
      </c>
      <c r="I939" t="n">
        <v>0</v>
      </c>
      <c r="J939" t="n">
        <v>0</v>
      </c>
      <c r="K939" t="n">
        <v>0</v>
      </c>
      <c r="L939" t="n">
        <v>0</v>
      </c>
      <c r="M939" t="n">
        <v>0</v>
      </c>
      <c r="N939" t="n">
        <v>0</v>
      </c>
      <c r="O939" t="n">
        <v>0</v>
      </c>
      <c r="P939" t="n">
        <v>0</v>
      </c>
      <c r="Q939" t="n">
        <v>0</v>
      </c>
      <c r="R939" s="2" t="inlineStr"/>
    </row>
    <row r="940" ht="15" customHeight="1">
      <c r="A940" t="inlineStr">
        <is>
          <t>A 63510-2025</t>
        </is>
      </c>
      <c r="B940" s="1" t="n">
        <v>46013.49172453704</v>
      </c>
      <c r="C940" s="1" t="n">
        <v>46128</v>
      </c>
      <c r="D940" t="inlineStr">
        <is>
          <t>SKÅNE LÄN</t>
        </is>
      </c>
      <c r="E940" t="inlineStr">
        <is>
          <t>HÄSSLEHOLM</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45399-2022</t>
        </is>
      </c>
      <c r="B941" s="1" t="n">
        <v>44844.70513888889</v>
      </c>
      <c r="C941" s="1" t="n">
        <v>46128</v>
      </c>
      <c r="D941" t="inlineStr">
        <is>
          <t>SKÅNE LÄN</t>
        </is>
      </c>
      <c r="E941" t="inlineStr">
        <is>
          <t>HÄSSLEHOLM</t>
        </is>
      </c>
      <c r="G941" t="n">
        <v>0</v>
      </c>
      <c r="H941" t="n">
        <v>0</v>
      </c>
      <c r="I941" t="n">
        <v>0</v>
      </c>
      <c r="J941" t="n">
        <v>0</v>
      </c>
      <c r="K941" t="n">
        <v>0</v>
      </c>
      <c r="L941" t="n">
        <v>0</v>
      </c>
      <c r="M941" t="n">
        <v>0</v>
      </c>
      <c r="N941" t="n">
        <v>0</v>
      </c>
      <c r="O941" t="n">
        <v>0</v>
      </c>
      <c r="P941" t="n">
        <v>0</v>
      </c>
      <c r="Q941" t="n">
        <v>0</v>
      </c>
      <c r="R941" s="2" t="inlineStr"/>
    </row>
    <row r="942" ht="15" customHeight="1">
      <c r="A942" t="inlineStr">
        <is>
          <t>A 63487-2025</t>
        </is>
      </c>
      <c r="B942" s="1" t="n">
        <v>46013.46878472222</v>
      </c>
      <c r="C942" s="1" t="n">
        <v>46128</v>
      </c>
      <c r="D942" t="inlineStr">
        <is>
          <t>SKÅNE LÄN</t>
        </is>
      </c>
      <c r="E942" t="inlineStr">
        <is>
          <t>HÄSSLEHOLM</t>
        </is>
      </c>
      <c r="F942" t="inlineStr">
        <is>
          <t>Kommuner</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63414-2025</t>
        </is>
      </c>
      <c r="B943" s="1" t="n">
        <v>46013.32008101852</v>
      </c>
      <c r="C943" s="1" t="n">
        <v>46128</v>
      </c>
      <c r="D943" t="inlineStr">
        <is>
          <t>SKÅNE LÄN</t>
        </is>
      </c>
      <c r="E943" t="inlineStr">
        <is>
          <t>HÄSSLEHOLM</t>
        </is>
      </c>
      <c r="G943" t="n">
        <v>1.3</v>
      </c>
      <c r="H943" t="n">
        <v>0</v>
      </c>
      <c r="I943" t="n">
        <v>0</v>
      </c>
      <c r="J943" t="n">
        <v>0</v>
      </c>
      <c r="K943" t="n">
        <v>0</v>
      </c>
      <c r="L943" t="n">
        <v>0</v>
      </c>
      <c r="M943" t="n">
        <v>0</v>
      </c>
      <c r="N943" t="n">
        <v>0</v>
      </c>
      <c r="O943" t="n">
        <v>0</v>
      </c>
      <c r="P943" t="n">
        <v>0</v>
      </c>
      <c r="Q943" t="n">
        <v>0</v>
      </c>
      <c r="R943" s="2" t="inlineStr"/>
    </row>
    <row r="944" ht="15" customHeight="1">
      <c r="A944" t="inlineStr">
        <is>
          <t>A 8160-2024</t>
        </is>
      </c>
      <c r="B944" s="1" t="n">
        <v>45351</v>
      </c>
      <c r="C944" s="1" t="n">
        <v>46128</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63415-2025</t>
        </is>
      </c>
      <c r="B945" s="1" t="n">
        <v>46013.32163194445</v>
      </c>
      <c r="C945" s="1" t="n">
        <v>46128</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63416-2025</t>
        </is>
      </c>
      <c r="B946" s="1" t="n">
        <v>46013.3232175926</v>
      </c>
      <c r="C946" s="1" t="n">
        <v>46128</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49379-2021</t>
        </is>
      </c>
      <c r="B947" s="1" t="n">
        <v>44454</v>
      </c>
      <c r="C947" s="1" t="n">
        <v>46128</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32881-2024</t>
        </is>
      </c>
      <c r="B948" s="1" t="n">
        <v>45516</v>
      </c>
      <c r="C948" s="1" t="n">
        <v>46128</v>
      </c>
      <c r="D948" t="inlineStr">
        <is>
          <t>SKÅNE LÄN</t>
        </is>
      </c>
      <c r="E948" t="inlineStr">
        <is>
          <t>HÄSSLEHOLM</t>
        </is>
      </c>
      <c r="G948" t="n">
        <v>6.3</v>
      </c>
      <c r="H948" t="n">
        <v>0</v>
      </c>
      <c r="I948" t="n">
        <v>0</v>
      </c>
      <c r="J948" t="n">
        <v>0</v>
      </c>
      <c r="K948" t="n">
        <v>0</v>
      </c>
      <c r="L948" t="n">
        <v>0</v>
      </c>
      <c r="M948" t="n">
        <v>0</v>
      </c>
      <c r="N948" t="n">
        <v>0</v>
      </c>
      <c r="O948" t="n">
        <v>0</v>
      </c>
      <c r="P948" t="n">
        <v>0</v>
      </c>
      <c r="Q948" t="n">
        <v>0</v>
      </c>
      <c r="R948" s="2" t="inlineStr"/>
    </row>
    <row r="949" ht="15" customHeight="1">
      <c r="A949" t="inlineStr">
        <is>
          <t>A 2743-2023</t>
        </is>
      </c>
      <c r="B949" s="1" t="n">
        <v>44944</v>
      </c>
      <c r="C949" s="1" t="n">
        <v>46128</v>
      </c>
      <c r="D949" t="inlineStr">
        <is>
          <t>SKÅNE LÄN</t>
        </is>
      </c>
      <c r="E949" t="inlineStr">
        <is>
          <t>HÄSSLEHOLM</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9611-2025</t>
        </is>
      </c>
      <c r="B950" s="1" t="n">
        <v>45715</v>
      </c>
      <c r="C950" s="1" t="n">
        <v>46128</v>
      </c>
      <c r="D950" t="inlineStr">
        <is>
          <t>SKÅNE LÄN</t>
        </is>
      </c>
      <c r="E950" t="inlineStr">
        <is>
          <t>HÄSSLEHOLM</t>
        </is>
      </c>
      <c r="G950" t="n">
        <v>2.1</v>
      </c>
      <c r="H950" t="n">
        <v>0</v>
      </c>
      <c r="I950" t="n">
        <v>0</v>
      </c>
      <c r="J950" t="n">
        <v>0</v>
      </c>
      <c r="K950" t="n">
        <v>0</v>
      </c>
      <c r="L950" t="n">
        <v>0</v>
      </c>
      <c r="M950" t="n">
        <v>0</v>
      </c>
      <c r="N950" t="n">
        <v>0</v>
      </c>
      <c r="O950" t="n">
        <v>0</v>
      </c>
      <c r="P950" t="n">
        <v>0</v>
      </c>
      <c r="Q950" t="n">
        <v>0</v>
      </c>
      <c r="R950" s="2" t="inlineStr"/>
    </row>
    <row r="951" ht="15" customHeight="1">
      <c r="A951" t="inlineStr">
        <is>
          <t>A 5284-2023</t>
        </is>
      </c>
      <c r="B951" s="1" t="n">
        <v>44959.50608796296</v>
      </c>
      <c r="C951" s="1" t="n">
        <v>46128</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5285-2023</t>
        </is>
      </c>
      <c r="B952" s="1" t="n">
        <v>44959.50783564815</v>
      </c>
      <c r="C952" s="1" t="n">
        <v>46128</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57272-2023</t>
        </is>
      </c>
      <c r="B953" s="1" t="n">
        <v>45245</v>
      </c>
      <c r="C953" s="1" t="n">
        <v>46128</v>
      </c>
      <c r="D953" t="inlineStr">
        <is>
          <t>SKÅNE LÄN</t>
        </is>
      </c>
      <c r="E953" t="inlineStr">
        <is>
          <t>HÄSSLEHOLM</t>
        </is>
      </c>
      <c r="G953" t="n">
        <v>2.3</v>
      </c>
      <c r="H953" t="n">
        <v>0</v>
      </c>
      <c r="I953" t="n">
        <v>0</v>
      </c>
      <c r="J953" t="n">
        <v>0</v>
      </c>
      <c r="K953" t="n">
        <v>0</v>
      </c>
      <c r="L953" t="n">
        <v>0</v>
      </c>
      <c r="M953" t="n">
        <v>0</v>
      </c>
      <c r="N953" t="n">
        <v>0</v>
      </c>
      <c r="O953" t="n">
        <v>0</v>
      </c>
      <c r="P953" t="n">
        <v>0</v>
      </c>
      <c r="Q953" t="n">
        <v>0</v>
      </c>
      <c r="R953" s="2" t="inlineStr"/>
    </row>
    <row r="954" ht="15" customHeight="1">
      <c r="A954" t="inlineStr">
        <is>
          <t>A 47450-2025</t>
        </is>
      </c>
      <c r="B954" s="1" t="n">
        <v>45930</v>
      </c>
      <c r="C954" s="1" t="n">
        <v>46128</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6316-2026</t>
        </is>
      </c>
      <c r="B955" s="1" t="n">
        <v>46055</v>
      </c>
      <c r="C955" s="1" t="n">
        <v>46128</v>
      </c>
      <c r="D955" t="inlineStr">
        <is>
          <t>SKÅNE LÄN</t>
        </is>
      </c>
      <c r="E955" t="inlineStr">
        <is>
          <t>HÄSSLEHOLM</t>
        </is>
      </c>
      <c r="G955" t="n">
        <v>2.3</v>
      </c>
      <c r="H955" t="n">
        <v>0</v>
      </c>
      <c r="I955" t="n">
        <v>0</v>
      </c>
      <c r="J955" t="n">
        <v>0</v>
      </c>
      <c r="K955" t="n">
        <v>0</v>
      </c>
      <c r="L955" t="n">
        <v>0</v>
      </c>
      <c r="M955" t="n">
        <v>0</v>
      </c>
      <c r="N955" t="n">
        <v>0</v>
      </c>
      <c r="O955" t="n">
        <v>0</v>
      </c>
      <c r="P955" t="n">
        <v>0</v>
      </c>
      <c r="Q955" t="n">
        <v>0</v>
      </c>
      <c r="R955" s="2" t="inlineStr"/>
    </row>
    <row r="956" ht="15" customHeight="1">
      <c r="A956" t="inlineStr">
        <is>
          <t>A 63709-2025</t>
        </is>
      </c>
      <c r="B956" s="1" t="n">
        <v>46014.61700231482</v>
      </c>
      <c r="C956" s="1" t="n">
        <v>46128</v>
      </c>
      <c r="D956" t="inlineStr">
        <is>
          <t>SKÅNE LÄN</t>
        </is>
      </c>
      <c r="E956" t="inlineStr">
        <is>
          <t>HÄSSLEHOLM</t>
        </is>
      </c>
      <c r="G956" t="n">
        <v>1.7</v>
      </c>
      <c r="H956" t="n">
        <v>0</v>
      </c>
      <c r="I956" t="n">
        <v>0</v>
      </c>
      <c r="J956" t="n">
        <v>0</v>
      </c>
      <c r="K956" t="n">
        <v>0</v>
      </c>
      <c r="L956" t="n">
        <v>0</v>
      </c>
      <c r="M956" t="n">
        <v>0</v>
      </c>
      <c r="N956" t="n">
        <v>0</v>
      </c>
      <c r="O956" t="n">
        <v>0</v>
      </c>
      <c r="P956" t="n">
        <v>0</v>
      </c>
      <c r="Q956" t="n">
        <v>0</v>
      </c>
      <c r="R956" s="2" t="inlineStr"/>
    </row>
    <row r="957" ht="15" customHeight="1">
      <c r="A957" t="inlineStr">
        <is>
          <t>A 6328-2026</t>
        </is>
      </c>
      <c r="B957" s="1" t="n">
        <v>46055</v>
      </c>
      <c r="C957" s="1" t="n">
        <v>46128</v>
      </c>
      <c r="D957" t="inlineStr">
        <is>
          <t>SKÅNE LÄN</t>
        </is>
      </c>
      <c r="E957" t="inlineStr">
        <is>
          <t>HÄSSLEHOLM</t>
        </is>
      </c>
      <c r="G957" t="n">
        <v>1.9</v>
      </c>
      <c r="H957" t="n">
        <v>0</v>
      </c>
      <c r="I957" t="n">
        <v>0</v>
      </c>
      <c r="J957" t="n">
        <v>0</v>
      </c>
      <c r="K957" t="n">
        <v>0</v>
      </c>
      <c r="L957" t="n">
        <v>0</v>
      </c>
      <c r="M957" t="n">
        <v>0</v>
      </c>
      <c r="N957" t="n">
        <v>0</v>
      </c>
      <c r="O957" t="n">
        <v>0</v>
      </c>
      <c r="P957" t="n">
        <v>0</v>
      </c>
      <c r="Q957" t="n">
        <v>0</v>
      </c>
      <c r="R957" s="2" t="inlineStr"/>
    </row>
    <row r="958" ht="15" customHeight="1">
      <c r="A958" t="inlineStr">
        <is>
          <t>A 47432-2025</t>
        </is>
      </c>
      <c r="B958" s="1" t="n">
        <v>45930</v>
      </c>
      <c r="C958" s="1" t="n">
        <v>46128</v>
      </c>
      <c r="D958" t="inlineStr">
        <is>
          <t>SKÅNE LÄN</t>
        </is>
      </c>
      <c r="E958" t="inlineStr">
        <is>
          <t>HÄSSLEHOLM</t>
        </is>
      </c>
      <c r="G958" t="n">
        <v>3.1</v>
      </c>
      <c r="H958" t="n">
        <v>0</v>
      </c>
      <c r="I958" t="n">
        <v>0</v>
      </c>
      <c r="J958" t="n">
        <v>0</v>
      </c>
      <c r="K958" t="n">
        <v>0</v>
      </c>
      <c r="L958" t="n">
        <v>0</v>
      </c>
      <c r="M958" t="n">
        <v>0</v>
      </c>
      <c r="N958" t="n">
        <v>0</v>
      </c>
      <c r="O958" t="n">
        <v>0</v>
      </c>
      <c r="P958" t="n">
        <v>0</v>
      </c>
      <c r="Q958" t="n">
        <v>0</v>
      </c>
      <c r="R958" s="2" t="inlineStr"/>
    </row>
    <row r="959" ht="15" customHeight="1">
      <c r="A959" t="inlineStr">
        <is>
          <t>A 2479-2024</t>
        </is>
      </c>
      <c r="B959" s="1" t="n">
        <v>45313.40148148148</v>
      </c>
      <c r="C959" s="1" t="n">
        <v>46128</v>
      </c>
      <c r="D959" t="inlineStr">
        <is>
          <t>SKÅNE LÄN</t>
        </is>
      </c>
      <c r="E959" t="inlineStr">
        <is>
          <t>HÄSSLEHOLM</t>
        </is>
      </c>
      <c r="G959" t="n">
        <v>1.2</v>
      </c>
      <c r="H959" t="n">
        <v>0</v>
      </c>
      <c r="I959" t="n">
        <v>0</v>
      </c>
      <c r="J959" t="n">
        <v>0</v>
      </c>
      <c r="K959" t="n">
        <v>0</v>
      </c>
      <c r="L959" t="n">
        <v>0</v>
      </c>
      <c r="M959" t="n">
        <v>0</v>
      </c>
      <c r="N959" t="n">
        <v>0</v>
      </c>
      <c r="O959" t="n">
        <v>0</v>
      </c>
      <c r="P959" t="n">
        <v>0</v>
      </c>
      <c r="Q959" t="n">
        <v>0</v>
      </c>
      <c r="R959" s="2" t="inlineStr"/>
    </row>
    <row r="960" ht="15" customHeight="1">
      <c r="A960" t="inlineStr">
        <is>
          <t>A 63712-2025</t>
        </is>
      </c>
      <c r="B960" s="1" t="n">
        <v>46014.63092592593</v>
      </c>
      <c r="C960" s="1" t="n">
        <v>46128</v>
      </c>
      <c r="D960" t="inlineStr">
        <is>
          <t>SKÅNE LÄN</t>
        </is>
      </c>
      <c r="E960" t="inlineStr">
        <is>
          <t>HÄSSLEHOLM</t>
        </is>
      </c>
      <c r="G960" t="n">
        <v>3.9</v>
      </c>
      <c r="H960" t="n">
        <v>0</v>
      </c>
      <c r="I960" t="n">
        <v>0</v>
      </c>
      <c r="J960" t="n">
        <v>0</v>
      </c>
      <c r="K960" t="n">
        <v>0</v>
      </c>
      <c r="L960" t="n">
        <v>0</v>
      </c>
      <c r="M960" t="n">
        <v>0</v>
      </c>
      <c r="N960" t="n">
        <v>0</v>
      </c>
      <c r="O960" t="n">
        <v>0</v>
      </c>
      <c r="P960" t="n">
        <v>0</v>
      </c>
      <c r="Q960" t="n">
        <v>0</v>
      </c>
      <c r="R960" s="2" t="inlineStr"/>
    </row>
    <row r="961" ht="15" customHeight="1">
      <c r="A961" t="inlineStr">
        <is>
          <t>A 47422-2025</t>
        </is>
      </c>
      <c r="B961" s="1" t="n">
        <v>45930</v>
      </c>
      <c r="C961" s="1" t="n">
        <v>46128</v>
      </c>
      <c r="D961" t="inlineStr">
        <is>
          <t>SKÅNE LÄN</t>
        </is>
      </c>
      <c r="E961" t="inlineStr">
        <is>
          <t>HÄSSLEHOLM</t>
        </is>
      </c>
      <c r="G961" t="n">
        <v>3.5</v>
      </c>
      <c r="H961" t="n">
        <v>0</v>
      </c>
      <c r="I961" t="n">
        <v>0</v>
      </c>
      <c r="J961" t="n">
        <v>0</v>
      </c>
      <c r="K961" t="n">
        <v>0</v>
      </c>
      <c r="L961" t="n">
        <v>0</v>
      </c>
      <c r="M961" t="n">
        <v>0</v>
      </c>
      <c r="N961" t="n">
        <v>0</v>
      </c>
      <c r="O961" t="n">
        <v>0</v>
      </c>
      <c r="P961" t="n">
        <v>0</v>
      </c>
      <c r="Q961" t="n">
        <v>0</v>
      </c>
      <c r="R961" s="2" t="inlineStr"/>
    </row>
    <row r="962" ht="15" customHeight="1">
      <c r="A962" t="inlineStr">
        <is>
          <t>A 31160-2024</t>
        </is>
      </c>
      <c r="B962" s="1" t="n">
        <v>45503</v>
      </c>
      <c r="C962" s="1" t="n">
        <v>46128</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50664-2023</t>
        </is>
      </c>
      <c r="B963" s="1" t="n">
        <v>45217</v>
      </c>
      <c r="C963" s="1" t="n">
        <v>46128</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56490-2021</t>
        </is>
      </c>
      <c r="B964" s="1" t="n">
        <v>44480</v>
      </c>
      <c r="C964" s="1" t="n">
        <v>46128</v>
      </c>
      <c r="D964" t="inlineStr">
        <is>
          <t>SKÅNE LÄN</t>
        </is>
      </c>
      <c r="E964" t="inlineStr">
        <is>
          <t>HÄSSLEHOLM</t>
        </is>
      </c>
      <c r="F964" t="inlineStr">
        <is>
          <t>Kyrkan</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417-2022</t>
        </is>
      </c>
      <c r="B965" s="1" t="n">
        <v>44565.84615740741</v>
      </c>
      <c r="C965" s="1" t="n">
        <v>46128</v>
      </c>
      <c r="D965" t="inlineStr">
        <is>
          <t>SKÅNE LÄN</t>
        </is>
      </c>
      <c r="E965" t="inlineStr">
        <is>
          <t>HÄSSLEHOLM</t>
        </is>
      </c>
      <c r="G965" t="n">
        <v>0</v>
      </c>
      <c r="H965" t="n">
        <v>0</v>
      </c>
      <c r="I965" t="n">
        <v>0</v>
      </c>
      <c r="J965" t="n">
        <v>0</v>
      </c>
      <c r="K965" t="n">
        <v>0</v>
      </c>
      <c r="L965" t="n">
        <v>0</v>
      </c>
      <c r="M965" t="n">
        <v>0</v>
      </c>
      <c r="N965" t="n">
        <v>0</v>
      </c>
      <c r="O965" t="n">
        <v>0</v>
      </c>
      <c r="P965" t="n">
        <v>0</v>
      </c>
      <c r="Q965" t="n">
        <v>0</v>
      </c>
      <c r="R965" s="2" t="inlineStr"/>
    </row>
    <row r="966" ht="15" customHeight="1">
      <c r="A966" t="inlineStr">
        <is>
          <t>A 61934-2023</t>
        </is>
      </c>
      <c r="B966" s="1" t="n">
        <v>45266.54125</v>
      </c>
      <c r="C966" s="1" t="n">
        <v>46128</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41459-2022</t>
        </is>
      </c>
      <c r="B967" s="1" t="n">
        <v>44826.93372685185</v>
      </c>
      <c r="C967" s="1" t="n">
        <v>46128</v>
      </c>
      <c r="D967" t="inlineStr">
        <is>
          <t>SKÅNE LÄN</t>
        </is>
      </c>
      <c r="E967" t="inlineStr">
        <is>
          <t>HÄSSLEHOLM</t>
        </is>
      </c>
      <c r="G967" t="n">
        <v>2.3</v>
      </c>
      <c r="H967" t="n">
        <v>0</v>
      </c>
      <c r="I967" t="n">
        <v>0</v>
      </c>
      <c r="J967" t="n">
        <v>0</v>
      </c>
      <c r="K967" t="n">
        <v>0</v>
      </c>
      <c r="L967" t="n">
        <v>0</v>
      </c>
      <c r="M967" t="n">
        <v>0</v>
      </c>
      <c r="N967" t="n">
        <v>0</v>
      </c>
      <c r="O967" t="n">
        <v>0</v>
      </c>
      <c r="P967" t="n">
        <v>0</v>
      </c>
      <c r="Q967" t="n">
        <v>0</v>
      </c>
      <c r="R967" s="2" t="inlineStr"/>
    </row>
    <row r="968" ht="15" customHeight="1">
      <c r="A968" t="inlineStr">
        <is>
          <t>A 62044-2022</t>
        </is>
      </c>
      <c r="B968" s="1" t="n">
        <v>44918.55976851852</v>
      </c>
      <c r="C968" s="1" t="n">
        <v>46128</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19151-2023</t>
        </is>
      </c>
      <c r="B969" s="1" t="n">
        <v>45044</v>
      </c>
      <c r="C969" s="1" t="n">
        <v>46128</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6164-2023</t>
        </is>
      </c>
      <c r="B970" s="1" t="n">
        <v>44964.66871527778</v>
      </c>
      <c r="C970" s="1" t="n">
        <v>46128</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54658-2023</t>
        </is>
      </c>
      <c r="B971" s="1" t="n">
        <v>45235</v>
      </c>
      <c r="C971" s="1" t="n">
        <v>46128</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42370-2023</t>
        </is>
      </c>
      <c r="B972" s="1" t="n">
        <v>45180</v>
      </c>
      <c r="C972" s="1" t="n">
        <v>46128</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47394-2025</t>
        </is>
      </c>
      <c r="B973" s="1" t="n">
        <v>45930</v>
      </c>
      <c r="C973" s="1" t="n">
        <v>46128</v>
      </c>
      <c r="D973" t="inlineStr">
        <is>
          <t>SKÅNE LÄN</t>
        </is>
      </c>
      <c r="E973" t="inlineStr">
        <is>
          <t>HÄSSLEHOLM</t>
        </is>
      </c>
      <c r="G973" t="n">
        <v>2.4</v>
      </c>
      <c r="H973" t="n">
        <v>0</v>
      </c>
      <c r="I973" t="n">
        <v>0</v>
      </c>
      <c r="J973" t="n">
        <v>0</v>
      </c>
      <c r="K973" t="n">
        <v>0</v>
      </c>
      <c r="L973" t="n">
        <v>0</v>
      </c>
      <c r="M973" t="n">
        <v>0</v>
      </c>
      <c r="N973" t="n">
        <v>0</v>
      </c>
      <c r="O973" t="n">
        <v>0</v>
      </c>
      <c r="P973" t="n">
        <v>0</v>
      </c>
      <c r="Q973" t="n">
        <v>0</v>
      </c>
      <c r="R973" s="2" t="inlineStr"/>
    </row>
    <row r="974" ht="15" customHeight="1">
      <c r="A974" t="inlineStr">
        <is>
          <t>A 16951-2025</t>
        </is>
      </c>
      <c r="B974" s="1" t="n">
        <v>45755</v>
      </c>
      <c r="C974" s="1" t="n">
        <v>46128</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54426-2025</t>
        </is>
      </c>
      <c r="B975" s="1" t="n">
        <v>45965</v>
      </c>
      <c r="C975" s="1" t="n">
        <v>46128</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37318-2024</t>
        </is>
      </c>
      <c r="B976" s="1" t="n">
        <v>45540</v>
      </c>
      <c r="C976" s="1" t="n">
        <v>46128</v>
      </c>
      <c r="D976" t="inlineStr">
        <is>
          <t>SKÅNE LÄN</t>
        </is>
      </c>
      <c r="E976" t="inlineStr">
        <is>
          <t>HÄSSLEHOLM</t>
        </is>
      </c>
      <c r="G976" t="n">
        <v>3.9</v>
      </c>
      <c r="H976" t="n">
        <v>0</v>
      </c>
      <c r="I976" t="n">
        <v>0</v>
      </c>
      <c r="J976" t="n">
        <v>0</v>
      </c>
      <c r="K976" t="n">
        <v>0</v>
      </c>
      <c r="L976" t="n">
        <v>0</v>
      </c>
      <c r="M976" t="n">
        <v>0</v>
      </c>
      <c r="N976" t="n">
        <v>0</v>
      </c>
      <c r="O976" t="n">
        <v>0</v>
      </c>
      <c r="P976" t="n">
        <v>0</v>
      </c>
      <c r="Q976" t="n">
        <v>0</v>
      </c>
      <c r="R976" s="2" t="inlineStr"/>
    </row>
    <row r="977" ht="15" customHeight="1">
      <c r="A977" t="inlineStr">
        <is>
          <t>A 58891-2022</t>
        </is>
      </c>
      <c r="B977" s="1" t="n">
        <v>44896</v>
      </c>
      <c r="C977" s="1" t="n">
        <v>46128</v>
      </c>
      <c r="D977" t="inlineStr">
        <is>
          <t>SKÅNE LÄN</t>
        </is>
      </c>
      <c r="E977" t="inlineStr">
        <is>
          <t>HÄSSLEHOLM</t>
        </is>
      </c>
      <c r="F977" t="inlineStr">
        <is>
          <t>Kyrkan</t>
        </is>
      </c>
      <c r="G977" t="n">
        <v>1.6</v>
      </c>
      <c r="H977" t="n">
        <v>0</v>
      </c>
      <c r="I977" t="n">
        <v>0</v>
      </c>
      <c r="J977" t="n">
        <v>0</v>
      </c>
      <c r="K977" t="n">
        <v>0</v>
      </c>
      <c r="L977" t="n">
        <v>0</v>
      </c>
      <c r="M977" t="n">
        <v>0</v>
      </c>
      <c r="N977" t="n">
        <v>0</v>
      </c>
      <c r="O977" t="n">
        <v>0</v>
      </c>
      <c r="P977" t="n">
        <v>0</v>
      </c>
      <c r="Q977" t="n">
        <v>0</v>
      </c>
      <c r="R977" s="2" t="inlineStr"/>
    </row>
    <row r="978" ht="15" customHeight="1">
      <c r="A978" t="inlineStr">
        <is>
          <t>A 37324-2024</t>
        </is>
      </c>
      <c r="B978" s="1" t="n">
        <v>45540.50104166667</v>
      </c>
      <c r="C978" s="1" t="n">
        <v>46128</v>
      </c>
      <c r="D978" t="inlineStr">
        <is>
          <t>SKÅNE LÄN</t>
        </is>
      </c>
      <c r="E978" t="inlineStr">
        <is>
          <t>HÄSSLEHOLM</t>
        </is>
      </c>
      <c r="G978" t="n">
        <v>1.5</v>
      </c>
      <c r="H978" t="n">
        <v>0</v>
      </c>
      <c r="I978" t="n">
        <v>0</v>
      </c>
      <c r="J978" t="n">
        <v>0</v>
      </c>
      <c r="K978" t="n">
        <v>0</v>
      </c>
      <c r="L978" t="n">
        <v>0</v>
      </c>
      <c r="M978" t="n">
        <v>0</v>
      </c>
      <c r="N978" t="n">
        <v>0</v>
      </c>
      <c r="O978" t="n">
        <v>0</v>
      </c>
      <c r="P978" t="n">
        <v>0</v>
      </c>
      <c r="Q978" t="n">
        <v>0</v>
      </c>
      <c r="R978" s="2" t="inlineStr"/>
    </row>
    <row r="979" ht="15" customHeight="1">
      <c r="A979" t="inlineStr">
        <is>
          <t>A 25176-2024</t>
        </is>
      </c>
      <c r="B979" s="1" t="n">
        <v>45462.54582175926</v>
      </c>
      <c r="C979" s="1" t="n">
        <v>46128</v>
      </c>
      <c r="D979" t="inlineStr">
        <is>
          <t>SKÅNE LÄN</t>
        </is>
      </c>
      <c r="E979" t="inlineStr">
        <is>
          <t>HÄSSLEHOLM</t>
        </is>
      </c>
      <c r="G979" t="n">
        <v>3.8</v>
      </c>
      <c r="H979" t="n">
        <v>0</v>
      </c>
      <c r="I979" t="n">
        <v>0</v>
      </c>
      <c r="J979" t="n">
        <v>0</v>
      </c>
      <c r="K979" t="n">
        <v>0</v>
      </c>
      <c r="L979" t="n">
        <v>0</v>
      </c>
      <c r="M979" t="n">
        <v>0</v>
      </c>
      <c r="N979" t="n">
        <v>0</v>
      </c>
      <c r="O979" t="n">
        <v>0</v>
      </c>
      <c r="P979" t="n">
        <v>0</v>
      </c>
      <c r="Q979" t="n">
        <v>0</v>
      </c>
      <c r="R979" s="2" t="inlineStr"/>
    </row>
    <row r="980" ht="15" customHeight="1">
      <c r="A980" t="inlineStr">
        <is>
          <t>A 18063-2023</t>
        </is>
      </c>
      <c r="B980" s="1" t="n">
        <v>45040.62850694444</v>
      </c>
      <c r="C980" s="1" t="n">
        <v>46128</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14674-2025</t>
        </is>
      </c>
      <c r="B981" s="1" t="n">
        <v>45742.55548611111</v>
      </c>
      <c r="C981" s="1" t="n">
        <v>46128</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54777-2022</t>
        </is>
      </c>
      <c r="B982" s="1" t="n">
        <v>44883</v>
      </c>
      <c r="C982" s="1" t="n">
        <v>46128</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706-2026</t>
        </is>
      </c>
      <c r="B983" s="1" t="n">
        <v>46029.61739583333</v>
      </c>
      <c r="C983" s="1" t="n">
        <v>46128</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931-2026</t>
        </is>
      </c>
      <c r="B984" s="1" t="n">
        <v>46030.51495370371</v>
      </c>
      <c r="C984" s="1" t="n">
        <v>46128</v>
      </c>
      <c r="D984" t="inlineStr">
        <is>
          <t>SKÅNE LÄN</t>
        </is>
      </c>
      <c r="E984" t="inlineStr">
        <is>
          <t>HÄSSLEHOLM</t>
        </is>
      </c>
      <c r="F984" t="inlineStr">
        <is>
          <t>Övriga Aktiebolag</t>
        </is>
      </c>
      <c r="G984" t="n">
        <v>2.3</v>
      </c>
      <c r="H984" t="n">
        <v>0</v>
      </c>
      <c r="I984" t="n">
        <v>0</v>
      </c>
      <c r="J984" t="n">
        <v>0</v>
      </c>
      <c r="K984" t="n">
        <v>0</v>
      </c>
      <c r="L984" t="n">
        <v>0</v>
      </c>
      <c r="M984" t="n">
        <v>0</v>
      </c>
      <c r="N984" t="n">
        <v>0</v>
      </c>
      <c r="O984" t="n">
        <v>0</v>
      </c>
      <c r="P984" t="n">
        <v>0</v>
      </c>
      <c r="Q984" t="n">
        <v>0</v>
      </c>
      <c r="R984" s="2" t="inlineStr"/>
    </row>
    <row r="985" ht="15" customHeight="1">
      <c r="A985" t="inlineStr">
        <is>
          <t>A 47352-2025</t>
        </is>
      </c>
      <c r="B985" s="1" t="n">
        <v>45930</v>
      </c>
      <c r="C985" s="1" t="n">
        <v>46128</v>
      </c>
      <c r="D985" t="inlineStr">
        <is>
          <t>SKÅNE LÄN</t>
        </is>
      </c>
      <c r="E985" t="inlineStr">
        <is>
          <t>HÄSSLEHOLM</t>
        </is>
      </c>
      <c r="G985" t="n">
        <v>16.6</v>
      </c>
      <c r="H985" t="n">
        <v>0</v>
      </c>
      <c r="I985" t="n">
        <v>0</v>
      </c>
      <c r="J985" t="n">
        <v>0</v>
      </c>
      <c r="K985" t="n">
        <v>0</v>
      </c>
      <c r="L985" t="n">
        <v>0</v>
      </c>
      <c r="M985" t="n">
        <v>0</v>
      </c>
      <c r="N985" t="n">
        <v>0</v>
      </c>
      <c r="O985" t="n">
        <v>0</v>
      </c>
      <c r="P985" t="n">
        <v>0</v>
      </c>
      <c r="Q985" t="n">
        <v>0</v>
      </c>
      <c r="R985" s="2" t="inlineStr"/>
    </row>
    <row r="986" ht="15" customHeight="1">
      <c r="A986" t="inlineStr">
        <is>
          <t>A 23683-2023</t>
        </is>
      </c>
      <c r="B986" s="1" t="n">
        <v>45077</v>
      </c>
      <c r="C986" s="1" t="n">
        <v>46128</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23955-2023</t>
        </is>
      </c>
      <c r="B987" s="1" t="n">
        <v>45078.62217592593</v>
      </c>
      <c r="C987" s="1" t="n">
        <v>46128</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3726-2024</t>
        </is>
      </c>
      <c r="B988" s="1" t="n">
        <v>45321</v>
      </c>
      <c r="C988" s="1" t="n">
        <v>46128</v>
      </c>
      <c r="D988" t="inlineStr">
        <is>
          <t>SKÅNE LÄN</t>
        </is>
      </c>
      <c r="E988" t="inlineStr">
        <is>
          <t>HÄSSLEHOLM</t>
        </is>
      </c>
      <c r="G988" t="n">
        <v>0.3</v>
      </c>
      <c r="H988" t="n">
        <v>0</v>
      </c>
      <c r="I988" t="n">
        <v>0</v>
      </c>
      <c r="J988" t="n">
        <v>0</v>
      </c>
      <c r="K988" t="n">
        <v>0</v>
      </c>
      <c r="L988" t="n">
        <v>0</v>
      </c>
      <c r="M988" t="n">
        <v>0</v>
      </c>
      <c r="N988" t="n">
        <v>0</v>
      </c>
      <c r="O988" t="n">
        <v>0</v>
      </c>
      <c r="P988" t="n">
        <v>0</v>
      </c>
      <c r="Q988" t="n">
        <v>0</v>
      </c>
      <c r="R988" s="2" t="inlineStr"/>
    </row>
    <row r="989" ht="15" customHeight="1">
      <c r="A989" t="inlineStr">
        <is>
          <t>A 39044-2024</t>
        </is>
      </c>
      <c r="B989" s="1" t="n">
        <v>45548.47707175926</v>
      </c>
      <c r="C989" s="1" t="n">
        <v>46128</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1640-2026</t>
        </is>
      </c>
      <c r="B990" s="1" t="n">
        <v>46034.4961574074</v>
      </c>
      <c r="C990" s="1" t="n">
        <v>46128</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23860-2024</t>
        </is>
      </c>
      <c r="B991" s="1" t="n">
        <v>45455</v>
      </c>
      <c r="C991" s="1" t="n">
        <v>46128</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524-2024</t>
        </is>
      </c>
      <c r="B992" s="1" t="n">
        <v>45299</v>
      </c>
      <c r="C992" s="1" t="n">
        <v>46128</v>
      </c>
      <c r="D992" t="inlineStr">
        <is>
          <t>SKÅNE LÄN</t>
        </is>
      </c>
      <c r="E992" t="inlineStr">
        <is>
          <t>HÄSSLEHOLM</t>
        </is>
      </c>
      <c r="G992" t="n">
        <v>29.4</v>
      </c>
      <c r="H992" t="n">
        <v>0</v>
      </c>
      <c r="I992" t="n">
        <v>0</v>
      </c>
      <c r="J992" t="n">
        <v>0</v>
      </c>
      <c r="K992" t="n">
        <v>0</v>
      </c>
      <c r="L992" t="n">
        <v>0</v>
      </c>
      <c r="M992" t="n">
        <v>0</v>
      </c>
      <c r="N992" t="n">
        <v>0</v>
      </c>
      <c r="O992" t="n">
        <v>0</v>
      </c>
      <c r="P992" t="n">
        <v>0</v>
      </c>
      <c r="Q992" t="n">
        <v>0</v>
      </c>
      <c r="R992" s="2" t="inlineStr"/>
    </row>
    <row r="993" ht="15" customHeight="1">
      <c r="A993" t="inlineStr">
        <is>
          <t>A 14255-2024</t>
        </is>
      </c>
      <c r="B993" s="1" t="n">
        <v>45393</v>
      </c>
      <c r="C993" s="1" t="n">
        <v>46128</v>
      </c>
      <c r="D993" t="inlineStr">
        <is>
          <t>SKÅNE LÄN</t>
        </is>
      </c>
      <c r="E993" t="inlineStr">
        <is>
          <t>HÄSSLEHOLM</t>
        </is>
      </c>
      <c r="G993" t="n">
        <v>11.9</v>
      </c>
      <c r="H993" t="n">
        <v>0</v>
      </c>
      <c r="I993" t="n">
        <v>0</v>
      </c>
      <c r="J993" t="n">
        <v>0</v>
      </c>
      <c r="K993" t="n">
        <v>0</v>
      </c>
      <c r="L993" t="n">
        <v>0</v>
      </c>
      <c r="M993" t="n">
        <v>0</v>
      </c>
      <c r="N993" t="n">
        <v>0</v>
      </c>
      <c r="O993" t="n">
        <v>0</v>
      </c>
      <c r="P993" t="n">
        <v>0</v>
      </c>
      <c r="Q993" t="n">
        <v>0</v>
      </c>
      <c r="R993" s="2" t="inlineStr"/>
    </row>
    <row r="994" ht="15" customHeight="1">
      <c r="A994" t="inlineStr">
        <is>
          <t>A 20058-2023</t>
        </is>
      </c>
      <c r="B994" s="1" t="n">
        <v>45054.68476851852</v>
      </c>
      <c r="C994" s="1" t="n">
        <v>46128</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2306-2026</t>
        </is>
      </c>
      <c r="B995" s="1" t="n">
        <v>46034</v>
      </c>
      <c r="C995" s="1" t="n">
        <v>46128</v>
      </c>
      <c r="D995" t="inlineStr">
        <is>
          <t>SKÅNE LÄN</t>
        </is>
      </c>
      <c r="E995" t="inlineStr">
        <is>
          <t>HÄSSLEHOLM</t>
        </is>
      </c>
      <c r="G995" t="n">
        <v>3.4</v>
      </c>
      <c r="H995" t="n">
        <v>0</v>
      </c>
      <c r="I995" t="n">
        <v>0</v>
      </c>
      <c r="J995" t="n">
        <v>0</v>
      </c>
      <c r="K995" t="n">
        <v>0</v>
      </c>
      <c r="L995" t="n">
        <v>0</v>
      </c>
      <c r="M995" t="n">
        <v>0</v>
      </c>
      <c r="N995" t="n">
        <v>0</v>
      </c>
      <c r="O995" t="n">
        <v>0</v>
      </c>
      <c r="P995" t="n">
        <v>0</v>
      </c>
      <c r="Q995" t="n">
        <v>0</v>
      </c>
      <c r="R995" s="2" t="inlineStr"/>
    </row>
    <row r="996" ht="15" customHeight="1">
      <c r="A996" t="inlineStr">
        <is>
          <t>A 10897-2023</t>
        </is>
      </c>
      <c r="B996" s="1" t="n">
        <v>44985</v>
      </c>
      <c r="C996" s="1" t="n">
        <v>46128</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54518-2022</t>
        </is>
      </c>
      <c r="B997" s="1" t="n">
        <v>44882</v>
      </c>
      <c r="C997" s="1" t="n">
        <v>46128</v>
      </c>
      <c r="D997" t="inlineStr">
        <is>
          <t>SKÅNE LÄN</t>
        </is>
      </c>
      <c r="E997" t="inlineStr">
        <is>
          <t>HÄSSLEHOLM</t>
        </is>
      </c>
      <c r="F997" t="inlineStr">
        <is>
          <t>Övriga Aktiebolag</t>
        </is>
      </c>
      <c r="G997" t="n">
        <v>6.8</v>
      </c>
      <c r="H997" t="n">
        <v>0</v>
      </c>
      <c r="I997" t="n">
        <v>0</v>
      </c>
      <c r="J997" t="n">
        <v>0</v>
      </c>
      <c r="K997" t="n">
        <v>0</v>
      </c>
      <c r="L997" t="n">
        <v>0</v>
      </c>
      <c r="M997" t="n">
        <v>0</v>
      </c>
      <c r="N997" t="n">
        <v>0</v>
      </c>
      <c r="O997" t="n">
        <v>0</v>
      </c>
      <c r="P997" t="n">
        <v>0</v>
      </c>
      <c r="Q997" t="n">
        <v>0</v>
      </c>
      <c r="R997" s="2" t="inlineStr"/>
    </row>
    <row r="998" ht="15" customHeight="1">
      <c r="A998" t="inlineStr">
        <is>
          <t>A 1645-2026</t>
        </is>
      </c>
      <c r="B998" s="1" t="n">
        <v>46034.5069212963</v>
      </c>
      <c r="C998" s="1" t="n">
        <v>46128</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7094-2023</t>
        </is>
      </c>
      <c r="B999" s="1" t="n">
        <v>44970.36958333333</v>
      </c>
      <c r="C999" s="1" t="n">
        <v>46128</v>
      </c>
      <c r="D999" t="inlineStr">
        <is>
          <t>SKÅNE LÄN</t>
        </is>
      </c>
      <c r="E999" t="inlineStr">
        <is>
          <t>HÄSSLEHOLM</t>
        </is>
      </c>
      <c r="G999" t="n">
        <v>3.6</v>
      </c>
      <c r="H999" t="n">
        <v>0</v>
      </c>
      <c r="I999" t="n">
        <v>0</v>
      </c>
      <c r="J999" t="n">
        <v>0</v>
      </c>
      <c r="K999" t="n">
        <v>0</v>
      </c>
      <c r="L999" t="n">
        <v>0</v>
      </c>
      <c r="M999" t="n">
        <v>0</v>
      </c>
      <c r="N999" t="n">
        <v>0</v>
      </c>
      <c r="O999" t="n">
        <v>0</v>
      </c>
      <c r="P999" t="n">
        <v>0</v>
      </c>
      <c r="Q999" t="n">
        <v>0</v>
      </c>
      <c r="R999" s="2" t="inlineStr"/>
    </row>
    <row r="1000" ht="15" customHeight="1">
      <c r="A1000" t="inlineStr">
        <is>
          <t>A 1656-2026</t>
        </is>
      </c>
      <c r="B1000" s="1" t="n">
        <v>46034.54035879629</v>
      </c>
      <c r="C1000" s="1" t="n">
        <v>46128</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3500-2024</t>
        </is>
      </c>
      <c r="B1001" s="1" t="n">
        <v>45320</v>
      </c>
      <c r="C1001" s="1" t="n">
        <v>46128</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1659-2026</t>
        </is>
      </c>
      <c r="B1002" s="1" t="n">
        <v>46034.55335648148</v>
      </c>
      <c r="C1002" s="1" t="n">
        <v>46128</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11266-2025</t>
        </is>
      </c>
      <c r="B1003" s="1" t="n">
        <v>45726</v>
      </c>
      <c r="C1003" s="1" t="n">
        <v>46128</v>
      </c>
      <c r="D1003" t="inlineStr">
        <is>
          <t>SKÅNE LÄN</t>
        </is>
      </c>
      <c r="E1003" t="inlineStr">
        <is>
          <t>HÄSSLEHOLM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2618-2026</t>
        </is>
      </c>
      <c r="B1004" s="1" t="n">
        <v>46035</v>
      </c>
      <c r="C1004" s="1" t="n">
        <v>46128</v>
      </c>
      <c r="D1004" t="inlineStr">
        <is>
          <t>SKÅNE LÄN</t>
        </is>
      </c>
      <c r="E1004" t="inlineStr">
        <is>
          <t>HÄSSLEHOLM</t>
        </is>
      </c>
      <c r="F1004" t="inlineStr">
        <is>
          <t>Kyrkan</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49950-2023</t>
        </is>
      </c>
      <c r="B1005" s="1" t="n">
        <v>45215</v>
      </c>
      <c r="C1005" s="1" t="n">
        <v>46128</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2617-2026</t>
        </is>
      </c>
      <c r="B1006" s="1" t="n">
        <v>46035</v>
      </c>
      <c r="C1006" s="1" t="n">
        <v>46128</v>
      </c>
      <c r="D1006" t="inlineStr">
        <is>
          <t>SKÅNE LÄN</t>
        </is>
      </c>
      <c r="E1006" t="inlineStr">
        <is>
          <t>HÄSSLEHOLM</t>
        </is>
      </c>
      <c r="F1006" t="inlineStr">
        <is>
          <t>Kyrkan</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29853-2024</t>
        </is>
      </c>
      <c r="B1007" s="1" t="n">
        <v>45485.65844907407</v>
      </c>
      <c r="C1007" s="1" t="n">
        <v>46128</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16108-2025</t>
        </is>
      </c>
      <c r="B1008" s="1" t="n">
        <v>45750.34667824074</v>
      </c>
      <c r="C1008" s="1" t="n">
        <v>46128</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57695-2023</t>
        </is>
      </c>
      <c r="B1009" s="1" t="n">
        <v>45246</v>
      </c>
      <c r="C1009" s="1" t="n">
        <v>46128</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9615-2025</t>
        </is>
      </c>
      <c r="B1010" s="1" t="n">
        <v>45715</v>
      </c>
      <c r="C1010" s="1" t="n">
        <v>46128</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42232-2022</t>
        </is>
      </c>
      <c r="B1011" s="1" t="n">
        <v>44830.77591435185</v>
      </c>
      <c r="C1011" s="1" t="n">
        <v>46128</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56986-2024</t>
        </is>
      </c>
      <c r="B1012" s="1" t="n">
        <v>45626</v>
      </c>
      <c r="C1012" s="1" t="n">
        <v>46128</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38829-2024</t>
        </is>
      </c>
      <c r="B1013" s="1" t="n">
        <v>45547.57247685185</v>
      </c>
      <c r="C1013" s="1" t="n">
        <v>46128</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49111-2023</t>
        </is>
      </c>
      <c r="B1014" s="1" t="n">
        <v>45210.44464120371</v>
      </c>
      <c r="C1014" s="1" t="n">
        <v>46128</v>
      </c>
      <c r="D1014" t="inlineStr">
        <is>
          <t>SKÅNE LÄN</t>
        </is>
      </c>
      <c r="E1014" t="inlineStr">
        <is>
          <t>HÄSSLEHOLM</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25542-2024</t>
        </is>
      </c>
      <c r="B1015" s="1" t="n">
        <v>45463</v>
      </c>
      <c r="C1015" s="1" t="n">
        <v>46128</v>
      </c>
      <c r="D1015" t="inlineStr">
        <is>
          <t>SKÅNE LÄN</t>
        </is>
      </c>
      <c r="E1015" t="inlineStr">
        <is>
          <t>HÄSSLEHOLM</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55454-2021</t>
        </is>
      </c>
      <c r="B1016" s="1" t="n">
        <v>44475</v>
      </c>
      <c r="C1016" s="1" t="n">
        <v>46128</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61489-2024</t>
        </is>
      </c>
      <c r="B1017" s="1" t="n">
        <v>45646.54875</v>
      </c>
      <c r="C1017" s="1" t="n">
        <v>46128</v>
      </c>
      <c r="D1017" t="inlineStr">
        <is>
          <t>SKÅNE LÄN</t>
        </is>
      </c>
      <c r="E1017" t="inlineStr">
        <is>
          <t>HÄSSLEHOLM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26879-2024</t>
        </is>
      </c>
      <c r="B1018" s="1" t="n">
        <v>45470</v>
      </c>
      <c r="C1018" s="1" t="n">
        <v>46128</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59728-2022</t>
        </is>
      </c>
      <c r="B1019" s="1" t="n">
        <v>44900</v>
      </c>
      <c r="C1019" s="1" t="n">
        <v>46128</v>
      </c>
      <c r="D1019" t="inlineStr">
        <is>
          <t>SKÅNE LÄN</t>
        </is>
      </c>
      <c r="E1019" t="inlineStr">
        <is>
          <t>HÄSSLEHOLM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3294-2025</t>
        </is>
      </c>
      <c r="B1020" s="1" t="n">
        <v>45679.64125</v>
      </c>
      <c r="C1020" s="1" t="n">
        <v>46128</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34299-2024</t>
        </is>
      </c>
      <c r="B1021" s="1" t="n">
        <v>45524</v>
      </c>
      <c r="C1021" s="1" t="n">
        <v>46128</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13897-2024</t>
        </is>
      </c>
      <c r="B1022" s="1" t="n">
        <v>45391</v>
      </c>
      <c r="C1022" s="1" t="n">
        <v>46128</v>
      </c>
      <c r="D1022" t="inlineStr">
        <is>
          <t>SKÅNE LÄN</t>
        </is>
      </c>
      <c r="E1022" t="inlineStr">
        <is>
          <t>HÄSSLEHOLM</t>
        </is>
      </c>
      <c r="F1022" t="inlineStr">
        <is>
          <t>Kommuner</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7604-2024</t>
        </is>
      </c>
      <c r="B1023" s="1" t="n">
        <v>45348</v>
      </c>
      <c r="C1023" s="1" t="n">
        <v>46128</v>
      </c>
      <c r="D1023" t="inlineStr">
        <is>
          <t>SKÅNE LÄN</t>
        </is>
      </c>
      <c r="E1023" t="inlineStr">
        <is>
          <t>HÄSSLEHOLM</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60846-2022</t>
        </is>
      </c>
      <c r="B1024" s="1" t="n">
        <v>44914</v>
      </c>
      <c r="C1024" s="1" t="n">
        <v>46128</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54408-2024</t>
        </is>
      </c>
      <c r="B1025" s="1" t="n">
        <v>45617.47263888889</v>
      </c>
      <c r="C1025" s="1" t="n">
        <v>46128</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3298-2026</t>
        </is>
      </c>
      <c r="B1026" s="1" t="n">
        <v>46041</v>
      </c>
      <c r="C1026" s="1" t="n">
        <v>46128</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36706-2022</t>
        </is>
      </c>
      <c r="B1027" s="1" t="n">
        <v>44805.32891203704</v>
      </c>
      <c r="C1027" s="1" t="n">
        <v>46128</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14008-2023</t>
        </is>
      </c>
      <c r="B1028" s="1" t="n">
        <v>45008.56725694444</v>
      </c>
      <c r="C1028" s="1" t="n">
        <v>46128</v>
      </c>
      <c r="D1028" t="inlineStr">
        <is>
          <t>SKÅNE LÄN</t>
        </is>
      </c>
      <c r="E1028" t="inlineStr">
        <is>
          <t>HÄSSLEHOLM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441-2022</t>
        </is>
      </c>
      <c r="B1029" s="1" t="n">
        <v>44565.97125</v>
      </c>
      <c r="C1029" s="1" t="n">
        <v>46128</v>
      </c>
      <c r="D1029" t="inlineStr">
        <is>
          <t>SKÅNE LÄN</t>
        </is>
      </c>
      <c r="E1029" t="inlineStr">
        <is>
          <t>HÄSSLEHOLM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20493-2024</t>
        </is>
      </c>
      <c r="B1030" s="1" t="n">
        <v>45435</v>
      </c>
      <c r="C1030" s="1" t="n">
        <v>46128</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54807-2025</t>
        </is>
      </c>
      <c r="B1031" s="1" t="n">
        <v>45966</v>
      </c>
      <c r="C1031" s="1" t="n">
        <v>46128</v>
      </c>
      <c r="D1031" t="inlineStr">
        <is>
          <t>SKÅNE LÄN</t>
        </is>
      </c>
      <c r="E1031" t="inlineStr">
        <is>
          <t>HÄSSLEHOLM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13851-2025</t>
        </is>
      </c>
      <c r="B1032" s="1" t="n">
        <v>45737.56777777777</v>
      </c>
      <c r="C1032" s="1" t="n">
        <v>46128</v>
      </c>
      <c r="D1032" t="inlineStr">
        <is>
          <t>SKÅNE LÄN</t>
        </is>
      </c>
      <c r="E1032" t="inlineStr">
        <is>
          <t>HÄSSLEHOLM</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3904-2026</t>
        </is>
      </c>
      <c r="B1033" s="1" t="n">
        <v>46043.69711805556</v>
      </c>
      <c r="C1033" s="1" t="n">
        <v>46128</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3364-2023</t>
        </is>
      </c>
      <c r="B1034" s="1" t="n">
        <v>44949</v>
      </c>
      <c r="C1034" s="1" t="n">
        <v>46128</v>
      </c>
      <c r="D1034" t="inlineStr">
        <is>
          <t>SKÅNE LÄN</t>
        </is>
      </c>
      <c r="E1034" t="inlineStr">
        <is>
          <t>HÄSSLEHOLM</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41874-2024</t>
        </is>
      </c>
      <c r="B1035" s="1" t="n">
        <v>45561</v>
      </c>
      <c r="C1035" s="1" t="n">
        <v>46128</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3715-2026</t>
        </is>
      </c>
      <c r="B1036" s="1" t="n">
        <v>46043.48746527778</v>
      </c>
      <c r="C1036" s="1" t="n">
        <v>46128</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11798-2022</t>
        </is>
      </c>
      <c r="B1037" s="1" t="n">
        <v>44634.64900462963</v>
      </c>
      <c r="C1037" s="1" t="n">
        <v>46128</v>
      </c>
      <c r="D1037" t="inlineStr">
        <is>
          <t>SKÅNE LÄN</t>
        </is>
      </c>
      <c r="E1037" t="inlineStr">
        <is>
          <t>HÄSSLEHOLM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43629-2023</t>
        </is>
      </c>
      <c r="B1038" s="1" t="n">
        <v>45184</v>
      </c>
      <c r="C1038" s="1" t="n">
        <v>46128</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3862-2026</t>
        </is>
      </c>
      <c r="B1039" s="1" t="n">
        <v>46043.62646990741</v>
      </c>
      <c r="C1039" s="1" t="n">
        <v>46128</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57656-2022</t>
        </is>
      </c>
      <c r="B1040" s="1" t="n">
        <v>44897.4325925926</v>
      </c>
      <c r="C1040" s="1" t="n">
        <v>46128</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13890-2024</t>
        </is>
      </c>
      <c r="B1041" s="1" t="n">
        <v>45391</v>
      </c>
      <c r="C1041" s="1" t="n">
        <v>46128</v>
      </c>
      <c r="D1041" t="inlineStr">
        <is>
          <t>SKÅNE LÄN</t>
        </is>
      </c>
      <c r="E1041" t="inlineStr">
        <is>
          <t>HÄSSLEHOLM</t>
        </is>
      </c>
      <c r="F1041" t="inlineStr">
        <is>
          <t>Kommuner</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39223-2024</t>
        </is>
      </c>
      <c r="B1042" s="1" t="n">
        <v>45550</v>
      </c>
      <c r="C1042" s="1" t="n">
        <v>46128</v>
      </c>
      <c r="D1042" t="inlineStr">
        <is>
          <t>SKÅNE LÄN</t>
        </is>
      </c>
      <c r="E1042" t="inlineStr">
        <is>
          <t>HÄSSLEHOLM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8250-2023</t>
        </is>
      </c>
      <c r="B1043" s="1" t="n">
        <v>44974</v>
      </c>
      <c r="C1043" s="1" t="n">
        <v>46128</v>
      </c>
      <c r="D1043" t="inlineStr">
        <is>
          <t>SKÅNE LÄN</t>
        </is>
      </c>
      <c r="E1043" t="inlineStr">
        <is>
          <t>HÄSSLEHOLM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6101-2022</t>
        </is>
      </c>
      <c r="B1044" s="1" t="n">
        <v>44599.63016203704</v>
      </c>
      <c r="C1044" s="1" t="n">
        <v>46128</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6842-2023</t>
        </is>
      </c>
      <c r="B1045" s="1" t="n">
        <v>44967</v>
      </c>
      <c r="C1045" s="1" t="n">
        <v>46128</v>
      </c>
      <c r="D1045" t="inlineStr">
        <is>
          <t>SKÅNE LÄN</t>
        </is>
      </c>
      <c r="E1045" t="inlineStr">
        <is>
          <t>HÄSSLEHOLM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13932-2023</t>
        </is>
      </c>
      <c r="B1046" s="1" t="n">
        <v>45008.43935185186</v>
      </c>
      <c r="C1046" s="1" t="n">
        <v>46128</v>
      </c>
      <c r="D1046" t="inlineStr">
        <is>
          <t>SKÅNE LÄN</t>
        </is>
      </c>
      <c r="E1046" t="inlineStr">
        <is>
          <t>HÄSSLEHOLM</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7202-2022</t>
        </is>
      </c>
      <c r="B1047" s="1" t="n">
        <v>44606</v>
      </c>
      <c r="C1047" s="1" t="n">
        <v>46128</v>
      </c>
      <c r="D1047" t="inlineStr">
        <is>
          <t>SKÅNE LÄN</t>
        </is>
      </c>
      <c r="E1047" t="inlineStr">
        <is>
          <t>HÄSSLEHOLM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17138-2025</t>
        </is>
      </c>
      <c r="B1048" s="1" t="n">
        <v>45755.80378472222</v>
      </c>
      <c r="C1048" s="1" t="n">
        <v>46128</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15512-2025</t>
        </is>
      </c>
      <c r="B1049" s="1" t="n">
        <v>45747</v>
      </c>
      <c r="C1049" s="1" t="n">
        <v>46128</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12493-2026</t>
        </is>
      </c>
      <c r="B1050" s="1" t="n">
        <v>46090</v>
      </c>
      <c r="C1050" s="1" t="n">
        <v>46128</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5054-2022</t>
        </is>
      </c>
      <c r="B1051" s="1" t="n">
        <v>44593.69065972222</v>
      </c>
      <c r="C1051" s="1" t="n">
        <v>46128</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49181-2024</t>
        </is>
      </c>
      <c r="B1052" s="1" t="n">
        <v>45595</v>
      </c>
      <c r="C1052" s="1" t="n">
        <v>46128</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14700-2023</t>
        </is>
      </c>
      <c r="B1053" s="1" t="n">
        <v>45014.38376157408</v>
      </c>
      <c r="C1053" s="1" t="n">
        <v>46128</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3349-2023</t>
        </is>
      </c>
      <c r="B1054" s="1" t="n">
        <v>44949</v>
      </c>
      <c r="C1054" s="1" t="n">
        <v>46128</v>
      </c>
      <c r="D1054" t="inlineStr">
        <is>
          <t>SKÅNE LÄN</t>
        </is>
      </c>
      <c r="E1054" t="inlineStr">
        <is>
          <t>HÄSSLEHOLM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3531-2023</t>
        </is>
      </c>
      <c r="B1055" s="1" t="n">
        <v>44950</v>
      </c>
      <c r="C1055" s="1" t="n">
        <v>46128</v>
      </c>
      <c r="D1055" t="inlineStr">
        <is>
          <t>SKÅNE LÄN</t>
        </is>
      </c>
      <c r="E1055" t="inlineStr">
        <is>
          <t>HÄSSLEHOLM</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4579-2025</t>
        </is>
      </c>
      <c r="B1056" s="1" t="n">
        <v>45687.5009375</v>
      </c>
      <c r="C1056" s="1" t="n">
        <v>46128</v>
      </c>
      <c r="D1056" t="inlineStr">
        <is>
          <t>SKÅNE LÄN</t>
        </is>
      </c>
      <c r="E1056" t="inlineStr">
        <is>
          <t>HÄSSLEHOLM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18623-2023</t>
        </is>
      </c>
      <c r="B1057" s="1" t="n">
        <v>45043</v>
      </c>
      <c r="C1057" s="1" t="n">
        <v>46128</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10115-2024</t>
        </is>
      </c>
      <c r="B1058" s="1" t="n">
        <v>45364.55339120371</v>
      </c>
      <c r="C1058" s="1" t="n">
        <v>46128</v>
      </c>
      <c r="D1058" t="inlineStr">
        <is>
          <t>SKÅNE LÄN</t>
        </is>
      </c>
      <c r="E1058" t="inlineStr">
        <is>
          <t>HÄSSLEHOLM</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4981-2026</t>
        </is>
      </c>
      <c r="B1059" s="1" t="n">
        <v>46049.37100694444</v>
      </c>
      <c r="C1059" s="1" t="n">
        <v>46128</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49384-2021</t>
        </is>
      </c>
      <c r="B1060" s="1" t="n">
        <v>44454</v>
      </c>
      <c r="C1060" s="1" t="n">
        <v>46128</v>
      </c>
      <c r="D1060" t="inlineStr">
        <is>
          <t>SKÅNE LÄN</t>
        </is>
      </c>
      <c r="E1060" t="inlineStr">
        <is>
          <t>HÄSSLEHOLM</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3663-2024</t>
        </is>
      </c>
      <c r="B1061" s="1" t="n">
        <v>45321.34775462963</v>
      </c>
      <c r="C1061" s="1" t="n">
        <v>46128</v>
      </c>
      <c r="D1061" t="inlineStr">
        <is>
          <t>SKÅNE LÄN</t>
        </is>
      </c>
      <c r="E1061" t="inlineStr">
        <is>
          <t>HÄSSLEHOLM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60959-2022</t>
        </is>
      </c>
      <c r="B1062" s="1" t="n">
        <v>44914.64777777778</v>
      </c>
      <c r="C1062" s="1" t="n">
        <v>46128</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67801-2021</t>
        </is>
      </c>
      <c r="B1063" s="1" t="n">
        <v>44525</v>
      </c>
      <c r="C1063" s="1" t="n">
        <v>46128</v>
      </c>
      <c r="D1063" t="inlineStr">
        <is>
          <t>SKÅNE LÄN</t>
        </is>
      </c>
      <c r="E1063" t="inlineStr">
        <is>
          <t>HÄSSLEHOLM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45398-2024</t>
        </is>
      </c>
      <c r="B1064" s="1" t="n">
        <v>45576.56260416667</v>
      </c>
      <c r="C1064" s="1" t="n">
        <v>46128</v>
      </c>
      <c r="D1064" t="inlineStr">
        <is>
          <t>SKÅNE LÄN</t>
        </is>
      </c>
      <c r="E1064" t="inlineStr">
        <is>
          <t>HÄSSLEHOLM</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5516-2026</t>
        </is>
      </c>
      <c r="B1065" s="1" t="n">
        <v>46050.64197916666</v>
      </c>
      <c r="C1065" s="1" t="n">
        <v>46128</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3746-2024</t>
        </is>
      </c>
      <c r="B1066" s="1" t="n">
        <v>45321.50745370371</v>
      </c>
      <c r="C1066" s="1" t="n">
        <v>46128</v>
      </c>
      <c r="D1066" t="inlineStr">
        <is>
          <t>SKÅNE LÄN</t>
        </is>
      </c>
      <c r="E1066" t="inlineStr">
        <is>
          <t>HÄSSLEHOLM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4809-2025</t>
        </is>
      </c>
      <c r="B1067" s="1" t="n">
        <v>45688.60148148148</v>
      </c>
      <c r="C1067" s="1" t="n">
        <v>46128</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59030-2024</t>
        </is>
      </c>
      <c r="B1068" s="1" t="n">
        <v>45636.68916666666</v>
      </c>
      <c r="C1068" s="1" t="n">
        <v>46128</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44262-2021</t>
        </is>
      </c>
      <c r="B1069" s="1" t="n">
        <v>44434</v>
      </c>
      <c r="C1069" s="1" t="n">
        <v>46128</v>
      </c>
      <c r="D1069" t="inlineStr">
        <is>
          <t>SKÅNE LÄN</t>
        </is>
      </c>
      <c r="E1069" t="inlineStr">
        <is>
          <t>HÄSSLEHOLM</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4994-2026</t>
        </is>
      </c>
      <c r="B1070" s="1" t="n">
        <v>46049</v>
      </c>
      <c r="C1070" s="1" t="n">
        <v>46128</v>
      </c>
      <c r="D1070" t="inlineStr">
        <is>
          <t>SKÅNE LÄN</t>
        </is>
      </c>
      <c r="E1070" t="inlineStr">
        <is>
          <t>HÄSSLEHOLM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5103-2026</t>
        </is>
      </c>
      <c r="B1071" s="1" t="n">
        <v>46049.56725694444</v>
      </c>
      <c r="C1071" s="1" t="n">
        <v>46128</v>
      </c>
      <c r="D1071" t="inlineStr">
        <is>
          <t>SKÅNE LÄN</t>
        </is>
      </c>
      <c r="E1071" t="inlineStr">
        <is>
          <t>HÄSSLEHOLM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1553-2023</t>
        </is>
      </c>
      <c r="B1072" s="1" t="n">
        <v>44937</v>
      </c>
      <c r="C1072" s="1" t="n">
        <v>46128</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1562-2023</t>
        </is>
      </c>
      <c r="B1073" s="1" t="n">
        <v>44937.60450231482</v>
      </c>
      <c r="C1073" s="1" t="n">
        <v>46128</v>
      </c>
      <c r="D1073" t="inlineStr">
        <is>
          <t>SKÅNE LÄN</t>
        </is>
      </c>
      <c r="E1073" t="inlineStr">
        <is>
          <t>HÄSSLEHOLM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5497-2026</t>
        </is>
      </c>
      <c r="B1074" s="1" t="n">
        <v>46050.61875</v>
      </c>
      <c r="C1074" s="1" t="n">
        <v>46128</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5503-2026</t>
        </is>
      </c>
      <c r="B1075" s="1" t="n">
        <v>46050.62509259259</v>
      </c>
      <c r="C1075" s="1" t="n">
        <v>46128</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3452-2023</t>
        </is>
      </c>
      <c r="B1076" s="1" t="n">
        <v>44949</v>
      </c>
      <c r="C1076" s="1" t="n">
        <v>46128</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7481-2023</t>
        </is>
      </c>
      <c r="B1077" s="1" t="n">
        <v>44971</v>
      </c>
      <c r="C1077" s="1" t="n">
        <v>46128</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2596-2024</t>
        </is>
      </c>
      <c r="B1078" s="1" t="n">
        <v>45313.69969907407</v>
      </c>
      <c r="C1078" s="1" t="n">
        <v>46128</v>
      </c>
      <c r="D1078" t="inlineStr">
        <is>
          <t>SKÅNE LÄN</t>
        </is>
      </c>
      <c r="E1078" t="inlineStr">
        <is>
          <t>HÄSSLEHOLM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2681-2024</t>
        </is>
      </c>
      <c r="B1079" s="1" t="n">
        <v>45314</v>
      </c>
      <c r="C1079" s="1" t="n">
        <v>46128</v>
      </c>
      <c r="D1079" t="inlineStr">
        <is>
          <t>SKÅNE LÄN</t>
        </is>
      </c>
      <c r="E1079" t="inlineStr">
        <is>
          <t>HÄSSLEHOLM</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4187-2023</t>
        </is>
      </c>
      <c r="B1080" s="1" t="n">
        <v>44953</v>
      </c>
      <c r="C1080" s="1" t="n">
        <v>46128</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4382-2023</t>
        </is>
      </c>
      <c r="B1081" s="1" t="n">
        <v>44955.61152777778</v>
      </c>
      <c r="C1081" s="1" t="n">
        <v>46128</v>
      </c>
      <c r="D1081" t="inlineStr">
        <is>
          <t>SKÅNE LÄN</t>
        </is>
      </c>
      <c r="E1081" t="inlineStr">
        <is>
          <t>HÄSSLEHOLM</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13199-2026</t>
        </is>
      </c>
      <c r="B1082" s="1" t="n">
        <v>46093</v>
      </c>
      <c r="C1082" s="1" t="n">
        <v>46128</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35150-2023</t>
        </is>
      </c>
      <c r="B1083" s="1" t="n">
        <v>45145</v>
      </c>
      <c r="C1083" s="1" t="n">
        <v>46128</v>
      </c>
      <c r="D1083" t="inlineStr">
        <is>
          <t>SKÅNE LÄN</t>
        </is>
      </c>
      <c r="E1083" t="inlineStr">
        <is>
          <t>HÄSSLEHOLM</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49107-2023</t>
        </is>
      </c>
      <c r="B1084" s="1" t="n">
        <v>45210.44337962963</v>
      </c>
      <c r="C1084" s="1" t="n">
        <v>46128</v>
      </c>
      <c r="D1084" t="inlineStr">
        <is>
          <t>SKÅNE LÄN</t>
        </is>
      </c>
      <c r="E1084" t="inlineStr">
        <is>
          <t>HÄSSLEHOLM</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5282-2023</t>
        </is>
      </c>
      <c r="B1085" s="1" t="n">
        <v>44959.50471064815</v>
      </c>
      <c r="C1085" s="1" t="n">
        <v>46128</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53897-2023</t>
        </is>
      </c>
      <c r="B1086" s="1" t="n">
        <v>45231.53934027778</v>
      </c>
      <c r="C1086" s="1" t="n">
        <v>46128</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20990-2023</t>
        </is>
      </c>
      <c r="B1087" s="1" t="n">
        <v>45061.46186342592</v>
      </c>
      <c r="C1087" s="1" t="n">
        <v>46128</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5757-2026</t>
        </is>
      </c>
      <c r="B1088" s="1" t="n">
        <v>46051.61309027778</v>
      </c>
      <c r="C1088" s="1" t="n">
        <v>46128</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22696-2023</t>
        </is>
      </c>
      <c r="B1089" s="1" t="n">
        <v>45071.69464120371</v>
      </c>
      <c r="C1089" s="1" t="n">
        <v>46128</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33873-2021</t>
        </is>
      </c>
      <c r="B1090" s="1" t="n">
        <v>44378</v>
      </c>
      <c r="C1090" s="1" t="n">
        <v>46128</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34348-2022</t>
        </is>
      </c>
      <c r="B1091" s="1" t="n">
        <v>44792</v>
      </c>
      <c r="C1091" s="1" t="n">
        <v>46128</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13282-2026</t>
        </is>
      </c>
      <c r="B1092" s="1" t="n">
        <v>46093.75166666666</v>
      </c>
      <c r="C1092" s="1" t="n">
        <v>46128</v>
      </c>
      <c r="D1092" t="inlineStr">
        <is>
          <t>SKÅNE LÄN</t>
        </is>
      </c>
      <c r="E1092" t="inlineStr">
        <is>
          <t>HÄSSLEHOLM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5759-2026</t>
        </is>
      </c>
      <c r="B1093" s="1" t="n">
        <v>46051.61814814815</v>
      </c>
      <c r="C1093" s="1" t="n">
        <v>46128</v>
      </c>
      <c r="D1093" t="inlineStr">
        <is>
          <t>SKÅNE LÄN</t>
        </is>
      </c>
      <c r="E1093" t="inlineStr">
        <is>
          <t>HÄSSLEHOLM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6836-2023</t>
        </is>
      </c>
      <c r="B1094" s="1" t="n">
        <v>44967</v>
      </c>
      <c r="C1094" s="1" t="n">
        <v>46128</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58632-2025</t>
        </is>
      </c>
      <c r="B1095" s="1" t="n">
        <v>45986</v>
      </c>
      <c r="C1095" s="1" t="n">
        <v>46128</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31931-2024</t>
        </is>
      </c>
      <c r="B1096" s="1" t="n">
        <v>45510.40878472223</v>
      </c>
      <c r="C1096" s="1" t="n">
        <v>46128</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8803-2023</t>
        </is>
      </c>
      <c r="B1097" s="1" t="n">
        <v>44978.61712962963</v>
      </c>
      <c r="C1097" s="1" t="n">
        <v>46128</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11681-2023</t>
        </is>
      </c>
      <c r="B1098" s="1" t="n">
        <v>44992</v>
      </c>
      <c r="C1098" s="1" t="n">
        <v>46128</v>
      </c>
      <c r="D1098" t="inlineStr">
        <is>
          <t>SKÅNE LÄN</t>
        </is>
      </c>
      <c r="E1098" t="inlineStr">
        <is>
          <t>HÄSSLEHOLM</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46222-2022</t>
        </is>
      </c>
      <c r="B1099" s="1" t="n">
        <v>44847.58725694445</v>
      </c>
      <c r="C1099" s="1" t="n">
        <v>46128</v>
      </c>
      <c r="D1099" t="inlineStr">
        <is>
          <t>SKÅNE LÄN</t>
        </is>
      </c>
      <c r="E1099" t="inlineStr">
        <is>
          <t>HÄSSLEHOLM</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13280-2026</t>
        </is>
      </c>
      <c r="B1100" s="1" t="n">
        <v>46093.74789351852</v>
      </c>
      <c r="C1100" s="1" t="n">
        <v>46128</v>
      </c>
      <c r="D1100" t="inlineStr">
        <is>
          <t>SKÅNE LÄN</t>
        </is>
      </c>
      <c r="E1100" t="inlineStr">
        <is>
          <t>HÄSSLEHOLM</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13886-2026</t>
        </is>
      </c>
      <c r="B1101" s="1" t="n">
        <v>46098</v>
      </c>
      <c r="C1101" s="1" t="n">
        <v>46128</v>
      </c>
      <c r="D1101" t="inlineStr">
        <is>
          <t>SKÅNE LÄN</t>
        </is>
      </c>
      <c r="E1101" t="inlineStr">
        <is>
          <t>HÄSSLEHOLM</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13588-2026</t>
        </is>
      </c>
      <c r="B1102" s="1" t="n">
        <v>46095.80452546296</v>
      </c>
      <c r="C1102" s="1" t="n">
        <v>46128</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13894-2026</t>
        </is>
      </c>
      <c r="B1103" s="1" t="n">
        <v>46098</v>
      </c>
      <c r="C1103" s="1" t="n">
        <v>46128</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6309-2026</t>
        </is>
      </c>
      <c r="B1104" s="1" t="n">
        <v>46055.57369212963</v>
      </c>
      <c r="C1104" s="1" t="n">
        <v>46128</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6299-2026</t>
        </is>
      </c>
      <c r="B1105" s="1" t="n">
        <v>46055.56623842593</v>
      </c>
      <c r="C1105" s="1" t="n">
        <v>46128</v>
      </c>
      <c r="D1105" t="inlineStr">
        <is>
          <t>SKÅNE LÄN</t>
        </is>
      </c>
      <c r="E1105" t="inlineStr">
        <is>
          <t>HÄSSLEHOLM</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6363-2026</t>
        </is>
      </c>
      <c r="B1106" s="1" t="n">
        <v>46055.62319444444</v>
      </c>
      <c r="C1106" s="1" t="n">
        <v>46128</v>
      </c>
      <c r="D1106" t="inlineStr">
        <is>
          <t>SKÅNE LÄN</t>
        </is>
      </c>
      <c r="E1106" t="inlineStr">
        <is>
          <t>HÄSSLEHOLM</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50249-2024</t>
        </is>
      </c>
      <c r="B1107" s="1" t="n">
        <v>45600.56866898148</v>
      </c>
      <c r="C1107" s="1" t="n">
        <v>46128</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6449-2026</t>
        </is>
      </c>
      <c r="B1108" s="1" t="n">
        <v>46055.87239583334</v>
      </c>
      <c r="C1108" s="1" t="n">
        <v>46128</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60843-2022</t>
        </is>
      </c>
      <c r="B1109" s="1" t="n">
        <v>44914</v>
      </c>
      <c r="C1109" s="1" t="n">
        <v>46128</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6295-2026</t>
        </is>
      </c>
      <c r="B1110" s="1" t="n">
        <v>46055.56115740741</v>
      </c>
      <c r="C1110" s="1" t="n">
        <v>46128</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51040-2024</t>
        </is>
      </c>
      <c r="B1111" s="1" t="n">
        <v>45603.43222222223</v>
      </c>
      <c r="C1111" s="1" t="n">
        <v>46128</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56881-2021</t>
        </is>
      </c>
      <c r="B1112" s="1" t="n">
        <v>44481</v>
      </c>
      <c r="C1112" s="1" t="n">
        <v>46128</v>
      </c>
      <c r="D1112" t="inlineStr">
        <is>
          <t>SKÅNE LÄN</t>
        </is>
      </c>
      <c r="E1112" t="inlineStr">
        <is>
          <t>HÄSSLEHOLM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45653-2024</t>
        </is>
      </c>
      <c r="B1113" s="1" t="n">
        <v>45579.48872685185</v>
      </c>
      <c r="C1113" s="1" t="n">
        <v>46128</v>
      </c>
      <c r="D1113" t="inlineStr">
        <is>
          <t>SKÅNE LÄN</t>
        </is>
      </c>
      <c r="E1113" t="inlineStr">
        <is>
          <t>HÄSSLEHOLM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56956-2024</t>
        </is>
      </c>
      <c r="B1114" s="1" t="n">
        <v>45626</v>
      </c>
      <c r="C1114" s="1" t="n">
        <v>46128</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13842-2026</t>
        </is>
      </c>
      <c r="B1115" s="1" t="n">
        <v>46098.37758101852</v>
      </c>
      <c r="C1115" s="1" t="n">
        <v>46128</v>
      </c>
      <c r="D1115" t="inlineStr">
        <is>
          <t>SKÅNE LÄN</t>
        </is>
      </c>
      <c r="E1115" t="inlineStr">
        <is>
          <t>HÄSSLEHOLM</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13910-2026</t>
        </is>
      </c>
      <c r="B1116" s="1" t="n">
        <v>46098</v>
      </c>
      <c r="C1116" s="1" t="n">
        <v>46128</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45392-2024</t>
        </is>
      </c>
      <c r="B1117" s="1" t="n">
        <v>45576.55008101852</v>
      </c>
      <c r="C1117" s="1" t="n">
        <v>46128</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20187-2023</t>
        </is>
      </c>
      <c r="B1118" s="1" t="n">
        <v>45055.57027777778</v>
      </c>
      <c r="C1118" s="1" t="n">
        <v>46128</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13906-2026</t>
        </is>
      </c>
      <c r="B1119" s="1" t="n">
        <v>46098</v>
      </c>
      <c r="C1119" s="1" t="n">
        <v>46128</v>
      </c>
      <c r="D1119" t="inlineStr">
        <is>
          <t>SKÅNE LÄN</t>
        </is>
      </c>
      <c r="E1119" t="inlineStr">
        <is>
          <t>HÄSSLEHOLM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1543-2024</t>
        </is>
      </c>
      <c r="B1120" s="1" t="n">
        <v>45306</v>
      </c>
      <c r="C1120" s="1" t="n">
        <v>46128</v>
      </c>
      <c r="D1120" t="inlineStr">
        <is>
          <t>SKÅNE LÄN</t>
        </is>
      </c>
      <c r="E1120" t="inlineStr">
        <is>
          <t>HÄSSLEHOLM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37038-2022</t>
        </is>
      </c>
      <c r="B1121" s="1" t="n">
        <v>44806.44232638889</v>
      </c>
      <c r="C1121" s="1" t="n">
        <v>46128</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16454-2023</t>
        </is>
      </c>
      <c r="B1122" s="1" t="n">
        <v>45029.48425925926</v>
      </c>
      <c r="C1122" s="1" t="n">
        <v>46128</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31572-2022</t>
        </is>
      </c>
      <c r="B1123" s="1" t="n">
        <v>44775</v>
      </c>
      <c r="C1123" s="1" t="n">
        <v>46128</v>
      </c>
      <c r="D1123" t="inlineStr">
        <is>
          <t>SKÅNE LÄN</t>
        </is>
      </c>
      <c r="E1123" t="inlineStr">
        <is>
          <t>HÄSSLEHOLM</t>
        </is>
      </c>
      <c r="F1123" t="inlineStr">
        <is>
          <t>Kommuner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70087-2021</t>
        </is>
      </c>
      <c r="B1124" s="1" t="n">
        <v>44533</v>
      </c>
      <c r="C1124" s="1" t="n">
        <v>46128</v>
      </c>
      <c r="D1124" t="inlineStr">
        <is>
          <t>SKÅNE LÄN</t>
        </is>
      </c>
      <c r="E1124" t="inlineStr">
        <is>
          <t>HÄSSLEHOLM</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9375-2023</t>
        </is>
      </c>
      <c r="B1125" s="1" t="n">
        <v>44981</v>
      </c>
      <c r="C1125" s="1" t="n">
        <v>46128</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14540-2026</t>
        </is>
      </c>
      <c r="B1126" s="1" t="n">
        <v>46100.67826388889</v>
      </c>
      <c r="C1126" s="1" t="n">
        <v>46128</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6877-2026</t>
        </is>
      </c>
      <c r="B1127" s="1" t="n">
        <v>46057.45768518518</v>
      </c>
      <c r="C1127" s="1" t="n">
        <v>46128</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14538-2026</t>
        </is>
      </c>
      <c r="B1128" s="1" t="n">
        <v>46100.67711805556</v>
      </c>
      <c r="C1128" s="1" t="n">
        <v>46128</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7244-2026</t>
        </is>
      </c>
      <c r="B1129" s="1" t="n">
        <v>46058.58646990741</v>
      </c>
      <c r="C1129" s="1" t="n">
        <v>46128</v>
      </c>
      <c r="D1129" t="inlineStr">
        <is>
          <t>SKÅNE LÄN</t>
        </is>
      </c>
      <c r="E1129" t="inlineStr">
        <is>
          <t>HÄSSLEHOLM</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29287-2023</t>
        </is>
      </c>
      <c r="B1130" s="1" t="n">
        <v>45098</v>
      </c>
      <c r="C1130" s="1" t="n">
        <v>46128</v>
      </c>
      <c r="D1130" t="inlineStr">
        <is>
          <t>SKÅNE LÄN</t>
        </is>
      </c>
      <c r="E1130" t="inlineStr">
        <is>
          <t>HÄSSLEHOLM</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55416-2021</t>
        </is>
      </c>
      <c r="B1131" s="1" t="n">
        <v>44475</v>
      </c>
      <c r="C1131" s="1" t="n">
        <v>46128</v>
      </c>
      <c r="D1131" t="inlineStr">
        <is>
          <t>SKÅNE LÄN</t>
        </is>
      </c>
      <c r="E1131" t="inlineStr">
        <is>
          <t>HÄSSLEHOLM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60509-2023</t>
        </is>
      </c>
      <c r="B1132" s="1" t="n">
        <v>45259</v>
      </c>
      <c r="C1132" s="1" t="n">
        <v>46128</v>
      </c>
      <c r="D1132" t="inlineStr">
        <is>
          <t>SKÅNE LÄN</t>
        </is>
      </c>
      <c r="E1132" t="inlineStr">
        <is>
          <t>HÄSSLEHOLM</t>
        </is>
      </c>
      <c r="F1132" t="inlineStr">
        <is>
          <t>Övriga Aktiebolag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21310-2022</t>
        </is>
      </c>
      <c r="B1133" s="1" t="n">
        <v>44705</v>
      </c>
      <c r="C1133" s="1" t="n">
        <v>46128</v>
      </c>
      <c r="D1133" t="inlineStr">
        <is>
          <t>SKÅNE LÄN</t>
        </is>
      </c>
      <c r="E1133" t="inlineStr">
        <is>
          <t>HÄSSLEHOLM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14191-2026</t>
        </is>
      </c>
      <c r="B1134" s="1" t="n">
        <v>46099.528125</v>
      </c>
      <c r="C1134" s="1" t="n">
        <v>46128</v>
      </c>
      <c r="D1134" t="inlineStr">
        <is>
          <t>SKÅNE LÄN</t>
        </is>
      </c>
      <c r="E1134" t="inlineStr">
        <is>
          <t>HÄSSLEHOLM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14471-2026</t>
        </is>
      </c>
      <c r="B1135" s="1" t="n">
        <v>46100.56711805556</v>
      </c>
      <c r="C1135" s="1" t="n">
        <v>46128</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14541-2026</t>
        </is>
      </c>
      <c r="B1136" s="1" t="n">
        <v>46100.67851851852</v>
      </c>
      <c r="C1136" s="1" t="n">
        <v>46128</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9485-2023</t>
        </is>
      </c>
      <c r="B1137" s="1" t="n">
        <v>44981.60901620371</v>
      </c>
      <c r="C1137" s="1" t="n">
        <v>46128</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9502-2023</t>
        </is>
      </c>
      <c r="B1138" s="1" t="n">
        <v>44981.63278935185</v>
      </c>
      <c r="C1138" s="1" t="n">
        <v>46128</v>
      </c>
      <c r="D1138" t="inlineStr">
        <is>
          <t>SKÅNE LÄN</t>
        </is>
      </c>
      <c r="E1138" t="inlineStr">
        <is>
          <t>HÄSSLEHOLM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10928-2024</t>
        </is>
      </c>
      <c r="B1139" s="1" t="n">
        <v>45370</v>
      </c>
      <c r="C1139" s="1" t="n">
        <v>46128</v>
      </c>
      <c r="D1139" t="inlineStr">
        <is>
          <t>SKÅNE LÄN</t>
        </is>
      </c>
      <c r="E1139" t="inlineStr">
        <is>
          <t>HÄSSLEHOLM</t>
        </is>
      </c>
      <c r="F1139" t="inlineStr">
        <is>
          <t>Övriga Aktiebolag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5890-2023</t>
        </is>
      </c>
      <c r="B1140" s="1" t="n">
        <v>44963.64527777778</v>
      </c>
      <c r="C1140" s="1" t="n">
        <v>46128</v>
      </c>
      <c r="D1140" t="inlineStr">
        <is>
          <t>SKÅNE LÄN</t>
        </is>
      </c>
      <c r="E1140" t="inlineStr">
        <is>
          <t>HÄSSLEHOLM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5894-2023</t>
        </is>
      </c>
      <c r="B1141" s="1" t="n">
        <v>44963.65148148148</v>
      </c>
      <c r="C1141" s="1" t="n">
        <v>46128</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12843-2023</t>
        </is>
      </c>
      <c r="B1142" s="1" t="n">
        <v>45001.48423611111</v>
      </c>
      <c r="C1142" s="1" t="n">
        <v>46128</v>
      </c>
      <c r="D1142" t="inlineStr">
        <is>
          <t>SKÅNE LÄN</t>
        </is>
      </c>
      <c r="E1142" t="inlineStr">
        <is>
          <t>HÄSSLEHOLM</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10944-2024</t>
        </is>
      </c>
      <c r="B1143" s="1" t="n">
        <v>45370</v>
      </c>
      <c r="C1143" s="1" t="n">
        <v>46128</v>
      </c>
      <c r="D1143" t="inlineStr">
        <is>
          <t>SKÅNE LÄN</t>
        </is>
      </c>
      <c r="E1143" t="inlineStr">
        <is>
          <t>HÄSSLEHOLM</t>
        </is>
      </c>
      <c r="F1143" t="inlineStr">
        <is>
          <t>Övriga Aktiebolag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14965-2026</t>
        </is>
      </c>
      <c r="B1144" s="1" t="n">
        <v>46104.56096064814</v>
      </c>
      <c r="C1144" s="1" t="n">
        <v>46128</v>
      </c>
      <c r="D1144" t="inlineStr">
        <is>
          <t>SKÅNE LÄN</t>
        </is>
      </c>
      <c r="E1144" t="inlineStr">
        <is>
          <t>HÄSSLEHOLM</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13309-2025</t>
        </is>
      </c>
      <c r="B1145" s="1" t="n">
        <v>45735.58512731481</v>
      </c>
      <c r="C1145" s="1" t="n">
        <v>46128</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5980-2024</t>
        </is>
      </c>
      <c r="B1146" s="1" t="n">
        <v>45335</v>
      </c>
      <c r="C1146" s="1" t="n">
        <v>46128</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14971-2026</t>
        </is>
      </c>
      <c r="B1147" s="1" t="n">
        <v>46104.56393518519</v>
      </c>
      <c r="C1147" s="1" t="n">
        <v>46128</v>
      </c>
      <c r="D1147" t="inlineStr">
        <is>
          <t>SKÅNE LÄN</t>
        </is>
      </c>
      <c r="E1147" t="inlineStr">
        <is>
          <t>HÄSSLEHOLM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63473-2025</t>
        </is>
      </c>
      <c r="B1148" s="1" t="n">
        <v>46013.44364583334</v>
      </c>
      <c r="C1148" s="1" t="n">
        <v>46128</v>
      </c>
      <c r="D1148" t="inlineStr">
        <is>
          <t>SKÅNE LÄN</t>
        </is>
      </c>
      <c r="E1148" t="inlineStr">
        <is>
          <t>HÄSSLEHOLM</t>
        </is>
      </c>
      <c r="F1148" t="inlineStr">
        <is>
          <t>Kommuner</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42372-2024</t>
        </is>
      </c>
      <c r="B1149" s="1" t="n">
        <v>45564.5127199074</v>
      </c>
      <c r="C1149" s="1" t="n">
        <v>46128</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17699-2024</t>
        </is>
      </c>
      <c r="B1150" s="1" t="n">
        <v>45418.46094907408</v>
      </c>
      <c r="C1150" s="1" t="n">
        <v>46128</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17702-2024</t>
        </is>
      </c>
      <c r="B1151" s="1" t="n">
        <v>45418.46534722222</v>
      </c>
      <c r="C1151" s="1" t="n">
        <v>46128</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14549-2026</t>
        </is>
      </c>
      <c r="B1152" s="1" t="n">
        <v>46100</v>
      </c>
      <c r="C1152" s="1" t="n">
        <v>46128</v>
      </c>
      <c r="D1152" t="inlineStr">
        <is>
          <t>SKÅNE LÄN</t>
        </is>
      </c>
      <c r="E1152" t="inlineStr">
        <is>
          <t>HÄSSLEHOLM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20566-2023</t>
        </is>
      </c>
      <c r="B1153" s="1" t="n">
        <v>45057</v>
      </c>
      <c r="C1153" s="1" t="n">
        <v>46128</v>
      </c>
      <c r="D1153" t="inlineStr">
        <is>
          <t>SKÅNE LÄN</t>
        </is>
      </c>
      <c r="E1153" t="inlineStr">
        <is>
          <t>HÄSSLEHOLM</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7721-2026</t>
        </is>
      </c>
      <c r="B1154" s="1" t="n">
        <v>46059</v>
      </c>
      <c r="C1154" s="1" t="n">
        <v>46128</v>
      </c>
      <c r="D1154" t="inlineStr">
        <is>
          <t>SKÅNE LÄN</t>
        </is>
      </c>
      <c r="E1154" t="inlineStr">
        <is>
          <t>HÄSSLEHOLM</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32967-2023</t>
        </is>
      </c>
      <c r="B1155" s="1" t="n">
        <v>45125</v>
      </c>
      <c r="C1155" s="1" t="n">
        <v>46128</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32968-2023</t>
        </is>
      </c>
      <c r="B1156" s="1" t="n">
        <v>45125</v>
      </c>
      <c r="C1156" s="1" t="n">
        <v>46128</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42231-2022</t>
        </is>
      </c>
      <c r="B1157" s="1" t="n">
        <v>44830.77003472222</v>
      </c>
      <c r="C1157" s="1" t="n">
        <v>46128</v>
      </c>
      <c r="D1157" t="inlineStr">
        <is>
          <t>SKÅNE LÄN</t>
        </is>
      </c>
      <c r="E1157" t="inlineStr">
        <is>
          <t>HÄSSLEHOLM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7785-2026</t>
        </is>
      </c>
      <c r="B1158" s="1" t="n">
        <v>46062.58422453704</v>
      </c>
      <c r="C1158" s="1" t="n">
        <v>46128</v>
      </c>
      <c r="D1158" t="inlineStr">
        <is>
          <t>SKÅNE LÄN</t>
        </is>
      </c>
      <c r="E1158" t="inlineStr">
        <is>
          <t>HÄSSLEHOLM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54982-2024</t>
        </is>
      </c>
      <c r="B1159" s="1" t="n">
        <v>45620.7580787037</v>
      </c>
      <c r="C1159" s="1" t="n">
        <v>46128</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8538-2026</t>
        </is>
      </c>
      <c r="B1160" s="1" t="n">
        <v>46064</v>
      </c>
      <c r="C1160" s="1" t="n">
        <v>46128</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14981-2026</t>
        </is>
      </c>
      <c r="B1161" s="1" t="n">
        <v>46104</v>
      </c>
      <c r="C1161" s="1" t="n">
        <v>46128</v>
      </c>
      <c r="D1161" t="inlineStr">
        <is>
          <t>SKÅNE LÄN</t>
        </is>
      </c>
      <c r="E1161" t="inlineStr">
        <is>
          <t>HÄSSLEHOLM</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8539-2026</t>
        </is>
      </c>
      <c r="B1162" s="1" t="n">
        <v>46064</v>
      </c>
      <c r="C1162" s="1" t="n">
        <v>46128</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8367-2026</t>
        </is>
      </c>
      <c r="B1163" s="1" t="n">
        <v>46064</v>
      </c>
      <c r="C1163" s="1" t="n">
        <v>46128</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15881-2026</t>
        </is>
      </c>
      <c r="B1164" s="1" t="n">
        <v>46107</v>
      </c>
      <c r="C1164" s="1" t="n">
        <v>46128</v>
      </c>
      <c r="D1164" t="inlineStr">
        <is>
          <t>SKÅNE LÄN</t>
        </is>
      </c>
      <c r="E1164" t="inlineStr">
        <is>
          <t>HÄSSLEHOLM</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8852-2026</t>
        </is>
      </c>
      <c r="B1165" s="1" t="n">
        <v>46066.66105324074</v>
      </c>
      <c r="C1165" s="1" t="n">
        <v>46128</v>
      </c>
      <c r="D1165" t="inlineStr">
        <is>
          <t>SKÅNE LÄN</t>
        </is>
      </c>
      <c r="E1165" t="inlineStr">
        <is>
          <t>HÄSSLEHOLM</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15882-2026</t>
        </is>
      </c>
      <c r="B1166" s="1" t="n">
        <v>46107</v>
      </c>
      <c r="C1166" s="1" t="n">
        <v>46128</v>
      </c>
      <c r="D1166" t="inlineStr">
        <is>
          <t>SKÅNE LÄN</t>
        </is>
      </c>
      <c r="E1166" t="inlineStr">
        <is>
          <t>HÄSSLEHOLM</t>
        </is>
      </c>
      <c r="F1166" t="inlineStr">
        <is>
          <t>Kyrkan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8674-2026</t>
        </is>
      </c>
      <c r="B1167" s="1" t="n">
        <v>46066.4059837963</v>
      </c>
      <c r="C1167" s="1" t="n">
        <v>46128</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15979-2026</t>
        </is>
      </c>
      <c r="B1168" s="1" t="n">
        <v>46108.35431712963</v>
      </c>
      <c r="C1168" s="1" t="n">
        <v>46128</v>
      </c>
      <c r="D1168" t="inlineStr">
        <is>
          <t>SKÅNE LÄN</t>
        </is>
      </c>
      <c r="E1168" t="inlineStr">
        <is>
          <t>HÄSSLEHOLM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58689-2025</t>
        </is>
      </c>
      <c r="B1169" s="1" t="n">
        <v>45986</v>
      </c>
      <c r="C1169" s="1" t="n">
        <v>46128</v>
      </c>
      <c r="D1169" t="inlineStr">
        <is>
          <t>SKÅNE LÄN</t>
        </is>
      </c>
      <c r="E1169" t="inlineStr">
        <is>
          <t>HÄSSLEHOLM</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16476-2026</t>
        </is>
      </c>
      <c r="B1170" s="1" t="n">
        <v>46112.38662037037</v>
      </c>
      <c r="C1170" s="1" t="n">
        <v>46128</v>
      </c>
      <c r="D1170" t="inlineStr">
        <is>
          <t>SKÅNE LÄN</t>
        </is>
      </c>
      <c r="E1170" t="inlineStr">
        <is>
          <t>HÄSSLEHOLM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26857-2025</t>
        </is>
      </c>
      <c r="B1171" s="1" t="n">
        <v>45810</v>
      </c>
      <c r="C1171" s="1" t="n">
        <v>46128</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16470-2026</t>
        </is>
      </c>
      <c r="B1172" s="1" t="n">
        <v>46112.37516203704</v>
      </c>
      <c r="C1172" s="1" t="n">
        <v>46128</v>
      </c>
      <c r="D1172" t="inlineStr">
        <is>
          <t>SKÅNE LÄN</t>
        </is>
      </c>
      <c r="E1172" t="inlineStr">
        <is>
          <t>HÄSSLEHOLM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32154-2024</t>
        </is>
      </c>
      <c r="B1173" s="1" t="n">
        <v>45511</v>
      </c>
      <c r="C1173" s="1" t="n">
        <v>46128</v>
      </c>
      <c r="D1173" t="inlineStr">
        <is>
          <t>SKÅNE LÄN</t>
        </is>
      </c>
      <c r="E1173" t="inlineStr">
        <is>
          <t>HÄSSLEHOLM</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10051-2026</t>
        </is>
      </c>
      <c r="B1174" s="1" t="n">
        <v>46073</v>
      </c>
      <c r="C1174" s="1" t="n">
        <v>46128</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56065-2025</t>
        </is>
      </c>
      <c r="B1175" s="1" t="n">
        <v>45973</v>
      </c>
      <c r="C1175" s="1" t="n">
        <v>46128</v>
      </c>
      <c r="D1175" t="inlineStr">
        <is>
          <t>SKÅNE LÄN</t>
        </is>
      </c>
      <c r="E1175" t="inlineStr">
        <is>
          <t>HÄSSLEHOLM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32008-2024</t>
        </is>
      </c>
      <c r="B1176" s="1" t="n">
        <v>45510</v>
      </c>
      <c r="C1176" s="1" t="n">
        <v>46128</v>
      </c>
      <c r="D1176" t="inlineStr">
        <is>
          <t>SKÅNE LÄN</t>
        </is>
      </c>
      <c r="E1176" t="inlineStr">
        <is>
          <t>HÄSSLEHOLM</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17996-2026</t>
        </is>
      </c>
      <c r="B1177" s="1" t="n">
        <v>46124.87434027778</v>
      </c>
      <c r="C1177" s="1" t="n">
        <v>46128</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41680-2024</t>
        </is>
      </c>
      <c r="B1178" s="1" t="n">
        <v>45560</v>
      </c>
      <c r="C1178" s="1" t="n">
        <v>46128</v>
      </c>
      <c r="D1178" t="inlineStr">
        <is>
          <t>SKÅNE LÄN</t>
        </is>
      </c>
      <c r="E1178" t="inlineStr">
        <is>
          <t>HÄSSLEHOLM</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63476-2025</t>
        </is>
      </c>
      <c r="B1179" s="1" t="n">
        <v>46013.44621527778</v>
      </c>
      <c r="C1179" s="1" t="n">
        <v>46128</v>
      </c>
      <c r="D1179" t="inlineStr">
        <is>
          <t>SKÅNE LÄN</t>
        </is>
      </c>
      <c r="E1179" t="inlineStr">
        <is>
          <t>HÄSSLEHOLM</t>
        </is>
      </c>
      <c r="F1179" t="inlineStr">
        <is>
          <t>Kommuner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17835-2026</t>
        </is>
      </c>
      <c r="B1180" s="1" t="n">
        <v>46121</v>
      </c>
      <c r="C1180" s="1" t="n">
        <v>46128</v>
      </c>
      <c r="D1180" t="inlineStr">
        <is>
          <t>SKÅNE LÄN</t>
        </is>
      </c>
      <c r="E1180" t="inlineStr">
        <is>
          <t>HÄSSLEHOLM</t>
        </is>
      </c>
      <c r="G1180" t="n">
        <v>12.6</v>
      </c>
      <c r="H1180" t="n">
        <v>0</v>
      </c>
      <c r="I1180" t="n">
        <v>0</v>
      </c>
      <c r="J1180" t="n">
        <v>0</v>
      </c>
      <c r="K1180" t="n">
        <v>0</v>
      </c>
      <c r="L1180" t="n">
        <v>0</v>
      </c>
      <c r="M1180" t="n">
        <v>0</v>
      </c>
      <c r="N1180" t="n">
        <v>0</v>
      </c>
      <c r="O1180" t="n">
        <v>0</v>
      </c>
      <c r="P1180" t="n">
        <v>0</v>
      </c>
      <c r="Q1180" t="n">
        <v>0</v>
      </c>
      <c r="R1180" s="2" t="inlineStr"/>
    </row>
    <row r="1181" ht="15" customHeight="1">
      <c r="A1181" t="inlineStr">
        <is>
          <t>A 17844-2026</t>
        </is>
      </c>
      <c r="B1181" s="1" t="n">
        <v>46121</v>
      </c>
      <c r="C1181" s="1" t="n">
        <v>46128</v>
      </c>
      <c r="D1181" t="inlineStr">
        <is>
          <t>SKÅNE LÄN</t>
        </is>
      </c>
      <c r="E1181" t="inlineStr">
        <is>
          <t>HÄSSLEHOLM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56767-2025</t>
        </is>
      </c>
      <c r="B1182" s="1" t="n">
        <v>45978.38178240741</v>
      </c>
      <c r="C1182" s="1" t="n">
        <v>46128</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56769-2025</t>
        </is>
      </c>
      <c r="B1183" s="1" t="n">
        <v>45978.38429398148</v>
      </c>
      <c r="C1183" s="1" t="n">
        <v>46128</v>
      </c>
      <c r="D1183" t="inlineStr">
        <is>
          <t>SKÅNE LÄN</t>
        </is>
      </c>
      <c r="E1183" t="inlineStr">
        <is>
          <t>HÄSSLEHOLM</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18398-2026</t>
        </is>
      </c>
      <c r="B1184" s="1" t="n">
        <v>46126.66273148148</v>
      </c>
      <c r="C1184" s="1" t="n">
        <v>46128</v>
      </c>
      <c r="D1184" t="inlineStr">
        <is>
          <t>SKÅNE LÄN</t>
        </is>
      </c>
      <c r="E1184" t="inlineStr">
        <is>
          <t>HÄSSLEHOLM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18483-2026</t>
        </is>
      </c>
      <c r="B1185" s="1" t="n">
        <v>46127.44652777778</v>
      </c>
      <c r="C1185" s="1" t="n">
        <v>46128</v>
      </c>
      <c r="D1185" t="inlineStr">
        <is>
          <t>SKÅNE LÄN</t>
        </is>
      </c>
      <c r="E1185" t="inlineStr">
        <is>
          <t>HÄSSLEHOLM</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18484-2026</t>
        </is>
      </c>
      <c r="B1186" s="1" t="n">
        <v>46126</v>
      </c>
      <c r="C1186" s="1" t="n">
        <v>46128</v>
      </c>
      <c r="D1186" t="inlineStr">
        <is>
          <t>SKÅNE LÄN</t>
        </is>
      </c>
      <c r="E1186" t="inlineStr">
        <is>
          <t>HÄSSLEHOLM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11998-2026</t>
        </is>
      </c>
      <c r="B1187" s="1" t="n">
        <v>46085</v>
      </c>
      <c r="C1187" s="1" t="n">
        <v>46128</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c r="A1188" t="inlineStr">
        <is>
          <t>A 11999-2026</t>
        </is>
      </c>
      <c r="B1188" s="1" t="n">
        <v>46085</v>
      </c>
      <c r="C1188" s="1" t="n">
        <v>46128</v>
      </c>
      <c r="D1188" t="inlineStr">
        <is>
          <t>SKÅNE LÄN</t>
        </is>
      </c>
      <c r="E1188" t="inlineStr">
        <is>
          <t>HÄSSLEHOLM</t>
        </is>
      </c>
      <c r="G1188" t="n">
        <v>0.2</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2026-04-16T10:25:40Z</dcterms:created>
  <dcterms:modified xmlns:dcterms="http://purl.org/dc/terms/" xmlns:xsi="http://www.w3.org/2001/XMLSchema-instance" xsi:type="dcterms:W3CDTF">2026-04-16T10:25:41Z</dcterms:modified>
</cp:coreProperties>
</file>