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46004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46004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46004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46004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46004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4059-2023</t>
        </is>
      </c>
      <c r="B7" s="1" t="n">
        <v>44952</v>
      </c>
      <c r="C7" s="1" t="n">
        <v>46004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46004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46004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46004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46004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46004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46004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46004</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46004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46004</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46004</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46004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9289-2025</t>
        </is>
      </c>
      <c r="B19" s="1" t="n">
        <v>45714</v>
      </c>
      <c r="C19" s="1" t="n">
        <v>46004</v>
      </c>
      <c r="D19" t="inlineStr">
        <is>
          <t>SKÅNE LÄN</t>
        </is>
      </c>
      <c r="E19" t="inlineStr">
        <is>
          <t>HÄSSLEHOLM</t>
        </is>
      </c>
      <c r="G19" t="n">
        <v>18</v>
      </c>
      <c r="H19" t="n">
        <v>0</v>
      </c>
      <c r="I19" t="n">
        <v>1</v>
      </c>
      <c r="J19" t="n">
        <v>0</v>
      </c>
      <c r="K19" t="n">
        <v>0</v>
      </c>
      <c r="L19" t="n">
        <v>0</v>
      </c>
      <c r="M19" t="n">
        <v>0</v>
      </c>
      <c r="N19" t="n">
        <v>0</v>
      </c>
      <c r="O19" t="n">
        <v>0</v>
      </c>
      <c r="P19" t="n">
        <v>0</v>
      </c>
      <c r="Q19" t="n">
        <v>1</v>
      </c>
      <c r="R19" s="2" t="inlineStr">
        <is>
          <t>Tibast</t>
        </is>
      </c>
      <c r="S19">
        <f>HYPERLINK("https://klasma.github.io/Logging_1293/artfynd/A 9289-2025 artfynd.xlsx", "A 9289-2025")</f>
        <v/>
      </c>
      <c r="T19">
        <f>HYPERLINK("https://klasma.github.io/Logging_1293/kartor/A 9289-2025 karta.png", "A 9289-2025")</f>
        <v/>
      </c>
      <c r="V19">
        <f>HYPERLINK("https://klasma.github.io/Logging_1293/klagomål/A 9289-2025 FSC-klagomål.docx", "A 9289-2025")</f>
        <v/>
      </c>
      <c r="W19">
        <f>HYPERLINK("https://klasma.github.io/Logging_1293/klagomålsmail/A 9289-2025 FSC-klagomål mail.docx", "A 9289-2025")</f>
        <v/>
      </c>
      <c r="X19">
        <f>HYPERLINK("https://klasma.github.io/Logging_1293/tillsyn/A 9289-2025 tillsynsbegäran.docx", "A 9289-2025")</f>
        <v/>
      </c>
      <c r="Y19">
        <f>HYPERLINK("https://klasma.github.io/Logging_1293/tillsynsmail/A 9289-2025 tillsynsbegäran mail.docx", "A 9289-2025")</f>
        <v/>
      </c>
    </row>
    <row r="20" ht="15" customHeight="1">
      <c r="A20" t="inlineStr">
        <is>
          <t>A 16107-2025</t>
        </is>
      </c>
      <c r="B20" s="1" t="n">
        <v>45750.34537037037</v>
      </c>
      <c r="C20" s="1" t="n">
        <v>46004</v>
      </c>
      <c r="D20" t="inlineStr">
        <is>
          <t>SKÅNE LÄN</t>
        </is>
      </c>
      <c r="E20" t="inlineStr">
        <is>
          <t>HÄSSLEHOLM</t>
        </is>
      </c>
      <c r="G20" t="n">
        <v>1.4</v>
      </c>
      <c r="H20" t="n">
        <v>1</v>
      </c>
      <c r="I20" t="n">
        <v>0</v>
      </c>
      <c r="J20" t="n">
        <v>1</v>
      </c>
      <c r="K20" t="n">
        <v>0</v>
      </c>
      <c r="L20" t="n">
        <v>0</v>
      </c>
      <c r="M20" t="n">
        <v>0</v>
      </c>
      <c r="N20" t="n">
        <v>0</v>
      </c>
      <c r="O20" t="n">
        <v>1</v>
      </c>
      <c r="P20" t="n">
        <v>0</v>
      </c>
      <c r="Q20" t="n">
        <v>1</v>
      </c>
      <c r="R20" s="2" t="inlineStr">
        <is>
          <t>Spillkråka</t>
        </is>
      </c>
      <c r="S20">
        <f>HYPERLINK("https://klasma.github.io/Logging_1293/artfynd/A 16107-2025 artfynd.xlsx", "A 16107-2025")</f>
        <v/>
      </c>
      <c r="T20">
        <f>HYPERLINK("https://klasma.github.io/Logging_1293/kartor/A 16107-2025 karta.png", "A 16107-2025")</f>
        <v/>
      </c>
      <c r="V20">
        <f>HYPERLINK("https://klasma.github.io/Logging_1293/klagomål/A 16107-2025 FSC-klagomål.docx", "A 16107-2025")</f>
        <v/>
      </c>
      <c r="W20">
        <f>HYPERLINK("https://klasma.github.io/Logging_1293/klagomålsmail/A 16107-2025 FSC-klagomål mail.docx", "A 16107-2025")</f>
        <v/>
      </c>
      <c r="X20">
        <f>HYPERLINK("https://klasma.github.io/Logging_1293/tillsyn/A 16107-2025 tillsynsbegäran.docx", "A 16107-2025")</f>
        <v/>
      </c>
      <c r="Y20">
        <f>HYPERLINK("https://klasma.github.io/Logging_1293/tillsynsmail/A 16107-2025 tillsynsbegäran mail.docx", "A 16107-2025")</f>
        <v/>
      </c>
      <c r="Z20">
        <f>HYPERLINK("https://klasma.github.io/Logging_1293/fåglar/A 16107-2025 prioriterade fågelarter.docx", "A 16107-2025")</f>
        <v/>
      </c>
    </row>
    <row r="21" ht="15" customHeight="1">
      <c r="A21" t="inlineStr">
        <is>
          <t>A 43874-2022</t>
        </is>
      </c>
      <c r="B21" s="1" t="n">
        <v>44838.44738425926</v>
      </c>
      <c r="C21" s="1" t="n">
        <v>46004</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7862-2024</t>
        </is>
      </c>
      <c r="B22" s="1" t="n">
        <v>45348</v>
      </c>
      <c r="C22" s="1" t="n">
        <v>46004</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8223-2025</t>
        </is>
      </c>
      <c r="B23" s="1" t="n">
        <v>45708.46127314815</v>
      </c>
      <c r="C23" s="1" t="n">
        <v>46004</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14933-2023</t>
        </is>
      </c>
      <c r="B24" s="1" t="n">
        <v>45014</v>
      </c>
      <c r="C24" s="1" t="n">
        <v>46004</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29272-2023</t>
        </is>
      </c>
      <c r="B25" s="1" t="n">
        <v>45105</v>
      </c>
      <c r="C25" s="1" t="n">
        <v>46004</v>
      </c>
      <c r="D25" t="inlineStr">
        <is>
          <t>SKÅNE LÄN</t>
        </is>
      </c>
      <c r="E25" t="inlineStr">
        <is>
          <t>HÄSSLEHOLM</t>
        </is>
      </c>
      <c r="G25" t="n">
        <v>2.2</v>
      </c>
      <c r="H25" t="n">
        <v>0</v>
      </c>
      <c r="I25" t="n">
        <v>1</v>
      </c>
      <c r="J25" t="n">
        <v>0</v>
      </c>
      <c r="K25" t="n">
        <v>0</v>
      </c>
      <c r="L25" t="n">
        <v>0</v>
      </c>
      <c r="M25" t="n">
        <v>0</v>
      </c>
      <c r="N25" t="n">
        <v>0</v>
      </c>
      <c r="O25" t="n">
        <v>0</v>
      </c>
      <c r="P25" t="n">
        <v>0</v>
      </c>
      <c r="Q25" t="n">
        <v>1</v>
      </c>
      <c r="R25" s="2" t="inlineStr">
        <is>
          <t>Sotlav</t>
        </is>
      </c>
      <c r="S25">
        <f>HYPERLINK("https://klasma.github.io/Logging_1293/artfynd/A 29272-2023 artfynd.xlsx", "A 29272-2023")</f>
        <v/>
      </c>
      <c r="T25">
        <f>HYPERLINK("https://klasma.github.io/Logging_1293/kartor/A 29272-2023 karta.png", "A 29272-2023")</f>
        <v/>
      </c>
      <c r="V25">
        <f>HYPERLINK("https://klasma.github.io/Logging_1293/klagomål/A 29272-2023 FSC-klagomål.docx", "A 29272-2023")</f>
        <v/>
      </c>
      <c r="W25">
        <f>HYPERLINK("https://klasma.github.io/Logging_1293/klagomålsmail/A 29272-2023 FSC-klagomål mail.docx", "A 29272-2023")</f>
        <v/>
      </c>
      <c r="X25">
        <f>HYPERLINK("https://klasma.github.io/Logging_1293/tillsyn/A 29272-2023 tillsynsbegäran.docx", "A 29272-2023")</f>
        <v/>
      </c>
      <c r="Y25">
        <f>HYPERLINK("https://klasma.github.io/Logging_1293/tillsynsmail/A 29272-2023 tillsynsbegäran mail.docx", "A 29272-2023")</f>
        <v/>
      </c>
    </row>
    <row r="26" ht="15" customHeight="1">
      <c r="A26" t="inlineStr">
        <is>
          <t>A 4619-2025</t>
        </is>
      </c>
      <c r="B26" s="1" t="n">
        <v>45687</v>
      </c>
      <c r="C26" s="1" t="n">
        <v>46004</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20280-2025</t>
        </is>
      </c>
      <c r="B27" s="1" t="n">
        <v>45774.38790509259</v>
      </c>
      <c r="C27" s="1" t="n">
        <v>46004</v>
      </c>
      <c r="D27" t="inlineStr">
        <is>
          <t>SKÅNE LÄN</t>
        </is>
      </c>
      <c r="E27" t="inlineStr">
        <is>
          <t>HÄSSLEHOLM</t>
        </is>
      </c>
      <c r="G27" t="n">
        <v>3</v>
      </c>
      <c r="H27" t="n">
        <v>0</v>
      </c>
      <c r="I27" t="n">
        <v>0</v>
      </c>
      <c r="J27" t="n">
        <v>0</v>
      </c>
      <c r="K27" t="n">
        <v>1</v>
      </c>
      <c r="L27" t="n">
        <v>0</v>
      </c>
      <c r="M27" t="n">
        <v>0</v>
      </c>
      <c r="N27" t="n">
        <v>0</v>
      </c>
      <c r="O27" t="n">
        <v>1</v>
      </c>
      <c r="P27" t="n">
        <v>1</v>
      </c>
      <c r="Q27" t="n">
        <v>1</v>
      </c>
      <c r="R27" s="2" t="inlineStr">
        <is>
          <t>Revig blodrot</t>
        </is>
      </c>
      <c r="S27">
        <f>HYPERLINK("https://klasma.github.io/Logging_1293/artfynd/A 20280-2025 artfynd.xlsx", "A 20280-2025")</f>
        <v/>
      </c>
      <c r="T27">
        <f>HYPERLINK("https://klasma.github.io/Logging_1293/kartor/A 20280-2025 karta.png", "A 20280-2025")</f>
        <v/>
      </c>
      <c r="V27">
        <f>HYPERLINK("https://klasma.github.io/Logging_1293/klagomål/A 20280-2025 FSC-klagomål.docx", "A 20280-2025")</f>
        <v/>
      </c>
      <c r="W27">
        <f>HYPERLINK("https://klasma.github.io/Logging_1293/klagomålsmail/A 20280-2025 FSC-klagomål mail.docx", "A 20280-2025")</f>
        <v/>
      </c>
      <c r="X27">
        <f>HYPERLINK("https://klasma.github.io/Logging_1293/tillsyn/A 20280-2025 tillsynsbegäran.docx", "A 20280-2025")</f>
        <v/>
      </c>
      <c r="Y27">
        <f>HYPERLINK("https://klasma.github.io/Logging_1293/tillsynsmail/A 20280-2025 tillsynsbegäran mail.docx", "A 20280-2025")</f>
        <v/>
      </c>
    </row>
    <row r="28" ht="15" customHeight="1">
      <c r="A28" t="inlineStr">
        <is>
          <t>A 49572-2022</t>
        </is>
      </c>
      <c r="B28" s="1" t="n">
        <v>44862.335</v>
      </c>
      <c r="C28" s="1" t="n">
        <v>46004</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40613-2025</t>
        </is>
      </c>
      <c r="B29" s="1" t="n">
        <v>45896</v>
      </c>
      <c r="C29" s="1" t="n">
        <v>46004</v>
      </c>
      <c r="D29" t="inlineStr">
        <is>
          <t>SKÅNE LÄN</t>
        </is>
      </c>
      <c r="E29" t="inlineStr">
        <is>
          <t>HÄSSLEHOLM</t>
        </is>
      </c>
      <c r="F29" t="inlineStr">
        <is>
          <t>Kyrkan</t>
        </is>
      </c>
      <c r="G29" t="n">
        <v>3.4</v>
      </c>
      <c r="H29" t="n">
        <v>1</v>
      </c>
      <c r="I29" t="n">
        <v>0</v>
      </c>
      <c r="J29" t="n">
        <v>0</v>
      </c>
      <c r="K29" t="n">
        <v>0</v>
      </c>
      <c r="L29" t="n">
        <v>0</v>
      </c>
      <c r="M29" t="n">
        <v>0</v>
      </c>
      <c r="N29" t="n">
        <v>0</v>
      </c>
      <c r="O29" t="n">
        <v>0</v>
      </c>
      <c r="P29" t="n">
        <v>0</v>
      </c>
      <c r="Q29" t="n">
        <v>1</v>
      </c>
      <c r="R29" s="2" t="inlineStr">
        <is>
          <t>Revlummer</t>
        </is>
      </c>
      <c r="S29">
        <f>HYPERLINK("https://klasma.github.io/Logging_1293/artfynd/A 40613-2025 artfynd.xlsx", "A 40613-2025")</f>
        <v/>
      </c>
      <c r="T29">
        <f>HYPERLINK("https://klasma.github.io/Logging_1293/kartor/A 40613-2025 karta.png", "A 40613-2025")</f>
        <v/>
      </c>
      <c r="V29">
        <f>HYPERLINK("https://klasma.github.io/Logging_1293/klagomål/A 40613-2025 FSC-klagomål.docx", "A 40613-2025")</f>
        <v/>
      </c>
      <c r="W29">
        <f>HYPERLINK("https://klasma.github.io/Logging_1293/klagomålsmail/A 40613-2025 FSC-klagomål mail.docx", "A 40613-2025")</f>
        <v/>
      </c>
      <c r="X29">
        <f>HYPERLINK("https://klasma.github.io/Logging_1293/tillsyn/A 40613-2025 tillsynsbegäran.docx", "A 40613-2025")</f>
        <v/>
      </c>
      <c r="Y29">
        <f>HYPERLINK("https://klasma.github.io/Logging_1293/tillsynsmail/A 40613-2025 tillsynsbegäran mail.docx", "A 40613-2025")</f>
        <v/>
      </c>
    </row>
    <row r="30" ht="15" customHeight="1">
      <c r="A30" t="inlineStr">
        <is>
          <t>A 46602-2023</t>
        </is>
      </c>
      <c r="B30" s="1" t="n">
        <v>45194</v>
      </c>
      <c r="C30" s="1" t="n">
        <v>46004</v>
      </c>
      <c r="D30" t="inlineStr">
        <is>
          <t>SKÅNE LÄN</t>
        </is>
      </c>
      <c r="E30" t="inlineStr">
        <is>
          <t>HÄSSLEHOLM</t>
        </is>
      </c>
      <c r="G30" t="n">
        <v>7.3</v>
      </c>
      <c r="H30" t="n">
        <v>0</v>
      </c>
      <c r="I30" t="n">
        <v>0</v>
      </c>
      <c r="J30" t="n">
        <v>0</v>
      </c>
      <c r="K30" t="n">
        <v>1</v>
      </c>
      <c r="L30" t="n">
        <v>0</v>
      </c>
      <c r="M30" t="n">
        <v>0</v>
      </c>
      <c r="N30" t="n">
        <v>0</v>
      </c>
      <c r="O30" t="n">
        <v>1</v>
      </c>
      <c r="P30" t="n">
        <v>1</v>
      </c>
      <c r="Q30" t="n">
        <v>1</v>
      </c>
      <c r="R30" s="2" t="inlineStr">
        <is>
          <t>Lungrot</t>
        </is>
      </c>
      <c r="S30">
        <f>HYPERLINK("https://klasma.github.io/Logging_1293/artfynd/A 46602-2023 artfynd.xlsx", "A 46602-2023")</f>
        <v/>
      </c>
      <c r="T30">
        <f>HYPERLINK("https://klasma.github.io/Logging_1293/kartor/A 46602-2023 karta.png", "A 46602-2023")</f>
        <v/>
      </c>
      <c r="V30">
        <f>HYPERLINK("https://klasma.github.io/Logging_1293/klagomål/A 46602-2023 FSC-klagomål.docx", "A 46602-2023")</f>
        <v/>
      </c>
      <c r="W30">
        <f>HYPERLINK("https://klasma.github.io/Logging_1293/klagomålsmail/A 46602-2023 FSC-klagomål mail.docx", "A 46602-2023")</f>
        <v/>
      </c>
      <c r="X30">
        <f>HYPERLINK("https://klasma.github.io/Logging_1293/tillsyn/A 46602-2023 tillsynsbegäran.docx", "A 46602-2023")</f>
        <v/>
      </c>
      <c r="Y30">
        <f>HYPERLINK("https://klasma.github.io/Logging_1293/tillsynsmail/A 46602-2023 tillsynsbegäran mail.docx", "A 46602-2023")</f>
        <v/>
      </c>
    </row>
    <row r="31" ht="15" customHeight="1">
      <c r="A31" t="inlineStr">
        <is>
          <t>A 61707-2024</t>
        </is>
      </c>
      <c r="B31" s="1" t="n">
        <v>45648.61747685185</v>
      </c>
      <c r="C31" s="1" t="n">
        <v>46004</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Rödlånke</t>
        </is>
      </c>
      <c r="S31">
        <f>HYPERLINK("https://klasma.github.io/Logging_1293/artfynd/A 61707-2024 artfynd.xlsx", "A 61707-2024")</f>
        <v/>
      </c>
      <c r="T31">
        <f>HYPERLINK("https://klasma.github.io/Logging_1293/kartor/A 61707-2024 karta.png", "A 61707-2024")</f>
        <v/>
      </c>
      <c r="V31">
        <f>HYPERLINK("https://klasma.github.io/Logging_1293/klagomål/A 61707-2024 FSC-klagomål.docx", "A 61707-2024")</f>
        <v/>
      </c>
      <c r="W31">
        <f>HYPERLINK("https://klasma.github.io/Logging_1293/klagomålsmail/A 61707-2024 FSC-klagomål mail.docx", "A 61707-2024")</f>
        <v/>
      </c>
      <c r="X31">
        <f>HYPERLINK("https://klasma.github.io/Logging_1293/tillsyn/A 61707-2024 tillsynsbegäran.docx", "A 61707-2024")</f>
        <v/>
      </c>
      <c r="Y31">
        <f>HYPERLINK("https://klasma.github.io/Logging_1293/tillsynsmail/A 61707-2024 tillsynsbegäran mail.docx", "A 61707-2024")</f>
        <v/>
      </c>
    </row>
    <row r="32" ht="15" customHeight="1">
      <c r="A32" t="inlineStr">
        <is>
          <t>A 6634-2024</t>
        </is>
      </c>
      <c r="B32" s="1" t="n">
        <v>45341</v>
      </c>
      <c r="C32" s="1" t="n">
        <v>46004</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60925-2024</t>
        </is>
      </c>
      <c r="B33" s="1" t="n">
        <v>45645.3550462963</v>
      </c>
      <c r="C33" s="1" t="n">
        <v>46004</v>
      </c>
      <c r="D33" t="inlineStr">
        <is>
          <t>SKÅNE LÄN</t>
        </is>
      </c>
      <c r="E33" t="inlineStr">
        <is>
          <t>HÄSSLEHOLM</t>
        </is>
      </c>
      <c r="G33" t="n">
        <v>1.8</v>
      </c>
      <c r="H33" t="n">
        <v>0</v>
      </c>
      <c r="I33" t="n">
        <v>0</v>
      </c>
      <c r="J33" t="n">
        <v>0</v>
      </c>
      <c r="K33" t="n">
        <v>0</v>
      </c>
      <c r="L33" t="n">
        <v>1</v>
      </c>
      <c r="M33" t="n">
        <v>0</v>
      </c>
      <c r="N33" t="n">
        <v>0</v>
      </c>
      <c r="O33" t="n">
        <v>1</v>
      </c>
      <c r="P33" t="n">
        <v>1</v>
      </c>
      <c r="Q33" t="n">
        <v>1</v>
      </c>
      <c r="R33" s="2" t="inlineStr">
        <is>
          <t>Ask</t>
        </is>
      </c>
      <c r="S33">
        <f>HYPERLINK("https://klasma.github.io/Logging_1293/artfynd/A 60925-2024 artfynd.xlsx", "A 60925-2024")</f>
        <v/>
      </c>
      <c r="T33">
        <f>HYPERLINK("https://klasma.github.io/Logging_1293/kartor/A 60925-2024 karta.png", "A 60925-2024")</f>
        <v/>
      </c>
      <c r="V33">
        <f>HYPERLINK("https://klasma.github.io/Logging_1293/klagomål/A 60925-2024 FSC-klagomål.docx", "A 60925-2024")</f>
        <v/>
      </c>
      <c r="W33">
        <f>HYPERLINK("https://klasma.github.io/Logging_1293/klagomålsmail/A 60925-2024 FSC-klagomål mail.docx", "A 60925-2024")</f>
        <v/>
      </c>
      <c r="X33">
        <f>HYPERLINK("https://klasma.github.io/Logging_1293/tillsyn/A 60925-2024 tillsynsbegäran.docx", "A 60925-2024")</f>
        <v/>
      </c>
      <c r="Y33">
        <f>HYPERLINK("https://klasma.github.io/Logging_1293/tillsynsmail/A 60925-2024 tillsynsbegäran mail.docx", "A 60925-2024")</f>
        <v/>
      </c>
    </row>
    <row r="34" ht="15" customHeight="1">
      <c r="A34" t="inlineStr">
        <is>
          <t>A 57533-2025</t>
        </is>
      </c>
      <c r="B34" s="1" t="n">
        <v>45980.63923611111</v>
      </c>
      <c r="C34" s="1" t="n">
        <v>46004</v>
      </c>
      <c r="D34" t="inlineStr">
        <is>
          <t>SKÅNE LÄN</t>
        </is>
      </c>
      <c r="E34" t="inlineStr">
        <is>
          <t>HÄSSLEHOLM</t>
        </is>
      </c>
      <c r="G34" t="n">
        <v>0.9</v>
      </c>
      <c r="H34" t="n">
        <v>0</v>
      </c>
      <c r="I34" t="n">
        <v>1</v>
      </c>
      <c r="J34" t="n">
        <v>0</v>
      </c>
      <c r="K34" t="n">
        <v>0</v>
      </c>
      <c r="L34" t="n">
        <v>0</v>
      </c>
      <c r="M34" t="n">
        <v>0</v>
      </c>
      <c r="N34" t="n">
        <v>0</v>
      </c>
      <c r="O34" t="n">
        <v>0</v>
      </c>
      <c r="P34" t="n">
        <v>0</v>
      </c>
      <c r="Q34" t="n">
        <v>1</v>
      </c>
      <c r="R34" s="2" t="inlineStr">
        <is>
          <t>Strutbräken</t>
        </is>
      </c>
      <c r="S34">
        <f>HYPERLINK("https://klasma.github.io/Logging_1293/artfynd/A 57533-2025 artfynd.xlsx", "A 57533-2025")</f>
        <v/>
      </c>
      <c r="T34">
        <f>HYPERLINK("https://klasma.github.io/Logging_1293/kartor/A 57533-2025 karta.png", "A 57533-2025")</f>
        <v/>
      </c>
      <c r="V34">
        <f>HYPERLINK("https://klasma.github.io/Logging_1293/klagomål/A 57533-2025 FSC-klagomål.docx", "A 57533-2025")</f>
        <v/>
      </c>
      <c r="W34">
        <f>HYPERLINK("https://klasma.github.io/Logging_1293/klagomålsmail/A 57533-2025 FSC-klagomål mail.docx", "A 57533-2025")</f>
        <v/>
      </c>
      <c r="X34">
        <f>HYPERLINK("https://klasma.github.io/Logging_1293/tillsyn/A 57533-2025 tillsynsbegäran.docx", "A 57533-2025")</f>
        <v/>
      </c>
      <c r="Y34">
        <f>HYPERLINK("https://klasma.github.io/Logging_1293/tillsynsmail/A 57533-2025 tillsynsbegäran mail.docx", "A 57533-2025")</f>
        <v/>
      </c>
    </row>
    <row r="35" ht="15" customHeight="1">
      <c r="A35" t="inlineStr">
        <is>
          <t>A 54523-2024</t>
        </is>
      </c>
      <c r="B35" s="1" t="n">
        <v>45617</v>
      </c>
      <c r="C35" s="1" t="n">
        <v>46004</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46004</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46004</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46004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46004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46004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46004</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46004</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46004</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46004</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46004</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46004</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46004</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46004</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46004</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46004</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46004</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46004</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46004</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46004</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46004</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46004</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46004</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46004</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2509-2021</t>
        </is>
      </c>
      <c r="B59" s="1" t="n">
        <v>44214</v>
      </c>
      <c r="C59" s="1" t="n">
        <v>46004</v>
      </c>
      <c r="D59" t="inlineStr">
        <is>
          <t>SKÅNE LÄN</t>
        </is>
      </c>
      <c r="E59" t="inlineStr">
        <is>
          <t>HÄSSLEHOLM</t>
        </is>
      </c>
      <c r="G59" t="n">
        <v>1.1</v>
      </c>
      <c r="H59" t="n">
        <v>0</v>
      </c>
      <c r="I59" t="n">
        <v>0</v>
      </c>
      <c r="J59" t="n">
        <v>0</v>
      </c>
      <c r="K59" t="n">
        <v>0</v>
      </c>
      <c r="L59" t="n">
        <v>0</v>
      </c>
      <c r="M59" t="n">
        <v>0</v>
      </c>
      <c r="N59" t="n">
        <v>0</v>
      </c>
      <c r="O59" t="n">
        <v>0</v>
      </c>
      <c r="P59" t="n">
        <v>0</v>
      </c>
      <c r="Q59" t="n">
        <v>0</v>
      </c>
      <c r="R59" s="2" t="inlineStr"/>
    </row>
    <row r="60" ht="15" customHeight="1">
      <c r="A60" t="inlineStr">
        <is>
          <t>A 38372-2021</t>
        </is>
      </c>
      <c r="B60" s="1" t="n">
        <v>44406</v>
      </c>
      <c r="C60" s="1" t="n">
        <v>46004</v>
      </c>
      <c r="D60" t="inlineStr">
        <is>
          <t>SKÅNE LÄN</t>
        </is>
      </c>
      <c r="E60" t="inlineStr">
        <is>
          <t>HÄSSLEHOLM</t>
        </is>
      </c>
      <c r="F60" t="inlineStr">
        <is>
          <t>Kommuner</t>
        </is>
      </c>
      <c r="G60" t="n">
        <v>2.7</v>
      </c>
      <c r="H60" t="n">
        <v>0</v>
      </c>
      <c r="I60" t="n">
        <v>0</v>
      </c>
      <c r="J60" t="n">
        <v>0</v>
      </c>
      <c r="K60" t="n">
        <v>0</v>
      </c>
      <c r="L60" t="n">
        <v>0</v>
      </c>
      <c r="M60" t="n">
        <v>0</v>
      </c>
      <c r="N60" t="n">
        <v>0</v>
      </c>
      <c r="O60" t="n">
        <v>0</v>
      </c>
      <c r="P60" t="n">
        <v>0</v>
      </c>
      <c r="Q60" t="n">
        <v>0</v>
      </c>
      <c r="R60" s="2" t="inlineStr"/>
    </row>
    <row r="61" ht="15" customHeight="1">
      <c r="A61" t="inlineStr">
        <is>
          <t>A 3714-2021</t>
        </is>
      </c>
      <c r="B61" s="1" t="n">
        <v>44221</v>
      </c>
      <c r="C61" s="1" t="n">
        <v>46004</v>
      </c>
      <c r="D61" t="inlineStr">
        <is>
          <t>SKÅNE LÄN</t>
        </is>
      </c>
      <c r="E61" t="inlineStr">
        <is>
          <t>HÄSSLEHOLM</t>
        </is>
      </c>
      <c r="G61" t="n">
        <v>1.2</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46004</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46004</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54175-2021</t>
        </is>
      </c>
      <c r="B64" s="1" t="n">
        <v>44470</v>
      </c>
      <c r="C64" s="1" t="n">
        <v>46004</v>
      </c>
      <c r="D64" t="inlineStr">
        <is>
          <t>SKÅNE LÄN</t>
        </is>
      </c>
      <c r="E64" t="inlineStr">
        <is>
          <t>HÄSSLEHOLM</t>
        </is>
      </c>
      <c r="G64" t="n">
        <v>0.5</v>
      </c>
      <c r="H64" t="n">
        <v>0</v>
      </c>
      <c r="I64" t="n">
        <v>0</v>
      </c>
      <c r="J64" t="n">
        <v>0</v>
      </c>
      <c r="K64" t="n">
        <v>0</v>
      </c>
      <c r="L64" t="n">
        <v>0</v>
      </c>
      <c r="M64" t="n">
        <v>0</v>
      </c>
      <c r="N64" t="n">
        <v>0</v>
      </c>
      <c r="O64" t="n">
        <v>0</v>
      </c>
      <c r="P64" t="n">
        <v>0</v>
      </c>
      <c r="Q64" t="n">
        <v>0</v>
      </c>
      <c r="R64" s="2" t="inlineStr"/>
    </row>
    <row r="65" ht="15" customHeight="1">
      <c r="A65" t="inlineStr">
        <is>
          <t>A 49324-2021</t>
        </is>
      </c>
      <c r="B65" s="1" t="n">
        <v>44454.55060185185</v>
      </c>
      <c r="C65" s="1" t="n">
        <v>46004</v>
      </c>
      <c r="D65" t="inlineStr">
        <is>
          <t>SKÅNE LÄN</t>
        </is>
      </c>
      <c r="E65" t="inlineStr">
        <is>
          <t>HÄSSLEHOLM</t>
        </is>
      </c>
      <c r="G65" t="n">
        <v>0.9</v>
      </c>
      <c r="H65" t="n">
        <v>0</v>
      </c>
      <c r="I65" t="n">
        <v>0</v>
      </c>
      <c r="J65" t="n">
        <v>0</v>
      </c>
      <c r="K65" t="n">
        <v>0</v>
      </c>
      <c r="L65" t="n">
        <v>0</v>
      </c>
      <c r="M65" t="n">
        <v>0</v>
      </c>
      <c r="N65" t="n">
        <v>0</v>
      </c>
      <c r="O65" t="n">
        <v>0</v>
      </c>
      <c r="P65" t="n">
        <v>0</v>
      </c>
      <c r="Q65" t="n">
        <v>0</v>
      </c>
      <c r="R65" s="2" t="inlineStr"/>
    </row>
    <row r="66" ht="15" customHeight="1">
      <c r="A66" t="inlineStr">
        <is>
          <t>A 14402-2022</t>
        </is>
      </c>
      <c r="B66" s="1" t="n">
        <v>44652</v>
      </c>
      <c r="C66" s="1" t="n">
        <v>46004</v>
      </c>
      <c r="D66" t="inlineStr">
        <is>
          <t>SKÅNE LÄN</t>
        </is>
      </c>
      <c r="E66" t="inlineStr">
        <is>
          <t>HÄSSLEHOLM</t>
        </is>
      </c>
      <c r="G66" t="n">
        <v>0.5</v>
      </c>
      <c r="H66" t="n">
        <v>0</v>
      </c>
      <c r="I66" t="n">
        <v>0</v>
      </c>
      <c r="J66" t="n">
        <v>0</v>
      </c>
      <c r="K66" t="n">
        <v>0</v>
      </c>
      <c r="L66" t="n">
        <v>0</v>
      </c>
      <c r="M66" t="n">
        <v>0</v>
      </c>
      <c r="N66" t="n">
        <v>0</v>
      </c>
      <c r="O66" t="n">
        <v>0</v>
      </c>
      <c r="P66" t="n">
        <v>0</v>
      </c>
      <c r="Q66" t="n">
        <v>0</v>
      </c>
      <c r="R66" s="2" t="inlineStr"/>
    </row>
    <row r="67" ht="15" customHeight="1">
      <c r="A67" t="inlineStr">
        <is>
          <t>A 24496-2021</t>
        </is>
      </c>
      <c r="B67" s="1" t="n">
        <v>44337</v>
      </c>
      <c r="C67" s="1" t="n">
        <v>46004</v>
      </c>
      <c r="D67" t="inlineStr">
        <is>
          <t>SKÅNE LÄN</t>
        </is>
      </c>
      <c r="E67" t="inlineStr">
        <is>
          <t>HÄSSLEHOLM</t>
        </is>
      </c>
      <c r="G67" t="n">
        <v>0.9</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46004</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46004</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46004</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46004</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46004</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23826-2021</t>
        </is>
      </c>
      <c r="B73" s="1" t="n">
        <v>44335</v>
      </c>
      <c r="C73" s="1" t="n">
        <v>46004</v>
      </c>
      <c r="D73" t="inlineStr">
        <is>
          <t>SKÅNE LÄN</t>
        </is>
      </c>
      <c r="E73" t="inlineStr">
        <is>
          <t>HÄSSLEHOLM</t>
        </is>
      </c>
      <c r="G73" t="n">
        <v>6.5</v>
      </c>
      <c r="H73" t="n">
        <v>0</v>
      </c>
      <c r="I73" t="n">
        <v>0</v>
      </c>
      <c r="J73" t="n">
        <v>0</v>
      </c>
      <c r="K73" t="n">
        <v>0</v>
      </c>
      <c r="L73" t="n">
        <v>0</v>
      </c>
      <c r="M73" t="n">
        <v>0</v>
      </c>
      <c r="N73" t="n">
        <v>0</v>
      </c>
      <c r="O73" t="n">
        <v>0</v>
      </c>
      <c r="P73" t="n">
        <v>0</v>
      </c>
      <c r="Q73" t="n">
        <v>0</v>
      </c>
      <c r="R73" s="2" t="inlineStr"/>
    </row>
    <row r="74" ht="15" customHeight="1">
      <c r="A74" t="inlineStr">
        <is>
          <t>A 23045-2021</t>
        </is>
      </c>
      <c r="B74" s="1" t="n">
        <v>44329</v>
      </c>
      <c r="C74" s="1" t="n">
        <v>46004</v>
      </c>
      <c r="D74" t="inlineStr">
        <is>
          <t>SKÅNE LÄN</t>
        </is>
      </c>
      <c r="E74" t="inlineStr">
        <is>
          <t>HÄSSLEHOLM</t>
        </is>
      </c>
      <c r="G74" t="n">
        <v>1.9</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46004</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46004</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46004</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30992-2021</t>
        </is>
      </c>
      <c r="B78" s="1" t="n">
        <v>44366.36262731482</v>
      </c>
      <c r="C78" s="1" t="n">
        <v>46004</v>
      </c>
      <c r="D78" t="inlineStr">
        <is>
          <t>SKÅNE LÄN</t>
        </is>
      </c>
      <c r="E78" t="inlineStr">
        <is>
          <t>HÄSSLEHOLM</t>
        </is>
      </c>
      <c r="G78" t="n">
        <v>3.1</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46004</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46004</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61072-2021</t>
        </is>
      </c>
      <c r="B81" s="1" t="n">
        <v>44497.83344907407</v>
      </c>
      <c r="C81" s="1" t="n">
        <v>46004</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46004</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34982-2022</t>
        </is>
      </c>
      <c r="B83" s="1" t="n">
        <v>44796.69055555556</v>
      </c>
      <c r="C83" s="1" t="n">
        <v>46004</v>
      </c>
      <c r="D83" t="inlineStr">
        <is>
          <t>SKÅNE LÄN</t>
        </is>
      </c>
      <c r="E83" t="inlineStr">
        <is>
          <t>HÄSSLEHOLM</t>
        </is>
      </c>
      <c r="F83" t="inlineStr">
        <is>
          <t>Kyrkan</t>
        </is>
      </c>
      <c r="G83" t="n">
        <v>3.4</v>
      </c>
      <c r="H83" t="n">
        <v>0</v>
      </c>
      <c r="I83" t="n">
        <v>0</v>
      </c>
      <c r="J83" t="n">
        <v>0</v>
      </c>
      <c r="K83" t="n">
        <v>0</v>
      </c>
      <c r="L83" t="n">
        <v>0</v>
      </c>
      <c r="M83" t="n">
        <v>0</v>
      </c>
      <c r="N83" t="n">
        <v>0</v>
      </c>
      <c r="O83" t="n">
        <v>0</v>
      </c>
      <c r="P83" t="n">
        <v>0</v>
      </c>
      <c r="Q83" t="n">
        <v>0</v>
      </c>
      <c r="R83" s="2" t="inlineStr"/>
    </row>
    <row r="84" ht="15" customHeight="1">
      <c r="A84" t="inlineStr">
        <is>
          <t>A 50618-2021</t>
        </is>
      </c>
      <c r="B84" s="1" t="n">
        <v>44459</v>
      </c>
      <c r="C84" s="1" t="n">
        <v>46004</v>
      </c>
      <c r="D84" t="inlineStr">
        <is>
          <t>SKÅNE LÄN</t>
        </is>
      </c>
      <c r="E84" t="inlineStr">
        <is>
          <t>HÄSSLEHOLM</t>
        </is>
      </c>
      <c r="F84" t="inlineStr">
        <is>
          <t>Kyrkan</t>
        </is>
      </c>
      <c r="G84" t="n">
        <v>15.1</v>
      </c>
      <c r="H84" t="n">
        <v>0</v>
      </c>
      <c r="I84" t="n">
        <v>0</v>
      </c>
      <c r="J84" t="n">
        <v>0</v>
      </c>
      <c r="K84" t="n">
        <v>0</v>
      </c>
      <c r="L84" t="n">
        <v>0</v>
      </c>
      <c r="M84" t="n">
        <v>0</v>
      </c>
      <c r="N84" t="n">
        <v>0</v>
      </c>
      <c r="O84" t="n">
        <v>0</v>
      </c>
      <c r="P84" t="n">
        <v>0</v>
      </c>
      <c r="Q84" t="n">
        <v>0</v>
      </c>
      <c r="R84" s="2" t="inlineStr"/>
    </row>
    <row r="85" ht="15" customHeight="1">
      <c r="A85" t="inlineStr">
        <is>
          <t>A 69419-2021</t>
        </is>
      </c>
      <c r="B85" s="1" t="n">
        <v>44531</v>
      </c>
      <c r="C85" s="1" t="n">
        <v>46004</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46004</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44755-2021</t>
        </is>
      </c>
      <c r="B87" s="1" t="n">
        <v>44438</v>
      </c>
      <c r="C87" s="1" t="n">
        <v>46004</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44770-2021</t>
        </is>
      </c>
      <c r="B88" s="1" t="n">
        <v>44438</v>
      </c>
      <c r="C88" s="1" t="n">
        <v>46004</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37170-2022</t>
        </is>
      </c>
      <c r="B89" s="1" t="n">
        <v>44806.61038194445</v>
      </c>
      <c r="C89" s="1" t="n">
        <v>46004</v>
      </c>
      <c r="D89" t="inlineStr">
        <is>
          <t>SKÅNE LÄN</t>
        </is>
      </c>
      <c r="E89" t="inlineStr">
        <is>
          <t>HÄSSLEHOLM</t>
        </is>
      </c>
      <c r="F89" t="inlineStr">
        <is>
          <t>Kyrkan</t>
        </is>
      </c>
      <c r="G89" t="n">
        <v>4.5</v>
      </c>
      <c r="H89" t="n">
        <v>0</v>
      </c>
      <c r="I89" t="n">
        <v>0</v>
      </c>
      <c r="J89" t="n">
        <v>0</v>
      </c>
      <c r="K89" t="n">
        <v>0</v>
      </c>
      <c r="L89" t="n">
        <v>0</v>
      </c>
      <c r="M89" t="n">
        <v>0</v>
      </c>
      <c r="N89" t="n">
        <v>0</v>
      </c>
      <c r="O89" t="n">
        <v>0</v>
      </c>
      <c r="P89" t="n">
        <v>0</v>
      </c>
      <c r="Q89" t="n">
        <v>0</v>
      </c>
      <c r="R89" s="2" t="inlineStr"/>
    </row>
    <row r="90" ht="15" customHeight="1">
      <c r="A90" t="inlineStr">
        <is>
          <t>A 55425-2022</t>
        </is>
      </c>
      <c r="B90" s="1" t="n">
        <v>44887.60577546297</v>
      </c>
      <c r="C90" s="1" t="n">
        <v>46004</v>
      </c>
      <c r="D90" t="inlineStr">
        <is>
          <t>SKÅNE LÄN</t>
        </is>
      </c>
      <c r="E90" t="inlineStr">
        <is>
          <t>HÄSSLEHOLM</t>
        </is>
      </c>
      <c r="G90" t="n">
        <v>0.5</v>
      </c>
      <c r="H90" t="n">
        <v>0</v>
      </c>
      <c r="I90" t="n">
        <v>0</v>
      </c>
      <c r="J90" t="n">
        <v>0</v>
      </c>
      <c r="K90" t="n">
        <v>0</v>
      </c>
      <c r="L90" t="n">
        <v>0</v>
      </c>
      <c r="M90" t="n">
        <v>0</v>
      </c>
      <c r="N90" t="n">
        <v>0</v>
      </c>
      <c r="O90" t="n">
        <v>0</v>
      </c>
      <c r="P90" t="n">
        <v>0</v>
      </c>
      <c r="Q90" t="n">
        <v>0</v>
      </c>
      <c r="R90" s="2" t="inlineStr"/>
    </row>
    <row r="91" ht="15" customHeight="1">
      <c r="A91" t="inlineStr">
        <is>
          <t>A 69103-2020</t>
        </is>
      </c>
      <c r="B91" s="1" t="n">
        <v>44188</v>
      </c>
      <c r="C91" s="1" t="n">
        <v>46004</v>
      </c>
      <c r="D91" t="inlineStr">
        <is>
          <t>SKÅNE LÄN</t>
        </is>
      </c>
      <c r="E91" t="inlineStr">
        <is>
          <t>HÄSSLEHOLM</t>
        </is>
      </c>
      <c r="G91" t="n">
        <v>0.6</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46004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46004</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46004</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3447-2021</t>
        </is>
      </c>
      <c r="B95" s="1" t="n">
        <v>44218</v>
      </c>
      <c r="C95" s="1" t="n">
        <v>46004</v>
      </c>
      <c r="D95" t="inlineStr">
        <is>
          <t>SKÅNE LÄN</t>
        </is>
      </c>
      <c r="E95" t="inlineStr">
        <is>
          <t>HÄSSLEHOLM</t>
        </is>
      </c>
      <c r="G95" t="n">
        <v>3.9</v>
      </c>
      <c r="H95" t="n">
        <v>0</v>
      </c>
      <c r="I95" t="n">
        <v>0</v>
      </c>
      <c r="J95" t="n">
        <v>0</v>
      </c>
      <c r="K95" t="n">
        <v>0</v>
      </c>
      <c r="L95" t="n">
        <v>0</v>
      </c>
      <c r="M95" t="n">
        <v>0</v>
      </c>
      <c r="N95" t="n">
        <v>0</v>
      </c>
      <c r="O95" t="n">
        <v>0</v>
      </c>
      <c r="P95" t="n">
        <v>0</v>
      </c>
      <c r="Q95" t="n">
        <v>0</v>
      </c>
      <c r="R95" s="2" t="inlineStr"/>
    </row>
    <row r="96" ht="15" customHeight="1">
      <c r="A96" t="inlineStr">
        <is>
          <t>A 30879-2021</t>
        </is>
      </c>
      <c r="B96" s="1" t="n">
        <v>44365</v>
      </c>
      <c r="C96" s="1" t="n">
        <v>46004</v>
      </c>
      <c r="D96" t="inlineStr">
        <is>
          <t>SKÅNE LÄN</t>
        </is>
      </c>
      <c r="E96" t="inlineStr">
        <is>
          <t>HÄSSLEHOLM</t>
        </is>
      </c>
      <c r="G96" t="n">
        <v>1</v>
      </c>
      <c r="H96" t="n">
        <v>0</v>
      </c>
      <c r="I96" t="n">
        <v>0</v>
      </c>
      <c r="J96" t="n">
        <v>0</v>
      </c>
      <c r="K96" t="n">
        <v>0</v>
      </c>
      <c r="L96" t="n">
        <v>0</v>
      </c>
      <c r="M96" t="n">
        <v>0</v>
      </c>
      <c r="N96" t="n">
        <v>0</v>
      </c>
      <c r="O96" t="n">
        <v>0</v>
      </c>
      <c r="P96" t="n">
        <v>0</v>
      </c>
      <c r="Q96" t="n">
        <v>0</v>
      </c>
      <c r="R96" s="2" t="inlineStr"/>
    </row>
    <row r="97" ht="15" customHeight="1">
      <c r="A97" t="inlineStr">
        <is>
          <t>A 22320-2021</t>
        </is>
      </c>
      <c r="B97" s="1" t="n">
        <v>44323</v>
      </c>
      <c r="C97" s="1" t="n">
        <v>46004</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48553-2021</t>
        </is>
      </c>
      <c r="B98" s="1" t="n">
        <v>44452.45701388889</v>
      </c>
      <c r="C98" s="1" t="n">
        <v>46004</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68200-2020</t>
        </is>
      </c>
      <c r="B99" s="1" t="n">
        <v>44183</v>
      </c>
      <c r="C99" s="1" t="n">
        <v>46004</v>
      </c>
      <c r="D99" t="inlineStr">
        <is>
          <t>SKÅNE LÄN</t>
        </is>
      </c>
      <c r="E99" t="inlineStr">
        <is>
          <t>HÄSSLEHOLM</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6962-2021</t>
        </is>
      </c>
      <c r="B100" s="1" t="n">
        <v>44237</v>
      </c>
      <c r="C100" s="1" t="n">
        <v>46004</v>
      </c>
      <c r="D100" t="inlineStr">
        <is>
          <t>SKÅNE LÄN</t>
        </is>
      </c>
      <c r="E100" t="inlineStr">
        <is>
          <t>HÄSSLEHOLM</t>
        </is>
      </c>
      <c r="G100" t="n">
        <v>4.2</v>
      </c>
      <c r="H100" t="n">
        <v>0</v>
      </c>
      <c r="I100" t="n">
        <v>0</v>
      </c>
      <c r="J100" t="n">
        <v>0</v>
      </c>
      <c r="K100" t="n">
        <v>0</v>
      </c>
      <c r="L100" t="n">
        <v>0</v>
      </c>
      <c r="M100" t="n">
        <v>0</v>
      </c>
      <c r="N100" t="n">
        <v>0</v>
      </c>
      <c r="O100" t="n">
        <v>0</v>
      </c>
      <c r="P100" t="n">
        <v>0</v>
      </c>
      <c r="Q100" t="n">
        <v>0</v>
      </c>
      <c r="R100" s="2" t="inlineStr"/>
    </row>
    <row r="101" ht="15" customHeight="1">
      <c r="A101" t="inlineStr">
        <is>
          <t>A 9292-2022</t>
        </is>
      </c>
      <c r="B101" s="1" t="n">
        <v>44616</v>
      </c>
      <c r="C101" s="1" t="n">
        <v>46004</v>
      </c>
      <c r="D101" t="inlineStr">
        <is>
          <t>SKÅNE LÄN</t>
        </is>
      </c>
      <c r="E101" t="inlineStr">
        <is>
          <t>HÄSSLEHOLM</t>
        </is>
      </c>
      <c r="G101" t="n">
        <v>1.6</v>
      </c>
      <c r="H101" t="n">
        <v>0</v>
      </c>
      <c r="I101" t="n">
        <v>0</v>
      </c>
      <c r="J101" t="n">
        <v>0</v>
      </c>
      <c r="K101" t="n">
        <v>0</v>
      </c>
      <c r="L101" t="n">
        <v>0</v>
      </c>
      <c r="M101" t="n">
        <v>0</v>
      </c>
      <c r="N101" t="n">
        <v>0</v>
      </c>
      <c r="O101" t="n">
        <v>0</v>
      </c>
      <c r="P101" t="n">
        <v>0</v>
      </c>
      <c r="Q101" t="n">
        <v>0</v>
      </c>
      <c r="R101" s="2" t="inlineStr"/>
    </row>
    <row r="102" ht="15" customHeight="1">
      <c r="A102" t="inlineStr">
        <is>
          <t>A 3277-2022</t>
        </is>
      </c>
      <c r="B102" s="1" t="n">
        <v>44584.41274305555</v>
      </c>
      <c r="C102" s="1" t="n">
        <v>46004</v>
      </c>
      <c r="D102" t="inlineStr">
        <is>
          <t>SKÅNE LÄN</t>
        </is>
      </c>
      <c r="E102" t="inlineStr">
        <is>
          <t>HÄSSLEHOLM</t>
        </is>
      </c>
      <c r="G102" t="n">
        <v>0.2</v>
      </c>
      <c r="H102" t="n">
        <v>0</v>
      </c>
      <c r="I102" t="n">
        <v>0</v>
      </c>
      <c r="J102" t="n">
        <v>0</v>
      </c>
      <c r="K102" t="n">
        <v>0</v>
      </c>
      <c r="L102" t="n">
        <v>0</v>
      </c>
      <c r="M102" t="n">
        <v>0</v>
      </c>
      <c r="N102" t="n">
        <v>0</v>
      </c>
      <c r="O102" t="n">
        <v>0</v>
      </c>
      <c r="P102" t="n">
        <v>0</v>
      </c>
      <c r="Q102" t="n">
        <v>0</v>
      </c>
      <c r="R102" s="2" t="inlineStr"/>
    </row>
    <row r="103" ht="15" customHeight="1">
      <c r="A103" t="inlineStr">
        <is>
          <t>A 7522-2021</t>
        </is>
      </c>
      <c r="B103" s="1" t="n">
        <v>44238</v>
      </c>
      <c r="C103" s="1" t="n">
        <v>46004</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46004</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54106-2022</t>
        </is>
      </c>
      <c r="B105" s="1" t="n">
        <v>44879</v>
      </c>
      <c r="C105" s="1" t="n">
        <v>46004</v>
      </c>
      <c r="D105" t="inlineStr">
        <is>
          <t>SKÅNE LÄN</t>
        </is>
      </c>
      <c r="E105" t="inlineStr">
        <is>
          <t>HÄSSLEHOLM</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3855-2022</t>
        </is>
      </c>
      <c r="B106" s="1" t="n">
        <v>44587</v>
      </c>
      <c r="C106" s="1" t="n">
        <v>46004</v>
      </c>
      <c r="D106" t="inlineStr">
        <is>
          <t>SKÅNE LÄN</t>
        </is>
      </c>
      <c r="E106" t="inlineStr">
        <is>
          <t>HÄSSLEHOLM</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26387-2022</t>
        </is>
      </c>
      <c r="B107" s="1" t="n">
        <v>44735.68328703703</v>
      </c>
      <c r="C107" s="1" t="n">
        <v>46004</v>
      </c>
      <c r="D107" t="inlineStr">
        <is>
          <t>SKÅNE LÄN</t>
        </is>
      </c>
      <c r="E107" t="inlineStr">
        <is>
          <t>HÄSSLEHOLM</t>
        </is>
      </c>
      <c r="G107" t="n">
        <v>0.4</v>
      </c>
      <c r="H107" t="n">
        <v>0</v>
      </c>
      <c r="I107" t="n">
        <v>0</v>
      </c>
      <c r="J107" t="n">
        <v>0</v>
      </c>
      <c r="K107" t="n">
        <v>0</v>
      </c>
      <c r="L107" t="n">
        <v>0</v>
      </c>
      <c r="M107" t="n">
        <v>0</v>
      </c>
      <c r="N107" t="n">
        <v>0</v>
      </c>
      <c r="O107" t="n">
        <v>0</v>
      </c>
      <c r="P107" t="n">
        <v>0</v>
      </c>
      <c r="Q107" t="n">
        <v>0</v>
      </c>
      <c r="R107" s="2" t="inlineStr"/>
    </row>
    <row r="108" ht="15" customHeight="1">
      <c r="A108" t="inlineStr">
        <is>
          <t>A 55364-2022</t>
        </is>
      </c>
      <c r="B108" s="1" t="n">
        <v>44887.50657407408</v>
      </c>
      <c r="C108" s="1" t="n">
        <v>46004</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69201-2020</t>
        </is>
      </c>
      <c r="B109" s="1" t="n">
        <v>44191</v>
      </c>
      <c r="C109" s="1" t="n">
        <v>46004</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46004</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46004</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46004</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9257-2021</t>
        </is>
      </c>
      <c r="B113" s="1" t="n">
        <v>44250</v>
      </c>
      <c r="C113" s="1" t="n">
        <v>46004</v>
      </c>
      <c r="D113" t="inlineStr">
        <is>
          <t>SKÅNE LÄN</t>
        </is>
      </c>
      <c r="E113" t="inlineStr">
        <is>
          <t>HÄSSLEHOLM</t>
        </is>
      </c>
      <c r="G113" t="n">
        <v>2.2</v>
      </c>
      <c r="H113" t="n">
        <v>0</v>
      </c>
      <c r="I113" t="n">
        <v>0</v>
      </c>
      <c r="J113" t="n">
        <v>0</v>
      </c>
      <c r="K113" t="n">
        <v>0</v>
      </c>
      <c r="L113" t="n">
        <v>0</v>
      </c>
      <c r="M113" t="n">
        <v>0</v>
      </c>
      <c r="N113" t="n">
        <v>0</v>
      </c>
      <c r="O113" t="n">
        <v>0</v>
      </c>
      <c r="P113" t="n">
        <v>0</v>
      </c>
      <c r="Q113" t="n">
        <v>0</v>
      </c>
      <c r="R113" s="2" t="inlineStr"/>
    </row>
    <row r="114" ht="15" customHeight="1">
      <c r="A114" t="inlineStr">
        <is>
          <t>A 43639-2021</t>
        </is>
      </c>
      <c r="B114" s="1" t="n">
        <v>44433</v>
      </c>
      <c r="C114" s="1" t="n">
        <v>46004</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7701-2021</t>
        </is>
      </c>
      <c r="B115" s="1" t="n">
        <v>44242</v>
      </c>
      <c r="C115" s="1" t="n">
        <v>46004</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3276-2022</t>
        </is>
      </c>
      <c r="B116" s="1" t="n">
        <v>44584.40916666666</v>
      </c>
      <c r="C116" s="1" t="n">
        <v>46004</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46004</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46004</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44328-2021</t>
        </is>
      </c>
      <c r="B119" s="1" t="n">
        <v>44435</v>
      </c>
      <c r="C119" s="1" t="n">
        <v>46004</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34684-2021</t>
        </is>
      </c>
      <c r="B120" s="1" t="n">
        <v>44382</v>
      </c>
      <c r="C120" s="1" t="n">
        <v>46004</v>
      </c>
      <c r="D120" t="inlineStr">
        <is>
          <t>SKÅNE LÄN</t>
        </is>
      </c>
      <c r="E120" t="inlineStr">
        <is>
          <t>HÄSSLEHOLM</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74293-2021</t>
        </is>
      </c>
      <c r="B121" s="1" t="n">
        <v>44558</v>
      </c>
      <c r="C121" s="1" t="n">
        <v>46004</v>
      </c>
      <c r="D121" t="inlineStr">
        <is>
          <t>SKÅNE LÄN</t>
        </is>
      </c>
      <c r="E121" t="inlineStr">
        <is>
          <t>HÄSSLEHOLM</t>
        </is>
      </c>
      <c r="F121" t="inlineStr">
        <is>
          <t>Kyrkan</t>
        </is>
      </c>
      <c r="G121" t="n">
        <v>3.3</v>
      </c>
      <c r="H121" t="n">
        <v>0</v>
      </c>
      <c r="I121" t="n">
        <v>0</v>
      </c>
      <c r="J121" t="n">
        <v>0</v>
      </c>
      <c r="K121" t="n">
        <v>0</v>
      </c>
      <c r="L121" t="n">
        <v>0</v>
      </c>
      <c r="M121" t="n">
        <v>0</v>
      </c>
      <c r="N121" t="n">
        <v>0</v>
      </c>
      <c r="O121" t="n">
        <v>0</v>
      </c>
      <c r="P121" t="n">
        <v>0</v>
      </c>
      <c r="Q121" t="n">
        <v>0</v>
      </c>
      <c r="R121" s="2" t="inlineStr"/>
    </row>
    <row r="122" ht="15" customHeight="1">
      <c r="A122" t="inlineStr">
        <is>
          <t>A 63972-2021</t>
        </is>
      </c>
      <c r="B122" s="1" t="n">
        <v>44509.89649305555</v>
      </c>
      <c r="C122" s="1" t="n">
        <v>46004</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25379-2021</t>
        </is>
      </c>
      <c r="B123" s="1" t="n">
        <v>44342</v>
      </c>
      <c r="C123" s="1" t="n">
        <v>46004</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2952-2021</t>
        </is>
      </c>
      <c r="B124" s="1" t="n">
        <v>44216</v>
      </c>
      <c r="C124" s="1" t="n">
        <v>46004</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46217-2022</t>
        </is>
      </c>
      <c r="B125" s="1" t="n">
        <v>44846</v>
      </c>
      <c r="C125" s="1" t="n">
        <v>46004</v>
      </c>
      <c r="D125" t="inlineStr">
        <is>
          <t>SKÅNE LÄN</t>
        </is>
      </c>
      <c r="E125" t="inlineStr">
        <is>
          <t>HÄSSLEHOLM</t>
        </is>
      </c>
      <c r="G125" t="n">
        <v>3.1</v>
      </c>
      <c r="H125" t="n">
        <v>0</v>
      </c>
      <c r="I125" t="n">
        <v>0</v>
      </c>
      <c r="J125" t="n">
        <v>0</v>
      </c>
      <c r="K125" t="n">
        <v>0</v>
      </c>
      <c r="L125" t="n">
        <v>0</v>
      </c>
      <c r="M125" t="n">
        <v>0</v>
      </c>
      <c r="N125" t="n">
        <v>0</v>
      </c>
      <c r="O125" t="n">
        <v>0</v>
      </c>
      <c r="P125" t="n">
        <v>0</v>
      </c>
      <c r="Q125" t="n">
        <v>0</v>
      </c>
      <c r="R125" s="2" t="inlineStr"/>
    </row>
    <row r="126" ht="15" customHeight="1">
      <c r="A126" t="inlineStr">
        <is>
          <t>A 40764-2022</t>
        </is>
      </c>
      <c r="B126" s="1" t="n">
        <v>44820</v>
      </c>
      <c r="C126" s="1" t="n">
        <v>46004</v>
      </c>
      <c r="D126" t="inlineStr">
        <is>
          <t>SKÅNE LÄN</t>
        </is>
      </c>
      <c r="E126" t="inlineStr">
        <is>
          <t>HÄSSLEHOLM</t>
        </is>
      </c>
      <c r="G126" t="n">
        <v>0.3</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46004</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46004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46004</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21535-2021</t>
        </is>
      </c>
      <c r="B130" s="1" t="n">
        <v>44321</v>
      </c>
      <c r="C130" s="1" t="n">
        <v>46004</v>
      </c>
      <c r="D130" t="inlineStr">
        <is>
          <t>SKÅNE LÄN</t>
        </is>
      </c>
      <c r="E130" t="inlineStr">
        <is>
          <t>HÄSSLEHOLM</t>
        </is>
      </c>
      <c r="G130" t="n">
        <v>2.8</v>
      </c>
      <c r="H130" t="n">
        <v>0</v>
      </c>
      <c r="I130" t="n">
        <v>0</v>
      </c>
      <c r="J130" t="n">
        <v>0</v>
      </c>
      <c r="K130" t="n">
        <v>0</v>
      </c>
      <c r="L130" t="n">
        <v>0</v>
      </c>
      <c r="M130" t="n">
        <v>0</v>
      </c>
      <c r="N130" t="n">
        <v>0</v>
      </c>
      <c r="O130" t="n">
        <v>0</v>
      </c>
      <c r="P130" t="n">
        <v>0</v>
      </c>
      <c r="Q130" t="n">
        <v>0</v>
      </c>
      <c r="R130" s="2" t="inlineStr"/>
    </row>
    <row r="131" ht="15" customHeight="1">
      <c r="A131" t="inlineStr">
        <is>
          <t>A 34027-2021</t>
        </is>
      </c>
      <c r="B131" s="1" t="n">
        <v>44379</v>
      </c>
      <c r="C131" s="1" t="n">
        <v>46004</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19449-2021</t>
        </is>
      </c>
      <c r="B132" s="1" t="n">
        <v>44310.88846064815</v>
      </c>
      <c r="C132" s="1" t="n">
        <v>46004</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46004</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32792-2021</t>
        </is>
      </c>
      <c r="B134" s="1" t="n">
        <v>44375</v>
      </c>
      <c r="C134" s="1" t="n">
        <v>46004</v>
      </c>
      <c r="D134" t="inlineStr">
        <is>
          <t>SKÅNE LÄN</t>
        </is>
      </c>
      <c r="E134" t="inlineStr">
        <is>
          <t>HÄSSLEHOLM</t>
        </is>
      </c>
      <c r="G134" t="n">
        <v>1</v>
      </c>
      <c r="H134" t="n">
        <v>0</v>
      </c>
      <c r="I134" t="n">
        <v>0</v>
      </c>
      <c r="J134" t="n">
        <v>0</v>
      </c>
      <c r="K134" t="n">
        <v>0</v>
      </c>
      <c r="L134" t="n">
        <v>0</v>
      </c>
      <c r="M134" t="n">
        <v>0</v>
      </c>
      <c r="N134" t="n">
        <v>0</v>
      </c>
      <c r="O134" t="n">
        <v>0</v>
      </c>
      <c r="P134" t="n">
        <v>0</v>
      </c>
      <c r="Q134" t="n">
        <v>0</v>
      </c>
      <c r="R134" s="2" t="inlineStr"/>
    </row>
    <row r="135" ht="15" customHeight="1">
      <c r="A135" t="inlineStr">
        <is>
          <t>A 3167-2022</t>
        </is>
      </c>
      <c r="B135" s="1" t="n">
        <v>44582</v>
      </c>
      <c r="C135" s="1" t="n">
        <v>46004</v>
      </c>
      <c r="D135" t="inlineStr">
        <is>
          <t>SKÅNE LÄN</t>
        </is>
      </c>
      <c r="E135" t="inlineStr">
        <is>
          <t>HÄSSLEHOLM</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34679-2021</t>
        </is>
      </c>
      <c r="B136" s="1" t="n">
        <v>44382</v>
      </c>
      <c r="C136" s="1" t="n">
        <v>46004</v>
      </c>
      <c r="D136" t="inlineStr">
        <is>
          <t>SKÅNE LÄN</t>
        </is>
      </c>
      <c r="E136" t="inlineStr">
        <is>
          <t>HÄSSLEHOLM</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46004</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33736-2021</t>
        </is>
      </c>
      <c r="B138" s="1" t="n">
        <v>44378</v>
      </c>
      <c r="C138" s="1" t="n">
        <v>46004</v>
      </c>
      <c r="D138" t="inlineStr">
        <is>
          <t>SKÅNE LÄN</t>
        </is>
      </c>
      <c r="E138" t="inlineStr">
        <is>
          <t>HÄSSLEHOLM</t>
        </is>
      </c>
      <c r="G138" t="n">
        <v>7.6</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46004</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1535-2022</t>
        </is>
      </c>
      <c r="B140" s="1" t="n">
        <v>44573</v>
      </c>
      <c r="C140" s="1" t="n">
        <v>46004</v>
      </c>
      <c r="D140" t="inlineStr">
        <is>
          <t>SKÅNE LÄN</t>
        </is>
      </c>
      <c r="E140" t="inlineStr">
        <is>
          <t>HÄSSLEHOLM</t>
        </is>
      </c>
      <c r="G140" t="n">
        <v>15</v>
      </c>
      <c r="H140" t="n">
        <v>0</v>
      </c>
      <c r="I140" t="n">
        <v>0</v>
      </c>
      <c r="J140" t="n">
        <v>0</v>
      </c>
      <c r="K140" t="n">
        <v>0</v>
      </c>
      <c r="L140" t="n">
        <v>0</v>
      </c>
      <c r="M140" t="n">
        <v>0</v>
      </c>
      <c r="N140" t="n">
        <v>0</v>
      </c>
      <c r="O140" t="n">
        <v>0</v>
      </c>
      <c r="P140" t="n">
        <v>0</v>
      </c>
      <c r="Q140" t="n">
        <v>0</v>
      </c>
      <c r="R140" s="2" t="inlineStr"/>
    </row>
    <row r="141" ht="15" customHeight="1">
      <c r="A141" t="inlineStr">
        <is>
          <t>A 13982-2021</t>
        </is>
      </c>
      <c r="B141" s="1" t="n">
        <v>44277.57800925926</v>
      </c>
      <c r="C141" s="1" t="n">
        <v>46004</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40702-2021</t>
        </is>
      </c>
      <c r="B142" s="1" t="n">
        <v>44420.61719907408</v>
      </c>
      <c r="C142" s="1" t="n">
        <v>46004</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27330-2021</t>
        </is>
      </c>
      <c r="B143" s="1" t="n">
        <v>44351</v>
      </c>
      <c r="C143" s="1" t="n">
        <v>46004</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46004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6414-2022</t>
        </is>
      </c>
      <c r="B145" s="1" t="n">
        <v>44600</v>
      </c>
      <c r="C145" s="1" t="n">
        <v>46004</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64607-2021</t>
        </is>
      </c>
      <c r="B146" s="1" t="n">
        <v>44511</v>
      </c>
      <c r="C146" s="1" t="n">
        <v>46004</v>
      </c>
      <c r="D146" t="inlineStr">
        <is>
          <t>SKÅNE LÄN</t>
        </is>
      </c>
      <c r="E146" t="inlineStr">
        <is>
          <t>HÄSSLEHOLM</t>
        </is>
      </c>
      <c r="G146" t="n">
        <v>1.5</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46004</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18515-2021</t>
        </is>
      </c>
      <c r="B148" s="1" t="n">
        <v>44305</v>
      </c>
      <c r="C148" s="1" t="n">
        <v>46004</v>
      </c>
      <c r="D148" t="inlineStr">
        <is>
          <t>SKÅNE LÄN</t>
        </is>
      </c>
      <c r="E148" t="inlineStr">
        <is>
          <t>HÄSSLEHOLM</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18523-2021</t>
        </is>
      </c>
      <c r="B149" s="1" t="n">
        <v>44305</v>
      </c>
      <c r="C149" s="1" t="n">
        <v>46004</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12617-2021</t>
        </is>
      </c>
      <c r="B150" s="1" t="n">
        <v>44270.45030092593</v>
      </c>
      <c r="C150" s="1" t="n">
        <v>46004</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2631-2022</t>
        </is>
      </c>
      <c r="B151" s="1" t="n">
        <v>44580</v>
      </c>
      <c r="C151" s="1" t="n">
        <v>46004</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52567-2021</t>
        </is>
      </c>
      <c r="B152" s="1" t="n">
        <v>44466</v>
      </c>
      <c r="C152" s="1" t="n">
        <v>46004</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354-2022</t>
        </is>
      </c>
      <c r="B153" s="1" t="n">
        <v>44565.62510416667</v>
      </c>
      <c r="C153" s="1" t="n">
        <v>46004</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15423-2022</t>
        </is>
      </c>
      <c r="B154" s="1" t="n">
        <v>44659</v>
      </c>
      <c r="C154" s="1" t="n">
        <v>46004</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32892-2021</t>
        </is>
      </c>
      <c r="B155" s="1" t="n">
        <v>44375</v>
      </c>
      <c r="C155" s="1" t="n">
        <v>46004</v>
      </c>
      <c r="D155" t="inlineStr">
        <is>
          <t>SKÅNE LÄN</t>
        </is>
      </c>
      <c r="E155" t="inlineStr">
        <is>
          <t>HÄSSLEHOLM</t>
        </is>
      </c>
      <c r="G155" t="n">
        <v>2.9</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46004</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2514-2021</t>
        </is>
      </c>
      <c r="B157" s="1" t="n">
        <v>44214</v>
      </c>
      <c r="C157" s="1" t="n">
        <v>46004</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1461-2021</t>
        </is>
      </c>
      <c r="B158" s="1" t="n">
        <v>44208</v>
      </c>
      <c r="C158" s="1" t="n">
        <v>46004</v>
      </c>
      <c r="D158" t="inlineStr">
        <is>
          <t>SKÅNE LÄN</t>
        </is>
      </c>
      <c r="E158" t="inlineStr">
        <is>
          <t>HÄSSLEHOLM</t>
        </is>
      </c>
      <c r="G158" t="n">
        <v>0.8</v>
      </c>
      <c r="H158" t="n">
        <v>0</v>
      </c>
      <c r="I158" t="n">
        <v>0</v>
      </c>
      <c r="J158" t="n">
        <v>0</v>
      </c>
      <c r="K158" t="n">
        <v>0</v>
      </c>
      <c r="L158" t="n">
        <v>0</v>
      </c>
      <c r="M158" t="n">
        <v>0</v>
      </c>
      <c r="N158" t="n">
        <v>0</v>
      </c>
      <c r="O158" t="n">
        <v>0</v>
      </c>
      <c r="P158" t="n">
        <v>0</v>
      </c>
      <c r="Q158" t="n">
        <v>0</v>
      </c>
      <c r="R158" s="2" t="inlineStr"/>
    </row>
    <row r="159" ht="15" customHeight="1">
      <c r="A159" t="inlineStr">
        <is>
          <t>A 52295-2021</t>
        </is>
      </c>
      <c r="B159" s="1" t="n">
        <v>44463</v>
      </c>
      <c r="C159" s="1" t="n">
        <v>46004</v>
      </c>
      <c r="D159" t="inlineStr">
        <is>
          <t>SKÅNE LÄN</t>
        </is>
      </c>
      <c r="E159" t="inlineStr">
        <is>
          <t>HÄSSLEHOLM</t>
        </is>
      </c>
      <c r="G159" t="n">
        <v>0.3</v>
      </c>
      <c r="H159" t="n">
        <v>0</v>
      </c>
      <c r="I159" t="n">
        <v>0</v>
      </c>
      <c r="J159" t="n">
        <v>0</v>
      </c>
      <c r="K159" t="n">
        <v>0</v>
      </c>
      <c r="L159" t="n">
        <v>0</v>
      </c>
      <c r="M159" t="n">
        <v>0</v>
      </c>
      <c r="N159" t="n">
        <v>0</v>
      </c>
      <c r="O159" t="n">
        <v>0</v>
      </c>
      <c r="P159" t="n">
        <v>0</v>
      </c>
      <c r="Q159" t="n">
        <v>0</v>
      </c>
      <c r="R159" s="2" t="inlineStr"/>
    </row>
    <row r="160" ht="15" customHeight="1">
      <c r="A160" t="inlineStr">
        <is>
          <t>A 6973-2021</t>
        </is>
      </c>
      <c r="B160" s="1" t="n">
        <v>44237</v>
      </c>
      <c r="C160" s="1" t="n">
        <v>46004</v>
      </c>
      <c r="D160" t="inlineStr">
        <is>
          <t>SKÅNE LÄN</t>
        </is>
      </c>
      <c r="E160" t="inlineStr">
        <is>
          <t>HÄSSLEHOLM</t>
        </is>
      </c>
      <c r="G160" t="n">
        <v>0.4</v>
      </c>
      <c r="H160" t="n">
        <v>0</v>
      </c>
      <c r="I160" t="n">
        <v>0</v>
      </c>
      <c r="J160" t="n">
        <v>0</v>
      </c>
      <c r="K160" t="n">
        <v>0</v>
      </c>
      <c r="L160" t="n">
        <v>0</v>
      </c>
      <c r="M160" t="n">
        <v>0</v>
      </c>
      <c r="N160" t="n">
        <v>0</v>
      </c>
      <c r="O160" t="n">
        <v>0</v>
      </c>
      <c r="P160" t="n">
        <v>0</v>
      </c>
      <c r="Q160" t="n">
        <v>0</v>
      </c>
      <c r="R160" s="2" t="inlineStr"/>
    </row>
    <row r="161" ht="15" customHeight="1">
      <c r="A161" t="inlineStr">
        <is>
          <t>A 68909-2021</t>
        </is>
      </c>
      <c r="B161" s="1" t="n">
        <v>44530.46730324074</v>
      </c>
      <c r="C161" s="1" t="n">
        <v>46004</v>
      </c>
      <c r="D161" t="inlineStr">
        <is>
          <t>SKÅNE LÄN</t>
        </is>
      </c>
      <c r="E161" t="inlineStr">
        <is>
          <t>HÄSSLEHOLM</t>
        </is>
      </c>
      <c r="G161" t="n">
        <v>0.9</v>
      </c>
      <c r="H161" t="n">
        <v>0</v>
      </c>
      <c r="I161" t="n">
        <v>0</v>
      </c>
      <c r="J161" t="n">
        <v>0</v>
      </c>
      <c r="K161" t="n">
        <v>0</v>
      </c>
      <c r="L161" t="n">
        <v>0</v>
      </c>
      <c r="M161" t="n">
        <v>0</v>
      </c>
      <c r="N161" t="n">
        <v>0</v>
      </c>
      <c r="O161" t="n">
        <v>0</v>
      </c>
      <c r="P161" t="n">
        <v>0</v>
      </c>
      <c r="Q161" t="n">
        <v>0</v>
      </c>
      <c r="R161" s="2" t="inlineStr"/>
    </row>
    <row r="162" ht="15" customHeight="1">
      <c r="A162" t="inlineStr">
        <is>
          <t>A 39102-2022</t>
        </is>
      </c>
      <c r="B162" s="1" t="n">
        <v>44817.43260416666</v>
      </c>
      <c r="C162" s="1" t="n">
        <v>46004</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47112-2021</t>
        </is>
      </c>
      <c r="B163" s="1" t="n">
        <v>44446</v>
      </c>
      <c r="C163" s="1" t="n">
        <v>46004</v>
      </c>
      <c r="D163" t="inlineStr">
        <is>
          <t>SKÅNE LÄN</t>
        </is>
      </c>
      <c r="E163" t="inlineStr">
        <is>
          <t>HÄSSLEHOLM</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56989-2021</t>
        </is>
      </c>
      <c r="B164" s="1" t="n">
        <v>44482</v>
      </c>
      <c r="C164" s="1" t="n">
        <v>46004</v>
      </c>
      <c r="D164" t="inlineStr">
        <is>
          <t>SKÅNE LÄN</t>
        </is>
      </c>
      <c r="E164" t="inlineStr">
        <is>
          <t>HÄSSLEHOLM</t>
        </is>
      </c>
      <c r="G164" t="n">
        <v>1.1</v>
      </c>
      <c r="H164" t="n">
        <v>0</v>
      </c>
      <c r="I164" t="n">
        <v>0</v>
      </c>
      <c r="J164" t="n">
        <v>0</v>
      </c>
      <c r="K164" t="n">
        <v>0</v>
      </c>
      <c r="L164" t="n">
        <v>0</v>
      </c>
      <c r="M164" t="n">
        <v>0</v>
      </c>
      <c r="N164" t="n">
        <v>0</v>
      </c>
      <c r="O164" t="n">
        <v>0</v>
      </c>
      <c r="P164" t="n">
        <v>0</v>
      </c>
      <c r="Q164" t="n">
        <v>0</v>
      </c>
      <c r="R164" s="2" t="inlineStr"/>
    </row>
    <row r="165" ht="15" customHeight="1">
      <c r="A165" t="inlineStr">
        <is>
          <t>A 51159-2021</t>
        </is>
      </c>
      <c r="B165" s="1" t="n">
        <v>44461</v>
      </c>
      <c r="C165" s="1" t="n">
        <v>46004</v>
      </c>
      <c r="D165" t="inlineStr">
        <is>
          <t>SKÅNE LÄN</t>
        </is>
      </c>
      <c r="E165" t="inlineStr">
        <is>
          <t>HÄSSLEHOLM</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60260-2021</t>
        </is>
      </c>
      <c r="B166" s="1" t="n">
        <v>44495</v>
      </c>
      <c r="C166" s="1" t="n">
        <v>46004</v>
      </c>
      <c r="D166" t="inlineStr">
        <is>
          <t>SKÅNE LÄN</t>
        </is>
      </c>
      <c r="E166" t="inlineStr">
        <is>
          <t>HÄSSLEHOLM</t>
        </is>
      </c>
      <c r="G166" t="n">
        <v>2.1</v>
      </c>
      <c r="H166" t="n">
        <v>0</v>
      </c>
      <c r="I166" t="n">
        <v>0</v>
      </c>
      <c r="J166" t="n">
        <v>0</v>
      </c>
      <c r="K166" t="n">
        <v>0</v>
      </c>
      <c r="L166" t="n">
        <v>0</v>
      </c>
      <c r="M166" t="n">
        <v>0</v>
      </c>
      <c r="N166" t="n">
        <v>0</v>
      </c>
      <c r="O166" t="n">
        <v>0</v>
      </c>
      <c r="P166" t="n">
        <v>0</v>
      </c>
      <c r="Q166" t="n">
        <v>0</v>
      </c>
      <c r="R166" s="2" t="inlineStr"/>
    </row>
    <row r="167" ht="15" customHeight="1">
      <c r="A167" t="inlineStr">
        <is>
          <t>A 25383-2021</t>
        </is>
      </c>
      <c r="B167" s="1" t="n">
        <v>44342</v>
      </c>
      <c r="C167" s="1" t="n">
        <v>46004</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15986-2022</t>
        </is>
      </c>
      <c r="B168" s="1" t="n">
        <v>44664</v>
      </c>
      <c r="C168" s="1" t="n">
        <v>46004</v>
      </c>
      <c r="D168" t="inlineStr">
        <is>
          <t>SKÅNE LÄN</t>
        </is>
      </c>
      <c r="E168" t="inlineStr">
        <is>
          <t>HÄSSLEHOLM</t>
        </is>
      </c>
      <c r="F168" t="inlineStr">
        <is>
          <t>Kyrkan</t>
        </is>
      </c>
      <c r="G168" t="n">
        <v>6</v>
      </c>
      <c r="H168" t="n">
        <v>0</v>
      </c>
      <c r="I168" t="n">
        <v>0</v>
      </c>
      <c r="J168" t="n">
        <v>0</v>
      </c>
      <c r="K168" t="n">
        <v>0</v>
      </c>
      <c r="L168" t="n">
        <v>0</v>
      </c>
      <c r="M168" t="n">
        <v>0</v>
      </c>
      <c r="N168" t="n">
        <v>0</v>
      </c>
      <c r="O168" t="n">
        <v>0</v>
      </c>
      <c r="P168" t="n">
        <v>0</v>
      </c>
      <c r="Q168" t="n">
        <v>0</v>
      </c>
      <c r="R168" s="2" t="inlineStr"/>
    </row>
    <row r="169" ht="15" customHeight="1">
      <c r="A169" t="inlineStr">
        <is>
          <t>A 2858-2022</t>
        </is>
      </c>
      <c r="B169" s="1" t="n">
        <v>44581</v>
      </c>
      <c r="C169" s="1" t="n">
        <v>46004</v>
      </c>
      <c r="D169" t="inlineStr">
        <is>
          <t>SKÅNE LÄN</t>
        </is>
      </c>
      <c r="E169" t="inlineStr">
        <is>
          <t>HÄSSLEHOLM</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51888-2021</t>
        </is>
      </c>
      <c r="B170" s="1" t="n">
        <v>44462</v>
      </c>
      <c r="C170" s="1" t="n">
        <v>46004</v>
      </c>
      <c r="D170" t="inlineStr">
        <is>
          <t>SKÅNE LÄN</t>
        </is>
      </c>
      <c r="E170" t="inlineStr">
        <is>
          <t>HÄSSLEHOLM</t>
        </is>
      </c>
      <c r="G170" t="n">
        <v>5.6</v>
      </c>
      <c r="H170" t="n">
        <v>0</v>
      </c>
      <c r="I170" t="n">
        <v>0</v>
      </c>
      <c r="J170" t="n">
        <v>0</v>
      </c>
      <c r="K170" t="n">
        <v>0</v>
      </c>
      <c r="L170" t="n">
        <v>0</v>
      </c>
      <c r="M170" t="n">
        <v>0</v>
      </c>
      <c r="N170" t="n">
        <v>0</v>
      </c>
      <c r="O170" t="n">
        <v>0</v>
      </c>
      <c r="P170" t="n">
        <v>0</v>
      </c>
      <c r="Q170" t="n">
        <v>0</v>
      </c>
      <c r="R170" s="2" t="inlineStr"/>
    </row>
    <row r="171" ht="15" customHeight="1">
      <c r="A171" t="inlineStr">
        <is>
          <t>A 52786-2021</t>
        </is>
      </c>
      <c r="B171" s="1" t="n">
        <v>44467.36061342592</v>
      </c>
      <c r="C171" s="1" t="n">
        <v>46004</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29143-2021</t>
        </is>
      </c>
      <c r="B172" s="1" t="n">
        <v>44358.6319212963</v>
      </c>
      <c r="C172" s="1" t="n">
        <v>46004</v>
      </c>
      <c r="D172" t="inlineStr">
        <is>
          <t>SKÅNE LÄN</t>
        </is>
      </c>
      <c r="E172" t="inlineStr">
        <is>
          <t>HÄSSLEHOLM</t>
        </is>
      </c>
      <c r="G172" t="n">
        <v>2.9</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46004</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44669-2022</t>
        </is>
      </c>
      <c r="B174" s="1" t="n">
        <v>44840</v>
      </c>
      <c r="C174" s="1" t="n">
        <v>46004</v>
      </c>
      <c r="D174" t="inlineStr">
        <is>
          <t>SKÅNE LÄN</t>
        </is>
      </c>
      <c r="E174" t="inlineStr">
        <is>
          <t>HÄSSLEHOLM</t>
        </is>
      </c>
      <c r="G174" t="n">
        <v>1.2</v>
      </c>
      <c r="H174" t="n">
        <v>0</v>
      </c>
      <c r="I174" t="n">
        <v>0</v>
      </c>
      <c r="J174" t="n">
        <v>0</v>
      </c>
      <c r="K174" t="n">
        <v>0</v>
      </c>
      <c r="L174" t="n">
        <v>0</v>
      </c>
      <c r="M174" t="n">
        <v>0</v>
      </c>
      <c r="N174" t="n">
        <v>0</v>
      </c>
      <c r="O174" t="n">
        <v>0</v>
      </c>
      <c r="P174" t="n">
        <v>0</v>
      </c>
      <c r="Q174" t="n">
        <v>0</v>
      </c>
      <c r="R174" s="2" t="inlineStr"/>
    </row>
    <row r="175" ht="15" customHeight="1">
      <c r="A175" t="inlineStr">
        <is>
          <t>A 26386-2022</t>
        </is>
      </c>
      <c r="B175" s="1" t="n">
        <v>44735.6803125</v>
      </c>
      <c r="C175" s="1" t="n">
        <v>46004</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25469-2022</t>
        </is>
      </c>
      <c r="B176" s="1" t="n">
        <v>44732</v>
      </c>
      <c r="C176" s="1" t="n">
        <v>46004</v>
      </c>
      <c r="D176" t="inlineStr">
        <is>
          <t>SKÅNE LÄN</t>
        </is>
      </c>
      <c r="E176" t="inlineStr">
        <is>
          <t>HÄSSLEHOLM</t>
        </is>
      </c>
      <c r="G176" t="n">
        <v>4.2</v>
      </c>
      <c r="H176" t="n">
        <v>0</v>
      </c>
      <c r="I176" t="n">
        <v>0</v>
      </c>
      <c r="J176" t="n">
        <v>0</v>
      </c>
      <c r="K176" t="n">
        <v>0</v>
      </c>
      <c r="L176" t="n">
        <v>0</v>
      </c>
      <c r="M176" t="n">
        <v>0</v>
      </c>
      <c r="N176" t="n">
        <v>0</v>
      </c>
      <c r="O176" t="n">
        <v>0</v>
      </c>
      <c r="P176" t="n">
        <v>0</v>
      </c>
      <c r="Q176" t="n">
        <v>0</v>
      </c>
      <c r="R176" s="2" t="inlineStr"/>
    </row>
    <row r="177" ht="15" customHeight="1">
      <c r="A177" t="inlineStr">
        <is>
          <t>A 73513-2021</t>
        </is>
      </c>
      <c r="B177" s="1" t="n">
        <v>44551.69012731482</v>
      </c>
      <c r="C177" s="1" t="n">
        <v>46004</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6967-2021</t>
        </is>
      </c>
      <c r="B178" s="1" t="n">
        <v>44237</v>
      </c>
      <c r="C178" s="1" t="n">
        <v>46004</v>
      </c>
      <c r="D178" t="inlineStr">
        <is>
          <t>SKÅNE LÄN</t>
        </is>
      </c>
      <c r="E178" t="inlineStr">
        <is>
          <t>HÄSSLEHOLM</t>
        </is>
      </c>
      <c r="G178" t="n">
        <v>0.7</v>
      </c>
      <c r="H178" t="n">
        <v>0</v>
      </c>
      <c r="I178" t="n">
        <v>0</v>
      </c>
      <c r="J178" t="n">
        <v>0</v>
      </c>
      <c r="K178" t="n">
        <v>0</v>
      </c>
      <c r="L178" t="n">
        <v>0</v>
      </c>
      <c r="M178" t="n">
        <v>0</v>
      </c>
      <c r="N178" t="n">
        <v>0</v>
      </c>
      <c r="O178" t="n">
        <v>0</v>
      </c>
      <c r="P178" t="n">
        <v>0</v>
      </c>
      <c r="Q178" t="n">
        <v>0</v>
      </c>
      <c r="R178" s="2" t="inlineStr"/>
    </row>
    <row r="179" ht="15" customHeight="1">
      <c r="A179" t="inlineStr">
        <is>
          <t>A 69198-2020</t>
        </is>
      </c>
      <c r="B179" s="1" t="n">
        <v>44191</v>
      </c>
      <c r="C179" s="1" t="n">
        <v>46004</v>
      </c>
      <c r="D179" t="inlineStr">
        <is>
          <t>SKÅNE LÄN</t>
        </is>
      </c>
      <c r="E179" t="inlineStr">
        <is>
          <t>HÄSSLEHOLM</t>
        </is>
      </c>
      <c r="G179" t="n">
        <v>6.6</v>
      </c>
      <c r="H179" t="n">
        <v>0</v>
      </c>
      <c r="I179" t="n">
        <v>0</v>
      </c>
      <c r="J179" t="n">
        <v>0</v>
      </c>
      <c r="K179" t="n">
        <v>0</v>
      </c>
      <c r="L179" t="n">
        <v>0</v>
      </c>
      <c r="M179" t="n">
        <v>0</v>
      </c>
      <c r="N179" t="n">
        <v>0</v>
      </c>
      <c r="O179" t="n">
        <v>0</v>
      </c>
      <c r="P179" t="n">
        <v>0</v>
      </c>
      <c r="Q179" t="n">
        <v>0</v>
      </c>
      <c r="R179" s="2" t="inlineStr"/>
    </row>
    <row r="180" ht="15" customHeight="1">
      <c r="A180" t="inlineStr">
        <is>
          <t>A 418-2022</t>
        </is>
      </c>
      <c r="B180" s="1" t="n">
        <v>44565.84958333334</v>
      </c>
      <c r="C180" s="1" t="n">
        <v>46004</v>
      </c>
      <c r="D180" t="inlineStr">
        <is>
          <t>SKÅNE LÄN</t>
        </is>
      </c>
      <c r="E180" t="inlineStr">
        <is>
          <t>HÄSSLEHOLM</t>
        </is>
      </c>
      <c r="G180" t="n">
        <v>0</v>
      </c>
      <c r="H180" t="n">
        <v>0</v>
      </c>
      <c r="I180" t="n">
        <v>0</v>
      </c>
      <c r="J180" t="n">
        <v>0</v>
      </c>
      <c r="K180" t="n">
        <v>0</v>
      </c>
      <c r="L180" t="n">
        <v>0</v>
      </c>
      <c r="M180" t="n">
        <v>0</v>
      </c>
      <c r="N180" t="n">
        <v>0</v>
      </c>
      <c r="O180" t="n">
        <v>0</v>
      </c>
      <c r="P180" t="n">
        <v>0</v>
      </c>
      <c r="Q180" t="n">
        <v>0</v>
      </c>
      <c r="R180" s="2" t="inlineStr"/>
    </row>
    <row r="181" ht="15" customHeight="1">
      <c r="A181" t="inlineStr">
        <is>
          <t>A 23830-2021</t>
        </is>
      </c>
      <c r="B181" s="1" t="n">
        <v>44335</v>
      </c>
      <c r="C181" s="1" t="n">
        <v>46004</v>
      </c>
      <c r="D181" t="inlineStr">
        <is>
          <t>SKÅNE LÄN</t>
        </is>
      </c>
      <c r="E181" t="inlineStr">
        <is>
          <t>HÄSSLEHOLM</t>
        </is>
      </c>
      <c r="G181" t="n">
        <v>18.7</v>
      </c>
      <c r="H181" t="n">
        <v>0</v>
      </c>
      <c r="I181" t="n">
        <v>0</v>
      </c>
      <c r="J181" t="n">
        <v>0</v>
      </c>
      <c r="K181" t="n">
        <v>0</v>
      </c>
      <c r="L181" t="n">
        <v>0</v>
      </c>
      <c r="M181" t="n">
        <v>0</v>
      </c>
      <c r="N181" t="n">
        <v>0</v>
      </c>
      <c r="O181" t="n">
        <v>0</v>
      </c>
      <c r="P181" t="n">
        <v>0</v>
      </c>
      <c r="Q181" t="n">
        <v>0</v>
      </c>
      <c r="R181" s="2" t="inlineStr"/>
    </row>
    <row r="182" ht="15" customHeight="1">
      <c r="A182" t="inlineStr">
        <is>
          <t>A 7729-2021</t>
        </is>
      </c>
      <c r="B182" s="1" t="n">
        <v>44242</v>
      </c>
      <c r="C182" s="1" t="n">
        <v>46004</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197-2021</t>
        </is>
      </c>
      <c r="B183" s="1" t="n">
        <v>44200</v>
      </c>
      <c r="C183" s="1" t="n">
        <v>46004</v>
      </c>
      <c r="D183" t="inlineStr">
        <is>
          <t>SKÅNE LÄN</t>
        </is>
      </c>
      <c r="E183" t="inlineStr">
        <is>
          <t>HÄSSLEHOLM</t>
        </is>
      </c>
      <c r="G183" t="n">
        <v>12.9</v>
      </c>
      <c r="H183" t="n">
        <v>0</v>
      </c>
      <c r="I183" t="n">
        <v>0</v>
      </c>
      <c r="J183" t="n">
        <v>0</v>
      </c>
      <c r="K183" t="n">
        <v>0</v>
      </c>
      <c r="L183" t="n">
        <v>0</v>
      </c>
      <c r="M183" t="n">
        <v>0</v>
      </c>
      <c r="N183" t="n">
        <v>0</v>
      </c>
      <c r="O183" t="n">
        <v>0</v>
      </c>
      <c r="P183" t="n">
        <v>0</v>
      </c>
      <c r="Q183" t="n">
        <v>0</v>
      </c>
      <c r="R183" s="2" t="inlineStr"/>
    </row>
    <row r="184" ht="15" customHeight="1">
      <c r="A184" t="inlineStr">
        <is>
          <t>A 23003-2021</t>
        </is>
      </c>
      <c r="B184" s="1" t="n">
        <v>44328</v>
      </c>
      <c r="C184" s="1" t="n">
        <v>46004</v>
      </c>
      <c r="D184" t="inlineStr">
        <is>
          <t>SKÅNE LÄN</t>
        </is>
      </c>
      <c r="E184" t="inlineStr">
        <is>
          <t>HÄSSLEHOLM</t>
        </is>
      </c>
      <c r="G184" t="n">
        <v>4.4</v>
      </c>
      <c r="H184" t="n">
        <v>0</v>
      </c>
      <c r="I184" t="n">
        <v>0</v>
      </c>
      <c r="J184" t="n">
        <v>0</v>
      </c>
      <c r="K184" t="n">
        <v>0</v>
      </c>
      <c r="L184" t="n">
        <v>0</v>
      </c>
      <c r="M184" t="n">
        <v>0</v>
      </c>
      <c r="N184" t="n">
        <v>0</v>
      </c>
      <c r="O184" t="n">
        <v>0</v>
      </c>
      <c r="P184" t="n">
        <v>0</v>
      </c>
      <c r="Q184" t="n">
        <v>0</v>
      </c>
      <c r="R184" s="2" t="inlineStr"/>
    </row>
    <row r="185" ht="15" customHeight="1">
      <c r="A185" t="inlineStr">
        <is>
          <t>A 11616-2021</t>
        </is>
      </c>
      <c r="B185" s="1" t="n">
        <v>44264.63064814815</v>
      </c>
      <c r="C185" s="1" t="n">
        <v>46004</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46004</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51893-2021</t>
        </is>
      </c>
      <c r="B187" s="1" t="n">
        <v>44462</v>
      </c>
      <c r="C187" s="1" t="n">
        <v>46004</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46004</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55394-2022</t>
        </is>
      </c>
      <c r="B189" s="1" t="n">
        <v>44887.57112268519</v>
      </c>
      <c r="C189" s="1" t="n">
        <v>46004</v>
      </c>
      <c r="D189" t="inlineStr">
        <is>
          <t>SKÅNE LÄN</t>
        </is>
      </c>
      <c r="E189" t="inlineStr">
        <is>
          <t>HÄSSLEHOLM</t>
        </is>
      </c>
      <c r="G189" t="n">
        <v>0.5</v>
      </c>
      <c r="H189" t="n">
        <v>0</v>
      </c>
      <c r="I189" t="n">
        <v>0</v>
      </c>
      <c r="J189" t="n">
        <v>0</v>
      </c>
      <c r="K189" t="n">
        <v>0</v>
      </c>
      <c r="L189" t="n">
        <v>0</v>
      </c>
      <c r="M189" t="n">
        <v>0</v>
      </c>
      <c r="N189" t="n">
        <v>0</v>
      </c>
      <c r="O189" t="n">
        <v>0</v>
      </c>
      <c r="P189" t="n">
        <v>0</v>
      </c>
      <c r="Q189" t="n">
        <v>0</v>
      </c>
      <c r="R189" s="2" t="inlineStr"/>
    </row>
    <row r="190" ht="15" customHeight="1">
      <c r="A190" t="inlineStr">
        <is>
          <t>A 5091-2022</t>
        </is>
      </c>
      <c r="B190" s="1" t="n">
        <v>44593.85114583333</v>
      </c>
      <c r="C190" s="1" t="n">
        <v>46004</v>
      </c>
      <c r="D190" t="inlineStr">
        <is>
          <t>SKÅNE LÄN</t>
        </is>
      </c>
      <c r="E190" t="inlineStr">
        <is>
          <t>HÄSSLEHOLM</t>
        </is>
      </c>
      <c r="G190" t="n">
        <v>2.5</v>
      </c>
      <c r="H190" t="n">
        <v>0</v>
      </c>
      <c r="I190" t="n">
        <v>0</v>
      </c>
      <c r="J190" t="n">
        <v>0</v>
      </c>
      <c r="K190" t="n">
        <v>0</v>
      </c>
      <c r="L190" t="n">
        <v>0</v>
      </c>
      <c r="M190" t="n">
        <v>0</v>
      </c>
      <c r="N190" t="n">
        <v>0</v>
      </c>
      <c r="O190" t="n">
        <v>0</v>
      </c>
      <c r="P190" t="n">
        <v>0</v>
      </c>
      <c r="Q190" t="n">
        <v>0</v>
      </c>
      <c r="R190" s="2" t="inlineStr"/>
    </row>
    <row r="191" ht="15" customHeight="1">
      <c r="A191" t="inlineStr">
        <is>
          <t>A 7904-2022</t>
        </is>
      </c>
      <c r="B191" s="1" t="n">
        <v>44607</v>
      </c>
      <c r="C191" s="1" t="n">
        <v>46004</v>
      </c>
      <c r="D191" t="inlineStr">
        <is>
          <t>SKÅNE LÄN</t>
        </is>
      </c>
      <c r="E191" t="inlineStr">
        <is>
          <t>HÄSSLEHOLM</t>
        </is>
      </c>
      <c r="F191" t="inlineStr">
        <is>
          <t>Kyrkan</t>
        </is>
      </c>
      <c r="G191" t="n">
        <v>3.9</v>
      </c>
      <c r="H191" t="n">
        <v>0</v>
      </c>
      <c r="I191" t="n">
        <v>0</v>
      </c>
      <c r="J191" t="n">
        <v>0</v>
      </c>
      <c r="K191" t="n">
        <v>0</v>
      </c>
      <c r="L191" t="n">
        <v>0</v>
      </c>
      <c r="M191" t="n">
        <v>0</v>
      </c>
      <c r="N191" t="n">
        <v>0</v>
      </c>
      <c r="O191" t="n">
        <v>0</v>
      </c>
      <c r="P191" t="n">
        <v>0</v>
      </c>
      <c r="Q191" t="n">
        <v>0</v>
      </c>
      <c r="R191" s="2" t="inlineStr"/>
    </row>
    <row r="192" ht="15" customHeight="1">
      <c r="A192" t="inlineStr">
        <is>
          <t>A 9453-2021</t>
        </is>
      </c>
      <c r="B192" s="1" t="n">
        <v>44251</v>
      </c>
      <c r="C192" s="1" t="n">
        <v>46004</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7250-2022</t>
        </is>
      </c>
      <c r="B193" s="1" t="n">
        <v>44606</v>
      </c>
      <c r="C193" s="1" t="n">
        <v>46004</v>
      </c>
      <c r="D193" t="inlineStr">
        <is>
          <t>SKÅNE LÄN</t>
        </is>
      </c>
      <c r="E193" t="inlineStr">
        <is>
          <t>HÄSSLEHOLM</t>
        </is>
      </c>
      <c r="F193" t="inlineStr">
        <is>
          <t>Övriga Aktiebolag</t>
        </is>
      </c>
      <c r="G193" t="n">
        <v>2.6</v>
      </c>
      <c r="H193" t="n">
        <v>0</v>
      </c>
      <c r="I193" t="n">
        <v>0</v>
      </c>
      <c r="J193" t="n">
        <v>0</v>
      </c>
      <c r="K193" t="n">
        <v>0</v>
      </c>
      <c r="L193" t="n">
        <v>0</v>
      </c>
      <c r="M193" t="n">
        <v>0</v>
      </c>
      <c r="N193" t="n">
        <v>0</v>
      </c>
      <c r="O193" t="n">
        <v>0</v>
      </c>
      <c r="P193" t="n">
        <v>0</v>
      </c>
      <c r="Q193" t="n">
        <v>0</v>
      </c>
      <c r="R193" s="2" t="inlineStr"/>
    </row>
    <row r="194" ht="15" customHeight="1">
      <c r="A194" t="inlineStr">
        <is>
          <t>A 51895-2021</t>
        </is>
      </c>
      <c r="B194" s="1" t="n">
        <v>44462</v>
      </c>
      <c r="C194" s="1" t="n">
        <v>46004</v>
      </c>
      <c r="D194" t="inlineStr">
        <is>
          <t>SKÅNE LÄN</t>
        </is>
      </c>
      <c r="E194" t="inlineStr">
        <is>
          <t>HÄSSLEHOLM</t>
        </is>
      </c>
      <c r="G194" t="n">
        <v>5.7</v>
      </c>
      <c r="H194" t="n">
        <v>0</v>
      </c>
      <c r="I194" t="n">
        <v>0</v>
      </c>
      <c r="J194" t="n">
        <v>0</v>
      </c>
      <c r="K194" t="n">
        <v>0</v>
      </c>
      <c r="L194" t="n">
        <v>0</v>
      </c>
      <c r="M194" t="n">
        <v>0</v>
      </c>
      <c r="N194" t="n">
        <v>0</v>
      </c>
      <c r="O194" t="n">
        <v>0</v>
      </c>
      <c r="P194" t="n">
        <v>0</v>
      </c>
      <c r="Q194" t="n">
        <v>0</v>
      </c>
      <c r="R194" s="2" t="inlineStr"/>
    </row>
    <row r="195" ht="15" customHeight="1">
      <c r="A195" t="inlineStr">
        <is>
          <t>A 66520-2020</t>
        </is>
      </c>
      <c r="B195" s="1" t="n">
        <v>44179</v>
      </c>
      <c r="C195" s="1" t="n">
        <v>46004</v>
      </c>
      <c r="D195" t="inlineStr">
        <is>
          <t>SKÅNE LÄN</t>
        </is>
      </c>
      <c r="E195" t="inlineStr">
        <is>
          <t>HÄSSLEHOLM</t>
        </is>
      </c>
      <c r="G195" t="n">
        <v>0.4</v>
      </c>
      <c r="H195" t="n">
        <v>0</v>
      </c>
      <c r="I195" t="n">
        <v>0</v>
      </c>
      <c r="J195" t="n">
        <v>0</v>
      </c>
      <c r="K195" t="n">
        <v>0</v>
      </c>
      <c r="L195" t="n">
        <v>0</v>
      </c>
      <c r="M195" t="n">
        <v>0</v>
      </c>
      <c r="N195" t="n">
        <v>0</v>
      </c>
      <c r="O195" t="n">
        <v>0</v>
      </c>
      <c r="P195" t="n">
        <v>0</v>
      </c>
      <c r="Q195" t="n">
        <v>0</v>
      </c>
      <c r="R195" s="2" t="inlineStr"/>
    </row>
    <row r="196" ht="15" customHeight="1">
      <c r="A196" t="inlineStr">
        <is>
          <t>A 45357-2022</t>
        </is>
      </c>
      <c r="B196" s="1" t="n">
        <v>44844.61952546296</v>
      </c>
      <c r="C196" s="1" t="n">
        <v>46004</v>
      </c>
      <c r="D196" t="inlineStr">
        <is>
          <t>SKÅNE LÄN</t>
        </is>
      </c>
      <c r="E196" t="inlineStr">
        <is>
          <t>HÄSSLEHOLM</t>
        </is>
      </c>
      <c r="G196" t="n">
        <v>5.8</v>
      </c>
      <c r="H196" t="n">
        <v>0</v>
      </c>
      <c r="I196" t="n">
        <v>0</v>
      </c>
      <c r="J196" t="n">
        <v>0</v>
      </c>
      <c r="K196" t="n">
        <v>0</v>
      </c>
      <c r="L196" t="n">
        <v>0</v>
      </c>
      <c r="M196" t="n">
        <v>0</v>
      </c>
      <c r="N196" t="n">
        <v>0</v>
      </c>
      <c r="O196" t="n">
        <v>0</v>
      </c>
      <c r="P196" t="n">
        <v>0</v>
      </c>
      <c r="Q196" t="n">
        <v>0</v>
      </c>
      <c r="R196" s="2" t="inlineStr"/>
    </row>
    <row r="197" ht="15" customHeight="1">
      <c r="A197" t="inlineStr">
        <is>
          <t>A 219-2022</t>
        </is>
      </c>
      <c r="B197" s="1" t="n">
        <v>44564</v>
      </c>
      <c r="C197" s="1" t="n">
        <v>46004</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6048-2022</t>
        </is>
      </c>
      <c r="B198" s="1" t="n">
        <v>44599.5174537037</v>
      </c>
      <c r="C198" s="1" t="n">
        <v>46004</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45989-2021</t>
        </is>
      </c>
      <c r="B199" s="1" t="n">
        <v>44441.74627314815</v>
      </c>
      <c r="C199" s="1" t="n">
        <v>46004</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7248-2021</t>
        </is>
      </c>
      <c r="B200" s="1" t="n">
        <v>44236</v>
      </c>
      <c r="C200" s="1" t="n">
        <v>46004</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55412-2022</t>
        </is>
      </c>
      <c r="B201" s="1" t="n">
        <v>44882</v>
      </c>
      <c r="C201" s="1" t="n">
        <v>46004</v>
      </c>
      <c r="D201" t="inlineStr">
        <is>
          <t>SKÅNE LÄN</t>
        </is>
      </c>
      <c r="E201" t="inlineStr">
        <is>
          <t>HÄSSLEHOLM</t>
        </is>
      </c>
      <c r="F201" t="inlineStr">
        <is>
          <t>Övriga Aktiebolag</t>
        </is>
      </c>
      <c r="G201" t="n">
        <v>4</v>
      </c>
      <c r="H201" t="n">
        <v>0</v>
      </c>
      <c r="I201" t="n">
        <v>0</v>
      </c>
      <c r="J201" t="n">
        <v>0</v>
      </c>
      <c r="K201" t="n">
        <v>0</v>
      </c>
      <c r="L201" t="n">
        <v>0</v>
      </c>
      <c r="M201" t="n">
        <v>0</v>
      </c>
      <c r="N201" t="n">
        <v>0</v>
      </c>
      <c r="O201" t="n">
        <v>0</v>
      </c>
      <c r="P201" t="n">
        <v>0</v>
      </c>
      <c r="Q201" t="n">
        <v>0</v>
      </c>
      <c r="R201" s="2" t="inlineStr"/>
    </row>
    <row r="202" ht="15" customHeight="1">
      <c r="A202" t="inlineStr">
        <is>
          <t>A 53576-2022</t>
        </is>
      </c>
      <c r="B202" s="1" t="n">
        <v>44875</v>
      </c>
      <c r="C202" s="1" t="n">
        <v>46004</v>
      </c>
      <c r="D202" t="inlineStr">
        <is>
          <t>SKÅNE LÄN</t>
        </is>
      </c>
      <c r="E202" t="inlineStr">
        <is>
          <t>HÄSSLEHOLM</t>
        </is>
      </c>
      <c r="F202" t="inlineStr">
        <is>
          <t>Övriga Aktiebolag</t>
        </is>
      </c>
      <c r="G202" t="n">
        <v>1.2</v>
      </c>
      <c r="H202" t="n">
        <v>0</v>
      </c>
      <c r="I202" t="n">
        <v>0</v>
      </c>
      <c r="J202" t="n">
        <v>0</v>
      </c>
      <c r="K202" t="n">
        <v>0</v>
      </c>
      <c r="L202" t="n">
        <v>0</v>
      </c>
      <c r="M202" t="n">
        <v>0</v>
      </c>
      <c r="N202" t="n">
        <v>0</v>
      </c>
      <c r="O202" t="n">
        <v>0</v>
      </c>
      <c r="P202" t="n">
        <v>0</v>
      </c>
      <c r="Q202" t="n">
        <v>0</v>
      </c>
      <c r="R202" s="2" t="inlineStr"/>
    </row>
    <row r="203" ht="15" customHeight="1">
      <c r="A203" t="inlineStr">
        <is>
          <t>A 6253-2022</t>
        </is>
      </c>
      <c r="B203" s="1" t="n">
        <v>44600</v>
      </c>
      <c r="C203" s="1" t="n">
        <v>46004</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8695-2021</t>
        </is>
      </c>
      <c r="B204" s="1" t="n">
        <v>44246</v>
      </c>
      <c r="C204" s="1" t="n">
        <v>46004</v>
      </c>
      <c r="D204" t="inlineStr">
        <is>
          <t>SKÅNE LÄN</t>
        </is>
      </c>
      <c r="E204" t="inlineStr">
        <is>
          <t>HÄSSLEHOLM</t>
        </is>
      </c>
      <c r="G204" t="n">
        <v>1.4</v>
      </c>
      <c r="H204" t="n">
        <v>0</v>
      </c>
      <c r="I204" t="n">
        <v>0</v>
      </c>
      <c r="J204" t="n">
        <v>0</v>
      </c>
      <c r="K204" t="n">
        <v>0</v>
      </c>
      <c r="L204" t="n">
        <v>0</v>
      </c>
      <c r="M204" t="n">
        <v>0</v>
      </c>
      <c r="N204" t="n">
        <v>0</v>
      </c>
      <c r="O204" t="n">
        <v>0</v>
      </c>
      <c r="P204" t="n">
        <v>0</v>
      </c>
      <c r="Q204" t="n">
        <v>0</v>
      </c>
      <c r="R204" s="2" t="inlineStr"/>
    </row>
    <row r="205" ht="15" customHeight="1">
      <c r="A205" t="inlineStr">
        <is>
          <t>A 20510-2021</t>
        </is>
      </c>
      <c r="B205" s="1" t="n">
        <v>44315</v>
      </c>
      <c r="C205" s="1" t="n">
        <v>46004</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64826-2021</t>
        </is>
      </c>
      <c r="B206" s="1" t="n">
        <v>44512.55935185185</v>
      </c>
      <c r="C206" s="1" t="n">
        <v>46004</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20566-2023</t>
        </is>
      </c>
      <c r="B207" s="1" t="n">
        <v>45057</v>
      </c>
      <c r="C207" s="1" t="n">
        <v>46004</v>
      </c>
      <c r="D207" t="inlineStr">
        <is>
          <t>SKÅNE LÄN</t>
        </is>
      </c>
      <c r="E207" t="inlineStr">
        <is>
          <t>HÄSSLEHOLM</t>
        </is>
      </c>
      <c r="G207" t="n">
        <v>5.2</v>
      </c>
      <c r="H207" t="n">
        <v>0</v>
      </c>
      <c r="I207" t="n">
        <v>0</v>
      </c>
      <c r="J207" t="n">
        <v>0</v>
      </c>
      <c r="K207" t="n">
        <v>0</v>
      </c>
      <c r="L207" t="n">
        <v>0</v>
      </c>
      <c r="M207" t="n">
        <v>0</v>
      </c>
      <c r="N207" t="n">
        <v>0</v>
      </c>
      <c r="O207" t="n">
        <v>0</v>
      </c>
      <c r="P207" t="n">
        <v>0</v>
      </c>
      <c r="Q207" t="n">
        <v>0</v>
      </c>
      <c r="R207" s="2" t="inlineStr"/>
    </row>
    <row r="208" ht="15" customHeight="1">
      <c r="A208" t="inlineStr">
        <is>
          <t>A 6965-2021</t>
        </is>
      </c>
      <c r="B208" s="1" t="n">
        <v>44237</v>
      </c>
      <c r="C208" s="1" t="n">
        <v>46004</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23967-2022</t>
        </is>
      </c>
      <c r="B209" s="1" t="n">
        <v>44722.74079861111</v>
      </c>
      <c r="C209" s="1" t="n">
        <v>46004</v>
      </c>
      <c r="D209" t="inlineStr">
        <is>
          <t>SKÅNE LÄN</t>
        </is>
      </c>
      <c r="E209" t="inlineStr">
        <is>
          <t>HÄSSLEHOLM</t>
        </is>
      </c>
      <c r="F209" t="inlineStr">
        <is>
          <t>Kyrkan</t>
        </is>
      </c>
      <c r="G209" t="n">
        <v>12.4</v>
      </c>
      <c r="H209" t="n">
        <v>0</v>
      </c>
      <c r="I209" t="n">
        <v>0</v>
      </c>
      <c r="J209" t="n">
        <v>0</v>
      </c>
      <c r="K209" t="n">
        <v>0</v>
      </c>
      <c r="L209" t="n">
        <v>0</v>
      </c>
      <c r="M209" t="n">
        <v>0</v>
      </c>
      <c r="N209" t="n">
        <v>0</v>
      </c>
      <c r="O209" t="n">
        <v>0</v>
      </c>
      <c r="P209" t="n">
        <v>0</v>
      </c>
      <c r="Q209" t="n">
        <v>0</v>
      </c>
      <c r="R209" s="2" t="inlineStr"/>
    </row>
    <row r="210" ht="15" customHeight="1">
      <c r="A210" t="inlineStr">
        <is>
          <t>A 69504-2020</t>
        </is>
      </c>
      <c r="B210" s="1" t="n">
        <v>44194</v>
      </c>
      <c r="C210" s="1" t="n">
        <v>46004</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30344-2022</t>
        </is>
      </c>
      <c r="B211" s="1" t="n">
        <v>44760.50783564815</v>
      </c>
      <c r="C211" s="1" t="n">
        <v>46004</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34886-2023</t>
        </is>
      </c>
      <c r="B212" s="1" t="n">
        <v>45142.38450231482</v>
      </c>
      <c r="C212" s="1" t="n">
        <v>46004</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8177-2022</t>
        </is>
      </c>
      <c r="B213" s="1" t="n">
        <v>44607</v>
      </c>
      <c r="C213" s="1" t="n">
        <v>46004</v>
      </c>
      <c r="D213" t="inlineStr">
        <is>
          <t>SKÅNE LÄN</t>
        </is>
      </c>
      <c r="E213" t="inlineStr">
        <is>
          <t>HÄSSLEHOLM</t>
        </is>
      </c>
      <c r="F213" t="inlineStr">
        <is>
          <t>Kyrkan</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25464-2022</t>
        </is>
      </c>
      <c r="B214" s="1" t="n">
        <v>44729</v>
      </c>
      <c r="C214" s="1" t="n">
        <v>46004</v>
      </c>
      <c r="D214" t="inlineStr">
        <is>
          <t>SKÅNE LÄN</t>
        </is>
      </c>
      <c r="E214" t="inlineStr">
        <is>
          <t>HÄSSLEHOLM</t>
        </is>
      </c>
      <c r="G214" t="n">
        <v>21</v>
      </c>
      <c r="H214" t="n">
        <v>0</v>
      </c>
      <c r="I214" t="n">
        <v>0</v>
      </c>
      <c r="J214" t="n">
        <v>0</v>
      </c>
      <c r="K214" t="n">
        <v>0</v>
      </c>
      <c r="L214" t="n">
        <v>0</v>
      </c>
      <c r="M214" t="n">
        <v>0</v>
      </c>
      <c r="N214" t="n">
        <v>0</v>
      </c>
      <c r="O214" t="n">
        <v>0</v>
      </c>
      <c r="P214" t="n">
        <v>0</v>
      </c>
      <c r="Q214" t="n">
        <v>0</v>
      </c>
      <c r="R214" s="2" t="inlineStr"/>
    </row>
    <row r="215" ht="15" customHeight="1">
      <c r="A215" t="inlineStr">
        <is>
          <t>A 2596-2024</t>
        </is>
      </c>
      <c r="B215" s="1" t="n">
        <v>45313.69969907407</v>
      </c>
      <c r="C215" s="1" t="n">
        <v>46004</v>
      </c>
      <c r="D215" t="inlineStr">
        <is>
          <t>SKÅNE LÄN</t>
        </is>
      </c>
      <c r="E215" t="inlineStr">
        <is>
          <t>HÄSSLEHOLM</t>
        </is>
      </c>
      <c r="G215" t="n">
        <v>0.5</v>
      </c>
      <c r="H215" t="n">
        <v>0</v>
      </c>
      <c r="I215" t="n">
        <v>0</v>
      </c>
      <c r="J215" t="n">
        <v>0</v>
      </c>
      <c r="K215" t="n">
        <v>0</v>
      </c>
      <c r="L215" t="n">
        <v>0</v>
      </c>
      <c r="M215" t="n">
        <v>0</v>
      </c>
      <c r="N215" t="n">
        <v>0</v>
      </c>
      <c r="O215" t="n">
        <v>0</v>
      </c>
      <c r="P215" t="n">
        <v>0</v>
      </c>
      <c r="Q215" t="n">
        <v>0</v>
      </c>
      <c r="R215" s="2" t="inlineStr"/>
    </row>
    <row r="216" ht="15" customHeight="1">
      <c r="A216" t="inlineStr">
        <is>
          <t>A 25788-2021</t>
        </is>
      </c>
      <c r="B216" s="1" t="n">
        <v>44343</v>
      </c>
      <c r="C216" s="1" t="n">
        <v>46004</v>
      </c>
      <c r="D216" t="inlineStr">
        <is>
          <t>SKÅNE LÄN</t>
        </is>
      </c>
      <c r="E216" t="inlineStr">
        <is>
          <t>HÄSSLEHOLM</t>
        </is>
      </c>
      <c r="G216" t="n">
        <v>4.8</v>
      </c>
      <c r="H216" t="n">
        <v>0</v>
      </c>
      <c r="I216" t="n">
        <v>0</v>
      </c>
      <c r="J216" t="n">
        <v>0</v>
      </c>
      <c r="K216" t="n">
        <v>0</v>
      </c>
      <c r="L216" t="n">
        <v>0</v>
      </c>
      <c r="M216" t="n">
        <v>0</v>
      </c>
      <c r="N216" t="n">
        <v>0</v>
      </c>
      <c r="O216" t="n">
        <v>0</v>
      </c>
      <c r="P216" t="n">
        <v>0</v>
      </c>
      <c r="Q216" t="n">
        <v>0</v>
      </c>
      <c r="R216" s="2" t="inlineStr"/>
    </row>
    <row r="217" ht="15" customHeight="1">
      <c r="A217" t="inlineStr">
        <is>
          <t>A 56527-2021</t>
        </is>
      </c>
      <c r="B217" s="1" t="n">
        <v>44480</v>
      </c>
      <c r="C217" s="1" t="n">
        <v>46004</v>
      </c>
      <c r="D217" t="inlineStr">
        <is>
          <t>SKÅNE LÄN</t>
        </is>
      </c>
      <c r="E217" t="inlineStr">
        <is>
          <t>HÄSSLEHOLM</t>
        </is>
      </c>
      <c r="F217" t="inlineStr">
        <is>
          <t>Kyrkan</t>
        </is>
      </c>
      <c r="G217" t="n">
        <v>2.7</v>
      </c>
      <c r="H217" t="n">
        <v>0</v>
      </c>
      <c r="I217" t="n">
        <v>0</v>
      </c>
      <c r="J217" t="n">
        <v>0</v>
      </c>
      <c r="K217" t="n">
        <v>0</v>
      </c>
      <c r="L217" t="n">
        <v>0</v>
      </c>
      <c r="M217" t="n">
        <v>0</v>
      </c>
      <c r="N217" t="n">
        <v>0</v>
      </c>
      <c r="O217" t="n">
        <v>0</v>
      </c>
      <c r="P217" t="n">
        <v>0</v>
      </c>
      <c r="Q217" t="n">
        <v>0</v>
      </c>
      <c r="R217" s="2" t="inlineStr"/>
    </row>
    <row r="218" ht="15" customHeight="1">
      <c r="A218" t="inlineStr">
        <is>
          <t>A 38306-2022</t>
        </is>
      </c>
      <c r="B218" s="1" t="n">
        <v>44812.57515046297</v>
      </c>
      <c r="C218" s="1" t="n">
        <v>46004</v>
      </c>
      <c r="D218" t="inlineStr">
        <is>
          <t>SKÅNE LÄN</t>
        </is>
      </c>
      <c r="E218" t="inlineStr">
        <is>
          <t>HÄSSLEHOLM</t>
        </is>
      </c>
      <c r="G218" t="n">
        <v>2.2</v>
      </c>
      <c r="H218" t="n">
        <v>0</v>
      </c>
      <c r="I218" t="n">
        <v>0</v>
      </c>
      <c r="J218" t="n">
        <v>0</v>
      </c>
      <c r="K218" t="n">
        <v>0</v>
      </c>
      <c r="L218" t="n">
        <v>0</v>
      </c>
      <c r="M218" t="n">
        <v>0</v>
      </c>
      <c r="N218" t="n">
        <v>0</v>
      </c>
      <c r="O218" t="n">
        <v>0</v>
      </c>
      <c r="P218" t="n">
        <v>0</v>
      </c>
      <c r="Q218" t="n">
        <v>0</v>
      </c>
      <c r="R218" s="2" t="inlineStr"/>
    </row>
    <row r="219" ht="15" customHeight="1">
      <c r="A219" t="inlineStr">
        <is>
          <t>A 6842-2023</t>
        </is>
      </c>
      <c r="B219" s="1" t="n">
        <v>44967</v>
      </c>
      <c r="C219" s="1" t="n">
        <v>46004</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38712-2024</t>
        </is>
      </c>
      <c r="B220" s="1" t="n">
        <v>45547</v>
      </c>
      <c r="C220" s="1" t="n">
        <v>46004</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48747-2022</t>
        </is>
      </c>
      <c r="B221" s="1" t="n">
        <v>44859</v>
      </c>
      <c r="C221" s="1" t="n">
        <v>46004</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3992-2022</t>
        </is>
      </c>
      <c r="B222" s="1" t="n">
        <v>44587</v>
      </c>
      <c r="C222" s="1" t="n">
        <v>46004</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13310-2025</t>
        </is>
      </c>
      <c r="B223" s="1" t="n">
        <v>45735.58814814815</v>
      </c>
      <c r="C223" s="1" t="n">
        <v>46004</v>
      </c>
      <c r="D223" t="inlineStr">
        <is>
          <t>SKÅNE LÄN</t>
        </is>
      </c>
      <c r="E223" t="inlineStr">
        <is>
          <t>HÄSSLEHOLM</t>
        </is>
      </c>
      <c r="G223" t="n">
        <v>2</v>
      </c>
      <c r="H223" t="n">
        <v>0</v>
      </c>
      <c r="I223" t="n">
        <v>0</v>
      </c>
      <c r="J223" t="n">
        <v>0</v>
      </c>
      <c r="K223" t="n">
        <v>0</v>
      </c>
      <c r="L223" t="n">
        <v>0</v>
      </c>
      <c r="M223" t="n">
        <v>0</v>
      </c>
      <c r="N223" t="n">
        <v>0</v>
      </c>
      <c r="O223" t="n">
        <v>0</v>
      </c>
      <c r="P223" t="n">
        <v>0</v>
      </c>
      <c r="Q223" t="n">
        <v>0</v>
      </c>
      <c r="R223" s="2" t="inlineStr"/>
    </row>
    <row r="224" ht="15" customHeight="1">
      <c r="A224" t="inlineStr">
        <is>
          <t>A 25955-2022</t>
        </is>
      </c>
      <c r="B224" s="1" t="n">
        <v>44734</v>
      </c>
      <c r="C224" s="1" t="n">
        <v>46004</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3746-2024</t>
        </is>
      </c>
      <c r="B225" s="1" t="n">
        <v>45321.50745370371</v>
      </c>
      <c r="C225" s="1" t="n">
        <v>46004</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20657-2022</t>
        </is>
      </c>
      <c r="B226" s="1" t="n">
        <v>44700</v>
      </c>
      <c r="C226" s="1" t="n">
        <v>46004</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57649-2022</t>
        </is>
      </c>
      <c r="B227" s="1" t="n">
        <v>44897.42755787037</v>
      </c>
      <c r="C227" s="1" t="n">
        <v>46004</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57665-2022</t>
        </is>
      </c>
      <c r="B228" s="1" t="n">
        <v>44897.4494212963</v>
      </c>
      <c r="C228" s="1" t="n">
        <v>46004</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57676-2022</t>
        </is>
      </c>
      <c r="B229" s="1" t="n">
        <v>44897</v>
      </c>
      <c r="C229" s="1" t="n">
        <v>46004</v>
      </c>
      <c r="D229" t="inlineStr">
        <is>
          <t>SKÅNE LÄN</t>
        </is>
      </c>
      <c r="E229" t="inlineStr">
        <is>
          <t>HÄSSLEHOLM</t>
        </is>
      </c>
      <c r="G229" t="n">
        <v>1</v>
      </c>
      <c r="H229" t="n">
        <v>0</v>
      </c>
      <c r="I229" t="n">
        <v>0</v>
      </c>
      <c r="J229" t="n">
        <v>0</v>
      </c>
      <c r="K229" t="n">
        <v>0</v>
      </c>
      <c r="L229" t="n">
        <v>0</v>
      </c>
      <c r="M229" t="n">
        <v>0</v>
      </c>
      <c r="N229" t="n">
        <v>0</v>
      </c>
      <c r="O229" t="n">
        <v>0</v>
      </c>
      <c r="P229" t="n">
        <v>0</v>
      </c>
      <c r="Q229" t="n">
        <v>0</v>
      </c>
      <c r="R229" s="2" t="inlineStr"/>
    </row>
    <row r="230" ht="15" customHeight="1">
      <c r="A230" t="inlineStr">
        <is>
          <t>A 50899-2024</t>
        </is>
      </c>
      <c r="B230" s="1" t="n">
        <v>45602.68584490741</v>
      </c>
      <c r="C230" s="1" t="n">
        <v>46004</v>
      </c>
      <c r="D230" t="inlineStr">
        <is>
          <t>SKÅNE LÄN</t>
        </is>
      </c>
      <c r="E230" t="inlineStr">
        <is>
          <t>HÄSSLEHOLM</t>
        </is>
      </c>
      <c r="G230" t="n">
        <v>1.7</v>
      </c>
      <c r="H230" t="n">
        <v>0</v>
      </c>
      <c r="I230" t="n">
        <v>0</v>
      </c>
      <c r="J230" t="n">
        <v>0</v>
      </c>
      <c r="K230" t="n">
        <v>0</v>
      </c>
      <c r="L230" t="n">
        <v>0</v>
      </c>
      <c r="M230" t="n">
        <v>0</v>
      </c>
      <c r="N230" t="n">
        <v>0</v>
      </c>
      <c r="O230" t="n">
        <v>0</v>
      </c>
      <c r="P230" t="n">
        <v>0</v>
      </c>
      <c r="Q230" t="n">
        <v>0</v>
      </c>
      <c r="R230" s="2" t="inlineStr"/>
    </row>
    <row r="231" ht="15" customHeight="1">
      <c r="A231" t="inlineStr">
        <is>
          <t>A 14145-2023</t>
        </is>
      </c>
      <c r="B231" s="1" t="n">
        <v>45009</v>
      </c>
      <c r="C231" s="1" t="n">
        <v>46004</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8244-2023</t>
        </is>
      </c>
      <c r="B232" s="1" t="n">
        <v>44974</v>
      </c>
      <c r="C232" s="1" t="n">
        <v>46004</v>
      </c>
      <c r="D232" t="inlineStr">
        <is>
          <t>SKÅNE LÄN</t>
        </is>
      </c>
      <c r="E232" t="inlineStr">
        <is>
          <t>HÄSSLEHOLM</t>
        </is>
      </c>
      <c r="G232" t="n">
        <v>1.2</v>
      </c>
      <c r="H232" t="n">
        <v>0</v>
      </c>
      <c r="I232" t="n">
        <v>0</v>
      </c>
      <c r="J232" t="n">
        <v>0</v>
      </c>
      <c r="K232" t="n">
        <v>0</v>
      </c>
      <c r="L232" t="n">
        <v>0</v>
      </c>
      <c r="M232" t="n">
        <v>0</v>
      </c>
      <c r="N232" t="n">
        <v>0</v>
      </c>
      <c r="O232" t="n">
        <v>0</v>
      </c>
      <c r="P232" t="n">
        <v>0</v>
      </c>
      <c r="Q232" t="n">
        <v>0</v>
      </c>
      <c r="R232" s="2" t="inlineStr"/>
    </row>
    <row r="233" ht="15" customHeight="1">
      <c r="A233" t="inlineStr">
        <is>
          <t>A 8246-2023</t>
        </is>
      </c>
      <c r="B233" s="1" t="n">
        <v>44974</v>
      </c>
      <c r="C233" s="1" t="n">
        <v>46004</v>
      </c>
      <c r="D233" t="inlineStr">
        <is>
          <t>SKÅNE LÄN</t>
        </is>
      </c>
      <c r="E233" t="inlineStr">
        <is>
          <t>HÄSSLEHOLM</t>
        </is>
      </c>
      <c r="G233" t="n">
        <v>1.6</v>
      </c>
      <c r="H233" t="n">
        <v>0</v>
      </c>
      <c r="I233" t="n">
        <v>0</v>
      </c>
      <c r="J233" t="n">
        <v>0</v>
      </c>
      <c r="K233" t="n">
        <v>0</v>
      </c>
      <c r="L233" t="n">
        <v>0</v>
      </c>
      <c r="M233" t="n">
        <v>0</v>
      </c>
      <c r="N233" t="n">
        <v>0</v>
      </c>
      <c r="O233" t="n">
        <v>0</v>
      </c>
      <c r="P233" t="n">
        <v>0</v>
      </c>
      <c r="Q233" t="n">
        <v>0</v>
      </c>
      <c r="R233" s="2" t="inlineStr"/>
    </row>
    <row r="234" ht="15" customHeight="1">
      <c r="A234" t="inlineStr">
        <is>
          <t>A 12584-2025</t>
        </is>
      </c>
      <c r="B234" s="1" t="n">
        <v>45732</v>
      </c>
      <c r="C234" s="1" t="n">
        <v>46004</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25606-2024</t>
        </is>
      </c>
      <c r="B235" s="1" t="n">
        <v>45463.63179398148</v>
      </c>
      <c r="C235" s="1" t="n">
        <v>46004</v>
      </c>
      <c r="D235" t="inlineStr">
        <is>
          <t>SKÅNE LÄN</t>
        </is>
      </c>
      <c r="E235" t="inlineStr">
        <is>
          <t>HÄSSLEHOLM</t>
        </is>
      </c>
      <c r="G235" t="n">
        <v>1.5</v>
      </c>
      <c r="H235" t="n">
        <v>0</v>
      </c>
      <c r="I235" t="n">
        <v>0</v>
      </c>
      <c r="J235" t="n">
        <v>0</v>
      </c>
      <c r="K235" t="n">
        <v>0</v>
      </c>
      <c r="L235" t="n">
        <v>0</v>
      </c>
      <c r="M235" t="n">
        <v>0</v>
      </c>
      <c r="N235" t="n">
        <v>0</v>
      </c>
      <c r="O235" t="n">
        <v>0</v>
      </c>
      <c r="P235" t="n">
        <v>0</v>
      </c>
      <c r="Q235" t="n">
        <v>0</v>
      </c>
      <c r="R235" s="2" t="inlineStr"/>
    </row>
    <row r="236" ht="15" customHeight="1">
      <c r="A236" t="inlineStr">
        <is>
          <t>A 13198-2025</t>
        </is>
      </c>
      <c r="B236" s="1" t="n">
        <v>45735</v>
      </c>
      <c r="C236" s="1" t="n">
        <v>46004</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3930-2021</t>
        </is>
      </c>
      <c r="B237" s="1" t="n">
        <v>44222</v>
      </c>
      <c r="C237" s="1" t="n">
        <v>46004</v>
      </c>
      <c r="D237" t="inlineStr">
        <is>
          <t>SKÅNE LÄN</t>
        </is>
      </c>
      <c r="E237" t="inlineStr">
        <is>
          <t>HÄSSLEHOLM</t>
        </is>
      </c>
      <c r="G237" t="n">
        <v>3.4</v>
      </c>
      <c r="H237" t="n">
        <v>0</v>
      </c>
      <c r="I237" t="n">
        <v>0</v>
      </c>
      <c r="J237" t="n">
        <v>0</v>
      </c>
      <c r="K237" t="n">
        <v>0</v>
      </c>
      <c r="L237" t="n">
        <v>0</v>
      </c>
      <c r="M237" t="n">
        <v>0</v>
      </c>
      <c r="N237" t="n">
        <v>0</v>
      </c>
      <c r="O237" t="n">
        <v>0</v>
      </c>
      <c r="P237" t="n">
        <v>0</v>
      </c>
      <c r="Q237" t="n">
        <v>0</v>
      </c>
      <c r="R237" s="2" t="inlineStr"/>
    </row>
    <row r="238" ht="15" customHeight="1">
      <c r="A238" t="inlineStr">
        <is>
          <t>A 50616-2023</t>
        </is>
      </c>
      <c r="B238" s="1" t="n">
        <v>45210</v>
      </c>
      <c r="C238" s="1" t="n">
        <v>46004</v>
      </c>
      <c r="D238" t="inlineStr">
        <is>
          <t>SKÅNE LÄN</t>
        </is>
      </c>
      <c r="E238" t="inlineStr">
        <is>
          <t>HÄSSLEHOLM</t>
        </is>
      </c>
      <c r="G238" t="n">
        <v>1.1</v>
      </c>
      <c r="H238" t="n">
        <v>0</v>
      </c>
      <c r="I238" t="n">
        <v>0</v>
      </c>
      <c r="J238" t="n">
        <v>0</v>
      </c>
      <c r="K238" t="n">
        <v>0</v>
      </c>
      <c r="L238" t="n">
        <v>0</v>
      </c>
      <c r="M238" t="n">
        <v>0</v>
      </c>
      <c r="N238" t="n">
        <v>0</v>
      </c>
      <c r="O238" t="n">
        <v>0</v>
      </c>
      <c r="P238" t="n">
        <v>0</v>
      </c>
      <c r="Q238" t="n">
        <v>0</v>
      </c>
      <c r="R238" s="2" t="inlineStr"/>
    </row>
    <row r="239" ht="15" customHeight="1">
      <c r="A239" t="inlineStr">
        <is>
          <t>A 45361-2023</t>
        </is>
      </c>
      <c r="B239" s="1" t="n">
        <v>45192.49068287037</v>
      </c>
      <c r="C239" s="1" t="n">
        <v>46004</v>
      </c>
      <c r="D239" t="inlineStr">
        <is>
          <t>SKÅNE LÄN</t>
        </is>
      </c>
      <c r="E239" t="inlineStr">
        <is>
          <t>HÄSSLEHOLM</t>
        </is>
      </c>
      <c r="G239" t="n">
        <v>1.9</v>
      </c>
      <c r="H239" t="n">
        <v>0</v>
      </c>
      <c r="I239" t="n">
        <v>0</v>
      </c>
      <c r="J239" t="n">
        <v>0</v>
      </c>
      <c r="K239" t="n">
        <v>0</v>
      </c>
      <c r="L239" t="n">
        <v>0</v>
      </c>
      <c r="M239" t="n">
        <v>0</v>
      </c>
      <c r="N239" t="n">
        <v>0</v>
      </c>
      <c r="O239" t="n">
        <v>0</v>
      </c>
      <c r="P239" t="n">
        <v>0</v>
      </c>
      <c r="Q239" t="n">
        <v>0</v>
      </c>
      <c r="R239" s="2" t="inlineStr"/>
    </row>
    <row r="240" ht="15" customHeight="1">
      <c r="A240" t="inlineStr">
        <is>
          <t>A 23956-2023</t>
        </is>
      </c>
      <c r="B240" s="1" t="n">
        <v>45078.62302083334</v>
      </c>
      <c r="C240" s="1" t="n">
        <v>46004</v>
      </c>
      <c r="D240" t="inlineStr">
        <is>
          <t>SKÅNE LÄN</t>
        </is>
      </c>
      <c r="E240" t="inlineStr">
        <is>
          <t>HÄSSLEHOLM</t>
        </is>
      </c>
      <c r="G240" t="n">
        <v>0.1</v>
      </c>
      <c r="H240" t="n">
        <v>0</v>
      </c>
      <c r="I240" t="n">
        <v>0</v>
      </c>
      <c r="J240" t="n">
        <v>0</v>
      </c>
      <c r="K240" t="n">
        <v>0</v>
      </c>
      <c r="L240" t="n">
        <v>0</v>
      </c>
      <c r="M240" t="n">
        <v>0</v>
      </c>
      <c r="N240" t="n">
        <v>0</v>
      </c>
      <c r="O240" t="n">
        <v>0</v>
      </c>
      <c r="P240" t="n">
        <v>0</v>
      </c>
      <c r="Q240" t="n">
        <v>0</v>
      </c>
      <c r="R240" s="2" t="inlineStr"/>
    </row>
    <row r="241" ht="15" customHeight="1">
      <c r="A241" t="inlineStr">
        <is>
          <t>A 69500-2020</t>
        </is>
      </c>
      <c r="B241" s="1" t="n">
        <v>44194</v>
      </c>
      <c r="C241" s="1" t="n">
        <v>46004</v>
      </c>
      <c r="D241" t="inlineStr">
        <is>
          <t>SKÅNE LÄN</t>
        </is>
      </c>
      <c r="E241" t="inlineStr">
        <is>
          <t>HÄSSLEHOLM</t>
        </is>
      </c>
      <c r="G241" t="n">
        <v>1.5</v>
      </c>
      <c r="H241" t="n">
        <v>0</v>
      </c>
      <c r="I241" t="n">
        <v>0</v>
      </c>
      <c r="J241" t="n">
        <v>0</v>
      </c>
      <c r="K241" t="n">
        <v>0</v>
      </c>
      <c r="L241" t="n">
        <v>0</v>
      </c>
      <c r="M241" t="n">
        <v>0</v>
      </c>
      <c r="N241" t="n">
        <v>0</v>
      </c>
      <c r="O241" t="n">
        <v>0</v>
      </c>
      <c r="P241" t="n">
        <v>0</v>
      </c>
      <c r="Q241" t="n">
        <v>0</v>
      </c>
      <c r="R241" s="2" t="inlineStr"/>
    </row>
    <row r="242" ht="15" customHeight="1">
      <c r="A242" t="inlineStr">
        <is>
          <t>A 14939-2023</t>
        </is>
      </c>
      <c r="B242" s="1" t="n">
        <v>45014</v>
      </c>
      <c r="C242" s="1" t="n">
        <v>46004</v>
      </c>
      <c r="D242" t="inlineStr">
        <is>
          <t>SKÅNE LÄN</t>
        </is>
      </c>
      <c r="E242" t="inlineStr">
        <is>
          <t>HÄSSLEHOLM</t>
        </is>
      </c>
      <c r="G242" t="n">
        <v>0.9</v>
      </c>
      <c r="H242" t="n">
        <v>0</v>
      </c>
      <c r="I242" t="n">
        <v>0</v>
      </c>
      <c r="J242" t="n">
        <v>0</v>
      </c>
      <c r="K242" t="n">
        <v>0</v>
      </c>
      <c r="L242" t="n">
        <v>0</v>
      </c>
      <c r="M242" t="n">
        <v>0</v>
      </c>
      <c r="N242" t="n">
        <v>0</v>
      </c>
      <c r="O242" t="n">
        <v>0</v>
      </c>
      <c r="P242" t="n">
        <v>0</v>
      </c>
      <c r="Q242" t="n">
        <v>0</v>
      </c>
      <c r="R242" s="2" t="inlineStr"/>
    </row>
    <row r="243" ht="15" customHeight="1">
      <c r="A243" t="inlineStr">
        <is>
          <t>A 9747-2024</t>
        </is>
      </c>
      <c r="B243" s="1" t="n">
        <v>45362</v>
      </c>
      <c r="C243" s="1" t="n">
        <v>46004</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13345-2025</t>
        </is>
      </c>
      <c r="B244" s="1" t="n">
        <v>45735.63017361111</v>
      </c>
      <c r="C244" s="1" t="n">
        <v>46004</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4945-2022</t>
        </is>
      </c>
      <c r="B245" s="1" t="n">
        <v>44593</v>
      </c>
      <c r="C245" s="1" t="n">
        <v>46004</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49107-2023</t>
        </is>
      </c>
      <c r="B246" s="1" t="n">
        <v>45210.44337962963</v>
      </c>
      <c r="C246" s="1" t="n">
        <v>46004</v>
      </c>
      <c r="D246" t="inlineStr">
        <is>
          <t>SKÅNE LÄN</t>
        </is>
      </c>
      <c r="E246" t="inlineStr">
        <is>
          <t>HÄSSLEHOLM</t>
        </is>
      </c>
      <c r="G246" t="n">
        <v>0.3</v>
      </c>
      <c r="H246" t="n">
        <v>0</v>
      </c>
      <c r="I246" t="n">
        <v>0</v>
      </c>
      <c r="J246" t="n">
        <v>0</v>
      </c>
      <c r="K246" t="n">
        <v>0</v>
      </c>
      <c r="L246" t="n">
        <v>0</v>
      </c>
      <c r="M246" t="n">
        <v>0</v>
      </c>
      <c r="N246" t="n">
        <v>0</v>
      </c>
      <c r="O246" t="n">
        <v>0</v>
      </c>
      <c r="P246" t="n">
        <v>0</v>
      </c>
      <c r="Q246" t="n">
        <v>0</v>
      </c>
      <c r="R246" s="2" t="inlineStr"/>
    </row>
    <row r="247" ht="15" customHeight="1">
      <c r="A247" t="inlineStr">
        <is>
          <t>A 14674-2025</t>
        </is>
      </c>
      <c r="B247" s="1" t="n">
        <v>45742.55548611111</v>
      </c>
      <c r="C247" s="1" t="n">
        <v>46004</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14702-2025</t>
        </is>
      </c>
      <c r="B248" s="1" t="n">
        <v>45742.60403935185</v>
      </c>
      <c r="C248" s="1" t="n">
        <v>46004</v>
      </c>
      <c r="D248" t="inlineStr">
        <is>
          <t>SKÅNE LÄN</t>
        </is>
      </c>
      <c r="E248" t="inlineStr">
        <is>
          <t>HÄSSLEHOLM</t>
        </is>
      </c>
      <c r="G248" t="n">
        <v>1.8</v>
      </c>
      <c r="H248" t="n">
        <v>0</v>
      </c>
      <c r="I248" t="n">
        <v>0</v>
      </c>
      <c r="J248" t="n">
        <v>0</v>
      </c>
      <c r="K248" t="n">
        <v>0</v>
      </c>
      <c r="L248" t="n">
        <v>0</v>
      </c>
      <c r="M248" t="n">
        <v>0</v>
      </c>
      <c r="N248" t="n">
        <v>0</v>
      </c>
      <c r="O248" t="n">
        <v>0</v>
      </c>
      <c r="P248" t="n">
        <v>0</v>
      </c>
      <c r="Q248" t="n">
        <v>0</v>
      </c>
      <c r="R248" s="2" t="inlineStr"/>
    </row>
    <row r="249" ht="15" customHeight="1">
      <c r="A249" t="inlineStr">
        <is>
          <t>A 16388-2025</t>
        </is>
      </c>
      <c r="B249" s="1" t="n">
        <v>45751.42787037037</v>
      </c>
      <c r="C249" s="1" t="n">
        <v>46004</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23950-2023</t>
        </is>
      </c>
      <c r="B250" s="1" t="n">
        <v>45078.61771990741</v>
      </c>
      <c r="C250" s="1" t="n">
        <v>46004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23952-2023</t>
        </is>
      </c>
      <c r="B251" s="1" t="n">
        <v>45078.62064814815</v>
      </c>
      <c r="C251" s="1" t="n">
        <v>46004</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35974-2022</t>
        </is>
      </c>
      <c r="B252" s="1" t="n">
        <v>44802</v>
      </c>
      <c r="C252" s="1" t="n">
        <v>46004</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1619-2022</t>
        </is>
      </c>
      <c r="B253" s="1" t="n">
        <v>44573</v>
      </c>
      <c r="C253" s="1" t="n">
        <v>46004</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41874-2024</t>
        </is>
      </c>
      <c r="B254" s="1" t="n">
        <v>45561</v>
      </c>
      <c r="C254" s="1" t="n">
        <v>46004</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55284-2023</t>
        </is>
      </c>
      <c r="B255" s="1" t="n">
        <v>45237.74259259259</v>
      </c>
      <c r="C255" s="1" t="n">
        <v>46004</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65235-2021</t>
        </is>
      </c>
      <c r="B256" s="1" t="n">
        <v>44515</v>
      </c>
      <c r="C256" s="1" t="n">
        <v>46004</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7262-2022</t>
        </is>
      </c>
      <c r="B257" s="1" t="n">
        <v>44606</v>
      </c>
      <c r="C257" s="1" t="n">
        <v>46004</v>
      </c>
      <c r="D257" t="inlineStr">
        <is>
          <t>SKÅNE LÄN</t>
        </is>
      </c>
      <c r="E257" t="inlineStr">
        <is>
          <t>HÄSSLEHOLM</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13549-2025</t>
        </is>
      </c>
      <c r="B258" s="1" t="n">
        <v>45736</v>
      </c>
      <c r="C258" s="1" t="n">
        <v>46004</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51245-2023</t>
        </is>
      </c>
      <c r="B259" s="1" t="n">
        <v>45212</v>
      </c>
      <c r="C259" s="1" t="n">
        <v>46004</v>
      </c>
      <c r="D259" t="inlineStr">
        <is>
          <t>SKÅNE LÄN</t>
        </is>
      </c>
      <c r="E259" t="inlineStr">
        <is>
          <t>HÄSSLEHOLM</t>
        </is>
      </c>
      <c r="G259" t="n">
        <v>2.1</v>
      </c>
      <c r="H259" t="n">
        <v>0</v>
      </c>
      <c r="I259" t="n">
        <v>0</v>
      </c>
      <c r="J259" t="n">
        <v>0</v>
      </c>
      <c r="K259" t="n">
        <v>0</v>
      </c>
      <c r="L259" t="n">
        <v>0</v>
      </c>
      <c r="M259" t="n">
        <v>0</v>
      </c>
      <c r="N259" t="n">
        <v>0</v>
      </c>
      <c r="O259" t="n">
        <v>0</v>
      </c>
      <c r="P259" t="n">
        <v>0</v>
      </c>
      <c r="Q259" t="n">
        <v>0</v>
      </c>
      <c r="R259" s="2" t="inlineStr"/>
    </row>
    <row r="260" ht="15" customHeight="1">
      <c r="A260" t="inlineStr">
        <is>
          <t>A 12558-2023</t>
        </is>
      </c>
      <c r="B260" s="1" t="n">
        <v>45000.36103009259</v>
      </c>
      <c r="C260" s="1" t="n">
        <v>46004</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31934-2024</t>
        </is>
      </c>
      <c r="B261" s="1" t="n">
        <v>45510.41177083334</v>
      </c>
      <c r="C261" s="1" t="n">
        <v>46004</v>
      </c>
      <c r="D261" t="inlineStr">
        <is>
          <t>SKÅNE LÄN</t>
        </is>
      </c>
      <c r="E261" t="inlineStr">
        <is>
          <t>HÄSSLEHOLM</t>
        </is>
      </c>
      <c r="G261" t="n">
        <v>1.9</v>
      </c>
      <c r="H261" t="n">
        <v>0</v>
      </c>
      <c r="I261" t="n">
        <v>0</v>
      </c>
      <c r="J261" t="n">
        <v>0</v>
      </c>
      <c r="K261" t="n">
        <v>0</v>
      </c>
      <c r="L261" t="n">
        <v>0</v>
      </c>
      <c r="M261" t="n">
        <v>0</v>
      </c>
      <c r="N261" t="n">
        <v>0</v>
      </c>
      <c r="O261" t="n">
        <v>0</v>
      </c>
      <c r="P261" t="n">
        <v>0</v>
      </c>
      <c r="Q261" t="n">
        <v>0</v>
      </c>
      <c r="R261" s="2" t="inlineStr"/>
    </row>
    <row r="262" ht="15" customHeight="1">
      <c r="A262" t="inlineStr">
        <is>
          <t>A 7890-2024</t>
        </is>
      </c>
      <c r="B262" s="1" t="n">
        <v>45350.40780092592</v>
      </c>
      <c r="C262" s="1" t="n">
        <v>46004</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4119-2024</t>
        </is>
      </c>
      <c r="B263" s="1" t="n">
        <v>45323.67920138889</v>
      </c>
      <c r="C263" s="1" t="n">
        <v>46004</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6835-2023</t>
        </is>
      </c>
      <c r="B264" s="1" t="n">
        <v>44967</v>
      </c>
      <c r="C264" s="1" t="n">
        <v>46004</v>
      </c>
      <c r="D264" t="inlineStr">
        <is>
          <t>SKÅNE LÄN</t>
        </is>
      </c>
      <c r="E264" t="inlineStr">
        <is>
          <t>HÄSSLEHOLM</t>
        </is>
      </c>
      <c r="G264" t="n">
        <v>4.8</v>
      </c>
      <c r="H264" t="n">
        <v>0</v>
      </c>
      <c r="I264" t="n">
        <v>0</v>
      </c>
      <c r="J264" t="n">
        <v>0</v>
      </c>
      <c r="K264" t="n">
        <v>0</v>
      </c>
      <c r="L264" t="n">
        <v>0</v>
      </c>
      <c r="M264" t="n">
        <v>0</v>
      </c>
      <c r="N264" t="n">
        <v>0</v>
      </c>
      <c r="O264" t="n">
        <v>0</v>
      </c>
      <c r="P264" t="n">
        <v>0</v>
      </c>
      <c r="Q264" t="n">
        <v>0</v>
      </c>
      <c r="R264" s="2" t="inlineStr"/>
    </row>
    <row r="265" ht="15" customHeight="1">
      <c r="A265" t="inlineStr">
        <is>
          <t>A 8160-2024</t>
        </is>
      </c>
      <c r="B265" s="1" t="n">
        <v>45351</v>
      </c>
      <c r="C265" s="1" t="n">
        <v>46004</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24241-2023</t>
        </is>
      </c>
      <c r="B266" s="1" t="n">
        <v>45079.61476851852</v>
      </c>
      <c r="C266" s="1" t="n">
        <v>46004</v>
      </c>
      <c r="D266" t="inlineStr">
        <is>
          <t>SKÅNE LÄN</t>
        </is>
      </c>
      <c r="E266" t="inlineStr">
        <is>
          <t>HÄSSLEHOLM</t>
        </is>
      </c>
      <c r="G266" t="n">
        <v>0.9</v>
      </c>
      <c r="H266" t="n">
        <v>0</v>
      </c>
      <c r="I266" t="n">
        <v>0</v>
      </c>
      <c r="J266" t="n">
        <v>0</v>
      </c>
      <c r="K266" t="n">
        <v>0</v>
      </c>
      <c r="L266" t="n">
        <v>0</v>
      </c>
      <c r="M266" t="n">
        <v>0</v>
      </c>
      <c r="N266" t="n">
        <v>0</v>
      </c>
      <c r="O266" t="n">
        <v>0</v>
      </c>
      <c r="P266" t="n">
        <v>0</v>
      </c>
      <c r="Q266" t="n">
        <v>0</v>
      </c>
      <c r="R266" s="2" t="inlineStr"/>
    </row>
    <row r="267" ht="15" customHeight="1">
      <c r="A267" t="inlineStr">
        <is>
          <t>A 47757-2024</t>
        </is>
      </c>
      <c r="B267" s="1" t="n">
        <v>45588.55075231481</v>
      </c>
      <c r="C267" s="1" t="n">
        <v>46004</v>
      </c>
      <c r="D267" t="inlineStr">
        <is>
          <t>SKÅNE LÄN</t>
        </is>
      </c>
      <c r="E267" t="inlineStr">
        <is>
          <t>HÄSSLEHOLM</t>
        </is>
      </c>
      <c r="G267" t="n">
        <v>5.5</v>
      </c>
      <c r="H267" t="n">
        <v>0</v>
      </c>
      <c r="I267" t="n">
        <v>0</v>
      </c>
      <c r="J267" t="n">
        <v>0</v>
      </c>
      <c r="K267" t="n">
        <v>0</v>
      </c>
      <c r="L267" t="n">
        <v>0</v>
      </c>
      <c r="M267" t="n">
        <v>0</v>
      </c>
      <c r="N267" t="n">
        <v>0</v>
      </c>
      <c r="O267" t="n">
        <v>0</v>
      </c>
      <c r="P267" t="n">
        <v>0</v>
      </c>
      <c r="Q267" t="n">
        <v>0</v>
      </c>
      <c r="R267" s="2" t="inlineStr"/>
    </row>
    <row r="268" ht="15" customHeight="1">
      <c r="A268" t="inlineStr">
        <is>
          <t>A 16550-2025</t>
        </is>
      </c>
      <c r="B268" s="1" t="n">
        <v>45751.69412037037</v>
      </c>
      <c r="C268" s="1" t="n">
        <v>46004</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59429-2023</t>
        </is>
      </c>
      <c r="B269" s="1" t="n">
        <v>45254.2875</v>
      </c>
      <c r="C269" s="1" t="n">
        <v>46004</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21310-2022</t>
        </is>
      </c>
      <c r="B270" s="1" t="n">
        <v>44705</v>
      </c>
      <c r="C270" s="1" t="n">
        <v>46004</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3500-2024</t>
        </is>
      </c>
      <c r="B271" s="1" t="n">
        <v>45320</v>
      </c>
      <c r="C271" s="1" t="n">
        <v>46004</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58815-2023</t>
        </is>
      </c>
      <c r="B272" s="1" t="n">
        <v>45247</v>
      </c>
      <c r="C272" s="1" t="n">
        <v>46004</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26536-2022</t>
        </is>
      </c>
      <c r="B273" s="1" t="n">
        <v>44739.45496527778</v>
      </c>
      <c r="C273" s="1" t="n">
        <v>46004</v>
      </c>
      <c r="D273" t="inlineStr">
        <is>
          <t>SKÅNE LÄN</t>
        </is>
      </c>
      <c r="E273" t="inlineStr">
        <is>
          <t>HÄSSLEHOLM</t>
        </is>
      </c>
      <c r="G273" t="n">
        <v>3.1</v>
      </c>
      <c r="H273" t="n">
        <v>0</v>
      </c>
      <c r="I273" t="n">
        <v>0</v>
      </c>
      <c r="J273" t="n">
        <v>0</v>
      </c>
      <c r="K273" t="n">
        <v>0</v>
      </c>
      <c r="L273" t="n">
        <v>0</v>
      </c>
      <c r="M273" t="n">
        <v>0</v>
      </c>
      <c r="N273" t="n">
        <v>0</v>
      </c>
      <c r="O273" t="n">
        <v>0</v>
      </c>
      <c r="P273" t="n">
        <v>0</v>
      </c>
      <c r="Q273" t="n">
        <v>0</v>
      </c>
      <c r="R273" s="2" t="inlineStr"/>
    </row>
    <row r="274" ht="15" customHeight="1">
      <c r="A274" t="inlineStr">
        <is>
          <t>A 33597-2023</t>
        </is>
      </c>
      <c r="B274" s="1" t="n">
        <v>45132</v>
      </c>
      <c r="C274" s="1" t="n">
        <v>46004</v>
      </c>
      <c r="D274" t="inlineStr">
        <is>
          <t>SKÅNE LÄN</t>
        </is>
      </c>
      <c r="E274" t="inlineStr">
        <is>
          <t>HÄSSLEHOLM</t>
        </is>
      </c>
      <c r="G274" t="n">
        <v>3.9</v>
      </c>
      <c r="H274" t="n">
        <v>0</v>
      </c>
      <c r="I274" t="n">
        <v>0</v>
      </c>
      <c r="J274" t="n">
        <v>0</v>
      </c>
      <c r="K274" t="n">
        <v>0</v>
      </c>
      <c r="L274" t="n">
        <v>0</v>
      </c>
      <c r="M274" t="n">
        <v>0</v>
      </c>
      <c r="N274" t="n">
        <v>0</v>
      </c>
      <c r="O274" t="n">
        <v>0</v>
      </c>
      <c r="P274" t="n">
        <v>0</v>
      </c>
      <c r="Q274" t="n">
        <v>0</v>
      </c>
      <c r="R274" s="2" t="inlineStr"/>
    </row>
    <row r="275" ht="15" customHeight="1">
      <c r="A275" t="inlineStr">
        <is>
          <t>A 33599-2023</t>
        </is>
      </c>
      <c r="B275" s="1" t="n">
        <v>45132</v>
      </c>
      <c r="C275" s="1" t="n">
        <v>46004</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60959-2022</t>
        </is>
      </c>
      <c r="B276" s="1" t="n">
        <v>44914.64777777778</v>
      </c>
      <c r="C276" s="1" t="n">
        <v>46004</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27173-2024</t>
        </is>
      </c>
      <c r="B277" s="1" t="n">
        <v>45471.57048611111</v>
      </c>
      <c r="C277" s="1" t="n">
        <v>46004</v>
      </c>
      <c r="D277" t="inlineStr">
        <is>
          <t>SKÅNE LÄN</t>
        </is>
      </c>
      <c r="E277" t="inlineStr">
        <is>
          <t>HÄSSLEHOLM</t>
        </is>
      </c>
      <c r="G277" t="n">
        <v>1.8</v>
      </c>
      <c r="H277" t="n">
        <v>0</v>
      </c>
      <c r="I277" t="n">
        <v>0</v>
      </c>
      <c r="J277" t="n">
        <v>0</v>
      </c>
      <c r="K277" t="n">
        <v>0</v>
      </c>
      <c r="L277" t="n">
        <v>0</v>
      </c>
      <c r="M277" t="n">
        <v>0</v>
      </c>
      <c r="N277" t="n">
        <v>0</v>
      </c>
      <c r="O277" t="n">
        <v>0</v>
      </c>
      <c r="P277" t="n">
        <v>0</v>
      </c>
      <c r="Q277" t="n">
        <v>0</v>
      </c>
      <c r="R277" s="2" t="inlineStr"/>
    </row>
    <row r="278" ht="15" customHeight="1">
      <c r="A278" t="inlineStr">
        <is>
          <t>A 42906-2022</t>
        </is>
      </c>
      <c r="B278" s="1" t="n">
        <v>44833</v>
      </c>
      <c r="C278" s="1" t="n">
        <v>46004</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25057-2024</t>
        </is>
      </c>
      <c r="B279" s="1" t="n">
        <v>45462</v>
      </c>
      <c r="C279" s="1" t="n">
        <v>46004</v>
      </c>
      <c r="D279" t="inlineStr">
        <is>
          <t>SKÅNE LÄN</t>
        </is>
      </c>
      <c r="E279" t="inlineStr">
        <is>
          <t>HÄSSLEHOLM</t>
        </is>
      </c>
      <c r="G279" t="n">
        <v>4.3</v>
      </c>
      <c r="H279" t="n">
        <v>0</v>
      </c>
      <c r="I279" t="n">
        <v>0</v>
      </c>
      <c r="J279" t="n">
        <v>0</v>
      </c>
      <c r="K279" t="n">
        <v>0</v>
      </c>
      <c r="L279" t="n">
        <v>0</v>
      </c>
      <c r="M279" t="n">
        <v>0</v>
      </c>
      <c r="N279" t="n">
        <v>0</v>
      </c>
      <c r="O279" t="n">
        <v>0</v>
      </c>
      <c r="P279" t="n">
        <v>0</v>
      </c>
      <c r="Q279" t="n">
        <v>0</v>
      </c>
      <c r="R279" s="2" t="inlineStr"/>
    </row>
    <row r="280" ht="15" customHeight="1">
      <c r="A280" t="inlineStr">
        <is>
          <t>A 10020-2024</t>
        </is>
      </c>
      <c r="B280" s="1" t="n">
        <v>45363.96944444445</v>
      </c>
      <c r="C280" s="1" t="n">
        <v>46004</v>
      </c>
      <c r="D280" t="inlineStr">
        <is>
          <t>SKÅNE LÄN</t>
        </is>
      </c>
      <c r="E280" t="inlineStr">
        <is>
          <t>HÄSSLEHOLM</t>
        </is>
      </c>
      <c r="G280" t="n">
        <v>5.3</v>
      </c>
      <c r="H280" t="n">
        <v>0</v>
      </c>
      <c r="I280" t="n">
        <v>0</v>
      </c>
      <c r="J280" t="n">
        <v>0</v>
      </c>
      <c r="K280" t="n">
        <v>0</v>
      </c>
      <c r="L280" t="n">
        <v>0</v>
      </c>
      <c r="M280" t="n">
        <v>0</v>
      </c>
      <c r="N280" t="n">
        <v>0</v>
      </c>
      <c r="O280" t="n">
        <v>0</v>
      </c>
      <c r="P280" t="n">
        <v>0</v>
      </c>
      <c r="Q280" t="n">
        <v>0</v>
      </c>
      <c r="R280" s="2" t="inlineStr"/>
    </row>
    <row r="281" ht="15" customHeight="1">
      <c r="A281" t="inlineStr">
        <is>
          <t>A 31931-2024</t>
        </is>
      </c>
      <c r="B281" s="1" t="n">
        <v>45510.40878472223</v>
      </c>
      <c r="C281" s="1" t="n">
        <v>46004</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33257-2024</t>
        </is>
      </c>
      <c r="B282" s="1" t="n">
        <v>45518</v>
      </c>
      <c r="C282" s="1" t="n">
        <v>46004</v>
      </c>
      <c r="D282" t="inlineStr">
        <is>
          <t>SKÅNE LÄN</t>
        </is>
      </c>
      <c r="E282" t="inlineStr">
        <is>
          <t>HÄSSLEHOLM</t>
        </is>
      </c>
      <c r="G282" t="n">
        <v>0.4</v>
      </c>
      <c r="H282" t="n">
        <v>0</v>
      </c>
      <c r="I282" t="n">
        <v>0</v>
      </c>
      <c r="J282" t="n">
        <v>0</v>
      </c>
      <c r="K282" t="n">
        <v>0</v>
      </c>
      <c r="L282" t="n">
        <v>0</v>
      </c>
      <c r="M282" t="n">
        <v>0</v>
      </c>
      <c r="N282" t="n">
        <v>0</v>
      </c>
      <c r="O282" t="n">
        <v>0</v>
      </c>
      <c r="P282" t="n">
        <v>0</v>
      </c>
      <c r="Q282" t="n">
        <v>0</v>
      </c>
      <c r="R282" s="2" t="inlineStr"/>
    </row>
    <row r="283" ht="15" customHeight="1">
      <c r="A283" t="inlineStr">
        <is>
          <t>A 70087-2021</t>
        </is>
      </c>
      <c r="B283" s="1" t="n">
        <v>44533</v>
      </c>
      <c r="C283" s="1" t="n">
        <v>46004</v>
      </c>
      <c r="D283" t="inlineStr">
        <is>
          <t>SKÅNE LÄN</t>
        </is>
      </c>
      <c r="E283" t="inlineStr">
        <is>
          <t>HÄSSLEHOLM</t>
        </is>
      </c>
      <c r="G283" t="n">
        <v>5</v>
      </c>
      <c r="H283" t="n">
        <v>0</v>
      </c>
      <c r="I283" t="n">
        <v>0</v>
      </c>
      <c r="J283" t="n">
        <v>0</v>
      </c>
      <c r="K283" t="n">
        <v>0</v>
      </c>
      <c r="L283" t="n">
        <v>0</v>
      </c>
      <c r="M283" t="n">
        <v>0</v>
      </c>
      <c r="N283" t="n">
        <v>0</v>
      </c>
      <c r="O283" t="n">
        <v>0</v>
      </c>
      <c r="P283" t="n">
        <v>0</v>
      </c>
      <c r="Q283" t="n">
        <v>0</v>
      </c>
      <c r="R283" s="2" t="inlineStr"/>
    </row>
    <row r="284" ht="15" customHeight="1">
      <c r="A284" t="inlineStr">
        <is>
          <t>A 15133-2023</t>
        </is>
      </c>
      <c r="B284" s="1" t="n">
        <v>45016</v>
      </c>
      <c r="C284" s="1" t="n">
        <v>46004</v>
      </c>
      <c r="D284" t="inlineStr">
        <is>
          <t>SKÅNE LÄN</t>
        </is>
      </c>
      <c r="E284" t="inlineStr">
        <is>
          <t>HÄSSLEHOLM</t>
        </is>
      </c>
      <c r="G284" t="n">
        <v>7.8</v>
      </c>
      <c r="H284" t="n">
        <v>0</v>
      </c>
      <c r="I284" t="n">
        <v>0</v>
      </c>
      <c r="J284" t="n">
        <v>0</v>
      </c>
      <c r="K284" t="n">
        <v>0</v>
      </c>
      <c r="L284" t="n">
        <v>0</v>
      </c>
      <c r="M284" t="n">
        <v>0</v>
      </c>
      <c r="N284" t="n">
        <v>0</v>
      </c>
      <c r="O284" t="n">
        <v>0</v>
      </c>
      <c r="P284" t="n">
        <v>0</v>
      </c>
      <c r="Q284" t="n">
        <v>0</v>
      </c>
      <c r="R284" s="2" t="inlineStr"/>
    </row>
    <row r="285" ht="15" customHeight="1">
      <c r="A285" t="inlineStr">
        <is>
          <t>A 7494-2023</t>
        </is>
      </c>
      <c r="B285" s="1" t="n">
        <v>44971.70835648148</v>
      </c>
      <c r="C285" s="1" t="n">
        <v>46004</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34883-2023</t>
        </is>
      </c>
      <c r="B286" s="1" t="n">
        <v>45142.37902777778</v>
      </c>
      <c r="C286" s="1" t="n">
        <v>46004</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10115-2024</t>
        </is>
      </c>
      <c r="B287" s="1" t="n">
        <v>45364.55339120371</v>
      </c>
      <c r="C287" s="1" t="n">
        <v>46004</v>
      </c>
      <c r="D287" t="inlineStr">
        <is>
          <t>SKÅNE LÄN</t>
        </is>
      </c>
      <c r="E287" t="inlineStr">
        <is>
          <t>HÄSSLEHOLM</t>
        </is>
      </c>
      <c r="G287" t="n">
        <v>7</v>
      </c>
      <c r="H287" t="n">
        <v>0</v>
      </c>
      <c r="I287" t="n">
        <v>0</v>
      </c>
      <c r="J287" t="n">
        <v>0</v>
      </c>
      <c r="K287" t="n">
        <v>0</v>
      </c>
      <c r="L287" t="n">
        <v>0</v>
      </c>
      <c r="M287" t="n">
        <v>0</v>
      </c>
      <c r="N287" t="n">
        <v>0</v>
      </c>
      <c r="O287" t="n">
        <v>0</v>
      </c>
      <c r="P287" t="n">
        <v>0</v>
      </c>
      <c r="Q287" t="n">
        <v>0</v>
      </c>
      <c r="R287" s="2" t="inlineStr"/>
    </row>
    <row r="288" ht="15" customHeight="1">
      <c r="A288" t="inlineStr">
        <is>
          <t>A 20187-2023</t>
        </is>
      </c>
      <c r="B288" s="1" t="n">
        <v>45055.57027777778</v>
      </c>
      <c r="C288" s="1" t="n">
        <v>46004</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21867-2023</t>
        </is>
      </c>
      <c r="B289" s="1" t="n">
        <v>45063</v>
      </c>
      <c r="C289" s="1" t="n">
        <v>46004</v>
      </c>
      <c r="D289" t="inlineStr">
        <is>
          <t>SKÅNE LÄN</t>
        </is>
      </c>
      <c r="E289" t="inlineStr">
        <is>
          <t>HÄSSLEHOLM</t>
        </is>
      </c>
      <c r="G289" t="n">
        <v>7.6</v>
      </c>
      <c r="H289" t="n">
        <v>0</v>
      </c>
      <c r="I289" t="n">
        <v>0</v>
      </c>
      <c r="J289" t="n">
        <v>0</v>
      </c>
      <c r="K289" t="n">
        <v>0</v>
      </c>
      <c r="L289" t="n">
        <v>0</v>
      </c>
      <c r="M289" t="n">
        <v>0</v>
      </c>
      <c r="N289" t="n">
        <v>0</v>
      </c>
      <c r="O289" t="n">
        <v>0</v>
      </c>
      <c r="P289" t="n">
        <v>0</v>
      </c>
      <c r="Q289" t="n">
        <v>0</v>
      </c>
      <c r="R289" s="2" t="inlineStr"/>
    </row>
    <row r="290" ht="15" customHeight="1">
      <c r="A290" t="inlineStr">
        <is>
          <t>A 5284-2023</t>
        </is>
      </c>
      <c r="B290" s="1" t="n">
        <v>44959.50608796296</v>
      </c>
      <c r="C290" s="1" t="n">
        <v>46004</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5285-2023</t>
        </is>
      </c>
      <c r="B291" s="1" t="n">
        <v>44959.50783564815</v>
      </c>
      <c r="C291" s="1" t="n">
        <v>46004</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34888-2023</t>
        </is>
      </c>
      <c r="B292" s="1" t="n">
        <v>45142.388125</v>
      </c>
      <c r="C292" s="1" t="n">
        <v>46004</v>
      </c>
      <c r="D292" t="inlineStr">
        <is>
          <t>SKÅNE LÄN</t>
        </is>
      </c>
      <c r="E292" t="inlineStr">
        <is>
          <t>HÄSSLEHOLM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58618-2024</t>
        </is>
      </c>
      <c r="B293" s="1" t="n">
        <v>45635.56150462963</v>
      </c>
      <c r="C293" s="1" t="n">
        <v>46004</v>
      </c>
      <c r="D293" t="inlineStr">
        <is>
          <t>SKÅNE LÄN</t>
        </is>
      </c>
      <c r="E293" t="inlineStr">
        <is>
          <t>HÄSSLEHOLM</t>
        </is>
      </c>
      <c r="G293" t="n">
        <v>2.3</v>
      </c>
      <c r="H293" t="n">
        <v>0</v>
      </c>
      <c r="I293" t="n">
        <v>0</v>
      </c>
      <c r="J293" t="n">
        <v>0</v>
      </c>
      <c r="K293" t="n">
        <v>0</v>
      </c>
      <c r="L293" t="n">
        <v>0</v>
      </c>
      <c r="M293" t="n">
        <v>0</v>
      </c>
      <c r="N293" t="n">
        <v>0</v>
      </c>
      <c r="O293" t="n">
        <v>0</v>
      </c>
      <c r="P293" t="n">
        <v>0</v>
      </c>
      <c r="Q293" t="n">
        <v>0</v>
      </c>
      <c r="R293" s="2" t="inlineStr"/>
    </row>
    <row r="294" ht="15" customHeight="1">
      <c r="A294" t="inlineStr">
        <is>
          <t>A 54435-2024</t>
        </is>
      </c>
      <c r="B294" s="1" t="n">
        <v>45617.49494212963</v>
      </c>
      <c r="C294" s="1" t="n">
        <v>46004</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58886-2024</t>
        </is>
      </c>
      <c r="B295" s="1" t="n">
        <v>45636.45380787037</v>
      </c>
      <c r="C295" s="1" t="n">
        <v>46004</v>
      </c>
      <c r="D295" t="inlineStr">
        <is>
          <t>SKÅNE LÄN</t>
        </is>
      </c>
      <c r="E295" t="inlineStr">
        <is>
          <t>HÄSSLEHOLM</t>
        </is>
      </c>
      <c r="G295" t="n">
        <v>1.9</v>
      </c>
      <c r="H295" t="n">
        <v>0</v>
      </c>
      <c r="I295" t="n">
        <v>0</v>
      </c>
      <c r="J295" t="n">
        <v>0</v>
      </c>
      <c r="K295" t="n">
        <v>0</v>
      </c>
      <c r="L295" t="n">
        <v>0</v>
      </c>
      <c r="M295" t="n">
        <v>0</v>
      </c>
      <c r="N295" t="n">
        <v>0</v>
      </c>
      <c r="O295" t="n">
        <v>0</v>
      </c>
      <c r="P295" t="n">
        <v>0</v>
      </c>
      <c r="Q295" t="n">
        <v>0</v>
      </c>
      <c r="R295" s="2" t="inlineStr"/>
    </row>
    <row r="296" ht="15" customHeight="1">
      <c r="A296" t="inlineStr">
        <is>
          <t>A 13087-2023</t>
        </is>
      </c>
      <c r="B296" s="1" t="n">
        <v>45001</v>
      </c>
      <c r="C296" s="1" t="n">
        <v>46004</v>
      </c>
      <c r="D296" t="inlineStr">
        <is>
          <t>SKÅNE LÄN</t>
        </is>
      </c>
      <c r="E296" t="inlineStr">
        <is>
          <t>HÄSSLEHOLM</t>
        </is>
      </c>
      <c r="G296" t="n">
        <v>3.8</v>
      </c>
      <c r="H296" t="n">
        <v>0</v>
      </c>
      <c r="I296" t="n">
        <v>0</v>
      </c>
      <c r="J296" t="n">
        <v>0</v>
      </c>
      <c r="K296" t="n">
        <v>0</v>
      </c>
      <c r="L296" t="n">
        <v>0</v>
      </c>
      <c r="M296" t="n">
        <v>0</v>
      </c>
      <c r="N296" t="n">
        <v>0</v>
      </c>
      <c r="O296" t="n">
        <v>0</v>
      </c>
      <c r="P296" t="n">
        <v>0</v>
      </c>
      <c r="Q296" t="n">
        <v>0</v>
      </c>
      <c r="R296" s="2" t="inlineStr"/>
    </row>
    <row r="297" ht="15" customHeight="1">
      <c r="A297" t="inlineStr">
        <is>
          <t>A 6583-2021</t>
        </is>
      </c>
      <c r="B297" s="1" t="n">
        <v>44236</v>
      </c>
      <c r="C297" s="1" t="n">
        <v>46004</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11266-2025</t>
        </is>
      </c>
      <c r="B298" s="1" t="n">
        <v>45726</v>
      </c>
      <c r="C298" s="1" t="n">
        <v>46004</v>
      </c>
      <c r="D298" t="inlineStr">
        <is>
          <t>SKÅNE LÄN</t>
        </is>
      </c>
      <c r="E298" t="inlineStr">
        <is>
          <t>HÄSSLEHOLM</t>
        </is>
      </c>
      <c r="G298" t="n">
        <v>0.3</v>
      </c>
      <c r="H298" t="n">
        <v>0</v>
      </c>
      <c r="I298" t="n">
        <v>0</v>
      </c>
      <c r="J298" t="n">
        <v>0</v>
      </c>
      <c r="K298" t="n">
        <v>0</v>
      </c>
      <c r="L298" t="n">
        <v>0</v>
      </c>
      <c r="M298" t="n">
        <v>0</v>
      </c>
      <c r="N298" t="n">
        <v>0</v>
      </c>
      <c r="O298" t="n">
        <v>0</v>
      </c>
      <c r="P298" t="n">
        <v>0</v>
      </c>
      <c r="Q298" t="n">
        <v>0</v>
      </c>
      <c r="R298" s="2" t="inlineStr"/>
    </row>
    <row r="299" ht="15" customHeight="1">
      <c r="A299" t="inlineStr">
        <is>
          <t>A 21328-2023</t>
        </is>
      </c>
      <c r="B299" s="1" t="n">
        <v>45062</v>
      </c>
      <c r="C299" s="1" t="n">
        <v>46004</v>
      </c>
      <c r="D299" t="inlineStr">
        <is>
          <t>SKÅNE LÄN</t>
        </is>
      </c>
      <c r="E299" t="inlineStr">
        <is>
          <t>HÄSSLEHOLM</t>
        </is>
      </c>
      <c r="G299" t="n">
        <v>2.1</v>
      </c>
      <c r="H299" t="n">
        <v>0</v>
      </c>
      <c r="I299" t="n">
        <v>0</v>
      </c>
      <c r="J299" t="n">
        <v>0</v>
      </c>
      <c r="K299" t="n">
        <v>0</v>
      </c>
      <c r="L299" t="n">
        <v>0</v>
      </c>
      <c r="M299" t="n">
        <v>0</v>
      </c>
      <c r="N299" t="n">
        <v>0</v>
      </c>
      <c r="O299" t="n">
        <v>0</v>
      </c>
      <c r="P299" t="n">
        <v>0</v>
      </c>
      <c r="Q299" t="n">
        <v>0</v>
      </c>
      <c r="R299" s="2" t="inlineStr"/>
    </row>
    <row r="300" ht="15" customHeight="1">
      <c r="A300" t="inlineStr">
        <is>
          <t>A 3925-2021</t>
        </is>
      </c>
      <c r="B300" s="1" t="n">
        <v>44222</v>
      </c>
      <c r="C300" s="1" t="n">
        <v>46004</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20666-2023</t>
        </is>
      </c>
      <c r="B301" s="1" t="n">
        <v>45058.35664351852</v>
      </c>
      <c r="C301" s="1" t="n">
        <v>46004</v>
      </c>
      <c r="D301" t="inlineStr">
        <is>
          <t>SKÅNE LÄN</t>
        </is>
      </c>
      <c r="E301" t="inlineStr">
        <is>
          <t>HÄSSLEHOLM</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59028-2023</t>
        </is>
      </c>
      <c r="B302" s="1" t="n">
        <v>45252.67900462963</v>
      </c>
      <c r="C302" s="1" t="n">
        <v>46004</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12570-2023</t>
        </is>
      </c>
      <c r="B303" s="1" t="n">
        <v>44999</v>
      </c>
      <c r="C303" s="1" t="n">
        <v>46004</v>
      </c>
      <c r="D303" t="inlineStr">
        <is>
          <t>SKÅNE LÄN</t>
        </is>
      </c>
      <c r="E303" t="inlineStr">
        <is>
          <t>HÄSSLEHOLM</t>
        </is>
      </c>
      <c r="G303" t="n">
        <v>3.4</v>
      </c>
      <c r="H303" t="n">
        <v>0</v>
      </c>
      <c r="I303" t="n">
        <v>0</v>
      </c>
      <c r="J303" t="n">
        <v>0</v>
      </c>
      <c r="K303" t="n">
        <v>0</v>
      </c>
      <c r="L303" t="n">
        <v>0</v>
      </c>
      <c r="M303" t="n">
        <v>0</v>
      </c>
      <c r="N303" t="n">
        <v>0</v>
      </c>
      <c r="O303" t="n">
        <v>0</v>
      </c>
      <c r="P303" t="n">
        <v>0</v>
      </c>
      <c r="Q303" t="n">
        <v>0</v>
      </c>
      <c r="R303" s="2" t="inlineStr"/>
    </row>
    <row r="304" ht="15" customHeight="1">
      <c r="A304" t="inlineStr">
        <is>
          <t>A 32794-2021</t>
        </is>
      </c>
      <c r="B304" s="1" t="n">
        <v>44375</v>
      </c>
      <c r="C304" s="1" t="n">
        <v>46004</v>
      </c>
      <c r="D304" t="inlineStr">
        <is>
          <t>SKÅNE LÄN</t>
        </is>
      </c>
      <c r="E304" t="inlineStr">
        <is>
          <t>HÄSSLEHOLM</t>
        </is>
      </c>
      <c r="G304" t="n">
        <v>0.6</v>
      </c>
      <c r="H304" t="n">
        <v>0</v>
      </c>
      <c r="I304" t="n">
        <v>0</v>
      </c>
      <c r="J304" t="n">
        <v>0</v>
      </c>
      <c r="K304" t="n">
        <v>0</v>
      </c>
      <c r="L304" t="n">
        <v>0</v>
      </c>
      <c r="M304" t="n">
        <v>0</v>
      </c>
      <c r="N304" t="n">
        <v>0</v>
      </c>
      <c r="O304" t="n">
        <v>0</v>
      </c>
      <c r="P304" t="n">
        <v>0</v>
      </c>
      <c r="Q304" t="n">
        <v>0</v>
      </c>
      <c r="R304" s="2" t="inlineStr"/>
    </row>
    <row r="305" ht="15" customHeight="1">
      <c r="A305" t="inlineStr">
        <is>
          <t>A 8250-2023</t>
        </is>
      </c>
      <c r="B305" s="1" t="n">
        <v>44974</v>
      </c>
      <c r="C305" s="1" t="n">
        <v>46004</v>
      </c>
      <c r="D305" t="inlineStr">
        <is>
          <t>SKÅNE LÄN</t>
        </is>
      </c>
      <c r="E305" t="inlineStr">
        <is>
          <t>HÄSSLEHOLM</t>
        </is>
      </c>
      <c r="G305" t="n">
        <v>3</v>
      </c>
      <c r="H305" t="n">
        <v>0</v>
      </c>
      <c r="I305" t="n">
        <v>0</v>
      </c>
      <c r="J305" t="n">
        <v>0</v>
      </c>
      <c r="K305" t="n">
        <v>0</v>
      </c>
      <c r="L305" t="n">
        <v>0</v>
      </c>
      <c r="M305" t="n">
        <v>0</v>
      </c>
      <c r="N305" t="n">
        <v>0</v>
      </c>
      <c r="O305" t="n">
        <v>0</v>
      </c>
      <c r="P305" t="n">
        <v>0</v>
      </c>
      <c r="Q305" t="n">
        <v>0</v>
      </c>
      <c r="R305" s="2" t="inlineStr"/>
    </row>
    <row r="306" ht="15" customHeight="1">
      <c r="A306" t="inlineStr">
        <is>
          <t>A 20435-2021</t>
        </is>
      </c>
      <c r="B306" s="1" t="n">
        <v>44315.5793287037</v>
      </c>
      <c r="C306" s="1" t="n">
        <v>46004</v>
      </c>
      <c r="D306" t="inlineStr">
        <is>
          <t>SKÅNE LÄN</t>
        </is>
      </c>
      <c r="E306" t="inlineStr">
        <is>
          <t>HÄSSLEHOLM</t>
        </is>
      </c>
      <c r="G306" t="n">
        <v>4.8</v>
      </c>
      <c r="H306" t="n">
        <v>0</v>
      </c>
      <c r="I306" t="n">
        <v>0</v>
      </c>
      <c r="J306" t="n">
        <v>0</v>
      </c>
      <c r="K306" t="n">
        <v>0</v>
      </c>
      <c r="L306" t="n">
        <v>0</v>
      </c>
      <c r="M306" t="n">
        <v>0</v>
      </c>
      <c r="N306" t="n">
        <v>0</v>
      </c>
      <c r="O306" t="n">
        <v>0</v>
      </c>
      <c r="P306" t="n">
        <v>0</v>
      </c>
      <c r="Q306" t="n">
        <v>0</v>
      </c>
      <c r="R306" s="2" t="inlineStr"/>
    </row>
    <row r="307" ht="15" customHeight="1">
      <c r="A307" t="inlineStr">
        <is>
          <t>A 25219-2023</t>
        </is>
      </c>
      <c r="B307" s="1" t="n">
        <v>45086.60541666667</v>
      </c>
      <c r="C307" s="1" t="n">
        <v>46004</v>
      </c>
      <c r="D307" t="inlineStr">
        <is>
          <t>SKÅNE LÄN</t>
        </is>
      </c>
      <c r="E307" t="inlineStr">
        <is>
          <t>HÄSSLEHOLM</t>
        </is>
      </c>
      <c r="G307" t="n">
        <v>6.9</v>
      </c>
      <c r="H307" t="n">
        <v>0</v>
      </c>
      <c r="I307" t="n">
        <v>0</v>
      </c>
      <c r="J307" t="n">
        <v>0</v>
      </c>
      <c r="K307" t="n">
        <v>0</v>
      </c>
      <c r="L307" t="n">
        <v>0</v>
      </c>
      <c r="M307" t="n">
        <v>0</v>
      </c>
      <c r="N307" t="n">
        <v>0</v>
      </c>
      <c r="O307" t="n">
        <v>0</v>
      </c>
      <c r="P307" t="n">
        <v>0</v>
      </c>
      <c r="Q307" t="n">
        <v>0</v>
      </c>
      <c r="R307" s="2" t="inlineStr"/>
    </row>
    <row r="308" ht="15" customHeight="1">
      <c r="A308" t="inlineStr">
        <is>
          <t>A 57079-2022</t>
        </is>
      </c>
      <c r="B308" s="1" t="n">
        <v>44895</v>
      </c>
      <c r="C308" s="1" t="n">
        <v>46004</v>
      </c>
      <c r="D308" t="inlineStr">
        <is>
          <t>SKÅNE LÄN</t>
        </is>
      </c>
      <c r="E308" t="inlineStr">
        <is>
          <t>HÄSSLEHOLM</t>
        </is>
      </c>
      <c r="G308" t="n">
        <v>2.6</v>
      </c>
      <c r="H308" t="n">
        <v>0</v>
      </c>
      <c r="I308" t="n">
        <v>0</v>
      </c>
      <c r="J308" t="n">
        <v>0</v>
      </c>
      <c r="K308" t="n">
        <v>0</v>
      </c>
      <c r="L308" t="n">
        <v>0</v>
      </c>
      <c r="M308" t="n">
        <v>0</v>
      </c>
      <c r="N308" t="n">
        <v>0</v>
      </c>
      <c r="O308" t="n">
        <v>0</v>
      </c>
      <c r="P308" t="n">
        <v>0</v>
      </c>
      <c r="Q308" t="n">
        <v>0</v>
      </c>
      <c r="R308" s="2" t="inlineStr"/>
    </row>
    <row r="309" ht="15" customHeight="1">
      <c r="A309" t="inlineStr">
        <is>
          <t>A 15698-2023</t>
        </is>
      </c>
      <c r="B309" s="1" t="n">
        <v>45021</v>
      </c>
      <c r="C309" s="1" t="n">
        <v>46004</v>
      </c>
      <c r="D309" t="inlineStr">
        <is>
          <t>SKÅNE LÄN</t>
        </is>
      </c>
      <c r="E309" t="inlineStr">
        <is>
          <t>HÄSSLEHOLM</t>
        </is>
      </c>
      <c r="F309" t="inlineStr">
        <is>
          <t>Kommuner</t>
        </is>
      </c>
      <c r="G309" t="n">
        <v>5.5</v>
      </c>
      <c r="H309" t="n">
        <v>0</v>
      </c>
      <c r="I309" t="n">
        <v>0</v>
      </c>
      <c r="J309" t="n">
        <v>0</v>
      </c>
      <c r="K309" t="n">
        <v>0</v>
      </c>
      <c r="L309" t="n">
        <v>0</v>
      </c>
      <c r="M309" t="n">
        <v>0</v>
      </c>
      <c r="N309" t="n">
        <v>0</v>
      </c>
      <c r="O309" t="n">
        <v>0</v>
      </c>
      <c r="P309" t="n">
        <v>0</v>
      </c>
      <c r="Q309" t="n">
        <v>0</v>
      </c>
      <c r="R309" s="2" t="inlineStr"/>
    </row>
    <row r="310" ht="15" customHeight="1">
      <c r="A310" t="inlineStr">
        <is>
          <t>A 12843-2023</t>
        </is>
      </c>
      <c r="B310" s="1" t="n">
        <v>45001.48423611111</v>
      </c>
      <c r="C310" s="1" t="n">
        <v>46004</v>
      </c>
      <c r="D310" t="inlineStr">
        <is>
          <t>SKÅNE LÄN</t>
        </is>
      </c>
      <c r="E310" t="inlineStr">
        <is>
          <t>HÄSSLEHOLM</t>
        </is>
      </c>
      <c r="G310" t="n">
        <v>3.9</v>
      </c>
      <c r="H310" t="n">
        <v>0</v>
      </c>
      <c r="I310" t="n">
        <v>0</v>
      </c>
      <c r="J310" t="n">
        <v>0</v>
      </c>
      <c r="K310" t="n">
        <v>0</v>
      </c>
      <c r="L310" t="n">
        <v>0</v>
      </c>
      <c r="M310" t="n">
        <v>0</v>
      </c>
      <c r="N310" t="n">
        <v>0</v>
      </c>
      <c r="O310" t="n">
        <v>0</v>
      </c>
      <c r="P310" t="n">
        <v>0</v>
      </c>
      <c r="Q310" t="n">
        <v>0</v>
      </c>
      <c r="R310" s="2" t="inlineStr"/>
    </row>
    <row r="311" ht="15" customHeight="1">
      <c r="A311" t="inlineStr">
        <is>
          <t>A 3855-2023</t>
        </is>
      </c>
      <c r="B311" s="1" t="n">
        <v>44951.69708333333</v>
      </c>
      <c r="C311" s="1" t="n">
        <v>46004</v>
      </c>
      <c r="D311" t="inlineStr">
        <is>
          <t>SKÅNE LÄN</t>
        </is>
      </c>
      <c r="E311" t="inlineStr">
        <is>
          <t>HÄSSLEHOLM</t>
        </is>
      </c>
      <c r="G311" t="n">
        <v>2.3</v>
      </c>
      <c r="H311" t="n">
        <v>0</v>
      </c>
      <c r="I311" t="n">
        <v>0</v>
      </c>
      <c r="J311" t="n">
        <v>0</v>
      </c>
      <c r="K311" t="n">
        <v>0</v>
      </c>
      <c r="L311" t="n">
        <v>0</v>
      </c>
      <c r="M311" t="n">
        <v>0</v>
      </c>
      <c r="N311" t="n">
        <v>0</v>
      </c>
      <c r="O311" t="n">
        <v>0</v>
      </c>
      <c r="P311" t="n">
        <v>0</v>
      </c>
      <c r="Q311" t="n">
        <v>0</v>
      </c>
      <c r="R311" s="2" t="inlineStr"/>
    </row>
    <row r="312" ht="15" customHeight="1">
      <c r="A312" t="inlineStr">
        <is>
          <t>A 33481-2024</t>
        </is>
      </c>
      <c r="B312" s="1" t="n">
        <v>45519</v>
      </c>
      <c r="C312" s="1" t="n">
        <v>46004</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7306-2025</t>
        </is>
      </c>
      <c r="B313" s="1" t="n">
        <v>45702</v>
      </c>
      <c r="C313" s="1" t="n">
        <v>46004</v>
      </c>
      <c r="D313" t="inlineStr">
        <is>
          <t>SKÅNE LÄN</t>
        </is>
      </c>
      <c r="E313" t="inlineStr">
        <is>
          <t>HÄSSLEHOLM</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7308-2025</t>
        </is>
      </c>
      <c r="B314" s="1" t="n">
        <v>45702</v>
      </c>
      <c r="C314" s="1" t="n">
        <v>46004</v>
      </c>
      <c r="D314" t="inlineStr">
        <is>
          <t>SKÅNE LÄN</t>
        </is>
      </c>
      <c r="E314" t="inlineStr">
        <is>
          <t>HÄSSLEHOLM</t>
        </is>
      </c>
      <c r="F314" t="inlineStr">
        <is>
          <t>Övriga Aktiebolag</t>
        </is>
      </c>
      <c r="G314" t="n">
        <v>4.8</v>
      </c>
      <c r="H314" t="n">
        <v>0</v>
      </c>
      <c r="I314" t="n">
        <v>0</v>
      </c>
      <c r="J314" t="n">
        <v>0</v>
      </c>
      <c r="K314" t="n">
        <v>0</v>
      </c>
      <c r="L314" t="n">
        <v>0</v>
      </c>
      <c r="M314" t="n">
        <v>0</v>
      </c>
      <c r="N314" t="n">
        <v>0</v>
      </c>
      <c r="O314" t="n">
        <v>0</v>
      </c>
      <c r="P314" t="n">
        <v>0</v>
      </c>
      <c r="Q314" t="n">
        <v>0</v>
      </c>
      <c r="R314" s="2" t="inlineStr"/>
    </row>
    <row r="315" ht="15" customHeight="1">
      <c r="A315" t="inlineStr">
        <is>
          <t>A 47647-2024</t>
        </is>
      </c>
      <c r="B315" s="1" t="n">
        <v>45588</v>
      </c>
      <c r="C315" s="1" t="n">
        <v>46004</v>
      </c>
      <c r="D315" t="inlineStr">
        <is>
          <t>SKÅNE LÄN</t>
        </is>
      </c>
      <c r="E315" t="inlineStr">
        <is>
          <t>HÄSSLEHOLM</t>
        </is>
      </c>
      <c r="G315" t="n">
        <v>6.5</v>
      </c>
      <c r="H315" t="n">
        <v>0</v>
      </c>
      <c r="I315" t="n">
        <v>0</v>
      </c>
      <c r="J315" t="n">
        <v>0</v>
      </c>
      <c r="K315" t="n">
        <v>0</v>
      </c>
      <c r="L315" t="n">
        <v>0</v>
      </c>
      <c r="M315" t="n">
        <v>0</v>
      </c>
      <c r="N315" t="n">
        <v>0</v>
      </c>
      <c r="O315" t="n">
        <v>0</v>
      </c>
      <c r="P315" t="n">
        <v>0</v>
      </c>
      <c r="Q315" t="n">
        <v>0</v>
      </c>
      <c r="R315" s="2" t="inlineStr"/>
    </row>
    <row r="316" ht="15" customHeight="1">
      <c r="A316" t="inlineStr">
        <is>
          <t>A 2813-2021</t>
        </is>
      </c>
      <c r="B316" s="1" t="n">
        <v>44215</v>
      </c>
      <c r="C316" s="1" t="n">
        <v>46004</v>
      </c>
      <c r="D316" t="inlineStr">
        <is>
          <t>SKÅNE LÄN</t>
        </is>
      </c>
      <c r="E316" t="inlineStr">
        <is>
          <t>HÄSSLEHOLM</t>
        </is>
      </c>
      <c r="G316" t="n">
        <v>7.1</v>
      </c>
      <c r="H316" t="n">
        <v>0</v>
      </c>
      <c r="I316" t="n">
        <v>0</v>
      </c>
      <c r="J316" t="n">
        <v>0</v>
      </c>
      <c r="K316" t="n">
        <v>0</v>
      </c>
      <c r="L316" t="n">
        <v>0</v>
      </c>
      <c r="M316" t="n">
        <v>0</v>
      </c>
      <c r="N316" t="n">
        <v>0</v>
      </c>
      <c r="O316" t="n">
        <v>0</v>
      </c>
      <c r="P316" t="n">
        <v>0</v>
      </c>
      <c r="Q316" t="n">
        <v>0</v>
      </c>
      <c r="R316" s="2" t="inlineStr"/>
    </row>
    <row r="317" ht="15" customHeight="1">
      <c r="A317" t="inlineStr">
        <is>
          <t>A 58250-2024</t>
        </is>
      </c>
      <c r="B317" s="1" t="n">
        <v>45632.55643518519</v>
      </c>
      <c r="C317" s="1" t="n">
        <v>46004</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1289-2024</t>
        </is>
      </c>
      <c r="B318" s="1" t="n">
        <v>45303.32234953704</v>
      </c>
      <c r="C318" s="1" t="n">
        <v>46004</v>
      </c>
      <c r="D318" t="inlineStr">
        <is>
          <t>SKÅNE LÄN</t>
        </is>
      </c>
      <c r="E318" t="inlineStr">
        <is>
          <t>HÄSSLEHOLM</t>
        </is>
      </c>
      <c r="G318" t="n">
        <v>4.6</v>
      </c>
      <c r="H318" t="n">
        <v>0</v>
      </c>
      <c r="I318" t="n">
        <v>0</v>
      </c>
      <c r="J318" t="n">
        <v>0</v>
      </c>
      <c r="K318" t="n">
        <v>0</v>
      </c>
      <c r="L318" t="n">
        <v>0</v>
      </c>
      <c r="M318" t="n">
        <v>0</v>
      </c>
      <c r="N318" t="n">
        <v>0</v>
      </c>
      <c r="O318" t="n">
        <v>0</v>
      </c>
      <c r="P318" t="n">
        <v>0</v>
      </c>
      <c r="Q318" t="n">
        <v>0</v>
      </c>
      <c r="R318" s="2" t="inlineStr"/>
    </row>
    <row r="319" ht="15" customHeight="1">
      <c r="A319" t="inlineStr">
        <is>
          <t>A 54671-2022</t>
        </is>
      </c>
      <c r="B319" s="1" t="n">
        <v>44883</v>
      </c>
      <c r="C319" s="1" t="n">
        <v>46004</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2479-2024</t>
        </is>
      </c>
      <c r="B320" s="1" t="n">
        <v>45313.40148148148</v>
      </c>
      <c r="C320" s="1" t="n">
        <v>46004</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54176-2022</t>
        </is>
      </c>
      <c r="B321" s="1" t="n">
        <v>44881</v>
      </c>
      <c r="C321" s="1" t="n">
        <v>46004</v>
      </c>
      <c r="D321" t="inlineStr">
        <is>
          <t>SKÅNE LÄN</t>
        </is>
      </c>
      <c r="E321" t="inlineStr">
        <is>
          <t>HÄSSLEHOLM</t>
        </is>
      </c>
      <c r="G321" t="n">
        <v>1.1</v>
      </c>
      <c r="H321" t="n">
        <v>0</v>
      </c>
      <c r="I321" t="n">
        <v>0</v>
      </c>
      <c r="J321" t="n">
        <v>0</v>
      </c>
      <c r="K321" t="n">
        <v>0</v>
      </c>
      <c r="L321" t="n">
        <v>0</v>
      </c>
      <c r="M321" t="n">
        <v>0</v>
      </c>
      <c r="N321" t="n">
        <v>0</v>
      </c>
      <c r="O321" t="n">
        <v>0</v>
      </c>
      <c r="P321" t="n">
        <v>0</v>
      </c>
      <c r="Q321" t="n">
        <v>0</v>
      </c>
      <c r="R321" s="2" t="inlineStr"/>
    </row>
    <row r="322" ht="15" customHeight="1">
      <c r="A322" t="inlineStr">
        <is>
          <t>A 40739-2024</t>
        </is>
      </c>
      <c r="B322" s="1" t="n">
        <v>45558</v>
      </c>
      <c r="C322" s="1" t="n">
        <v>46004</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7152-2025</t>
        </is>
      </c>
      <c r="B323" s="1" t="n">
        <v>45702.3837037037</v>
      </c>
      <c r="C323" s="1" t="n">
        <v>46004</v>
      </c>
      <c r="D323" t="inlineStr">
        <is>
          <t>SKÅNE LÄN</t>
        </is>
      </c>
      <c r="E323" t="inlineStr">
        <is>
          <t>HÄSSLEHOLM</t>
        </is>
      </c>
      <c r="G323" t="n">
        <v>1.3</v>
      </c>
      <c r="H323" t="n">
        <v>0</v>
      </c>
      <c r="I323" t="n">
        <v>0</v>
      </c>
      <c r="J323" t="n">
        <v>0</v>
      </c>
      <c r="K323" t="n">
        <v>0</v>
      </c>
      <c r="L323" t="n">
        <v>0</v>
      </c>
      <c r="M323" t="n">
        <v>0</v>
      </c>
      <c r="N323" t="n">
        <v>0</v>
      </c>
      <c r="O323" t="n">
        <v>0</v>
      </c>
      <c r="P323" t="n">
        <v>0</v>
      </c>
      <c r="Q323" t="n">
        <v>0</v>
      </c>
      <c r="R323" s="2" t="inlineStr"/>
    </row>
    <row r="324" ht="15" customHeight="1">
      <c r="A324" t="inlineStr">
        <is>
          <t>A 7160-2025</t>
        </is>
      </c>
      <c r="B324" s="1" t="n">
        <v>45702.3875462963</v>
      </c>
      <c r="C324" s="1" t="n">
        <v>46004</v>
      </c>
      <c r="D324" t="inlineStr">
        <is>
          <t>SKÅNE LÄN</t>
        </is>
      </c>
      <c r="E324" t="inlineStr">
        <is>
          <t>HÄSSLEHOLM</t>
        </is>
      </c>
      <c r="G324" t="n">
        <v>2.5</v>
      </c>
      <c r="H324" t="n">
        <v>0</v>
      </c>
      <c r="I324" t="n">
        <v>0</v>
      </c>
      <c r="J324" t="n">
        <v>0</v>
      </c>
      <c r="K324" t="n">
        <v>0</v>
      </c>
      <c r="L324" t="n">
        <v>0</v>
      </c>
      <c r="M324" t="n">
        <v>0</v>
      </c>
      <c r="N324" t="n">
        <v>0</v>
      </c>
      <c r="O324" t="n">
        <v>0</v>
      </c>
      <c r="P324" t="n">
        <v>0</v>
      </c>
      <c r="Q324" t="n">
        <v>0</v>
      </c>
      <c r="R324" s="2" t="inlineStr"/>
    </row>
    <row r="325" ht="15" customHeight="1">
      <c r="A325" t="inlineStr">
        <is>
          <t>A 26397-2023</t>
        </is>
      </c>
      <c r="B325" s="1" t="n">
        <v>45087</v>
      </c>
      <c r="C325" s="1" t="n">
        <v>46004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27291-2023</t>
        </is>
      </c>
      <c r="B326" s="1" t="n">
        <v>45096</v>
      </c>
      <c r="C326" s="1" t="n">
        <v>46004</v>
      </c>
      <c r="D326" t="inlineStr">
        <is>
          <t>SKÅNE LÄN</t>
        </is>
      </c>
      <c r="E326" t="inlineStr">
        <is>
          <t>HÄSSLEHOLM</t>
        </is>
      </c>
      <c r="G326" t="n">
        <v>3.5</v>
      </c>
      <c r="H326" t="n">
        <v>0</v>
      </c>
      <c r="I326" t="n">
        <v>0</v>
      </c>
      <c r="J326" t="n">
        <v>0</v>
      </c>
      <c r="K326" t="n">
        <v>0</v>
      </c>
      <c r="L326" t="n">
        <v>0</v>
      </c>
      <c r="M326" t="n">
        <v>0</v>
      </c>
      <c r="N326" t="n">
        <v>0</v>
      </c>
      <c r="O326" t="n">
        <v>0</v>
      </c>
      <c r="P326" t="n">
        <v>0</v>
      </c>
      <c r="Q326" t="n">
        <v>0</v>
      </c>
      <c r="R326" s="2" t="inlineStr"/>
    </row>
    <row r="327" ht="15" customHeight="1">
      <c r="A327" t="inlineStr">
        <is>
          <t>A 1119-2024</t>
        </is>
      </c>
      <c r="B327" s="1" t="n">
        <v>45302</v>
      </c>
      <c r="C327" s="1" t="n">
        <v>46004</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13932-2023</t>
        </is>
      </c>
      <c r="B328" s="1" t="n">
        <v>45008.43935185186</v>
      </c>
      <c r="C328" s="1" t="n">
        <v>46004</v>
      </c>
      <c r="D328" t="inlineStr">
        <is>
          <t>SKÅNE LÄN</t>
        </is>
      </c>
      <c r="E328" t="inlineStr">
        <is>
          <t>HÄSSLEHOLM</t>
        </is>
      </c>
      <c r="G328" t="n">
        <v>3.3</v>
      </c>
      <c r="H328" t="n">
        <v>0</v>
      </c>
      <c r="I328" t="n">
        <v>0</v>
      </c>
      <c r="J328" t="n">
        <v>0</v>
      </c>
      <c r="K328" t="n">
        <v>0</v>
      </c>
      <c r="L328" t="n">
        <v>0</v>
      </c>
      <c r="M328" t="n">
        <v>0</v>
      </c>
      <c r="N328" t="n">
        <v>0</v>
      </c>
      <c r="O328" t="n">
        <v>0</v>
      </c>
      <c r="P328" t="n">
        <v>0</v>
      </c>
      <c r="Q328" t="n">
        <v>0</v>
      </c>
      <c r="R328" s="2" t="inlineStr"/>
    </row>
    <row r="329" ht="15" customHeight="1">
      <c r="A329" t="inlineStr">
        <is>
          <t>A 58888-2024</t>
        </is>
      </c>
      <c r="B329" s="1" t="n">
        <v>45636.45962962963</v>
      </c>
      <c r="C329" s="1" t="n">
        <v>46004</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16334-2024</t>
        </is>
      </c>
      <c r="B330" s="1" t="n">
        <v>45407.54856481482</v>
      </c>
      <c r="C330" s="1" t="n">
        <v>46004</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35889-2023</t>
        </is>
      </c>
      <c r="B331" s="1" t="n">
        <v>45148</v>
      </c>
      <c r="C331" s="1" t="n">
        <v>46004</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35894-2023</t>
        </is>
      </c>
      <c r="B332" s="1" t="n">
        <v>45148</v>
      </c>
      <c r="C332" s="1" t="n">
        <v>46004</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3663-2024</t>
        </is>
      </c>
      <c r="B333" s="1" t="n">
        <v>45321.34775462963</v>
      </c>
      <c r="C333" s="1" t="n">
        <v>46004</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45299-2024</t>
        </is>
      </c>
      <c r="B334" s="1" t="n">
        <v>45576.40599537037</v>
      </c>
      <c r="C334" s="1" t="n">
        <v>46004</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25176-2024</t>
        </is>
      </c>
      <c r="B335" s="1" t="n">
        <v>45462.54582175926</v>
      </c>
      <c r="C335" s="1" t="n">
        <v>46004</v>
      </c>
      <c r="D335" t="inlineStr">
        <is>
          <t>SKÅNE LÄN</t>
        </is>
      </c>
      <c r="E335" t="inlineStr">
        <is>
          <t>HÄSSLEHOLM</t>
        </is>
      </c>
      <c r="G335" t="n">
        <v>3.8</v>
      </c>
      <c r="H335" t="n">
        <v>0</v>
      </c>
      <c r="I335" t="n">
        <v>0</v>
      </c>
      <c r="J335" t="n">
        <v>0</v>
      </c>
      <c r="K335" t="n">
        <v>0</v>
      </c>
      <c r="L335" t="n">
        <v>0</v>
      </c>
      <c r="M335" t="n">
        <v>0</v>
      </c>
      <c r="N335" t="n">
        <v>0</v>
      </c>
      <c r="O335" t="n">
        <v>0</v>
      </c>
      <c r="P335" t="n">
        <v>0</v>
      </c>
      <c r="Q335" t="n">
        <v>0</v>
      </c>
      <c r="R335" s="2" t="inlineStr"/>
    </row>
    <row r="336" ht="15" customHeight="1">
      <c r="A336" t="inlineStr">
        <is>
          <t>A 7771-2021</t>
        </is>
      </c>
      <c r="B336" s="1" t="n">
        <v>44242</v>
      </c>
      <c r="C336" s="1" t="n">
        <v>46004</v>
      </c>
      <c r="D336" t="inlineStr">
        <is>
          <t>SKÅNE LÄN</t>
        </is>
      </c>
      <c r="E336" t="inlineStr">
        <is>
          <t>HÄSSLEHOLM</t>
        </is>
      </c>
      <c r="G336" t="n">
        <v>4.2</v>
      </c>
      <c r="H336" t="n">
        <v>0</v>
      </c>
      <c r="I336" t="n">
        <v>0</v>
      </c>
      <c r="J336" t="n">
        <v>0</v>
      </c>
      <c r="K336" t="n">
        <v>0</v>
      </c>
      <c r="L336" t="n">
        <v>0</v>
      </c>
      <c r="M336" t="n">
        <v>0</v>
      </c>
      <c r="N336" t="n">
        <v>0</v>
      </c>
      <c r="O336" t="n">
        <v>0</v>
      </c>
      <c r="P336" t="n">
        <v>0</v>
      </c>
      <c r="Q336" t="n">
        <v>0</v>
      </c>
      <c r="R336" s="2" t="inlineStr"/>
    </row>
    <row r="337" ht="15" customHeight="1">
      <c r="A337" t="inlineStr">
        <is>
          <t>A 44741-2023</t>
        </is>
      </c>
      <c r="B337" s="1" t="n">
        <v>45190.38804398148</v>
      </c>
      <c r="C337" s="1" t="n">
        <v>46004</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7476-2025</t>
        </is>
      </c>
      <c r="B338" s="1" t="n">
        <v>45702</v>
      </c>
      <c r="C338" s="1" t="n">
        <v>46004</v>
      </c>
      <c r="D338" t="inlineStr">
        <is>
          <t>SKÅNE LÄN</t>
        </is>
      </c>
      <c r="E338" t="inlineStr">
        <is>
          <t>HÄSSLEHOLM</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7513-2025</t>
        </is>
      </c>
      <c r="B339" s="1" t="n">
        <v>45702</v>
      </c>
      <c r="C339" s="1" t="n">
        <v>46004</v>
      </c>
      <c r="D339" t="inlineStr">
        <is>
          <t>SKÅNE LÄN</t>
        </is>
      </c>
      <c r="E339" t="inlineStr">
        <is>
          <t>HÄSSLEHOLM</t>
        </is>
      </c>
      <c r="F339" t="inlineStr">
        <is>
          <t>Övriga Aktiebolag</t>
        </is>
      </c>
      <c r="G339" t="n">
        <v>2.4</v>
      </c>
      <c r="H339" t="n">
        <v>0</v>
      </c>
      <c r="I339" t="n">
        <v>0</v>
      </c>
      <c r="J339" t="n">
        <v>0</v>
      </c>
      <c r="K339" t="n">
        <v>0</v>
      </c>
      <c r="L339" t="n">
        <v>0</v>
      </c>
      <c r="M339" t="n">
        <v>0</v>
      </c>
      <c r="N339" t="n">
        <v>0</v>
      </c>
      <c r="O339" t="n">
        <v>0</v>
      </c>
      <c r="P339" t="n">
        <v>0</v>
      </c>
      <c r="Q339" t="n">
        <v>0</v>
      </c>
      <c r="R339" s="2" t="inlineStr"/>
    </row>
    <row r="340" ht="15" customHeight="1">
      <c r="A340" t="inlineStr">
        <is>
          <t>A 31161-2024</t>
        </is>
      </c>
      <c r="B340" s="1" t="n">
        <v>45503</v>
      </c>
      <c r="C340" s="1" t="n">
        <v>46004</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441-2022</t>
        </is>
      </c>
      <c r="B341" s="1" t="n">
        <v>44565.97125</v>
      </c>
      <c r="C341" s="1" t="n">
        <v>46004</v>
      </c>
      <c r="D341" t="inlineStr">
        <is>
          <t>SKÅNE LÄN</t>
        </is>
      </c>
      <c r="E341" t="inlineStr">
        <is>
          <t>HÄSSLEHOLM</t>
        </is>
      </c>
      <c r="G341" t="n">
        <v>2.1</v>
      </c>
      <c r="H341" t="n">
        <v>0</v>
      </c>
      <c r="I341" t="n">
        <v>0</v>
      </c>
      <c r="J341" t="n">
        <v>0</v>
      </c>
      <c r="K341" t="n">
        <v>0</v>
      </c>
      <c r="L341" t="n">
        <v>0</v>
      </c>
      <c r="M341" t="n">
        <v>0</v>
      </c>
      <c r="N341" t="n">
        <v>0</v>
      </c>
      <c r="O341" t="n">
        <v>0</v>
      </c>
      <c r="P341" t="n">
        <v>0</v>
      </c>
      <c r="Q341" t="n">
        <v>0</v>
      </c>
      <c r="R341" s="2" t="inlineStr"/>
    </row>
    <row r="342" ht="15" customHeight="1">
      <c r="A342" t="inlineStr">
        <is>
          <t>A 24865-2024</t>
        </is>
      </c>
      <c r="B342" s="1" t="n">
        <v>45461.48974537037</v>
      </c>
      <c r="C342" s="1" t="n">
        <v>46004</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22157-2024</t>
        </is>
      </c>
      <c r="B343" s="1" t="n">
        <v>45445.85290509259</v>
      </c>
      <c r="C343" s="1" t="n">
        <v>46004</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13316-2023</t>
        </is>
      </c>
      <c r="B344" s="1" t="n">
        <v>45005.39013888889</v>
      </c>
      <c r="C344" s="1" t="n">
        <v>46004</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13358-2023</t>
        </is>
      </c>
      <c r="B345" s="1" t="n">
        <v>45005</v>
      </c>
      <c r="C345" s="1" t="n">
        <v>46004</v>
      </c>
      <c r="D345" t="inlineStr">
        <is>
          <t>SKÅNE LÄN</t>
        </is>
      </c>
      <c r="E345" t="inlineStr">
        <is>
          <t>HÄSSLEHOLM</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58272-2024</t>
        </is>
      </c>
      <c r="B346" s="1" t="n">
        <v>45632.57025462963</v>
      </c>
      <c r="C346" s="1" t="n">
        <v>46004</v>
      </c>
      <c r="D346" t="inlineStr">
        <is>
          <t>SKÅNE LÄN</t>
        </is>
      </c>
      <c r="E346" t="inlineStr">
        <is>
          <t>HÄSSLEHOLM</t>
        </is>
      </c>
      <c r="G346" t="n">
        <v>2.3</v>
      </c>
      <c r="H346" t="n">
        <v>0</v>
      </c>
      <c r="I346" t="n">
        <v>0</v>
      </c>
      <c r="J346" t="n">
        <v>0</v>
      </c>
      <c r="K346" t="n">
        <v>0</v>
      </c>
      <c r="L346" t="n">
        <v>0</v>
      </c>
      <c r="M346" t="n">
        <v>0</v>
      </c>
      <c r="N346" t="n">
        <v>0</v>
      </c>
      <c r="O346" t="n">
        <v>0</v>
      </c>
      <c r="P346" t="n">
        <v>0</v>
      </c>
      <c r="Q346" t="n">
        <v>0</v>
      </c>
      <c r="R346" s="2" t="inlineStr"/>
    </row>
    <row r="347" ht="15" customHeight="1">
      <c r="A347" t="inlineStr">
        <is>
          <t>A 5887-2025</t>
        </is>
      </c>
      <c r="B347" s="1" t="n">
        <v>45695.37925925926</v>
      </c>
      <c r="C347" s="1" t="n">
        <v>46004</v>
      </c>
      <c r="D347" t="inlineStr">
        <is>
          <t>SKÅNE LÄN</t>
        </is>
      </c>
      <c r="E347" t="inlineStr">
        <is>
          <t>HÄSSLEHOLM</t>
        </is>
      </c>
      <c r="G347" t="n">
        <v>4.8</v>
      </c>
      <c r="H347" t="n">
        <v>0</v>
      </c>
      <c r="I347" t="n">
        <v>0</v>
      </c>
      <c r="J347" t="n">
        <v>0</v>
      </c>
      <c r="K347" t="n">
        <v>0</v>
      </c>
      <c r="L347" t="n">
        <v>0</v>
      </c>
      <c r="M347" t="n">
        <v>0</v>
      </c>
      <c r="N347" t="n">
        <v>0</v>
      </c>
      <c r="O347" t="n">
        <v>0</v>
      </c>
      <c r="P347" t="n">
        <v>0</v>
      </c>
      <c r="Q347" t="n">
        <v>0</v>
      </c>
      <c r="R347" s="2" t="inlineStr"/>
    </row>
    <row r="348" ht="15" customHeight="1">
      <c r="A348" t="inlineStr">
        <is>
          <t>A 18580-2023</t>
        </is>
      </c>
      <c r="B348" s="1" t="n">
        <v>45043.37037037037</v>
      </c>
      <c r="C348" s="1" t="n">
        <v>46004</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3245-2022</t>
        </is>
      </c>
      <c r="B349" s="1" t="n">
        <v>44583.39136574074</v>
      </c>
      <c r="C349" s="1" t="n">
        <v>46004</v>
      </c>
      <c r="D349" t="inlineStr">
        <is>
          <t>SKÅNE LÄN</t>
        </is>
      </c>
      <c r="E349" t="inlineStr">
        <is>
          <t>HÄSSLEHOLM</t>
        </is>
      </c>
      <c r="G349" t="n">
        <v>0.9</v>
      </c>
      <c r="H349" t="n">
        <v>0</v>
      </c>
      <c r="I349" t="n">
        <v>0</v>
      </c>
      <c r="J349" t="n">
        <v>0</v>
      </c>
      <c r="K349" t="n">
        <v>0</v>
      </c>
      <c r="L349" t="n">
        <v>0</v>
      </c>
      <c r="M349" t="n">
        <v>0</v>
      </c>
      <c r="N349" t="n">
        <v>0</v>
      </c>
      <c r="O349" t="n">
        <v>0</v>
      </c>
      <c r="P349" t="n">
        <v>0</v>
      </c>
      <c r="Q349" t="n">
        <v>0</v>
      </c>
      <c r="R349" s="2" t="inlineStr"/>
    </row>
    <row r="350" ht="15" customHeight="1">
      <c r="A350" t="inlineStr">
        <is>
          <t>A 9611-2025</t>
        </is>
      </c>
      <c r="B350" s="1" t="n">
        <v>45715</v>
      </c>
      <c r="C350" s="1" t="n">
        <v>46004</v>
      </c>
      <c r="D350" t="inlineStr">
        <is>
          <t>SKÅNE LÄN</t>
        </is>
      </c>
      <c r="E350" t="inlineStr">
        <is>
          <t>HÄSSLEHOLM</t>
        </is>
      </c>
      <c r="G350" t="n">
        <v>2.1</v>
      </c>
      <c r="H350" t="n">
        <v>0</v>
      </c>
      <c r="I350" t="n">
        <v>0</v>
      </c>
      <c r="J350" t="n">
        <v>0</v>
      </c>
      <c r="K350" t="n">
        <v>0</v>
      </c>
      <c r="L350" t="n">
        <v>0</v>
      </c>
      <c r="M350" t="n">
        <v>0</v>
      </c>
      <c r="N350" t="n">
        <v>0</v>
      </c>
      <c r="O350" t="n">
        <v>0</v>
      </c>
      <c r="P350" t="n">
        <v>0</v>
      </c>
      <c r="Q350" t="n">
        <v>0</v>
      </c>
      <c r="R350" s="2" t="inlineStr"/>
    </row>
    <row r="351" ht="15" customHeight="1">
      <c r="A351" t="inlineStr">
        <is>
          <t>A 24906-2022</t>
        </is>
      </c>
      <c r="B351" s="1" t="n">
        <v>44728</v>
      </c>
      <c r="C351" s="1" t="n">
        <v>46004</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9393-2025</t>
        </is>
      </c>
      <c r="B352" s="1" t="n">
        <v>45715.36230324074</v>
      </c>
      <c r="C352" s="1" t="n">
        <v>46004</v>
      </c>
      <c r="D352" t="inlineStr">
        <is>
          <t>SKÅNE LÄN</t>
        </is>
      </c>
      <c r="E352" t="inlineStr">
        <is>
          <t>HÄSSLEHOLM</t>
        </is>
      </c>
      <c r="G352" t="n">
        <v>1.4</v>
      </c>
      <c r="H352" t="n">
        <v>0</v>
      </c>
      <c r="I352" t="n">
        <v>0</v>
      </c>
      <c r="J352" t="n">
        <v>0</v>
      </c>
      <c r="K352" t="n">
        <v>0</v>
      </c>
      <c r="L352" t="n">
        <v>0</v>
      </c>
      <c r="M352" t="n">
        <v>0</v>
      </c>
      <c r="N352" t="n">
        <v>0</v>
      </c>
      <c r="O352" t="n">
        <v>0</v>
      </c>
      <c r="P352" t="n">
        <v>0</v>
      </c>
      <c r="Q352" t="n">
        <v>0</v>
      </c>
      <c r="R352" s="2" t="inlineStr"/>
    </row>
    <row r="353" ht="15" customHeight="1">
      <c r="A353" t="inlineStr">
        <is>
          <t>A 3890-2024</t>
        </is>
      </c>
      <c r="B353" s="1" t="n">
        <v>45322.45366898148</v>
      </c>
      <c r="C353" s="1" t="n">
        <v>46004</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15800-2025</t>
        </is>
      </c>
      <c r="B354" s="1" t="n">
        <v>45748.64831018518</v>
      </c>
      <c r="C354" s="1" t="n">
        <v>46004</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15897-2025</t>
        </is>
      </c>
      <c r="B355" s="1" t="n">
        <v>45749.41598379629</v>
      </c>
      <c r="C355" s="1" t="n">
        <v>46004</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54982-2024</t>
        </is>
      </c>
      <c r="B356" s="1" t="n">
        <v>45620.7580787037</v>
      </c>
      <c r="C356" s="1" t="n">
        <v>46004</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14157-2021</t>
        </is>
      </c>
      <c r="B357" s="1" t="n">
        <v>44278.43246527778</v>
      </c>
      <c r="C357" s="1" t="n">
        <v>46004</v>
      </c>
      <c r="D357" t="inlineStr">
        <is>
          <t>SKÅNE LÄN</t>
        </is>
      </c>
      <c r="E357" t="inlineStr">
        <is>
          <t>HÄSSLEHOLM</t>
        </is>
      </c>
      <c r="G357" t="n">
        <v>10.5</v>
      </c>
      <c r="H357" t="n">
        <v>0</v>
      </c>
      <c r="I357" t="n">
        <v>0</v>
      </c>
      <c r="J357" t="n">
        <v>0</v>
      </c>
      <c r="K357" t="n">
        <v>0</v>
      </c>
      <c r="L357" t="n">
        <v>0</v>
      </c>
      <c r="M357" t="n">
        <v>0</v>
      </c>
      <c r="N357" t="n">
        <v>0</v>
      </c>
      <c r="O357" t="n">
        <v>0</v>
      </c>
      <c r="P357" t="n">
        <v>0</v>
      </c>
      <c r="Q357" t="n">
        <v>0</v>
      </c>
      <c r="R357" s="2" t="inlineStr"/>
    </row>
    <row r="358" ht="15" customHeight="1">
      <c r="A358" t="inlineStr">
        <is>
          <t>A 61182-2024</t>
        </is>
      </c>
      <c r="B358" s="1" t="n">
        <v>45645</v>
      </c>
      <c r="C358" s="1" t="n">
        <v>46004</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38228-2021</t>
        </is>
      </c>
      <c r="B359" s="1" t="n">
        <v>44405</v>
      </c>
      <c r="C359" s="1" t="n">
        <v>46004</v>
      </c>
      <c r="D359" t="inlineStr">
        <is>
          <t>SKÅNE LÄN</t>
        </is>
      </c>
      <c r="E359" t="inlineStr">
        <is>
          <t>HÄSSLEHOLM</t>
        </is>
      </c>
      <c r="G359" t="n">
        <v>2.8</v>
      </c>
      <c r="H359" t="n">
        <v>0</v>
      </c>
      <c r="I359" t="n">
        <v>0</v>
      </c>
      <c r="J359" t="n">
        <v>0</v>
      </c>
      <c r="K359" t="n">
        <v>0</v>
      </c>
      <c r="L359" t="n">
        <v>0</v>
      </c>
      <c r="M359" t="n">
        <v>0</v>
      </c>
      <c r="N359" t="n">
        <v>0</v>
      </c>
      <c r="O359" t="n">
        <v>0</v>
      </c>
      <c r="P359" t="n">
        <v>0</v>
      </c>
      <c r="Q359" t="n">
        <v>0</v>
      </c>
      <c r="R359" s="2" t="inlineStr"/>
    </row>
    <row r="360" ht="15" customHeight="1">
      <c r="A360" t="inlineStr">
        <is>
          <t>A 13897-2024</t>
        </is>
      </c>
      <c r="B360" s="1" t="n">
        <v>45391</v>
      </c>
      <c r="C360" s="1" t="n">
        <v>46004</v>
      </c>
      <c r="D360" t="inlineStr">
        <is>
          <t>SKÅNE LÄN</t>
        </is>
      </c>
      <c r="E360" t="inlineStr">
        <is>
          <t>HÄSSLEHOLM</t>
        </is>
      </c>
      <c r="F360" t="inlineStr">
        <is>
          <t>Kommuner</t>
        </is>
      </c>
      <c r="G360" t="n">
        <v>4</v>
      </c>
      <c r="H360" t="n">
        <v>0</v>
      </c>
      <c r="I360" t="n">
        <v>0</v>
      </c>
      <c r="J360" t="n">
        <v>0</v>
      </c>
      <c r="K360" t="n">
        <v>0</v>
      </c>
      <c r="L360" t="n">
        <v>0</v>
      </c>
      <c r="M360" t="n">
        <v>0</v>
      </c>
      <c r="N360" t="n">
        <v>0</v>
      </c>
      <c r="O360" t="n">
        <v>0</v>
      </c>
      <c r="P360" t="n">
        <v>0</v>
      </c>
      <c r="Q360" t="n">
        <v>0</v>
      </c>
      <c r="R360" s="2" t="inlineStr"/>
    </row>
    <row r="361" ht="15" customHeight="1">
      <c r="A361" t="inlineStr">
        <is>
          <t>A 56355-2023</t>
        </is>
      </c>
      <c r="B361" s="1" t="n">
        <v>45243.3702662037</v>
      </c>
      <c r="C361" s="1" t="n">
        <v>46004</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54874-2022</t>
        </is>
      </c>
      <c r="B362" s="1" t="n">
        <v>44881</v>
      </c>
      <c r="C362" s="1" t="n">
        <v>46004</v>
      </c>
      <c r="D362" t="inlineStr">
        <is>
          <t>SKÅNE LÄN</t>
        </is>
      </c>
      <c r="E362" t="inlineStr">
        <is>
          <t>HÄSSLEHOLM</t>
        </is>
      </c>
      <c r="G362" t="n">
        <v>8.1</v>
      </c>
      <c r="H362" t="n">
        <v>0</v>
      </c>
      <c r="I362" t="n">
        <v>0</v>
      </c>
      <c r="J362" t="n">
        <v>0</v>
      </c>
      <c r="K362" t="n">
        <v>0</v>
      </c>
      <c r="L362" t="n">
        <v>0</v>
      </c>
      <c r="M362" t="n">
        <v>0</v>
      </c>
      <c r="N362" t="n">
        <v>0</v>
      </c>
      <c r="O362" t="n">
        <v>0</v>
      </c>
      <c r="P362" t="n">
        <v>0</v>
      </c>
      <c r="Q362" t="n">
        <v>0</v>
      </c>
      <c r="R362" s="2" t="inlineStr"/>
    </row>
    <row r="363" ht="15" customHeight="1">
      <c r="A363" t="inlineStr">
        <is>
          <t>A 3248-2022</t>
        </is>
      </c>
      <c r="B363" s="1" t="n">
        <v>44583</v>
      </c>
      <c r="C363" s="1" t="n">
        <v>46004</v>
      </c>
      <c r="D363" t="inlineStr">
        <is>
          <t>SKÅNE LÄN</t>
        </is>
      </c>
      <c r="E363" t="inlineStr">
        <is>
          <t>HÄSSLEHOLM</t>
        </is>
      </c>
      <c r="G363" t="n">
        <v>3</v>
      </c>
      <c r="H363" t="n">
        <v>0</v>
      </c>
      <c r="I363" t="n">
        <v>0</v>
      </c>
      <c r="J363" t="n">
        <v>0</v>
      </c>
      <c r="K363" t="n">
        <v>0</v>
      </c>
      <c r="L363" t="n">
        <v>0</v>
      </c>
      <c r="M363" t="n">
        <v>0</v>
      </c>
      <c r="N363" t="n">
        <v>0</v>
      </c>
      <c r="O363" t="n">
        <v>0</v>
      </c>
      <c r="P363" t="n">
        <v>0</v>
      </c>
      <c r="Q363" t="n">
        <v>0</v>
      </c>
      <c r="R363" s="2" t="inlineStr"/>
    </row>
    <row r="364" ht="15" customHeight="1">
      <c r="A364" t="inlineStr">
        <is>
          <t>A 59246-2024</t>
        </is>
      </c>
      <c r="B364" s="1" t="n">
        <v>45636</v>
      </c>
      <c r="C364" s="1" t="n">
        <v>46004</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20800-2023</t>
        </is>
      </c>
      <c r="B365" s="1" t="n">
        <v>45058.61640046296</v>
      </c>
      <c r="C365" s="1" t="n">
        <v>46004</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25538-2024</t>
        </is>
      </c>
      <c r="B366" s="1" t="n">
        <v>45463</v>
      </c>
      <c r="C366" s="1" t="n">
        <v>46004</v>
      </c>
      <c r="D366" t="inlineStr">
        <is>
          <t>SKÅNE LÄN</t>
        </is>
      </c>
      <c r="E366" t="inlineStr">
        <is>
          <t>HÄSSLEHOLM</t>
        </is>
      </c>
      <c r="G366" t="n">
        <v>1.6</v>
      </c>
      <c r="H366" t="n">
        <v>0</v>
      </c>
      <c r="I366" t="n">
        <v>0</v>
      </c>
      <c r="J366" t="n">
        <v>0</v>
      </c>
      <c r="K366" t="n">
        <v>0</v>
      </c>
      <c r="L366" t="n">
        <v>0</v>
      </c>
      <c r="M366" t="n">
        <v>0</v>
      </c>
      <c r="N366" t="n">
        <v>0</v>
      </c>
      <c r="O366" t="n">
        <v>0</v>
      </c>
      <c r="P366" t="n">
        <v>0</v>
      </c>
      <c r="Q366" t="n">
        <v>0</v>
      </c>
      <c r="R366" s="2" t="inlineStr"/>
    </row>
    <row r="367" ht="15" customHeight="1">
      <c r="A367" t="inlineStr">
        <is>
          <t>A 11019-2025</t>
        </is>
      </c>
      <c r="B367" s="1" t="n">
        <v>45723</v>
      </c>
      <c r="C367" s="1" t="n">
        <v>46004</v>
      </c>
      <c r="D367" t="inlineStr">
        <is>
          <t>SKÅNE LÄN</t>
        </is>
      </c>
      <c r="E367" t="inlineStr">
        <is>
          <t>HÄSSLEHOLM</t>
        </is>
      </c>
      <c r="G367" t="n">
        <v>3.2</v>
      </c>
      <c r="H367" t="n">
        <v>0</v>
      </c>
      <c r="I367" t="n">
        <v>0</v>
      </c>
      <c r="J367" t="n">
        <v>0</v>
      </c>
      <c r="K367" t="n">
        <v>0</v>
      </c>
      <c r="L367" t="n">
        <v>0</v>
      </c>
      <c r="M367" t="n">
        <v>0</v>
      </c>
      <c r="N367" t="n">
        <v>0</v>
      </c>
      <c r="O367" t="n">
        <v>0</v>
      </c>
      <c r="P367" t="n">
        <v>0</v>
      </c>
      <c r="Q367" t="n">
        <v>0</v>
      </c>
      <c r="R367" s="2" t="inlineStr"/>
    </row>
    <row r="368" ht="15" customHeight="1">
      <c r="A368" t="inlineStr">
        <is>
          <t>A 17152-2025</t>
        </is>
      </c>
      <c r="B368" s="1" t="n">
        <v>45756.33318287037</v>
      </c>
      <c r="C368" s="1" t="n">
        <v>46004</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14255-2024</t>
        </is>
      </c>
      <c r="B369" s="1" t="n">
        <v>45393</v>
      </c>
      <c r="C369" s="1" t="n">
        <v>46004</v>
      </c>
      <c r="D369" t="inlineStr">
        <is>
          <t>SKÅNE LÄN</t>
        </is>
      </c>
      <c r="E369" t="inlineStr">
        <is>
          <t>HÄSSLEHOLM</t>
        </is>
      </c>
      <c r="G369" t="n">
        <v>11.9</v>
      </c>
      <c r="H369" t="n">
        <v>0</v>
      </c>
      <c r="I369" t="n">
        <v>0</v>
      </c>
      <c r="J369" t="n">
        <v>0</v>
      </c>
      <c r="K369" t="n">
        <v>0</v>
      </c>
      <c r="L369" t="n">
        <v>0</v>
      </c>
      <c r="M369" t="n">
        <v>0</v>
      </c>
      <c r="N369" t="n">
        <v>0</v>
      </c>
      <c r="O369" t="n">
        <v>0</v>
      </c>
      <c r="P369" t="n">
        <v>0</v>
      </c>
      <c r="Q369" t="n">
        <v>0</v>
      </c>
      <c r="R369" s="2" t="inlineStr"/>
    </row>
    <row r="370" ht="15" customHeight="1">
      <c r="A370" t="inlineStr">
        <is>
          <t>A 34301-2024</t>
        </is>
      </c>
      <c r="B370" s="1" t="n">
        <v>45524</v>
      </c>
      <c r="C370" s="1" t="n">
        <v>46004</v>
      </c>
      <c r="D370" t="inlineStr">
        <is>
          <t>SKÅNE LÄN</t>
        </is>
      </c>
      <c r="E370" t="inlineStr">
        <is>
          <t>HÄSSLEHOLM</t>
        </is>
      </c>
      <c r="G370" t="n">
        <v>0.4</v>
      </c>
      <c r="H370" t="n">
        <v>0</v>
      </c>
      <c r="I370" t="n">
        <v>0</v>
      </c>
      <c r="J370" t="n">
        <v>0</v>
      </c>
      <c r="K370" t="n">
        <v>0</v>
      </c>
      <c r="L370" t="n">
        <v>0</v>
      </c>
      <c r="M370" t="n">
        <v>0</v>
      </c>
      <c r="N370" t="n">
        <v>0</v>
      </c>
      <c r="O370" t="n">
        <v>0</v>
      </c>
      <c r="P370" t="n">
        <v>0</v>
      </c>
      <c r="Q370" t="n">
        <v>0</v>
      </c>
      <c r="R370" s="2" t="inlineStr"/>
    </row>
    <row r="371" ht="15" customHeight="1">
      <c r="A371" t="inlineStr">
        <is>
          <t>A 27242-2022</t>
        </is>
      </c>
      <c r="B371" s="1" t="n">
        <v>44741</v>
      </c>
      <c r="C371" s="1" t="n">
        <v>46004</v>
      </c>
      <c r="D371" t="inlineStr">
        <is>
          <t>SKÅNE LÄN</t>
        </is>
      </c>
      <c r="E371" t="inlineStr">
        <is>
          <t>HÄSSLEHOLM</t>
        </is>
      </c>
      <c r="G371" t="n">
        <v>1.9</v>
      </c>
      <c r="H371" t="n">
        <v>0</v>
      </c>
      <c r="I371" t="n">
        <v>0</v>
      </c>
      <c r="J371" t="n">
        <v>0</v>
      </c>
      <c r="K371" t="n">
        <v>0</v>
      </c>
      <c r="L371" t="n">
        <v>0</v>
      </c>
      <c r="M371" t="n">
        <v>0</v>
      </c>
      <c r="N371" t="n">
        <v>0</v>
      </c>
      <c r="O371" t="n">
        <v>0</v>
      </c>
      <c r="P371" t="n">
        <v>0</v>
      </c>
      <c r="Q371" t="n">
        <v>0</v>
      </c>
      <c r="R371" s="2" t="inlineStr"/>
    </row>
    <row r="372" ht="15" customHeight="1">
      <c r="A372" t="inlineStr">
        <is>
          <t>A 11681-2023</t>
        </is>
      </c>
      <c r="B372" s="1" t="n">
        <v>44992</v>
      </c>
      <c r="C372" s="1" t="n">
        <v>46004</v>
      </c>
      <c r="D372" t="inlineStr">
        <is>
          <t>SKÅNE LÄN</t>
        </is>
      </c>
      <c r="E372" t="inlineStr">
        <is>
          <t>HÄSSLEHOLM</t>
        </is>
      </c>
      <c r="F372" t="inlineStr">
        <is>
          <t>Övriga Aktiebolag</t>
        </is>
      </c>
      <c r="G372" t="n">
        <v>1.6</v>
      </c>
      <c r="H372" t="n">
        <v>0</v>
      </c>
      <c r="I372" t="n">
        <v>0</v>
      </c>
      <c r="J372" t="n">
        <v>0</v>
      </c>
      <c r="K372" t="n">
        <v>0</v>
      </c>
      <c r="L372" t="n">
        <v>0</v>
      </c>
      <c r="M372" t="n">
        <v>0</v>
      </c>
      <c r="N372" t="n">
        <v>0</v>
      </c>
      <c r="O372" t="n">
        <v>0</v>
      </c>
      <c r="P372" t="n">
        <v>0</v>
      </c>
      <c r="Q372" t="n">
        <v>0</v>
      </c>
      <c r="R372" s="2" t="inlineStr"/>
    </row>
    <row r="373" ht="15" customHeight="1">
      <c r="A373" t="inlineStr">
        <is>
          <t>A 33927-2021</t>
        </is>
      </c>
      <c r="B373" s="1" t="n">
        <v>44378</v>
      </c>
      <c r="C373" s="1" t="n">
        <v>46004</v>
      </c>
      <c r="D373" t="inlineStr">
        <is>
          <t>SKÅNE LÄN</t>
        </is>
      </c>
      <c r="E373" t="inlineStr">
        <is>
          <t>HÄSSLEHOLM</t>
        </is>
      </c>
      <c r="G373" t="n">
        <v>16.7</v>
      </c>
      <c r="H373" t="n">
        <v>0</v>
      </c>
      <c r="I373" t="n">
        <v>0</v>
      </c>
      <c r="J373" t="n">
        <v>0</v>
      </c>
      <c r="K373" t="n">
        <v>0</v>
      </c>
      <c r="L373" t="n">
        <v>0</v>
      </c>
      <c r="M373" t="n">
        <v>0</v>
      </c>
      <c r="N373" t="n">
        <v>0</v>
      </c>
      <c r="O373" t="n">
        <v>0</v>
      </c>
      <c r="P373" t="n">
        <v>0</v>
      </c>
      <c r="Q373" t="n">
        <v>0</v>
      </c>
      <c r="R373" s="2" t="inlineStr"/>
    </row>
    <row r="374" ht="15" customHeight="1">
      <c r="A374" t="inlineStr">
        <is>
          <t>A 7305-2025</t>
        </is>
      </c>
      <c r="B374" s="1" t="n">
        <v>45702</v>
      </c>
      <c r="C374" s="1" t="n">
        <v>46004</v>
      </c>
      <c r="D374" t="inlineStr">
        <is>
          <t>SKÅNE LÄN</t>
        </is>
      </c>
      <c r="E374" t="inlineStr">
        <is>
          <t>HÄSSLEHOLM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36733-2023</t>
        </is>
      </c>
      <c r="B375" s="1" t="n">
        <v>45153.69989583334</v>
      </c>
      <c r="C375" s="1" t="n">
        <v>46004</v>
      </c>
      <c r="D375" t="inlineStr">
        <is>
          <t>SKÅNE LÄN</t>
        </is>
      </c>
      <c r="E375" t="inlineStr">
        <is>
          <t>HÄSSLEHOLM</t>
        </is>
      </c>
      <c r="G375" t="n">
        <v>4.8</v>
      </c>
      <c r="H375" t="n">
        <v>0</v>
      </c>
      <c r="I375" t="n">
        <v>0</v>
      </c>
      <c r="J375" t="n">
        <v>0</v>
      </c>
      <c r="K375" t="n">
        <v>0</v>
      </c>
      <c r="L375" t="n">
        <v>0</v>
      </c>
      <c r="M375" t="n">
        <v>0</v>
      </c>
      <c r="N375" t="n">
        <v>0</v>
      </c>
      <c r="O375" t="n">
        <v>0</v>
      </c>
      <c r="P375" t="n">
        <v>0</v>
      </c>
      <c r="Q375" t="n">
        <v>0</v>
      </c>
      <c r="R375" s="2" t="inlineStr"/>
    </row>
    <row r="376" ht="15" customHeight="1">
      <c r="A376" t="inlineStr">
        <is>
          <t>A 5116-2023</t>
        </is>
      </c>
      <c r="B376" s="1" t="n">
        <v>44958.67546296296</v>
      </c>
      <c r="C376" s="1" t="n">
        <v>46004</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60509-2023</t>
        </is>
      </c>
      <c r="B377" s="1" t="n">
        <v>45259</v>
      </c>
      <c r="C377" s="1" t="n">
        <v>46004</v>
      </c>
      <c r="D377" t="inlineStr">
        <is>
          <t>SKÅNE LÄN</t>
        </is>
      </c>
      <c r="E377" t="inlineStr">
        <is>
          <t>HÄSSLEHOLM</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42364-2023</t>
        </is>
      </c>
      <c r="B378" s="1" t="n">
        <v>45180.54754629629</v>
      </c>
      <c r="C378" s="1" t="n">
        <v>46004</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54408-2024</t>
        </is>
      </c>
      <c r="B379" s="1" t="n">
        <v>45617.47263888889</v>
      </c>
      <c r="C379" s="1" t="n">
        <v>46004</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61158-2022</t>
        </is>
      </c>
      <c r="B380" s="1" t="n">
        <v>44915.47112268519</v>
      </c>
      <c r="C380" s="1" t="n">
        <v>46004</v>
      </c>
      <c r="D380" t="inlineStr">
        <is>
          <t>SKÅNE LÄN</t>
        </is>
      </c>
      <c r="E380" t="inlineStr">
        <is>
          <t>HÄSSLEHOLM</t>
        </is>
      </c>
      <c r="G380" t="n">
        <v>8.4</v>
      </c>
      <c r="H380" t="n">
        <v>0</v>
      </c>
      <c r="I380" t="n">
        <v>0</v>
      </c>
      <c r="J380" t="n">
        <v>0</v>
      </c>
      <c r="K380" t="n">
        <v>0</v>
      </c>
      <c r="L380" t="n">
        <v>0</v>
      </c>
      <c r="M380" t="n">
        <v>0</v>
      </c>
      <c r="N380" t="n">
        <v>0</v>
      </c>
      <c r="O380" t="n">
        <v>0</v>
      </c>
      <c r="P380" t="n">
        <v>0</v>
      </c>
      <c r="Q380" t="n">
        <v>0</v>
      </c>
      <c r="R380" s="2" t="inlineStr"/>
    </row>
    <row r="381" ht="15" customHeight="1">
      <c r="A381" t="inlineStr">
        <is>
          <t>A 1562-2023</t>
        </is>
      </c>
      <c r="B381" s="1" t="n">
        <v>44937.60450231482</v>
      </c>
      <c r="C381" s="1" t="n">
        <v>46004</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61186-2022</t>
        </is>
      </c>
      <c r="B382" s="1" t="n">
        <v>44915.50745370371</v>
      </c>
      <c r="C382" s="1" t="n">
        <v>46004</v>
      </c>
      <c r="D382" t="inlineStr">
        <is>
          <t>SKÅNE LÄN</t>
        </is>
      </c>
      <c r="E382" t="inlineStr">
        <is>
          <t>HÄSSLEHOLM</t>
        </is>
      </c>
      <c r="G382" t="n">
        <v>2.9</v>
      </c>
      <c r="H382" t="n">
        <v>0</v>
      </c>
      <c r="I382" t="n">
        <v>0</v>
      </c>
      <c r="J382" t="n">
        <v>0</v>
      </c>
      <c r="K382" t="n">
        <v>0</v>
      </c>
      <c r="L382" t="n">
        <v>0</v>
      </c>
      <c r="M382" t="n">
        <v>0</v>
      </c>
      <c r="N382" t="n">
        <v>0</v>
      </c>
      <c r="O382" t="n">
        <v>0</v>
      </c>
      <c r="P382" t="n">
        <v>0</v>
      </c>
      <c r="Q382" t="n">
        <v>0</v>
      </c>
      <c r="R382" s="2" t="inlineStr"/>
    </row>
    <row r="383" ht="15" customHeight="1">
      <c r="A383" t="inlineStr">
        <is>
          <t>A 45220-2023</t>
        </is>
      </c>
      <c r="B383" s="1" t="n">
        <v>45191</v>
      </c>
      <c r="C383" s="1" t="n">
        <v>46004</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32967-2023</t>
        </is>
      </c>
      <c r="B384" s="1" t="n">
        <v>45125</v>
      </c>
      <c r="C384" s="1" t="n">
        <v>46004</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32968-2023</t>
        </is>
      </c>
      <c r="B385" s="1" t="n">
        <v>45125</v>
      </c>
      <c r="C385" s="1" t="n">
        <v>46004</v>
      </c>
      <c r="D385" t="inlineStr">
        <is>
          <t>SKÅNE LÄN</t>
        </is>
      </c>
      <c r="E385" t="inlineStr">
        <is>
          <t>HÄSSLEHOLM</t>
        </is>
      </c>
      <c r="G385" t="n">
        <v>1.7</v>
      </c>
      <c r="H385" t="n">
        <v>0</v>
      </c>
      <c r="I385" t="n">
        <v>0</v>
      </c>
      <c r="J385" t="n">
        <v>0</v>
      </c>
      <c r="K385" t="n">
        <v>0</v>
      </c>
      <c r="L385" t="n">
        <v>0</v>
      </c>
      <c r="M385" t="n">
        <v>0</v>
      </c>
      <c r="N385" t="n">
        <v>0</v>
      </c>
      <c r="O385" t="n">
        <v>0</v>
      </c>
      <c r="P385" t="n">
        <v>0</v>
      </c>
      <c r="Q385" t="n">
        <v>0</v>
      </c>
      <c r="R385" s="2" t="inlineStr"/>
    </row>
    <row r="386" ht="15" customHeight="1">
      <c r="A386" t="inlineStr">
        <is>
          <t>A 10277-2023</t>
        </is>
      </c>
      <c r="B386" s="1" t="n">
        <v>44986</v>
      </c>
      <c r="C386" s="1" t="n">
        <v>46004</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10290-2023</t>
        </is>
      </c>
      <c r="B387" s="1" t="n">
        <v>44986</v>
      </c>
      <c r="C387" s="1" t="n">
        <v>46004</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5780-2024</t>
        </is>
      </c>
      <c r="B388" s="1" t="n">
        <v>45335.41983796296</v>
      </c>
      <c r="C388" s="1" t="n">
        <v>46004</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62055-2023</t>
        </is>
      </c>
      <c r="B389" s="1" t="n">
        <v>45266.70287037037</v>
      </c>
      <c r="C389" s="1" t="n">
        <v>46004</v>
      </c>
      <c r="D389" t="inlineStr">
        <is>
          <t>SKÅNE LÄN</t>
        </is>
      </c>
      <c r="E389" t="inlineStr">
        <is>
          <t>HÄSSLEHOLM</t>
        </is>
      </c>
      <c r="G389" t="n">
        <v>5.2</v>
      </c>
      <c r="H389" t="n">
        <v>0</v>
      </c>
      <c r="I389" t="n">
        <v>0</v>
      </c>
      <c r="J389" t="n">
        <v>0</v>
      </c>
      <c r="K389" t="n">
        <v>0</v>
      </c>
      <c r="L389" t="n">
        <v>0</v>
      </c>
      <c r="M389" t="n">
        <v>0</v>
      </c>
      <c r="N389" t="n">
        <v>0</v>
      </c>
      <c r="O389" t="n">
        <v>0</v>
      </c>
      <c r="P389" t="n">
        <v>0</v>
      </c>
      <c r="Q389" t="n">
        <v>0</v>
      </c>
      <c r="R389" s="2" t="inlineStr"/>
    </row>
    <row r="390" ht="15" customHeight="1">
      <c r="A390" t="inlineStr">
        <is>
          <t>A 12338-2024</t>
        </is>
      </c>
      <c r="B390" s="1" t="n">
        <v>45378.72869212963</v>
      </c>
      <c r="C390" s="1" t="n">
        <v>46004</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35237-2023</t>
        </is>
      </c>
      <c r="B391" s="1" t="n">
        <v>45145.74532407407</v>
      </c>
      <c r="C391" s="1" t="n">
        <v>46004</v>
      </c>
      <c r="D391" t="inlineStr">
        <is>
          <t>SKÅNE LÄN</t>
        </is>
      </c>
      <c r="E391" t="inlineStr">
        <is>
          <t>HÄSSLEHOLM</t>
        </is>
      </c>
      <c r="G391" t="n">
        <v>1.3</v>
      </c>
      <c r="H391" t="n">
        <v>0</v>
      </c>
      <c r="I391" t="n">
        <v>0</v>
      </c>
      <c r="J391" t="n">
        <v>0</v>
      </c>
      <c r="K391" t="n">
        <v>0</v>
      </c>
      <c r="L391" t="n">
        <v>0</v>
      </c>
      <c r="M391" t="n">
        <v>0</v>
      </c>
      <c r="N391" t="n">
        <v>0</v>
      </c>
      <c r="O391" t="n">
        <v>0</v>
      </c>
      <c r="P391" t="n">
        <v>0</v>
      </c>
      <c r="Q391" t="n">
        <v>0</v>
      </c>
      <c r="R391" s="2" t="inlineStr"/>
    </row>
    <row r="392" ht="15" customHeight="1">
      <c r="A392" t="inlineStr">
        <is>
          <t>A 33465-2024</t>
        </is>
      </c>
      <c r="B392" s="1" t="n">
        <v>45519.59619212963</v>
      </c>
      <c r="C392" s="1" t="n">
        <v>46004</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15055-2023</t>
        </is>
      </c>
      <c r="B393" s="1" t="n">
        <v>45015</v>
      </c>
      <c r="C393" s="1" t="n">
        <v>46004</v>
      </c>
      <c r="D393" t="inlineStr">
        <is>
          <t>SKÅNE LÄN</t>
        </is>
      </c>
      <c r="E393" t="inlineStr">
        <is>
          <t>HÄSSLEHOLM</t>
        </is>
      </c>
      <c r="G393" t="n">
        <v>1.9</v>
      </c>
      <c r="H393" t="n">
        <v>0</v>
      </c>
      <c r="I393" t="n">
        <v>0</v>
      </c>
      <c r="J393" t="n">
        <v>0</v>
      </c>
      <c r="K393" t="n">
        <v>0</v>
      </c>
      <c r="L393" t="n">
        <v>0</v>
      </c>
      <c r="M393" t="n">
        <v>0</v>
      </c>
      <c r="N393" t="n">
        <v>0</v>
      </c>
      <c r="O393" t="n">
        <v>0</v>
      </c>
      <c r="P393" t="n">
        <v>0</v>
      </c>
      <c r="Q393" t="n">
        <v>0</v>
      </c>
      <c r="R393" s="2" t="inlineStr"/>
    </row>
    <row r="394" ht="15" customHeight="1">
      <c r="A394" t="inlineStr">
        <is>
          <t>A 26642-2023</t>
        </is>
      </c>
      <c r="B394" s="1" t="n">
        <v>45092.8975</v>
      </c>
      <c r="C394" s="1" t="n">
        <v>46004</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32008-2024</t>
        </is>
      </c>
      <c r="B395" s="1" t="n">
        <v>45510</v>
      </c>
      <c r="C395" s="1" t="n">
        <v>46004</v>
      </c>
      <c r="D395" t="inlineStr">
        <is>
          <t>SKÅNE LÄN</t>
        </is>
      </c>
      <c r="E395" t="inlineStr">
        <is>
          <t>HÄSSLEHOLM</t>
        </is>
      </c>
      <c r="G395" t="n">
        <v>5.1</v>
      </c>
      <c r="H395" t="n">
        <v>0</v>
      </c>
      <c r="I395" t="n">
        <v>0</v>
      </c>
      <c r="J395" t="n">
        <v>0</v>
      </c>
      <c r="K395" t="n">
        <v>0</v>
      </c>
      <c r="L395" t="n">
        <v>0</v>
      </c>
      <c r="M395" t="n">
        <v>0</v>
      </c>
      <c r="N395" t="n">
        <v>0</v>
      </c>
      <c r="O395" t="n">
        <v>0</v>
      </c>
      <c r="P395" t="n">
        <v>0</v>
      </c>
      <c r="Q395" t="n">
        <v>0</v>
      </c>
      <c r="R395" s="2" t="inlineStr"/>
    </row>
    <row r="396" ht="15" customHeight="1">
      <c r="A396" t="inlineStr">
        <is>
          <t>A 34187-2023</t>
        </is>
      </c>
      <c r="B396" s="1" t="n">
        <v>45138</v>
      </c>
      <c r="C396" s="1" t="n">
        <v>46004</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7481-2023</t>
        </is>
      </c>
      <c r="B397" s="1" t="n">
        <v>44971</v>
      </c>
      <c r="C397" s="1" t="n">
        <v>46004</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66321-2021</t>
        </is>
      </c>
      <c r="B398" s="1" t="n">
        <v>44518</v>
      </c>
      <c r="C398" s="1" t="n">
        <v>46004</v>
      </c>
      <c r="D398" t="inlineStr">
        <is>
          <t>SKÅNE LÄN</t>
        </is>
      </c>
      <c r="E398" t="inlineStr">
        <is>
          <t>HÄSSLEHOLM</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16668-2025</t>
        </is>
      </c>
      <c r="B399" s="1" t="n">
        <v>45754.43009259259</v>
      </c>
      <c r="C399" s="1" t="n">
        <v>46004</v>
      </c>
      <c r="D399" t="inlineStr">
        <is>
          <t>SKÅNE LÄN</t>
        </is>
      </c>
      <c r="E399" t="inlineStr">
        <is>
          <t>HÄSSLEHOLM</t>
        </is>
      </c>
      <c r="G399" t="n">
        <v>4</v>
      </c>
      <c r="H399" t="n">
        <v>0</v>
      </c>
      <c r="I399" t="n">
        <v>0</v>
      </c>
      <c r="J399" t="n">
        <v>0</v>
      </c>
      <c r="K399" t="n">
        <v>0</v>
      </c>
      <c r="L399" t="n">
        <v>0</v>
      </c>
      <c r="M399" t="n">
        <v>0</v>
      </c>
      <c r="N399" t="n">
        <v>0</v>
      </c>
      <c r="O399" t="n">
        <v>0</v>
      </c>
      <c r="P399" t="n">
        <v>0</v>
      </c>
      <c r="Q399" t="n">
        <v>0</v>
      </c>
      <c r="R399" s="2" t="inlineStr"/>
    </row>
    <row r="400" ht="15" customHeight="1">
      <c r="A400" t="inlineStr">
        <is>
          <t>A 23857-2024</t>
        </is>
      </c>
      <c r="B400" s="1" t="n">
        <v>45455</v>
      </c>
      <c r="C400" s="1" t="n">
        <v>46004</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31268-2024</t>
        </is>
      </c>
      <c r="B401" s="1" t="n">
        <v>45504</v>
      </c>
      <c r="C401" s="1" t="n">
        <v>46004</v>
      </c>
      <c r="D401" t="inlineStr">
        <is>
          <t>SKÅNE LÄN</t>
        </is>
      </c>
      <c r="E401" t="inlineStr">
        <is>
          <t>HÄSSLEHOLM</t>
        </is>
      </c>
      <c r="G401" t="n">
        <v>1.5</v>
      </c>
      <c r="H401" t="n">
        <v>0</v>
      </c>
      <c r="I401" t="n">
        <v>0</v>
      </c>
      <c r="J401" t="n">
        <v>0</v>
      </c>
      <c r="K401" t="n">
        <v>0</v>
      </c>
      <c r="L401" t="n">
        <v>0</v>
      </c>
      <c r="M401" t="n">
        <v>0</v>
      </c>
      <c r="N401" t="n">
        <v>0</v>
      </c>
      <c r="O401" t="n">
        <v>0</v>
      </c>
      <c r="P401" t="n">
        <v>0</v>
      </c>
      <c r="Q401" t="n">
        <v>0</v>
      </c>
      <c r="R401" s="2" t="inlineStr"/>
    </row>
    <row r="402" ht="15" customHeight="1">
      <c r="A402" t="inlineStr">
        <is>
          <t>A 57967-2023</t>
        </is>
      </c>
      <c r="B402" s="1" t="n">
        <v>45247.57984953704</v>
      </c>
      <c r="C402" s="1" t="n">
        <v>46004</v>
      </c>
      <c r="D402" t="inlineStr">
        <is>
          <t>SKÅNE LÄN</t>
        </is>
      </c>
      <c r="E402" t="inlineStr">
        <is>
          <t>HÄSSLEHOLM</t>
        </is>
      </c>
      <c r="G402" t="n">
        <v>8.6</v>
      </c>
      <c r="H402" t="n">
        <v>0</v>
      </c>
      <c r="I402" t="n">
        <v>0</v>
      </c>
      <c r="J402" t="n">
        <v>0</v>
      </c>
      <c r="K402" t="n">
        <v>0</v>
      </c>
      <c r="L402" t="n">
        <v>0</v>
      </c>
      <c r="M402" t="n">
        <v>0</v>
      </c>
      <c r="N402" t="n">
        <v>0</v>
      </c>
      <c r="O402" t="n">
        <v>0</v>
      </c>
      <c r="P402" t="n">
        <v>0</v>
      </c>
      <c r="Q402" t="n">
        <v>0</v>
      </c>
      <c r="R402" s="2" t="inlineStr"/>
    </row>
    <row r="403" ht="15" customHeight="1">
      <c r="A403" t="inlineStr">
        <is>
          <t>A 31255-2024</t>
        </is>
      </c>
      <c r="B403" s="1" t="n">
        <v>45503.69114583333</v>
      </c>
      <c r="C403" s="1" t="n">
        <v>46004</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62041-2022</t>
        </is>
      </c>
      <c r="B404" s="1" t="n">
        <v>44918.55743055556</v>
      </c>
      <c r="C404" s="1" t="n">
        <v>46004</v>
      </c>
      <c r="D404" t="inlineStr">
        <is>
          <t>SKÅNE LÄN</t>
        </is>
      </c>
      <c r="E404" t="inlineStr">
        <is>
          <t>HÄSSLEHOLM</t>
        </is>
      </c>
      <c r="G404" t="n">
        <v>2.8</v>
      </c>
      <c r="H404" t="n">
        <v>0</v>
      </c>
      <c r="I404" t="n">
        <v>0</v>
      </c>
      <c r="J404" t="n">
        <v>0</v>
      </c>
      <c r="K404" t="n">
        <v>0</v>
      </c>
      <c r="L404" t="n">
        <v>0</v>
      </c>
      <c r="M404" t="n">
        <v>0</v>
      </c>
      <c r="N404" t="n">
        <v>0</v>
      </c>
      <c r="O404" t="n">
        <v>0</v>
      </c>
      <c r="P404" t="n">
        <v>0</v>
      </c>
      <c r="Q404" t="n">
        <v>0</v>
      </c>
      <c r="R404" s="2" t="inlineStr"/>
    </row>
    <row r="405" ht="15" customHeight="1">
      <c r="A405" t="inlineStr">
        <is>
          <t>A 59728-2022</t>
        </is>
      </c>
      <c r="B405" s="1" t="n">
        <v>44900</v>
      </c>
      <c r="C405" s="1" t="n">
        <v>46004</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51287-2022</t>
        </is>
      </c>
      <c r="B406" s="1" t="n">
        <v>44868.83146990741</v>
      </c>
      <c r="C406" s="1" t="n">
        <v>46004</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44697-2021</t>
        </is>
      </c>
      <c r="B407" s="1" t="n">
        <v>44438</v>
      </c>
      <c r="C407" s="1" t="n">
        <v>46004</v>
      </c>
      <c r="D407" t="inlineStr">
        <is>
          <t>SKÅNE LÄN</t>
        </is>
      </c>
      <c r="E407" t="inlineStr">
        <is>
          <t>HÄSSLEHOLM</t>
        </is>
      </c>
      <c r="G407" t="n">
        <v>4.8</v>
      </c>
      <c r="H407" t="n">
        <v>0</v>
      </c>
      <c r="I407" t="n">
        <v>0</v>
      </c>
      <c r="J407" t="n">
        <v>0</v>
      </c>
      <c r="K407" t="n">
        <v>0</v>
      </c>
      <c r="L407" t="n">
        <v>0</v>
      </c>
      <c r="M407" t="n">
        <v>0</v>
      </c>
      <c r="N407" t="n">
        <v>0</v>
      </c>
      <c r="O407" t="n">
        <v>0</v>
      </c>
      <c r="P407" t="n">
        <v>0</v>
      </c>
      <c r="Q407" t="n">
        <v>0</v>
      </c>
      <c r="R407" s="2" t="inlineStr"/>
    </row>
    <row r="408" ht="15" customHeight="1">
      <c r="A408" t="inlineStr">
        <is>
          <t>A 12468-2024</t>
        </is>
      </c>
      <c r="B408" s="1" t="n">
        <v>45379</v>
      </c>
      <c r="C408" s="1" t="n">
        <v>46004</v>
      </c>
      <c r="D408" t="inlineStr">
        <is>
          <t>SKÅNE LÄN</t>
        </is>
      </c>
      <c r="E408" t="inlineStr">
        <is>
          <t>HÄSSLEHOLM</t>
        </is>
      </c>
      <c r="G408" t="n">
        <v>15.5</v>
      </c>
      <c r="H408" t="n">
        <v>0</v>
      </c>
      <c r="I408" t="n">
        <v>0</v>
      </c>
      <c r="J408" t="n">
        <v>0</v>
      </c>
      <c r="K408" t="n">
        <v>0</v>
      </c>
      <c r="L408" t="n">
        <v>0</v>
      </c>
      <c r="M408" t="n">
        <v>0</v>
      </c>
      <c r="N408" t="n">
        <v>0</v>
      </c>
      <c r="O408" t="n">
        <v>0</v>
      </c>
      <c r="P408" t="n">
        <v>0</v>
      </c>
      <c r="Q408" t="n">
        <v>0</v>
      </c>
      <c r="R408" s="2" t="inlineStr"/>
    </row>
    <row r="409" ht="15" customHeight="1">
      <c r="A409" t="inlineStr">
        <is>
          <t>A 8433-2024</t>
        </is>
      </c>
      <c r="B409" s="1" t="n">
        <v>45353.48434027778</v>
      </c>
      <c r="C409" s="1" t="n">
        <v>46004</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48807-2021</t>
        </is>
      </c>
      <c r="B410" s="1" t="n">
        <v>44452</v>
      </c>
      <c r="C410" s="1" t="n">
        <v>46004</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28457-2024</t>
        </is>
      </c>
      <c r="B411" s="1" t="n">
        <v>45477.68884259259</v>
      </c>
      <c r="C411" s="1" t="n">
        <v>46004</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20494-2024</t>
        </is>
      </c>
      <c r="B412" s="1" t="n">
        <v>45435</v>
      </c>
      <c r="C412" s="1" t="n">
        <v>46004</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55454-2021</t>
        </is>
      </c>
      <c r="B413" s="1" t="n">
        <v>44475</v>
      </c>
      <c r="C413" s="1" t="n">
        <v>46004</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31572-2022</t>
        </is>
      </c>
      <c r="B414" s="1" t="n">
        <v>44775</v>
      </c>
      <c r="C414" s="1" t="n">
        <v>46004</v>
      </c>
      <c r="D414" t="inlineStr">
        <is>
          <t>SKÅNE LÄN</t>
        </is>
      </c>
      <c r="E414" t="inlineStr">
        <is>
          <t>HÄSSLEHOLM</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4356-2024</t>
        </is>
      </c>
      <c r="B415" s="1" t="n">
        <v>45325.36195601852</v>
      </c>
      <c r="C415" s="1" t="n">
        <v>46004</v>
      </c>
      <c r="D415" t="inlineStr">
        <is>
          <t>SKÅNE LÄN</t>
        </is>
      </c>
      <c r="E415" t="inlineStr">
        <is>
          <t>HÄSSLEHOLM</t>
        </is>
      </c>
      <c r="G415" t="n">
        <v>3.2</v>
      </c>
      <c r="H415" t="n">
        <v>0</v>
      </c>
      <c r="I415" t="n">
        <v>0</v>
      </c>
      <c r="J415" t="n">
        <v>0</v>
      </c>
      <c r="K415" t="n">
        <v>0</v>
      </c>
      <c r="L415" t="n">
        <v>0</v>
      </c>
      <c r="M415" t="n">
        <v>0</v>
      </c>
      <c r="N415" t="n">
        <v>0</v>
      </c>
      <c r="O415" t="n">
        <v>0</v>
      </c>
      <c r="P415" t="n">
        <v>0</v>
      </c>
      <c r="Q415" t="n">
        <v>0</v>
      </c>
      <c r="R415" s="2" t="inlineStr"/>
    </row>
    <row r="416" ht="15" customHeight="1">
      <c r="A416" t="inlineStr">
        <is>
          <t>A 1553-2023</t>
        </is>
      </c>
      <c r="B416" s="1" t="n">
        <v>44937</v>
      </c>
      <c r="C416" s="1" t="n">
        <v>46004</v>
      </c>
      <c r="D416" t="inlineStr">
        <is>
          <t>SKÅNE LÄN</t>
        </is>
      </c>
      <c r="E416" t="inlineStr">
        <is>
          <t>HÄSSLEHOLM</t>
        </is>
      </c>
      <c r="G416" t="n">
        <v>0.9</v>
      </c>
      <c r="H416" t="n">
        <v>0</v>
      </c>
      <c r="I416" t="n">
        <v>0</v>
      </c>
      <c r="J416" t="n">
        <v>0</v>
      </c>
      <c r="K416" t="n">
        <v>0</v>
      </c>
      <c r="L416" t="n">
        <v>0</v>
      </c>
      <c r="M416" t="n">
        <v>0</v>
      </c>
      <c r="N416" t="n">
        <v>0</v>
      </c>
      <c r="O416" t="n">
        <v>0</v>
      </c>
      <c r="P416" t="n">
        <v>0</v>
      </c>
      <c r="Q416" t="n">
        <v>0</v>
      </c>
      <c r="R416" s="2" t="inlineStr"/>
    </row>
    <row r="417" ht="15" customHeight="1">
      <c r="A417" t="inlineStr">
        <is>
          <t>A 22690-2022</t>
        </is>
      </c>
      <c r="B417" s="1" t="n">
        <v>44714.5421875</v>
      </c>
      <c r="C417" s="1" t="n">
        <v>46004</v>
      </c>
      <c r="D417" t="inlineStr">
        <is>
          <t>SKÅNE LÄN</t>
        </is>
      </c>
      <c r="E417" t="inlineStr">
        <is>
          <t>HÄSSLEHOLM</t>
        </is>
      </c>
      <c r="G417" t="n">
        <v>1.7</v>
      </c>
      <c r="H417" t="n">
        <v>0</v>
      </c>
      <c r="I417" t="n">
        <v>0</v>
      </c>
      <c r="J417" t="n">
        <v>0</v>
      </c>
      <c r="K417" t="n">
        <v>0</v>
      </c>
      <c r="L417" t="n">
        <v>0</v>
      </c>
      <c r="M417" t="n">
        <v>0</v>
      </c>
      <c r="N417" t="n">
        <v>0</v>
      </c>
      <c r="O417" t="n">
        <v>0</v>
      </c>
      <c r="P417" t="n">
        <v>0</v>
      </c>
      <c r="Q417" t="n">
        <v>0</v>
      </c>
      <c r="R417" s="2" t="inlineStr"/>
    </row>
    <row r="418" ht="15" customHeight="1">
      <c r="A418" t="inlineStr">
        <is>
          <t>A 23683-2023</t>
        </is>
      </c>
      <c r="B418" s="1" t="n">
        <v>45077</v>
      </c>
      <c r="C418" s="1" t="n">
        <v>46004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13309-2025</t>
        </is>
      </c>
      <c r="B419" s="1" t="n">
        <v>45735.58512731481</v>
      </c>
      <c r="C419" s="1" t="n">
        <v>46004</v>
      </c>
      <c r="D419" t="inlineStr">
        <is>
          <t>SKÅNE LÄN</t>
        </is>
      </c>
      <c r="E419" t="inlineStr">
        <is>
          <t>HÄSSLEHOLM</t>
        </is>
      </c>
      <c r="G419" t="n">
        <v>1.2</v>
      </c>
      <c r="H419" t="n">
        <v>0</v>
      </c>
      <c r="I419" t="n">
        <v>0</v>
      </c>
      <c r="J419" t="n">
        <v>0</v>
      </c>
      <c r="K419" t="n">
        <v>0</v>
      </c>
      <c r="L419" t="n">
        <v>0</v>
      </c>
      <c r="M419" t="n">
        <v>0</v>
      </c>
      <c r="N419" t="n">
        <v>0</v>
      </c>
      <c r="O419" t="n">
        <v>0</v>
      </c>
      <c r="P419" t="n">
        <v>0</v>
      </c>
      <c r="Q419" t="n">
        <v>0</v>
      </c>
      <c r="R419" s="2" t="inlineStr"/>
    </row>
    <row r="420" ht="15" customHeight="1">
      <c r="A420" t="inlineStr">
        <is>
          <t>A 53897-2023</t>
        </is>
      </c>
      <c r="B420" s="1" t="n">
        <v>45231.53934027778</v>
      </c>
      <c r="C420" s="1" t="n">
        <v>46004</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51752-2023</t>
        </is>
      </c>
      <c r="B421" s="1" t="n">
        <v>45222</v>
      </c>
      <c r="C421" s="1" t="n">
        <v>46004</v>
      </c>
      <c r="D421" t="inlineStr">
        <is>
          <t>SKÅNE LÄN</t>
        </is>
      </c>
      <c r="E421" t="inlineStr">
        <is>
          <t>HÄSSLEHOLM</t>
        </is>
      </c>
      <c r="G421" t="n">
        <v>1.8</v>
      </c>
      <c r="H421" t="n">
        <v>0</v>
      </c>
      <c r="I421" t="n">
        <v>0</v>
      </c>
      <c r="J421" t="n">
        <v>0</v>
      </c>
      <c r="K421" t="n">
        <v>0</v>
      </c>
      <c r="L421" t="n">
        <v>0</v>
      </c>
      <c r="M421" t="n">
        <v>0</v>
      </c>
      <c r="N421" t="n">
        <v>0</v>
      </c>
      <c r="O421" t="n">
        <v>0</v>
      </c>
      <c r="P421" t="n">
        <v>0</v>
      </c>
      <c r="Q421" t="n">
        <v>0</v>
      </c>
      <c r="R421" s="2" t="inlineStr"/>
    </row>
    <row r="422" ht="15" customHeight="1">
      <c r="A422" t="inlineStr">
        <is>
          <t>A 1170-2025</t>
        </is>
      </c>
      <c r="B422" s="1" t="n">
        <v>45667.29226851852</v>
      </c>
      <c r="C422" s="1" t="n">
        <v>46004</v>
      </c>
      <c r="D422" t="inlineStr">
        <is>
          <t>SKÅNE LÄN</t>
        </is>
      </c>
      <c r="E422" t="inlineStr">
        <is>
          <t>HÄSSLEHOLM</t>
        </is>
      </c>
      <c r="G422" t="n">
        <v>4.3</v>
      </c>
      <c r="H422" t="n">
        <v>0</v>
      </c>
      <c r="I422" t="n">
        <v>0</v>
      </c>
      <c r="J422" t="n">
        <v>0</v>
      </c>
      <c r="K422" t="n">
        <v>0</v>
      </c>
      <c r="L422" t="n">
        <v>0</v>
      </c>
      <c r="M422" t="n">
        <v>0</v>
      </c>
      <c r="N422" t="n">
        <v>0</v>
      </c>
      <c r="O422" t="n">
        <v>0</v>
      </c>
      <c r="P422" t="n">
        <v>0</v>
      </c>
      <c r="Q422" t="n">
        <v>0</v>
      </c>
      <c r="R422" s="2" t="inlineStr"/>
    </row>
    <row r="423" ht="15" customHeight="1">
      <c r="A423" t="inlineStr">
        <is>
          <t>A 3480-2024</t>
        </is>
      </c>
      <c r="B423" s="1" t="n">
        <v>45320.43998842593</v>
      </c>
      <c r="C423" s="1" t="n">
        <v>46004</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5980-2024</t>
        </is>
      </c>
      <c r="B424" s="1" t="n">
        <v>45335</v>
      </c>
      <c r="C424" s="1" t="n">
        <v>46004</v>
      </c>
      <c r="D424" t="inlineStr">
        <is>
          <t>SKÅNE LÄN</t>
        </is>
      </c>
      <c r="E424" t="inlineStr">
        <is>
          <t>HÄSSLEHOLM</t>
        </is>
      </c>
      <c r="G424" t="n">
        <v>1.2</v>
      </c>
      <c r="H424" t="n">
        <v>0</v>
      </c>
      <c r="I424" t="n">
        <v>0</v>
      </c>
      <c r="J424" t="n">
        <v>0</v>
      </c>
      <c r="K424" t="n">
        <v>0</v>
      </c>
      <c r="L424" t="n">
        <v>0</v>
      </c>
      <c r="M424" t="n">
        <v>0</v>
      </c>
      <c r="N424" t="n">
        <v>0</v>
      </c>
      <c r="O424" t="n">
        <v>0</v>
      </c>
      <c r="P424" t="n">
        <v>0</v>
      </c>
      <c r="Q424" t="n">
        <v>0</v>
      </c>
      <c r="R424" s="2" t="inlineStr"/>
    </row>
    <row r="425" ht="15" customHeight="1">
      <c r="A425" t="inlineStr">
        <is>
          <t>A 32834-2024</t>
        </is>
      </c>
      <c r="B425" s="1" t="n">
        <v>45516.6025</v>
      </c>
      <c r="C425" s="1" t="n">
        <v>46004</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10802-2024</t>
        </is>
      </c>
      <c r="B426" s="1" t="n">
        <v>45369</v>
      </c>
      <c r="C426" s="1" t="n">
        <v>46004</v>
      </c>
      <c r="D426" t="inlineStr">
        <is>
          <t>SKÅNE LÄN</t>
        </is>
      </c>
      <c r="E426" t="inlineStr">
        <is>
          <t>HÄSSLEHOLM</t>
        </is>
      </c>
      <c r="G426" t="n">
        <v>3.4</v>
      </c>
      <c r="H426" t="n">
        <v>0</v>
      </c>
      <c r="I426" t="n">
        <v>0</v>
      </c>
      <c r="J426" t="n">
        <v>0</v>
      </c>
      <c r="K426" t="n">
        <v>0</v>
      </c>
      <c r="L426" t="n">
        <v>0</v>
      </c>
      <c r="M426" t="n">
        <v>0</v>
      </c>
      <c r="N426" t="n">
        <v>0</v>
      </c>
      <c r="O426" t="n">
        <v>0</v>
      </c>
      <c r="P426" t="n">
        <v>0</v>
      </c>
      <c r="Q426" t="n">
        <v>0</v>
      </c>
      <c r="R426" s="2" t="inlineStr"/>
    </row>
    <row r="427" ht="15" customHeight="1">
      <c r="A427" t="inlineStr">
        <is>
          <t>A 2663-2023</t>
        </is>
      </c>
      <c r="B427" s="1" t="n">
        <v>44942</v>
      </c>
      <c r="C427" s="1" t="n">
        <v>46004</v>
      </c>
      <c r="D427" t="inlineStr">
        <is>
          <t>SKÅNE LÄN</t>
        </is>
      </c>
      <c r="E427" t="inlineStr">
        <is>
          <t>HÄSSLEHOLM</t>
        </is>
      </c>
      <c r="F427" t="inlineStr">
        <is>
          <t>Kyrkan</t>
        </is>
      </c>
      <c r="G427" t="n">
        <v>0.8</v>
      </c>
      <c r="H427" t="n">
        <v>0</v>
      </c>
      <c r="I427" t="n">
        <v>0</v>
      </c>
      <c r="J427" t="n">
        <v>0</v>
      </c>
      <c r="K427" t="n">
        <v>0</v>
      </c>
      <c r="L427" t="n">
        <v>0</v>
      </c>
      <c r="M427" t="n">
        <v>0</v>
      </c>
      <c r="N427" t="n">
        <v>0</v>
      </c>
      <c r="O427" t="n">
        <v>0</v>
      </c>
      <c r="P427" t="n">
        <v>0</v>
      </c>
      <c r="Q427" t="n">
        <v>0</v>
      </c>
      <c r="R427" s="2" t="inlineStr"/>
    </row>
    <row r="428" ht="15" customHeight="1">
      <c r="A428" t="inlineStr">
        <is>
          <t>A 23172-2022</t>
        </is>
      </c>
      <c r="B428" s="1" t="n">
        <v>44719</v>
      </c>
      <c r="C428" s="1" t="n">
        <v>46004</v>
      </c>
      <c r="D428" t="inlineStr">
        <is>
          <t>SKÅNE LÄN</t>
        </is>
      </c>
      <c r="E428" t="inlineStr">
        <is>
          <t>HÄSSLEHOLM</t>
        </is>
      </c>
      <c r="F428" t="inlineStr">
        <is>
          <t>Övriga Aktiebolag</t>
        </is>
      </c>
      <c r="G428" t="n">
        <v>0.9</v>
      </c>
      <c r="H428" t="n">
        <v>0</v>
      </c>
      <c r="I428" t="n">
        <v>0</v>
      </c>
      <c r="J428" t="n">
        <v>0</v>
      </c>
      <c r="K428" t="n">
        <v>0</v>
      </c>
      <c r="L428" t="n">
        <v>0</v>
      </c>
      <c r="M428" t="n">
        <v>0</v>
      </c>
      <c r="N428" t="n">
        <v>0</v>
      </c>
      <c r="O428" t="n">
        <v>0</v>
      </c>
      <c r="P428" t="n">
        <v>0</v>
      </c>
      <c r="Q428" t="n">
        <v>0</v>
      </c>
      <c r="R428" s="2" t="inlineStr"/>
    </row>
    <row r="429" ht="15" customHeight="1">
      <c r="A429" t="inlineStr">
        <is>
          <t>A 23173-2022</t>
        </is>
      </c>
      <c r="B429" s="1" t="n">
        <v>44719.72155092593</v>
      </c>
      <c r="C429" s="1" t="n">
        <v>46004</v>
      </c>
      <c r="D429" t="inlineStr">
        <is>
          <t>SKÅNE LÄN</t>
        </is>
      </c>
      <c r="E429" t="inlineStr">
        <is>
          <t>HÄSSLEHOLM</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22132-2024</t>
        </is>
      </c>
      <c r="B430" s="1" t="n">
        <v>45444.37234953704</v>
      </c>
      <c r="C430" s="1" t="n">
        <v>46004</v>
      </c>
      <c r="D430" t="inlineStr">
        <is>
          <t>SKÅNE LÄN</t>
        </is>
      </c>
      <c r="E430" t="inlineStr">
        <is>
          <t>HÄSSLEHOLM</t>
        </is>
      </c>
      <c r="G430" t="n">
        <v>3.1</v>
      </c>
      <c r="H430" t="n">
        <v>0</v>
      </c>
      <c r="I430" t="n">
        <v>0</v>
      </c>
      <c r="J430" t="n">
        <v>0</v>
      </c>
      <c r="K430" t="n">
        <v>0</v>
      </c>
      <c r="L430" t="n">
        <v>0</v>
      </c>
      <c r="M430" t="n">
        <v>0</v>
      </c>
      <c r="N430" t="n">
        <v>0</v>
      </c>
      <c r="O430" t="n">
        <v>0</v>
      </c>
      <c r="P430" t="n">
        <v>0</v>
      </c>
      <c r="Q430" t="n">
        <v>0</v>
      </c>
      <c r="R430" s="2" t="inlineStr"/>
    </row>
    <row r="431" ht="15" customHeight="1">
      <c r="A431" t="inlineStr">
        <is>
          <t>A 9397-2025</t>
        </is>
      </c>
      <c r="B431" s="1" t="n">
        <v>45715.37361111111</v>
      </c>
      <c r="C431" s="1" t="n">
        <v>46004</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59109-2023</t>
        </is>
      </c>
      <c r="B432" s="1" t="n">
        <v>45253.30819444444</v>
      </c>
      <c r="C432" s="1" t="n">
        <v>46004</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49384-2021</t>
        </is>
      </c>
      <c r="B433" s="1" t="n">
        <v>44454</v>
      </c>
      <c r="C433" s="1" t="n">
        <v>46004</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54462-2022</t>
        </is>
      </c>
      <c r="B434" s="1" t="n">
        <v>44882</v>
      </c>
      <c r="C434" s="1" t="n">
        <v>46004</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45653-2024</t>
        </is>
      </c>
      <c r="B435" s="1" t="n">
        <v>45579.48872685185</v>
      </c>
      <c r="C435" s="1" t="n">
        <v>46004</v>
      </c>
      <c r="D435" t="inlineStr">
        <is>
          <t>SKÅNE LÄN</t>
        </is>
      </c>
      <c r="E435" t="inlineStr">
        <is>
          <t>HÄSSLEHOLM</t>
        </is>
      </c>
      <c r="G435" t="n">
        <v>2.6</v>
      </c>
      <c r="H435" t="n">
        <v>0</v>
      </c>
      <c r="I435" t="n">
        <v>0</v>
      </c>
      <c r="J435" t="n">
        <v>0</v>
      </c>
      <c r="K435" t="n">
        <v>0</v>
      </c>
      <c r="L435" t="n">
        <v>0</v>
      </c>
      <c r="M435" t="n">
        <v>0</v>
      </c>
      <c r="N435" t="n">
        <v>0</v>
      </c>
      <c r="O435" t="n">
        <v>0</v>
      </c>
      <c r="P435" t="n">
        <v>0</v>
      </c>
      <c r="Q435" t="n">
        <v>0</v>
      </c>
      <c r="R435" s="2" t="inlineStr"/>
    </row>
    <row r="436" ht="15" customHeight="1">
      <c r="A436" t="inlineStr">
        <is>
          <t>A 25611-2024</t>
        </is>
      </c>
      <c r="B436" s="1" t="n">
        <v>45463</v>
      </c>
      <c r="C436" s="1" t="n">
        <v>46004</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7094-2023</t>
        </is>
      </c>
      <c r="B437" s="1" t="n">
        <v>44970.36958333333</v>
      </c>
      <c r="C437" s="1" t="n">
        <v>46004</v>
      </c>
      <c r="D437" t="inlineStr">
        <is>
          <t>SKÅNE LÄN</t>
        </is>
      </c>
      <c r="E437" t="inlineStr">
        <is>
          <t>HÄSSLEHOLM</t>
        </is>
      </c>
      <c r="G437" t="n">
        <v>3.6</v>
      </c>
      <c r="H437" t="n">
        <v>0</v>
      </c>
      <c r="I437" t="n">
        <v>0</v>
      </c>
      <c r="J437" t="n">
        <v>0</v>
      </c>
      <c r="K437" t="n">
        <v>0</v>
      </c>
      <c r="L437" t="n">
        <v>0</v>
      </c>
      <c r="M437" t="n">
        <v>0</v>
      </c>
      <c r="N437" t="n">
        <v>0</v>
      </c>
      <c r="O437" t="n">
        <v>0</v>
      </c>
      <c r="P437" t="n">
        <v>0</v>
      </c>
      <c r="Q437" t="n">
        <v>0</v>
      </c>
      <c r="R437" s="2" t="inlineStr"/>
    </row>
    <row r="438" ht="15" customHeight="1">
      <c r="A438" t="inlineStr">
        <is>
          <t>A 32210-2024</t>
        </is>
      </c>
      <c r="B438" s="1" t="n">
        <v>45511.67777777778</v>
      </c>
      <c r="C438" s="1" t="n">
        <v>46004</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32100-2024</t>
        </is>
      </c>
      <c r="B439" s="1" t="n">
        <v>45511.41451388889</v>
      </c>
      <c r="C439" s="1" t="n">
        <v>46004</v>
      </c>
      <c r="D439" t="inlineStr">
        <is>
          <t>SKÅNE LÄN</t>
        </is>
      </c>
      <c r="E439" t="inlineStr">
        <is>
          <t>HÄSSLEHOLM</t>
        </is>
      </c>
      <c r="G439" t="n">
        <v>0.8</v>
      </c>
      <c r="H439" t="n">
        <v>0</v>
      </c>
      <c r="I439" t="n">
        <v>0</v>
      </c>
      <c r="J439" t="n">
        <v>0</v>
      </c>
      <c r="K439" t="n">
        <v>0</v>
      </c>
      <c r="L439" t="n">
        <v>0</v>
      </c>
      <c r="M439" t="n">
        <v>0</v>
      </c>
      <c r="N439" t="n">
        <v>0</v>
      </c>
      <c r="O439" t="n">
        <v>0</v>
      </c>
      <c r="P439" t="n">
        <v>0</v>
      </c>
      <c r="Q439" t="n">
        <v>0</v>
      </c>
      <c r="R439" s="2" t="inlineStr"/>
    </row>
    <row r="440" ht="15" customHeight="1">
      <c r="A440" t="inlineStr">
        <is>
          <t>A 67974-2020</t>
        </is>
      </c>
      <c r="B440" s="1" t="n">
        <v>44182</v>
      </c>
      <c r="C440" s="1" t="n">
        <v>46004</v>
      </c>
      <c r="D440" t="inlineStr">
        <is>
          <t>SKÅNE LÄN</t>
        </is>
      </c>
      <c r="E440" t="inlineStr">
        <is>
          <t>HÄSSLEHOLM</t>
        </is>
      </c>
      <c r="G440" t="n">
        <v>9</v>
      </c>
      <c r="H440" t="n">
        <v>0</v>
      </c>
      <c r="I440" t="n">
        <v>0</v>
      </c>
      <c r="J440" t="n">
        <v>0</v>
      </c>
      <c r="K440" t="n">
        <v>0</v>
      </c>
      <c r="L440" t="n">
        <v>0</v>
      </c>
      <c r="M440" t="n">
        <v>0</v>
      </c>
      <c r="N440" t="n">
        <v>0</v>
      </c>
      <c r="O440" t="n">
        <v>0</v>
      </c>
      <c r="P440" t="n">
        <v>0</v>
      </c>
      <c r="Q440" t="n">
        <v>0</v>
      </c>
      <c r="R440" s="2" t="inlineStr"/>
    </row>
    <row r="441" ht="15" customHeight="1">
      <c r="A441" t="inlineStr">
        <is>
          <t>A 10220-2023</t>
        </is>
      </c>
      <c r="B441" s="1" t="n">
        <v>44986.60916666667</v>
      </c>
      <c r="C441" s="1" t="n">
        <v>46004</v>
      </c>
      <c r="D441" t="inlineStr">
        <is>
          <t>SKÅNE LÄN</t>
        </is>
      </c>
      <c r="E441" t="inlineStr">
        <is>
          <t>HÄSSLEHOLM</t>
        </is>
      </c>
      <c r="G441" t="n">
        <v>1.7</v>
      </c>
      <c r="H441" t="n">
        <v>0</v>
      </c>
      <c r="I441" t="n">
        <v>0</v>
      </c>
      <c r="J441" t="n">
        <v>0</v>
      </c>
      <c r="K441" t="n">
        <v>0</v>
      </c>
      <c r="L441" t="n">
        <v>0</v>
      </c>
      <c r="M441" t="n">
        <v>0</v>
      </c>
      <c r="N441" t="n">
        <v>0</v>
      </c>
      <c r="O441" t="n">
        <v>0</v>
      </c>
      <c r="P441" t="n">
        <v>0</v>
      </c>
      <c r="Q441" t="n">
        <v>0</v>
      </c>
      <c r="R441" s="2" t="inlineStr"/>
    </row>
    <row r="442" ht="15" customHeight="1">
      <c r="A442" t="inlineStr">
        <is>
          <t>A 35810-2023</t>
        </is>
      </c>
      <c r="B442" s="1" t="n">
        <v>45148.44046296296</v>
      </c>
      <c r="C442" s="1" t="n">
        <v>46004</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11260-2021</t>
        </is>
      </c>
      <c r="B443" s="1" t="n">
        <v>44263</v>
      </c>
      <c r="C443" s="1" t="n">
        <v>46004</v>
      </c>
      <c r="D443" t="inlineStr">
        <is>
          <t>SKÅNE LÄN</t>
        </is>
      </c>
      <c r="E443" t="inlineStr">
        <is>
          <t>HÄSSLEHOLM</t>
        </is>
      </c>
      <c r="G443" t="n">
        <v>5.4</v>
      </c>
      <c r="H443" t="n">
        <v>0</v>
      </c>
      <c r="I443" t="n">
        <v>0</v>
      </c>
      <c r="J443" t="n">
        <v>0</v>
      </c>
      <c r="K443" t="n">
        <v>0</v>
      </c>
      <c r="L443" t="n">
        <v>0</v>
      </c>
      <c r="M443" t="n">
        <v>0</v>
      </c>
      <c r="N443" t="n">
        <v>0</v>
      </c>
      <c r="O443" t="n">
        <v>0</v>
      </c>
      <c r="P443" t="n">
        <v>0</v>
      </c>
      <c r="Q443" t="n">
        <v>0</v>
      </c>
      <c r="R443" s="2" t="inlineStr"/>
    </row>
    <row r="444" ht="15" customHeight="1">
      <c r="A444" t="inlineStr">
        <is>
          <t>A 35833-2023</t>
        </is>
      </c>
      <c r="B444" s="1" t="n">
        <v>45148</v>
      </c>
      <c r="C444" s="1" t="n">
        <v>46004</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9322-2025</t>
        </is>
      </c>
      <c r="B445" s="1" t="n">
        <v>45714.72241898148</v>
      </c>
      <c r="C445" s="1" t="n">
        <v>46004</v>
      </c>
      <c r="D445" t="inlineStr">
        <is>
          <t>SKÅNE LÄN</t>
        </is>
      </c>
      <c r="E445" t="inlineStr">
        <is>
          <t>HÄSSLEHOLM</t>
        </is>
      </c>
      <c r="G445" t="n">
        <v>2.6</v>
      </c>
      <c r="H445" t="n">
        <v>0</v>
      </c>
      <c r="I445" t="n">
        <v>0</v>
      </c>
      <c r="J445" t="n">
        <v>0</v>
      </c>
      <c r="K445" t="n">
        <v>0</v>
      </c>
      <c r="L445" t="n">
        <v>0</v>
      </c>
      <c r="M445" t="n">
        <v>0</v>
      </c>
      <c r="N445" t="n">
        <v>0</v>
      </c>
      <c r="O445" t="n">
        <v>0</v>
      </c>
      <c r="P445" t="n">
        <v>0</v>
      </c>
      <c r="Q445" t="n">
        <v>0</v>
      </c>
      <c r="R445" s="2" t="inlineStr"/>
    </row>
    <row r="446" ht="15" customHeight="1">
      <c r="A446" t="inlineStr">
        <is>
          <t>A 59556-2023</t>
        </is>
      </c>
      <c r="B446" s="1" t="n">
        <v>45254.56313657408</v>
      </c>
      <c r="C446" s="1" t="n">
        <v>46004</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2743-2023</t>
        </is>
      </c>
      <c r="B447" s="1" t="n">
        <v>44944</v>
      </c>
      <c r="C447" s="1" t="n">
        <v>46004</v>
      </c>
      <c r="D447" t="inlineStr">
        <is>
          <t>SKÅNE LÄN</t>
        </is>
      </c>
      <c r="E447" t="inlineStr">
        <is>
          <t>HÄSSLEHOLM</t>
        </is>
      </c>
      <c r="F447" t="inlineStr">
        <is>
          <t>Sveaskog</t>
        </is>
      </c>
      <c r="G447" t="n">
        <v>1.9</v>
      </c>
      <c r="H447" t="n">
        <v>0</v>
      </c>
      <c r="I447" t="n">
        <v>0</v>
      </c>
      <c r="J447" t="n">
        <v>0</v>
      </c>
      <c r="K447" t="n">
        <v>0</v>
      </c>
      <c r="L447" t="n">
        <v>0</v>
      </c>
      <c r="M447" t="n">
        <v>0</v>
      </c>
      <c r="N447" t="n">
        <v>0</v>
      </c>
      <c r="O447" t="n">
        <v>0</v>
      </c>
      <c r="P447" t="n">
        <v>0</v>
      </c>
      <c r="Q447" t="n">
        <v>0</v>
      </c>
      <c r="R447" s="2" t="inlineStr"/>
    </row>
    <row r="448" ht="15" customHeight="1">
      <c r="A448" t="inlineStr">
        <is>
          <t>A 8749-2024</t>
        </is>
      </c>
      <c r="B448" s="1" t="n">
        <v>45356.50387731481</v>
      </c>
      <c r="C448" s="1" t="n">
        <v>46004</v>
      </c>
      <c r="D448" t="inlineStr">
        <is>
          <t>SKÅNE LÄN</t>
        </is>
      </c>
      <c r="E448" t="inlineStr">
        <is>
          <t>HÄSSLEHOLM</t>
        </is>
      </c>
      <c r="G448" t="n">
        <v>2.9</v>
      </c>
      <c r="H448" t="n">
        <v>0</v>
      </c>
      <c r="I448" t="n">
        <v>0</v>
      </c>
      <c r="J448" t="n">
        <v>0</v>
      </c>
      <c r="K448" t="n">
        <v>0</v>
      </c>
      <c r="L448" t="n">
        <v>0</v>
      </c>
      <c r="M448" t="n">
        <v>0</v>
      </c>
      <c r="N448" t="n">
        <v>0</v>
      </c>
      <c r="O448" t="n">
        <v>0</v>
      </c>
      <c r="P448" t="n">
        <v>0</v>
      </c>
      <c r="Q448" t="n">
        <v>0</v>
      </c>
      <c r="R448" s="2" t="inlineStr"/>
    </row>
    <row r="449" ht="15" customHeight="1">
      <c r="A449" t="inlineStr">
        <is>
          <t>A 8752-2024</t>
        </is>
      </c>
      <c r="B449" s="1" t="n">
        <v>45356</v>
      </c>
      <c r="C449" s="1" t="n">
        <v>46004</v>
      </c>
      <c r="D449" t="inlineStr">
        <is>
          <t>SKÅNE LÄN</t>
        </is>
      </c>
      <c r="E449" t="inlineStr">
        <is>
          <t>HÄSSLEHOLM</t>
        </is>
      </c>
      <c r="G449" t="n">
        <v>3.4</v>
      </c>
      <c r="H449" t="n">
        <v>0</v>
      </c>
      <c r="I449" t="n">
        <v>0</v>
      </c>
      <c r="J449" t="n">
        <v>0</v>
      </c>
      <c r="K449" t="n">
        <v>0</v>
      </c>
      <c r="L449" t="n">
        <v>0</v>
      </c>
      <c r="M449" t="n">
        <v>0</v>
      </c>
      <c r="N449" t="n">
        <v>0</v>
      </c>
      <c r="O449" t="n">
        <v>0</v>
      </c>
      <c r="P449" t="n">
        <v>0</v>
      </c>
      <c r="Q449" t="n">
        <v>0</v>
      </c>
      <c r="R449" s="2" t="inlineStr"/>
    </row>
    <row r="450" ht="15" customHeight="1">
      <c r="A450" t="inlineStr">
        <is>
          <t>A 8759-2024</t>
        </is>
      </c>
      <c r="B450" s="1" t="n">
        <v>45356.52271990741</v>
      </c>
      <c r="C450" s="1" t="n">
        <v>46004</v>
      </c>
      <c r="D450" t="inlineStr">
        <is>
          <t>SKÅNE LÄN</t>
        </is>
      </c>
      <c r="E450" t="inlineStr">
        <is>
          <t>HÄSSLEHOLM</t>
        </is>
      </c>
      <c r="G450" t="n">
        <v>5.7</v>
      </c>
      <c r="H450" t="n">
        <v>0</v>
      </c>
      <c r="I450" t="n">
        <v>0</v>
      </c>
      <c r="J450" t="n">
        <v>0</v>
      </c>
      <c r="K450" t="n">
        <v>0</v>
      </c>
      <c r="L450" t="n">
        <v>0</v>
      </c>
      <c r="M450" t="n">
        <v>0</v>
      </c>
      <c r="N450" t="n">
        <v>0</v>
      </c>
      <c r="O450" t="n">
        <v>0</v>
      </c>
      <c r="P450" t="n">
        <v>0</v>
      </c>
      <c r="Q450" t="n">
        <v>0</v>
      </c>
      <c r="R450" s="2" t="inlineStr"/>
    </row>
    <row r="451" ht="15" customHeight="1">
      <c r="A451" t="inlineStr">
        <is>
          <t>A 48624-2021</t>
        </is>
      </c>
      <c r="B451" s="1" t="n">
        <v>44452</v>
      </c>
      <c r="C451" s="1" t="n">
        <v>46004</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53077-2022</t>
        </is>
      </c>
      <c r="B452" s="1" t="n">
        <v>44873</v>
      </c>
      <c r="C452" s="1" t="n">
        <v>46004</v>
      </c>
      <c r="D452" t="inlineStr">
        <is>
          <t>SKÅNE LÄN</t>
        </is>
      </c>
      <c r="E452" t="inlineStr">
        <is>
          <t>HÄSSLEHOLM</t>
        </is>
      </c>
      <c r="G452" t="n">
        <v>3</v>
      </c>
      <c r="H452" t="n">
        <v>0</v>
      </c>
      <c r="I452" t="n">
        <v>0</v>
      </c>
      <c r="J452" t="n">
        <v>0</v>
      </c>
      <c r="K452" t="n">
        <v>0</v>
      </c>
      <c r="L452" t="n">
        <v>0</v>
      </c>
      <c r="M452" t="n">
        <v>0</v>
      </c>
      <c r="N452" t="n">
        <v>0</v>
      </c>
      <c r="O452" t="n">
        <v>0</v>
      </c>
      <c r="P452" t="n">
        <v>0</v>
      </c>
      <c r="Q452" t="n">
        <v>0</v>
      </c>
      <c r="R452" s="2" t="inlineStr"/>
    </row>
    <row r="453" ht="15" customHeight="1">
      <c r="A453" t="inlineStr">
        <is>
          <t>A 17492-2025</t>
        </is>
      </c>
      <c r="B453" s="1" t="n">
        <v>45747</v>
      </c>
      <c r="C453" s="1" t="n">
        <v>46004</v>
      </c>
      <c r="D453" t="inlineStr">
        <is>
          <t>SKÅNE LÄN</t>
        </is>
      </c>
      <c r="E453" t="inlineStr">
        <is>
          <t>HÄSSLEHOLM</t>
        </is>
      </c>
      <c r="G453" t="n">
        <v>1.4</v>
      </c>
      <c r="H453" t="n">
        <v>0</v>
      </c>
      <c r="I453" t="n">
        <v>0</v>
      </c>
      <c r="J453" t="n">
        <v>0</v>
      </c>
      <c r="K453" t="n">
        <v>0</v>
      </c>
      <c r="L453" t="n">
        <v>0</v>
      </c>
      <c r="M453" t="n">
        <v>0</v>
      </c>
      <c r="N453" t="n">
        <v>0</v>
      </c>
      <c r="O453" t="n">
        <v>0</v>
      </c>
      <c r="P453" t="n">
        <v>0</v>
      </c>
      <c r="Q453" t="n">
        <v>0</v>
      </c>
      <c r="R453" s="2" t="inlineStr"/>
    </row>
    <row r="454" ht="15" customHeight="1">
      <c r="A454" t="inlineStr">
        <is>
          <t>A 260-2024</t>
        </is>
      </c>
      <c r="B454" s="1" t="n">
        <v>45294</v>
      </c>
      <c r="C454" s="1" t="n">
        <v>46004</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40780-2022</t>
        </is>
      </c>
      <c r="B455" s="1" t="n">
        <v>44820</v>
      </c>
      <c r="C455" s="1" t="n">
        <v>46004</v>
      </c>
      <c r="D455" t="inlineStr">
        <is>
          <t>SKÅNE LÄN</t>
        </is>
      </c>
      <c r="E455" t="inlineStr">
        <is>
          <t>HÄSSLEHOLM</t>
        </is>
      </c>
      <c r="G455" t="n">
        <v>7.4</v>
      </c>
      <c r="H455" t="n">
        <v>0</v>
      </c>
      <c r="I455" t="n">
        <v>0</v>
      </c>
      <c r="J455" t="n">
        <v>0</v>
      </c>
      <c r="K455" t="n">
        <v>0</v>
      </c>
      <c r="L455" t="n">
        <v>0</v>
      </c>
      <c r="M455" t="n">
        <v>0</v>
      </c>
      <c r="N455" t="n">
        <v>0</v>
      </c>
      <c r="O455" t="n">
        <v>0</v>
      </c>
      <c r="P455" t="n">
        <v>0</v>
      </c>
      <c r="Q455" t="n">
        <v>0</v>
      </c>
      <c r="R455" s="2" t="inlineStr"/>
    </row>
    <row r="456" ht="15" customHeight="1">
      <c r="A456" t="inlineStr">
        <is>
          <t>A 59434-2023</t>
        </is>
      </c>
      <c r="B456" s="1" t="n">
        <v>45254.30440972222</v>
      </c>
      <c r="C456" s="1" t="n">
        <v>46004</v>
      </c>
      <c r="D456" t="inlineStr">
        <is>
          <t>SKÅNE LÄN</t>
        </is>
      </c>
      <c r="E456" t="inlineStr">
        <is>
          <t>HÄSSLEHOLM</t>
        </is>
      </c>
      <c r="G456" t="n">
        <v>3.6</v>
      </c>
      <c r="H456" t="n">
        <v>0</v>
      </c>
      <c r="I456" t="n">
        <v>0</v>
      </c>
      <c r="J456" t="n">
        <v>0</v>
      </c>
      <c r="K456" t="n">
        <v>0</v>
      </c>
      <c r="L456" t="n">
        <v>0</v>
      </c>
      <c r="M456" t="n">
        <v>0</v>
      </c>
      <c r="N456" t="n">
        <v>0</v>
      </c>
      <c r="O456" t="n">
        <v>0</v>
      </c>
      <c r="P456" t="n">
        <v>0</v>
      </c>
      <c r="Q456" t="n">
        <v>0</v>
      </c>
      <c r="R456" s="2" t="inlineStr"/>
    </row>
    <row r="457" ht="15" customHeight="1">
      <c r="A457" t="inlineStr">
        <is>
          <t>A 2290-2024</t>
        </is>
      </c>
      <c r="B457" s="1" t="n">
        <v>45310</v>
      </c>
      <c r="C457" s="1" t="n">
        <v>46004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33067-2024</t>
        </is>
      </c>
      <c r="B458" s="1" t="n">
        <v>45517.6520949074</v>
      </c>
      <c r="C458" s="1" t="n">
        <v>46004</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19744-2023</t>
        </is>
      </c>
      <c r="B459" s="1" t="n">
        <v>45051</v>
      </c>
      <c r="C459" s="1" t="n">
        <v>46004</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14655-2025</t>
        </is>
      </c>
      <c r="B460" s="1" t="n">
        <v>45742.5072337963</v>
      </c>
      <c r="C460" s="1" t="n">
        <v>46004</v>
      </c>
      <c r="D460" t="inlineStr">
        <is>
          <t>SKÅNE LÄN</t>
        </is>
      </c>
      <c r="E460" t="inlineStr">
        <is>
          <t>HÄSSLEHOLM</t>
        </is>
      </c>
      <c r="G460" t="n">
        <v>4.5</v>
      </c>
      <c r="H460" t="n">
        <v>0</v>
      </c>
      <c r="I460" t="n">
        <v>0</v>
      </c>
      <c r="J460" t="n">
        <v>0</v>
      </c>
      <c r="K460" t="n">
        <v>0</v>
      </c>
      <c r="L460" t="n">
        <v>0</v>
      </c>
      <c r="M460" t="n">
        <v>0</v>
      </c>
      <c r="N460" t="n">
        <v>0</v>
      </c>
      <c r="O460" t="n">
        <v>0</v>
      </c>
      <c r="P460" t="n">
        <v>0</v>
      </c>
      <c r="Q460" t="n">
        <v>0</v>
      </c>
      <c r="R460" s="2" t="inlineStr"/>
    </row>
    <row r="461" ht="15" customHeight="1">
      <c r="A461" t="inlineStr">
        <is>
          <t>A 14926-2024</t>
        </is>
      </c>
      <c r="B461" s="1" t="n">
        <v>45398</v>
      </c>
      <c r="C461" s="1" t="n">
        <v>46004</v>
      </c>
      <c r="D461" t="inlineStr">
        <is>
          <t>SKÅNE LÄN</t>
        </is>
      </c>
      <c r="E461" t="inlineStr">
        <is>
          <t>HÄSSLEHOLM</t>
        </is>
      </c>
      <c r="G461" t="n">
        <v>3.4</v>
      </c>
      <c r="H461" t="n">
        <v>0</v>
      </c>
      <c r="I461" t="n">
        <v>0</v>
      </c>
      <c r="J461" t="n">
        <v>0</v>
      </c>
      <c r="K461" t="n">
        <v>0</v>
      </c>
      <c r="L461" t="n">
        <v>0</v>
      </c>
      <c r="M461" t="n">
        <v>0</v>
      </c>
      <c r="N461" t="n">
        <v>0</v>
      </c>
      <c r="O461" t="n">
        <v>0</v>
      </c>
      <c r="P461" t="n">
        <v>0</v>
      </c>
      <c r="Q461" t="n">
        <v>0</v>
      </c>
      <c r="R461" s="2" t="inlineStr"/>
    </row>
    <row r="462" ht="15" customHeight="1">
      <c r="A462" t="inlineStr">
        <is>
          <t>A 60843-2022</t>
        </is>
      </c>
      <c r="B462" s="1" t="n">
        <v>44914</v>
      </c>
      <c r="C462" s="1" t="n">
        <v>46004</v>
      </c>
      <c r="D462" t="inlineStr">
        <is>
          <t>SKÅNE LÄN</t>
        </is>
      </c>
      <c r="E462" t="inlineStr">
        <is>
          <t>HÄSSLEHOLM</t>
        </is>
      </c>
      <c r="G462" t="n">
        <v>2.2</v>
      </c>
      <c r="H462" t="n">
        <v>0</v>
      </c>
      <c r="I462" t="n">
        <v>0</v>
      </c>
      <c r="J462" t="n">
        <v>0</v>
      </c>
      <c r="K462" t="n">
        <v>0</v>
      </c>
      <c r="L462" t="n">
        <v>0</v>
      </c>
      <c r="M462" t="n">
        <v>0</v>
      </c>
      <c r="N462" t="n">
        <v>0</v>
      </c>
      <c r="O462" t="n">
        <v>0</v>
      </c>
      <c r="P462" t="n">
        <v>0</v>
      </c>
      <c r="Q462" t="n">
        <v>0</v>
      </c>
      <c r="R462" s="2" t="inlineStr"/>
    </row>
    <row r="463" ht="15" customHeight="1">
      <c r="A463" t="inlineStr">
        <is>
          <t>A 5316-2023</t>
        </is>
      </c>
      <c r="B463" s="1" t="n">
        <v>44959</v>
      </c>
      <c r="C463" s="1" t="n">
        <v>46004</v>
      </c>
      <c r="D463" t="inlineStr">
        <is>
          <t>SKÅNE LÄN</t>
        </is>
      </c>
      <c r="E463" t="inlineStr">
        <is>
          <t>HÄSSLEHOLM</t>
        </is>
      </c>
      <c r="G463" t="n">
        <v>2.1</v>
      </c>
      <c r="H463" t="n">
        <v>0</v>
      </c>
      <c r="I463" t="n">
        <v>0</v>
      </c>
      <c r="J463" t="n">
        <v>0</v>
      </c>
      <c r="K463" t="n">
        <v>0</v>
      </c>
      <c r="L463" t="n">
        <v>0</v>
      </c>
      <c r="M463" t="n">
        <v>0</v>
      </c>
      <c r="N463" t="n">
        <v>0</v>
      </c>
      <c r="O463" t="n">
        <v>0</v>
      </c>
      <c r="P463" t="n">
        <v>0</v>
      </c>
      <c r="Q463" t="n">
        <v>0</v>
      </c>
      <c r="R463" s="2" t="inlineStr"/>
    </row>
    <row r="464" ht="15" customHeight="1">
      <c r="A464" t="inlineStr">
        <is>
          <t>A 28236-2022</t>
        </is>
      </c>
      <c r="B464" s="1" t="n">
        <v>44746</v>
      </c>
      <c r="C464" s="1" t="n">
        <v>46004</v>
      </c>
      <c r="D464" t="inlineStr">
        <is>
          <t>SKÅNE LÄN</t>
        </is>
      </c>
      <c r="E464" t="inlineStr">
        <is>
          <t>HÄSSLEHOLM</t>
        </is>
      </c>
      <c r="G464" t="n">
        <v>3.5</v>
      </c>
      <c r="H464" t="n">
        <v>0</v>
      </c>
      <c r="I464" t="n">
        <v>0</v>
      </c>
      <c r="J464" t="n">
        <v>0</v>
      </c>
      <c r="K464" t="n">
        <v>0</v>
      </c>
      <c r="L464" t="n">
        <v>0</v>
      </c>
      <c r="M464" t="n">
        <v>0</v>
      </c>
      <c r="N464" t="n">
        <v>0</v>
      </c>
      <c r="O464" t="n">
        <v>0</v>
      </c>
      <c r="P464" t="n">
        <v>0</v>
      </c>
      <c r="Q464" t="n">
        <v>0</v>
      </c>
      <c r="R464" s="2" t="inlineStr"/>
    </row>
    <row r="465" ht="15" customHeight="1">
      <c r="A465" t="inlineStr">
        <is>
          <t>A 61504-2022</t>
        </is>
      </c>
      <c r="B465" s="1" t="n">
        <v>44910</v>
      </c>
      <c r="C465" s="1" t="n">
        <v>46004</v>
      </c>
      <c r="D465" t="inlineStr">
        <is>
          <t>SKÅNE LÄN</t>
        </is>
      </c>
      <c r="E465" t="inlineStr">
        <is>
          <t>HÄSSLEHOLM</t>
        </is>
      </c>
      <c r="F465" t="inlineStr">
        <is>
          <t>Kyrkan</t>
        </is>
      </c>
      <c r="G465" t="n">
        <v>2.9</v>
      </c>
      <c r="H465" t="n">
        <v>0</v>
      </c>
      <c r="I465" t="n">
        <v>0</v>
      </c>
      <c r="J465" t="n">
        <v>0</v>
      </c>
      <c r="K465" t="n">
        <v>0</v>
      </c>
      <c r="L465" t="n">
        <v>0</v>
      </c>
      <c r="M465" t="n">
        <v>0</v>
      </c>
      <c r="N465" t="n">
        <v>0</v>
      </c>
      <c r="O465" t="n">
        <v>0</v>
      </c>
      <c r="P465" t="n">
        <v>0</v>
      </c>
      <c r="Q465" t="n">
        <v>0</v>
      </c>
      <c r="R465" s="2" t="inlineStr"/>
    </row>
    <row r="466" ht="15" customHeight="1">
      <c r="A466" t="inlineStr">
        <is>
          <t>A 61625-2022</t>
        </is>
      </c>
      <c r="B466" s="1" t="n">
        <v>44916</v>
      </c>
      <c r="C466" s="1" t="n">
        <v>46004</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69109-2020</t>
        </is>
      </c>
      <c r="B467" s="1" t="n">
        <v>44188</v>
      </c>
      <c r="C467" s="1" t="n">
        <v>46004</v>
      </c>
      <c r="D467" t="inlineStr">
        <is>
          <t>SKÅNE LÄN</t>
        </is>
      </c>
      <c r="E467" t="inlineStr">
        <is>
          <t>HÄSSLEHOLM</t>
        </is>
      </c>
      <c r="G467" t="n">
        <v>1.5</v>
      </c>
      <c r="H467" t="n">
        <v>0</v>
      </c>
      <c r="I467" t="n">
        <v>0</v>
      </c>
      <c r="J467" t="n">
        <v>0</v>
      </c>
      <c r="K467" t="n">
        <v>0</v>
      </c>
      <c r="L467" t="n">
        <v>0</v>
      </c>
      <c r="M467" t="n">
        <v>0</v>
      </c>
      <c r="N467" t="n">
        <v>0</v>
      </c>
      <c r="O467" t="n">
        <v>0</v>
      </c>
      <c r="P467" t="n">
        <v>0</v>
      </c>
      <c r="Q467" t="n">
        <v>0</v>
      </c>
      <c r="R467" s="2" t="inlineStr"/>
    </row>
    <row r="468" ht="15" customHeight="1">
      <c r="A468" t="inlineStr">
        <is>
          <t>A 38829-2024</t>
        </is>
      </c>
      <c r="B468" s="1" t="n">
        <v>45547.57247685185</v>
      </c>
      <c r="C468" s="1" t="n">
        <v>46004</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19739-2023</t>
        </is>
      </c>
      <c r="B469" s="1" t="n">
        <v>45051</v>
      </c>
      <c r="C469" s="1" t="n">
        <v>46004</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52968-2022</t>
        </is>
      </c>
      <c r="B470" s="1" t="n">
        <v>44875</v>
      </c>
      <c r="C470" s="1" t="n">
        <v>46004</v>
      </c>
      <c r="D470" t="inlineStr">
        <is>
          <t>SKÅNE LÄN</t>
        </is>
      </c>
      <c r="E470" t="inlineStr">
        <is>
          <t>HÄSSLEHOLM</t>
        </is>
      </c>
      <c r="G470" t="n">
        <v>2.6</v>
      </c>
      <c r="H470" t="n">
        <v>0</v>
      </c>
      <c r="I470" t="n">
        <v>0</v>
      </c>
      <c r="J470" t="n">
        <v>0</v>
      </c>
      <c r="K470" t="n">
        <v>0</v>
      </c>
      <c r="L470" t="n">
        <v>0</v>
      </c>
      <c r="M470" t="n">
        <v>0</v>
      </c>
      <c r="N470" t="n">
        <v>0</v>
      </c>
      <c r="O470" t="n">
        <v>0</v>
      </c>
      <c r="P470" t="n">
        <v>0</v>
      </c>
      <c r="Q470" t="n">
        <v>0</v>
      </c>
      <c r="R470" s="2" t="inlineStr"/>
    </row>
    <row r="471" ht="15" customHeight="1">
      <c r="A471" t="inlineStr">
        <is>
          <t>A 13890-2024</t>
        </is>
      </c>
      <c r="B471" s="1" t="n">
        <v>45391</v>
      </c>
      <c r="C471" s="1" t="n">
        <v>46004</v>
      </c>
      <c r="D471" t="inlineStr">
        <is>
          <t>SKÅNE LÄN</t>
        </is>
      </c>
      <c r="E471" t="inlineStr">
        <is>
          <t>HÄSSLEHOLM</t>
        </is>
      </c>
      <c r="F471" t="inlineStr">
        <is>
          <t>Kommuner</t>
        </is>
      </c>
      <c r="G471" t="n">
        <v>1.4</v>
      </c>
      <c r="H471" t="n">
        <v>0</v>
      </c>
      <c r="I471" t="n">
        <v>0</v>
      </c>
      <c r="J471" t="n">
        <v>0</v>
      </c>
      <c r="K471" t="n">
        <v>0</v>
      </c>
      <c r="L471" t="n">
        <v>0</v>
      </c>
      <c r="M471" t="n">
        <v>0</v>
      </c>
      <c r="N471" t="n">
        <v>0</v>
      </c>
      <c r="O471" t="n">
        <v>0</v>
      </c>
      <c r="P471" t="n">
        <v>0</v>
      </c>
      <c r="Q471" t="n">
        <v>0</v>
      </c>
      <c r="R471" s="2" t="inlineStr"/>
    </row>
    <row r="472" ht="15" customHeight="1">
      <c r="A472" t="inlineStr">
        <is>
          <t>A 55218-2023</t>
        </is>
      </c>
      <c r="B472" s="1" t="n">
        <v>45237</v>
      </c>
      <c r="C472" s="1" t="n">
        <v>46004</v>
      </c>
      <c r="D472" t="inlineStr">
        <is>
          <t>SKÅNE LÄN</t>
        </is>
      </c>
      <c r="E472" t="inlineStr">
        <is>
          <t>HÄSSLEHOLM</t>
        </is>
      </c>
      <c r="G472" t="n">
        <v>2</v>
      </c>
      <c r="H472" t="n">
        <v>0</v>
      </c>
      <c r="I472" t="n">
        <v>0</v>
      </c>
      <c r="J472" t="n">
        <v>0</v>
      </c>
      <c r="K472" t="n">
        <v>0</v>
      </c>
      <c r="L472" t="n">
        <v>0</v>
      </c>
      <c r="M472" t="n">
        <v>0</v>
      </c>
      <c r="N472" t="n">
        <v>0</v>
      </c>
      <c r="O472" t="n">
        <v>0</v>
      </c>
      <c r="P472" t="n">
        <v>0</v>
      </c>
      <c r="Q472" t="n">
        <v>0</v>
      </c>
      <c r="R472" s="2" t="inlineStr"/>
    </row>
    <row r="473" ht="15" customHeight="1">
      <c r="A473" t="inlineStr">
        <is>
          <t>A 64884-2023</t>
        </is>
      </c>
      <c r="B473" s="1" t="n">
        <v>45282.57809027778</v>
      </c>
      <c r="C473" s="1" t="n">
        <v>46004</v>
      </c>
      <c r="D473" t="inlineStr">
        <is>
          <t>SKÅNE LÄN</t>
        </is>
      </c>
      <c r="E473" t="inlineStr">
        <is>
          <t>HÄSSLEHOLM</t>
        </is>
      </c>
      <c r="G473" t="n">
        <v>4.6</v>
      </c>
      <c r="H473" t="n">
        <v>0</v>
      </c>
      <c r="I473" t="n">
        <v>0</v>
      </c>
      <c r="J473" t="n">
        <v>0</v>
      </c>
      <c r="K473" t="n">
        <v>0</v>
      </c>
      <c r="L473" t="n">
        <v>0</v>
      </c>
      <c r="M473" t="n">
        <v>0</v>
      </c>
      <c r="N473" t="n">
        <v>0</v>
      </c>
      <c r="O473" t="n">
        <v>0</v>
      </c>
      <c r="P473" t="n">
        <v>0</v>
      </c>
      <c r="Q473" t="n">
        <v>0</v>
      </c>
      <c r="R473" s="2" t="inlineStr"/>
    </row>
    <row r="474" ht="15" customHeight="1">
      <c r="A474" t="inlineStr">
        <is>
          <t>A 46288-2023</t>
        </is>
      </c>
      <c r="B474" s="1" t="n">
        <v>45197.30221064815</v>
      </c>
      <c r="C474" s="1" t="n">
        <v>46004</v>
      </c>
      <c r="D474" t="inlineStr">
        <is>
          <t>SKÅNE LÄN</t>
        </is>
      </c>
      <c r="E474" t="inlineStr">
        <is>
          <t>HÄSSLEHOLM</t>
        </is>
      </c>
      <c r="G474" t="n">
        <v>3</v>
      </c>
      <c r="H474" t="n">
        <v>0</v>
      </c>
      <c r="I474" t="n">
        <v>0</v>
      </c>
      <c r="J474" t="n">
        <v>0</v>
      </c>
      <c r="K474" t="n">
        <v>0</v>
      </c>
      <c r="L474" t="n">
        <v>0</v>
      </c>
      <c r="M474" t="n">
        <v>0</v>
      </c>
      <c r="N474" t="n">
        <v>0</v>
      </c>
      <c r="O474" t="n">
        <v>0</v>
      </c>
      <c r="P474" t="n">
        <v>0</v>
      </c>
      <c r="Q474" t="n">
        <v>0</v>
      </c>
      <c r="R474" s="2" t="inlineStr"/>
    </row>
    <row r="475" ht="15" customHeight="1">
      <c r="A475" t="inlineStr">
        <is>
          <t>A 50664-2023</t>
        </is>
      </c>
      <c r="B475" s="1" t="n">
        <v>45217</v>
      </c>
      <c r="C475" s="1" t="n">
        <v>46004</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59763-2022</t>
        </is>
      </c>
      <c r="B476" s="1" t="n">
        <v>44900</v>
      </c>
      <c r="C476" s="1" t="n">
        <v>46004</v>
      </c>
      <c r="D476" t="inlineStr">
        <is>
          <t>SKÅNE LÄN</t>
        </is>
      </c>
      <c r="E476" t="inlineStr">
        <is>
          <t>HÄSSLEHOLM</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48112-2024</t>
        </is>
      </c>
      <c r="B477" s="1" t="n">
        <v>45589.6295949074</v>
      </c>
      <c r="C477" s="1" t="n">
        <v>46004</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3364-2023</t>
        </is>
      </c>
      <c r="B478" s="1" t="n">
        <v>44949</v>
      </c>
      <c r="C478" s="1" t="n">
        <v>46004</v>
      </c>
      <c r="D478" t="inlineStr">
        <is>
          <t>SKÅNE LÄN</t>
        </is>
      </c>
      <c r="E478" t="inlineStr">
        <is>
          <t>HÄSSLEHOLM</t>
        </is>
      </c>
      <c r="G478" t="n">
        <v>5.1</v>
      </c>
      <c r="H478" t="n">
        <v>0</v>
      </c>
      <c r="I478" t="n">
        <v>0</v>
      </c>
      <c r="J478" t="n">
        <v>0</v>
      </c>
      <c r="K478" t="n">
        <v>0</v>
      </c>
      <c r="L478" t="n">
        <v>0</v>
      </c>
      <c r="M478" t="n">
        <v>0</v>
      </c>
      <c r="N478" t="n">
        <v>0</v>
      </c>
      <c r="O478" t="n">
        <v>0</v>
      </c>
      <c r="P478" t="n">
        <v>0</v>
      </c>
      <c r="Q478" t="n">
        <v>0</v>
      </c>
      <c r="R478" s="2" t="inlineStr"/>
    </row>
    <row r="479" ht="15" customHeight="1">
      <c r="A479" t="inlineStr">
        <is>
          <t>A 49106-2023</t>
        </is>
      </c>
      <c r="B479" s="1" t="n">
        <v>45210</v>
      </c>
      <c r="C479" s="1" t="n">
        <v>46004</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6310-2025</t>
        </is>
      </c>
      <c r="B480" s="1" t="n">
        <v>45698</v>
      </c>
      <c r="C480" s="1" t="n">
        <v>46004</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52642-2021</t>
        </is>
      </c>
      <c r="B481" s="1" t="n">
        <v>44466.64298611111</v>
      </c>
      <c r="C481" s="1" t="n">
        <v>46004</v>
      </c>
      <c r="D481" t="inlineStr">
        <is>
          <t>SKÅNE LÄN</t>
        </is>
      </c>
      <c r="E481" t="inlineStr">
        <is>
          <t>HÄSSLEHOLM</t>
        </is>
      </c>
      <c r="G481" t="n">
        <v>3.7</v>
      </c>
      <c r="H481" t="n">
        <v>0</v>
      </c>
      <c r="I481" t="n">
        <v>0</v>
      </c>
      <c r="J481" t="n">
        <v>0</v>
      </c>
      <c r="K481" t="n">
        <v>0</v>
      </c>
      <c r="L481" t="n">
        <v>0</v>
      </c>
      <c r="M481" t="n">
        <v>0</v>
      </c>
      <c r="N481" t="n">
        <v>0</v>
      </c>
      <c r="O481" t="n">
        <v>0</v>
      </c>
      <c r="P481" t="n">
        <v>0</v>
      </c>
      <c r="Q481" t="n">
        <v>0</v>
      </c>
      <c r="R481" s="2" t="inlineStr"/>
    </row>
    <row r="482" ht="15" customHeight="1">
      <c r="A482" t="inlineStr">
        <is>
          <t>A 10409-2024</t>
        </is>
      </c>
      <c r="B482" s="1" t="n">
        <v>45365.6978125</v>
      </c>
      <c r="C482" s="1" t="n">
        <v>46004</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47248-2023</t>
        </is>
      </c>
      <c r="B483" s="1" t="n">
        <v>45202</v>
      </c>
      <c r="C483" s="1" t="n">
        <v>46004</v>
      </c>
      <c r="D483" t="inlineStr">
        <is>
          <t>SKÅNE LÄN</t>
        </is>
      </c>
      <c r="E483" t="inlineStr">
        <is>
          <t>HÄSSLEHOLM</t>
        </is>
      </c>
      <c r="G483" t="n">
        <v>1.5</v>
      </c>
      <c r="H483" t="n">
        <v>0</v>
      </c>
      <c r="I483" t="n">
        <v>0</v>
      </c>
      <c r="J483" t="n">
        <v>0</v>
      </c>
      <c r="K483" t="n">
        <v>0</v>
      </c>
      <c r="L483" t="n">
        <v>0</v>
      </c>
      <c r="M483" t="n">
        <v>0</v>
      </c>
      <c r="N483" t="n">
        <v>0</v>
      </c>
      <c r="O483" t="n">
        <v>0</v>
      </c>
      <c r="P483" t="n">
        <v>0</v>
      </c>
      <c r="Q483" t="n">
        <v>0</v>
      </c>
      <c r="R483" s="2" t="inlineStr"/>
    </row>
    <row r="484" ht="15" customHeight="1">
      <c r="A484" t="inlineStr">
        <is>
          <t>A 42428-2022</t>
        </is>
      </c>
      <c r="B484" s="1" t="n">
        <v>44831</v>
      </c>
      <c r="C484" s="1" t="n">
        <v>46004</v>
      </c>
      <c r="D484" t="inlineStr">
        <is>
          <t>SKÅNE LÄN</t>
        </is>
      </c>
      <c r="E484" t="inlineStr">
        <is>
          <t>HÄSSLEHOLM</t>
        </is>
      </c>
      <c r="G484" t="n">
        <v>2.8</v>
      </c>
      <c r="H484" t="n">
        <v>0</v>
      </c>
      <c r="I484" t="n">
        <v>0</v>
      </c>
      <c r="J484" t="n">
        <v>0</v>
      </c>
      <c r="K484" t="n">
        <v>0</v>
      </c>
      <c r="L484" t="n">
        <v>0</v>
      </c>
      <c r="M484" t="n">
        <v>0</v>
      </c>
      <c r="N484" t="n">
        <v>0</v>
      </c>
      <c r="O484" t="n">
        <v>0</v>
      </c>
      <c r="P484" t="n">
        <v>0</v>
      </c>
      <c r="Q484" t="n">
        <v>0</v>
      </c>
      <c r="R484" s="2" t="inlineStr"/>
    </row>
    <row r="485" ht="15" customHeight="1">
      <c r="A485" t="inlineStr">
        <is>
          <t>A 20990-2023</t>
        </is>
      </c>
      <c r="B485" s="1" t="n">
        <v>45061.46186342592</v>
      </c>
      <c r="C485" s="1" t="n">
        <v>46004</v>
      </c>
      <c r="D485" t="inlineStr">
        <is>
          <t>SKÅNE LÄN</t>
        </is>
      </c>
      <c r="E485" t="inlineStr">
        <is>
          <t>HÄSSLEHOLM</t>
        </is>
      </c>
      <c r="G485" t="n">
        <v>2.8</v>
      </c>
      <c r="H485" t="n">
        <v>0</v>
      </c>
      <c r="I485" t="n">
        <v>0</v>
      </c>
      <c r="J485" t="n">
        <v>0</v>
      </c>
      <c r="K485" t="n">
        <v>0</v>
      </c>
      <c r="L485" t="n">
        <v>0</v>
      </c>
      <c r="M485" t="n">
        <v>0</v>
      </c>
      <c r="N485" t="n">
        <v>0</v>
      </c>
      <c r="O485" t="n">
        <v>0</v>
      </c>
      <c r="P485" t="n">
        <v>0</v>
      </c>
      <c r="Q485" t="n">
        <v>0</v>
      </c>
      <c r="R485" s="2" t="inlineStr"/>
    </row>
    <row r="486" ht="15" customHeight="1">
      <c r="A486" t="inlineStr">
        <is>
          <t>A 15562-2024</t>
        </is>
      </c>
      <c r="B486" s="1" t="n">
        <v>45401.64975694445</v>
      </c>
      <c r="C486" s="1" t="n">
        <v>46004</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16474-2025</t>
        </is>
      </c>
      <c r="B487" s="1" t="n">
        <v>45751.56834490741</v>
      </c>
      <c r="C487" s="1" t="n">
        <v>46004</v>
      </c>
      <c r="D487" t="inlineStr">
        <is>
          <t>SKÅNE LÄN</t>
        </is>
      </c>
      <c r="E487" t="inlineStr">
        <is>
          <t>HÄSSLEHOLM</t>
        </is>
      </c>
      <c r="G487" t="n">
        <v>5.9</v>
      </c>
      <c r="H487" t="n">
        <v>0</v>
      </c>
      <c r="I487" t="n">
        <v>0</v>
      </c>
      <c r="J487" t="n">
        <v>0</v>
      </c>
      <c r="K487" t="n">
        <v>0</v>
      </c>
      <c r="L487" t="n">
        <v>0</v>
      </c>
      <c r="M487" t="n">
        <v>0</v>
      </c>
      <c r="N487" t="n">
        <v>0</v>
      </c>
      <c r="O487" t="n">
        <v>0</v>
      </c>
      <c r="P487" t="n">
        <v>0</v>
      </c>
      <c r="Q487" t="n">
        <v>0</v>
      </c>
      <c r="R487" s="2" t="inlineStr"/>
    </row>
    <row r="488" ht="15" customHeight="1">
      <c r="A488" t="inlineStr">
        <is>
          <t>A 62171-2022</t>
        </is>
      </c>
      <c r="B488" s="1" t="n">
        <v>44915</v>
      </c>
      <c r="C488" s="1" t="n">
        <v>46004</v>
      </c>
      <c r="D488" t="inlineStr">
        <is>
          <t>SKÅNE LÄN</t>
        </is>
      </c>
      <c r="E488" t="inlineStr">
        <is>
          <t>HÄSSLEHOLM</t>
        </is>
      </c>
      <c r="F488" t="inlineStr">
        <is>
          <t>Kyrkan</t>
        </is>
      </c>
      <c r="G488" t="n">
        <v>9</v>
      </c>
      <c r="H488" t="n">
        <v>0</v>
      </c>
      <c r="I488" t="n">
        <v>0</v>
      </c>
      <c r="J488" t="n">
        <v>0</v>
      </c>
      <c r="K488" t="n">
        <v>0</v>
      </c>
      <c r="L488" t="n">
        <v>0</v>
      </c>
      <c r="M488" t="n">
        <v>0</v>
      </c>
      <c r="N488" t="n">
        <v>0</v>
      </c>
      <c r="O488" t="n">
        <v>0</v>
      </c>
      <c r="P488" t="n">
        <v>0</v>
      </c>
      <c r="Q488" t="n">
        <v>0</v>
      </c>
      <c r="R488" s="2" t="inlineStr"/>
    </row>
    <row r="489" ht="15" customHeight="1">
      <c r="A489" t="inlineStr">
        <is>
          <t>A 48097-2024</t>
        </is>
      </c>
      <c r="B489" s="1" t="n">
        <v>45589.61413194444</v>
      </c>
      <c r="C489" s="1" t="n">
        <v>46004</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60846-2022</t>
        </is>
      </c>
      <c r="B490" s="1" t="n">
        <v>44914</v>
      </c>
      <c r="C490" s="1" t="n">
        <v>46004</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54171-2022</t>
        </is>
      </c>
      <c r="B491" s="1" t="n">
        <v>44881</v>
      </c>
      <c r="C491" s="1" t="n">
        <v>46004</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42776-2021</t>
        </is>
      </c>
      <c r="B492" s="1" t="n">
        <v>44428</v>
      </c>
      <c r="C492" s="1" t="n">
        <v>46004</v>
      </c>
      <c r="D492" t="inlineStr">
        <is>
          <t>SKÅNE LÄN</t>
        </is>
      </c>
      <c r="E492" t="inlineStr">
        <is>
          <t>HÄSSLEHOLM</t>
        </is>
      </c>
      <c r="G492" t="n">
        <v>3.2</v>
      </c>
      <c r="H492" t="n">
        <v>0</v>
      </c>
      <c r="I492" t="n">
        <v>0</v>
      </c>
      <c r="J492" t="n">
        <v>0</v>
      </c>
      <c r="K492" t="n">
        <v>0</v>
      </c>
      <c r="L492" t="n">
        <v>0</v>
      </c>
      <c r="M492" t="n">
        <v>0</v>
      </c>
      <c r="N492" t="n">
        <v>0</v>
      </c>
      <c r="O492" t="n">
        <v>0</v>
      </c>
      <c r="P492" t="n">
        <v>0</v>
      </c>
      <c r="Q492" t="n">
        <v>0</v>
      </c>
      <c r="R492" s="2" t="inlineStr"/>
    </row>
    <row r="493" ht="15" customHeight="1">
      <c r="A493" t="inlineStr">
        <is>
          <t>A 57277-2023</t>
        </is>
      </c>
      <c r="B493" s="1" t="n">
        <v>45245.59104166667</v>
      </c>
      <c r="C493" s="1" t="n">
        <v>46004</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56956-2024</t>
        </is>
      </c>
      <c r="B494" s="1" t="n">
        <v>45626</v>
      </c>
      <c r="C494" s="1" t="n">
        <v>46004</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1344-2021</t>
        </is>
      </c>
      <c r="B495" s="1" t="n">
        <v>44208</v>
      </c>
      <c r="C495" s="1" t="n">
        <v>46004</v>
      </c>
      <c r="D495" t="inlineStr">
        <is>
          <t>SKÅNE LÄN</t>
        </is>
      </c>
      <c r="E495" t="inlineStr">
        <is>
          <t>HÄSSLEHOLM</t>
        </is>
      </c>
      <c r="G495" t="n">
        <v>1.3</v>
      </c>
      <c r="H495" t="n">
        <v>0</v>
      </c>
      <c r="I495" t="n">
        <v>0</v>
      </c>
      <c r="J495" t="n">
        <v>0</v>
      </c>
      <c r="K495" t="n">
        <v>0</v>
      </c>
      <c r="L495" t="n">
        <v>0</v>
      </c>
      <c r="M495" t="n">
        <v>0</v>
      </c>
      <c r="N495" t="n">
        <v>0</v>
      </c>
      <c r="O495" t="n">
        <v>0</v>
      </c>
      <c r="P495" t="n">
        <v>0</v>
      </c>
      <c r="Q495" t="n">
        <v>0</v>
      </c>
      <c r="R495" s="2" t="inlineStr"/>
    </row>
    <row r="496" ht="15" customHeight="1">
      <c r="A496" t="inlineStr">
        <is>
          <t>A 28071-2023</t>
        </is>
      </c>
      <c r="B496" s="1" t="n">
        <v>45099.37755787037</v>
      </c>
      <c r="C496" s="1" t="n">
        <v>46004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18648-2021</t>
        </is>
      </c>
      <c r="B497" s="1" t="n">
        <v>44306.70583333333</v>
      </c>
      <c r="C497" s="1" t="n">
        <v>46004</v>
      </c>
      <c r="D497" t="inlineStr">
        <is>
          <t>SKÅNE LÄN</t>
        </is>
      </c>
      <c r="E497" t="inlineStr">
        <is>
          <t>HÄSSLEHOLM</t>
        </is>
      </c>
      <c r="G497" t="n">
        <v>2.5</v>
      </c>
      <c r="H497" t="n">
        <v>0</v>
      </c>
      <c r="I497" t="n">
        <v>0</v>
      </c>
      <c r="J497" t="n">
        <v>0</v>
      </c>
      <c r="K497" t="n">
        <v>0</v>
      </c>
      <c r="L497" t="n">
        <v>0</v>
      </c>
      <c r="M497" t="n">
        <v>0</v>
      </c>
      <c r="N497" t="n">
        <v>0</v>
      </c>
      <c r="O497" t="n">
        <v>0</v>
      </c>
      <c r="P497" t="n">
        <v>0</v>
      </c>
      <c r="Q497" t="n">
        <v>0</v>
      </c>
      <c r="R497" s="2" t="inlineStr"/>
    </row>
    <row r="498" ht="15" customHeight="1">
      <c r="A498" t="inlineStr">
        <is>
          <t>A 23946-2023</t>
        </is>
      </c>
      <c r="B498" s="1" t="n">
        <v>45078.61601851852</v>
      </c>
      <c r="C498" s="1" t="n">
        <v>46004</v>
      </c>
      <c r="D498" t="inlineStr">
        <is>
          <t>SKÅNE LÄN</t>
        </is>
      </c>
      <c r="E498" t="inlineStr">
        <is>
          <t>HÄSSLEHOLM</t>
        </is>
      </c>
      <c r="G498" t="n">
        <v>0.2</v>
      </c>
      <c r="H498" t="n">
        <v>0</v>
      </c>
      <c r="I498" t="n">
        <v>0</v>
      </c>
      <c r="J498" t="n">
        <v>0</v>
      </c>
      <c r="K498" t="n">
        <v>0</v>
      </c>
      <c r="L498" t="n">
        <v>0</v>
      </c>
      <c r="M498" t="n">
        <v>0</v>
      </c>
      <c r="N498" t="n">
        <v>0</v>
      </c>
      <c r="O498" t="n">
        <v>0</v>
      </c>
      <c r="P498" t="n">
        <v>0</v>
      </c>
      <c r="Q498" t="n">
        <v>0</v>
      </c>
      <c r="R498" s="2" t="inlineStr"/>
    </row>
    <row r="499" ht="15" customHeight="1">
      <c r="A499" t="inlineStr">
        <is>
          <t>A 41459-2022</t>
        </is>
      </c>
      <c r="B499" s="1" t="n">
        <v>44826.93372685185</v>
      </c>
      <c r="C499" s="1" t="n">
        <v>46004</v>
      </c>
      <c r="D499" t="inlineStr">
        <is>
          <t>SKÅNE LÄN</t>
        </is>
      </c>
      <c r="E499" t="inlineStr">
        <is>
          <t>HÄSSLEHOLM</t>
        </is>
      </c>
      <c r="G499" t="n">
        <v>2.3</v>
      </c>
      <c r="H499" t="n">
        <v>0</v>
      </c>
      <c r="I499" t="n">
        <v>0</v>
      </c>
      <c r="J499" t="n">
        <v>0</v>
      </c>
      <c r="K499" t="n">
        <v>0</v>
      </c>
      <c r="L499" t="n">
        <v>0</v>
      </c>
      <c r="M499" t="n">
        <v>0</v>
      </c>
      <c r="N499" t="n">
        <v>0</v>
      </c>
      <c r="O499" t="n">
        <v>0</v>
      </c>
      <c r="P499" t="n">
        <v>0</v>
      </c>
      <c r="Q499" t="n">
        <v>0</v>
      </c>
      <c r="R499" s="2" t="inlineStr"/>
    </row>
    <row r="500" ht="15" customHeight="1">
      <c r="A500" t="inlineStr">
        <is>
          <t>A 9885-2021</t>
        </is>
      </c>
      <c r="B500" s="1" t="n">
        <v>44253</v>
      </c>
      <c r="C500" s="1" t="n">
        <v>46004</v>
      </c>
      <c r="D500" t="inlineStr">
        <is>
          <t>SKÅNE LÄN</t>
        </is>
      </c>
      <c r="E500" t="inlineStr">
        <is>
          <t>HÄSSLEHOLM</t>
        </is>
      </c>
      <c r="G500" t="n">
        <v>2.4</v>
      </c>
      <c r="H500" t="n">
        <v>0</v>
      </c>
      <c r="I500" t="n">
        <v>0</v>
      </c>
      <c r="J500" t="n">
        <v>0</v>
      </c>
      <c r="K500" t="n">
        <v>0</v>
      </c>
      <c r="L500" t="n">
        <v>0</v>
      </c>
      <c r="M500" t="n">
        <v>0</v>
      </c>
      <c r="N500" t="n">
        <v>0</v>
      </c>
      <c r="O500" t="n">
        <v>0</v>
      </c>
      <c r="P500" t="n">
        <v>0</v>
      </c>
      <c r="Q500" t="n">
        <v>0</v>
      </c>
      <c r="R500" s="2" t="inlineStr"/>
    </row>
    <row r="501" ht="15" customHeight="1">
      <c r="A501" t="inlineStr">
        <is>
          <t>A 14700-2023</t>
        </is>
      </c>
      <c r="B501" s="1" t="n">
        <v>45014.38376157408</v>
      </c>
      <c r="C501" s="1" t="n">
        <v>46004</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39915-2023</t>
        </is>
      </c>
      <c r="B502" s="1" t="n">
        <v>45168.4684375</v>
      </c>
      <c r="C502" s="1" t="n">
        <v>46004</v>
      </c>
      <c r="D502" t="inlineStr">
        <is>
          <t>SKÅNE LÄN</t>
        </is>
      </c>
      <c r="E502" t="inlineStr">
        <is>
          <t>HÄSSLEHOLM</t>
        </is>
      </c>
      <c r="G502" t="n">
        <v>0.4</v>
      </c>
      <c r="H502" t="n">
        <v>0</v>
      </c>
      <c r="I502" t="n">
        <v>0</v>
      </c>
      <c r="J502" t="n">
        <v>0</v>
      </c>
      <c r="K502" t="n">
        <v>0</v>
      </c>
      <c r="L502" t="n">
        <v>0</v>
      </c>
      <c r="M502" t="n">
        <v>0</v>
      </c>
      <c r="N502" t="n">
        <v>0</v>
      </c>
      <c r="O502" t="n">
        <v>0</v>
      </c>
      <c r="P502" t="n">
        <v>0</v>
      </c>
      <c r="Q502" t="n">
        <v>0</v>
      </c>
      <c r="R502" s="2" t="inlineStr"/>
    </row>
    <row r="503" ht="15" customHeight="1">
      <c r="A503" t="inlineStr">
        <is>
          <t>A 20058-2023</t>
        </is>
      </c>
      <c r="B503" s="1" t="n">
        <v>45054.68476851852</v>
      </c>
      <c r="C503" s="1" t="n">
        <v>46004</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29847-2024</t>
        </is>
      </c>
      <c r="B504" s="1" t="n">
        <v>45485.6278587963</v>
      </c>
      <c r="C504" s="1" t="n">
        <v>46004</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8619-2023</t>
        </is>
      </c>
      <c r="B505" s="1" t="n">
        <v>44977.81979166667</v>
      </c>
      <c r="C505" s="1" t="n">
        <v>46004</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9543-2025</t>
        </is>
      </c>
      <c r="B506" s="1" t="n">
        <v>45715</v>
      </c>
      <c r="C506" s="1" t="n">
        <v>46004</v>
      </c>
      <c r="D506" t="inlineStr">
        <is>
          <t>SKÅNE LÄN</t>
        </is>
      </c>
      <c r="E506" t="inlineStr">
        <is>
          <t>HÄSSLEHOLM</t>
        </is>
      </c>
      <c r="G506" t="n">
        <v>2.6</v>
      </c>
      <c r="H506" t="n">
        <v>0</v>
      </c>
      <c r="I506" t="n">
        <v>0</v>
      </c>
      <c r="J506" t="n">
        <v>0</v>
      </c>
      <c r="K506" t="n">
        <v>0</v>
      </c>
      <c r="L506" t="n">
        <v>0</v>
      </c>
      <c r="M506" t="n">
        <v>0</v>
      </c>
      <c r="N506" t="n">
        <v>0</v>
      </c>
      <c r="O506" t="n">
        <v>0</v>
      </c>
      <c r="P506" t="n">
        <v>0</v>
      </c>
      <c r="Q506" t="n">
        <v>0</v>
      </c>
      <c r="R506" s="2" t="inlineStr"/>
    </row>
    <row r="507" ht="15" customHeight="1">
      <c r="A507" t="inlineStr">
        <is>
          <t>A 35150-2023</t>
        </is>
      </c>
      <c r="B507" s="1" t="n">
        <v>45145</v>
      </c>
      <c r="C507" s="1" t="n">
        <v>46004</v>
      </c>
      <c r="D507" t="inlineStr">
        <is>
          <t>SKÅNE LÄN</t>
        </is>
      </c>
      <c r="E507" t="inlineStr">
        <is>
          <t>HÄSSLEHOLM</t>
        </is>
      </c>
      <c r="G507" t="n">
        <v>4.9</v>
      </c>
      <c r="H507" t="n">
        <v>0</v>
      </c>
      <c r="I507" t="n">
        <v>0</v>
      </c>
      <c r="J507" t="n">
        <v>0</v>
      </c>
      <c r="K507" t="n">
        <v>0</v>
      </c>
      <c r="L507" t="n">
        <v>0</v>
      </c>
      <c r="M507" t="n">
        <v>0</v>
      </c>
      <c r="N507" t="n">
        <v>0</v>
      </c>
      <c r="O507" t="n">
        <v>0</v>
      </c>
      <c r="P507" t="n">
        <v>0</v>
      </c>
      <c r="Q507" t="n">
        <v>0</v>
      </c>
      <c r="R507" s="2" t="inlineStr"/>
    </row>
    <row r="508" ht="15" customHeight="1">
      <c r="A508" t="inlineStr">
        <is>
          <t>A 35711-2024</t>
        </is>
      </c>
      <c r="B508" s="1" t="n">
        <v>45532</v>
      </c>
      <c r="C508" s="1" t="n">
        <v>46004</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53067-2022</t>
        </is>
      </c>
      <c r="B509" s="1" t="n">
        <v>44873</v>
      </c>
      <c r="C509" s="1" t="n">
        <v>46004</v>
      </c>
      <c r="D509" t="inlineStr">
        <is>
          <t>SKÅNE LÄN</t>
        </is>
      </c>
      <c r="E509" t="inlineStr">
        <is>
          <t>HÄSSLEHOLM</t>
        </is>
      </c>
      <c r="G509" t="n">
        <v>1.2</v>
      </c>
      <c r="H509" t="n">
        <v>0</v>
      </c>
      <c r="I509" t="n">
        <v>0</v>
      </c>
      <c r="J509" t="n">
        <v>0</v>
      </c>
      <c r="K509" t="n">
        <v>0</v>
      </c>
      <c r="L509" t="n">
        <v>0</v>
      </c>
      <c r="M509" t="n">
        <v>0</v>
      </c>
      <c r="N509" t="n">
        <v>0</v>
      </c>
      <c r="O509" t="n">
        <v>0</v>
      </c>
      <c r="P509" t="n">
        <v>0</v>
      </c>
      <c r="Q509" t="n">
        <v>0</v>
      </c>
      <c r="R509" s="2" t="inlineStr"/>
    </row>
    <row r="510" ht="15" customHeight="1">
      <c r="A510" t="inlineStr">
        <is>
          <t>A 3349-2023</t>
        </is>
      </c>
      <c r="B510" s="1" t="n">
        <v>44949</v>
      </c>
      <c r="C510" s="1" t="n">
        <v>46004</v>
      </c>
      <c r="D510" t="inlineStr">
        <is>
          <t>SKÅNE LÄN</t>
        </is>
      </c>
      <c r="E510" t="inlineStr">
        <is>
          <t>HÄSSLEHOLM</t>
        </is>
      </c>
      <c r="G510" t="n">
        <v>2.3</v>
      </c>
      <c r="H510" t="n">
        <v>0</v>
      </c>
      <c r="I510" t="n">
        <v>0</v>
      </c>
      <c r="J510" t="n">
        <v>0</v>
      </c>
      <c r="K510" t="n">
        <v>0</v>
      </c>
      <c r="L510" t="n">
        <v>0</v>
      </c>
      <c r="M510" t="n">
        <v>0</v>
      </c>
      <c r="N510" t="n">
        <v>0</v>
      </c>
      <c r="O510" t="n">
        <v>0</v>
      </c>
      <c r="P510" t="n">
        <v>0</v>
      </c>
      <c r="Q510" t="n">
        <v>0</v>
      </c>
      <c r="R510" s="2" t="inlineStr"/>
    </row>
    <row r="511" ht="15" customHeight="1">
      <c r="A511" t="inlineStr">
        <is>
          <t>A 56490-2021</t>
        </is>
      </c>
      <c r="B511" s="1" t="n">
        <v>44480</v>
      </c>
      <c r="C511" s="1" t="n">
        <v>46004</v>
      </c>
      <c r="D511" t="inlineStr">
        <is>
          <t>SKÅNE LÄN</t>
        </is>
      </c>
      <c r="E511" t="inlineStr">
        <is>
          <t>HÄSSLEHOLM</t>
        </is>
      </c>
      <c r="F511" t="inlineStr">
        <is>
          <t>Kyrkan</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18041-2023</t>
        </is>
      </c>
      <c r="B512" s="1" t="n">
        <v>45040</v>
      </c>
      <c r="C512" s="1" t="n">
        <v>46004</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22384-2024</t>
        </is>
      </c>
      <c r="B513" s="1" t="n">
        <v>45446.65592592592</v>
      </c>
      <c r="C513" s="1" t="n">
        <v>46004</v>
      </c>
      <c r="D513" t="inlineStr">
        <is>
          <t>SKÅNE LÄN</t>
        </is>
      </c>
      <c r="E513" t="inlineStr">
        <is>
          <t>HÄSSLEHOLM</t>
        </is>
      </c>
      <c r="G513" t="n">
        <v>2.4</v>
      </c>
      <c r="H513" t="n">
        <v>0</v>
      </c>
      <c r="I513" t="n">
        <v>0</v>
      </c>
      <c r="J513" t="n">
        <v>0</v>
      </c>
      <c r="K513" t="n">
        <v>0</v>
      </c>
      <c r="L513" t="n">
        <v>0</v>
      </c>
      <c r="M513" t="n">
        <v>0</v>
      </c>
      <c r="N513" t="n">
        <v>0</v>
      </c>
      <c r="O513" t="n">
        <v>0</v>
      </c>
      <c r="P513" t="n">
        <v>0</v>
      </c>
      <c r="Q513" t="n">
        <v>0</v>
      </c>
      <c r="R513" s="2" t="inlineStr"/>
    </row>
    <row r="514" ht="15" customHeight="1">
      <c r="A514" t="inlineStr">
        <is>
          <t>A 49250-2022</t>
        </is>
      </c>
      <c r="B514" s="1" t="n">
        <v>44858</v>
      </c>
      <c r="C514" s="1" t="n">
        <v>46004</v>
      </c>
      <c r="D514" t="inlineStr">
        <is>
          <t>SKÅNE LÄN</t>
        </is>
      </c>
      <c r="E514" t="inlineStr">
        <is>
          <t>HÄSSLEHOLM</t>
        </is>
      </c>
      <c r="F514" t="inlineStr">
        <is>
          <t>Kyrkan</t>
        </is>
      </c>
      <c r="G514" t="n">
        <v>1.5</v>
      </c>
      <c r="H514" t="n">
        <v>0</v>
      </c>
      <c r="I514" t="n">
        <v>0</v>
      </c>
      <c r="J514" t="n">
        <v>0</v>
      </c>
      <c r="K514" t="n">
        <v>0</v>
      </c>
      <c r="L514" t="n">
        <v>0</v>
      </c>
      <c r="M514" t="n">
        <v>0</v>
      </c>
      <c r="N514" t="n">
        <v>0</v>
      </c>
      <c r="O514" t="n">
        <v>0</v>
      </c>
      <c r="P514" t="n">
        <v>0</v>
      </c>
      <c r="Q514" t="n">
        <v>0</v>
      </c>
      <c r="R514" s="2" t="inlineStr"/>
    </row>
    <row r="515" ht="15" customHeight="1">
      <c r="A515" t="inlineStr">
        <is>
          <t>A 27197-2021</t>
        </is>
      </c>
      <c r="B515" s="1" t="n">
        <v>44350</v>
      </c>
      <c r="C515" s="1" t="n">
        <v>46004</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45222-2023</t>
        </is>
      </c>
      <c r="B516" s="1" t="n">
        <v>45191</v>
      </c>
      <c r="C516" s="1" t="n">
        <v>46004</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35890-2023</t>
        </is>
      </c>
      <c r="B517" s="1" t="n">
        <v>45148</v>
      </c>
      <c r="C517" s="1" t="n">
        <v>46004</v>
      </c>
      <c r="D517" t="inlineStr">
        <is>
          <t>SKÅNE LÄN</t>
        </is>
      </c>
      <c r="E517" t="inlineStr">
        <is>
          <t>HÄSSLEHOLM</t>
        </is>
      </c>
      <c r="G517" t="n">
        <v>2</v>
      </c>
      <c r="H517" t="n">
        <v>0</v>
      </c>
      <c r="I517" t="n">
        <v>0</v>
      </c>
      <c r="J517" t="n">
        <v>0</v>
      </c>
      <c r="K517" t="n">
        <v>0</v>
      </c>
      <c r="L517" t="n">
        <v>0</v>
      </c>
      <c r="M517" t="n">
        <v>0</v>
      </c>
      <c r="N517" t="n">
        <v>0</v>
      </c>
      <c r="O517" t="n">
        <v>0</v>
      </c>
      <c r="P517" t="n">
        <v>0</v>
      </c>
      <c r="Q517" t="n">
        <v>0</v>
      </c>
      <c r="R517" s="2" t="inlineStr"/>
    </row>
    <row r="518" ht="15" customHeight="1">
      <c r="A518" t="inlineStr">
        <is>
          <t>A 35895-2023</t>
        </is>
      </c>
      <c r="B518" s="1" t="n">
        <v>45148</v>
      </c>
      <c r="C518" s="1" t="n">
        <v>46004</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61569-2023</t>
        </is>
      </c>
      <c r="B519" s="1" t="n">
        <v>45265</v>
      </c>
      <c r="C519" s="1" t="n">
        <v>46004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44463.60085648148</v>
      </c>
      <c r="C520" s="1" t="n">
        <v>46004</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51571-2023</t>
        </is>
      </c>
      <c r="B521" s="1" t="n">
        <v>45222</v>
      </c>
      <c r="C521" s="1" t="n">
        <v>46004</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46185-2022</t>
        </is>
      </c>
      <c r="B522" s="1" t="n">
        <v>44847</v>
      </c>
      <c r="C522" s="1" t="n">
        <v>46004</v>
      </c>
      <c r="D522" t="inlineStr">
        <is>
          <t>SKÅNE LÄN</t>
        </is>
      </c>
      <c r="E522" t="inlineStr">
        <is>
          <t>HÄSSLEHOLM</t>
        </is>
      </c>
      <c r="G522" t="n">
        <v>16.8</v>
      </c>
      <c r="H522" t="n">
        <v>0</v>
      </c>
      <c r="I522" t="n">
        <v>0</v>
      </c>
      <c r="J522" t="n">
        <v>0</v>
      </c>
      <c r="K522" t="n">
        <v>0</v>
      </c>
      <c r="L522" t="n">
        <v>0</v>
      </c>
      <c r="M522" t="n">
        <v>0</v>
      </c>
      <c r="N522" t="n">
        <v>0</v>
      </c>
      <c r="O522" t="n">
        <v>0</v>
      </c>
      <c r="P522" t="n">
        <v>0</v>
      </c>
      <c r="Q522" t="n">
        <v>0</v>
      </c>
      <c r="R522" s="2" t="inlineStr"/>
    </row>
    <row r="523" ht="15" customHeight="1">
      <c r="A523" t="inlineStr">
        <is>
          <t>A 61680-2022</t>
        </is>
      </c>
      <c r="B523" s="1" t="n">
        <v>44917.36372685185</v>
      </c>
      <c r="C523" s="1" t="n">
        <v>46004</v>
      </c>
      <c r="D523" t="inlineStr">
        <is>
          <t>SKÅNE LÄN</t>
        </is>
      </c>
      <c r="E523" t="inlineStr">
        <is>
          <t>HÄSSLEHOLM</t>
        </is>
      </c>
      <c r="G523" t="n">
        <v>2.4</v>
      </c>
      <c r="H523" t="n">
        <v>0</v>
      </c>
      <c r="I523" t="n">
        <v>0</v>
      </c>
      <c r="J523" t="n">
        <v>0</v>
      </c>
      <c r="K523" t="n">
        <v>0</v>
      </c>
      <c r="L523" t="n">
        <v>0</v>
      </c>
      <c r="M523" t="n">
        <v>0</v>
      </c>
      <c r="N523" t="n">
        <v>0</v>
      </c>
      <c r="O523" t="n">
        <v>0</v>
      </c>
      <c r="P523" t="n">
        <v>0</v>
      </c>
      <c r="Q523" t="n">
        <v>0</v>
      </c>
      <c r="R523" s="2" t="inlineStr"/>
    </row>
    <row r="524" ht="15" customHeight="1">
      <c r="A524" t="inlineStr">
        <is>
          <t>A 49181-2024</t>
        </is>
      </c>
      <c r="B524" s="1" t="n">
        <v>45595</v>
      </c>
      <c r="C524" s="1" t="n">
        <v>46004</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61489-2024</t>
        </is>
      </c>
      <c r="B525" s="1" t="n">
        <v>45646.54875</v>
      </c>
      <c r="C525" s="1" t="n">
        <v>46004</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18623-2023</t>
        </is>
      </c>
      <c r="B526" s="1" t="n">
        <v>45043</v>
      </c>
      <c r="C526" s="1" t="n">
        <v>46004</v>
      </c>
      <c r="D526" t="inlineStr">
        <is>
          <t>SKÅNE LÄN</t>
        </is>
      </c>
      <c r="E526" t="inlineStr">
        <is>
          <t>HÄSSLEHOLM</t>
        </is>
      </c>
      <c r="G526" t="n">
        <v>3.2</v>
      </c>
      <c r="H526" t="n">
        <v>0</v>
      </c>
      <c r="I526" t="n">
        <v>0</v>
      </c>
      <c r="J526" t="n">
        <v>0</v>
      </c>
      <c r="K526" t="n">
        <v>0</v>
      </c>
      <c r="L526" t="n">
        <v>0</v>
      </c>
      <c r="M526" t="n">
        <v>0</v>
      </c>
      <c r="N526" t="n">
        <v>0</v>
      </c>
      <c r="O526" t="n">
        <v>0</v>
      </c>
      <c r="P526" t="n">
        <v>0</v>
      </c>
      <c r="Q526" t="n">
        <v>0</v>
      </c>
      <c r="R526" s="2" t="inlineStr"/>
    </row>
    <row r="527" ht="15" customHeight="1">
      <c r="A527" t="inlineStr">
        <is>
          <t>A 33873-2021</t>
        </is>
      </c>
      <c r="B527" s="1" t="n">
        <v>44378</v>
      </c>
      <c r="C527" s="1" t="n">
        <v>46004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32794-2023</t>
        </is>
      </c>
      <c r="B528" s="1" t="n">
        <v>45124.40446759259</v>
      </c>
      <c r="C528" s="1" t="n">
        <v>46004</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61436-2024</t>
        </is>
      </c>
      <c r="B529" s="1" t="n">
        <v>45646.46329861111</v>
      </c>
      <c r="C529" s="1" t="n">
        <v>46004</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15053-2023</t>
        </is>
      </c>
      <c r="B530" s="1" t="n">
        <v>45015</v>
      </c>
      <c r="C530" s="1" t="n">
        <v>46004</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54471-2023</t>
        </is>
      </c>
      <c r="B531" s="1" t="n">
        <v>45233.4640162037</v>
      </c>
      <c r="C531" s="1" t="n">
        <v>46004</v>
      </c>
      <c r="D531" t="inlineStr">
        <is>
          <t>SKÅNE LÄN</t>
        </is>
      </c>
      <c r="E531" t="inlineStr">
        <is>
          <t>HÄSSLEHOLM</t>
        </is>
      </c>
      <c r="G531" t="n">
        <v>1.4</v>
      </c>
      <c r="H531" t="n">
        <v>0</v>
      </c>
      <c r="I531" t="n">
        <v>0</v>
      </c>
      <c r="J531" t="n">
        <v>0</v>
      </c>
      <c r="K531" t="n">
        <v>0</v>
      </c>
      <c r="L531" t="n">
        <v>0</v>
      </c>
      <c r="M531" t="n">
        <v>0</v>
      </c>
      <c r="N531" t="n">
        <v>0</v>
      </c>
      <c r="O531" t="n">
        <v>0</v>
      </c>
      <c r="P531" t="n">
        <v>0</v>
      </c>
      <c r="Q531" t="n">
        <v>0</v>
      </c>
      <c r="R531" s="2" t="inlineStr"/>
    </row>
    <row r="532" ht="15" customHeight="1">
      <c r="A532" t="inlineStr">
        <is>
          <t>A 37300-2023</t>
        </is>
      </c>
      <c r="B532" s="1" t="n">
        <v>45156</v>
      </c>
      <c r="C532" s="1" t="n">
        <v>46004</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35644-2023</t>
        </is>
      </c>
      <c r="B533" s="1" t="n">
        <v>45147</v>
      </c>
      <c r="C533" s="1" t="n">
        <v>46004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17699-2024</t>
        </is>
      </c>
      <c r="B534" s="1" t="n">
        <v>45418.46094907408</v>
      </c>
      <c r="C534" s="1" t="n">
        <v>46004</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17702-2024</t>
        </is>
      </c>
      <c r="B535" s="1" t="n">
        <v>45418.46534722222</v>
      </c>
      <c r="C535" s="1" t="n">
        <v>46004</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6101-2022</t>
        </is>
      </c>
      <c r="B536" s="1" t="n">
        <v>44599.63016203704</v>
      </c>
      <c r="C536" s="1" t="n">
        <v>46004</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9302-2025</t>
        </is>
      </c>
      <c r="B537" s="1" t="n">
        <v>45714.67233796296</v>
      </c>
      <c r="C537" s="1" t="n">
        <v>46004</v>
      </c>
      <c r="D537" t="inlineStr">
        <is>
          <t>SKÅNE LÄN</t>
        </is>
      </c>
      <c r="E537" t="inlineStr">
        <is>
          <t>HÄSSLEHOLM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47907-2021</t>
        </is>
      </c>
      <c r="B538" s="1" t="n">
        <v>44448</v>
      </c>
      <c r="C538" s="1" t="n">
        <v>46004</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16951-2025</t>
        </is>
      </c>
      <c r="B539" s="1" t="n">
        <v>45755</v>
      </c>
      <c r="C539" s="1" t="n">
        <v>46004</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1197-2024</t>
        </is>
      </c>
      <c r="B540" s="1" t="n">
        <v>45302</v>
      </c>
      <c r="C540" s="1" t="n">
        <v>46004</v>
      </c>
      <c r="D540" t="inlineStr">
        <is>
          <t>SKÅNE LÄN</t>
        </is>
      </c>
      <c r="E540" t="inlineStr">
        <is>
          <t>HÄSSLEHOLM</t>
        </is>
      </c>
      <c r="G540" t="n">
        <v>1.7</v>
      </c>
      <c r="H540" t="n">
        <v>0</v>
      </c>
      <c r="I540" t="n">
        <v>0</v>
      </c>
      <c r="J540" t="n">
        <v>0</v>
      </c>
      <c r="K540" t="n">
        <v>0</v>
      </c>
      <c r="L540" t="n">
        <v>0</v>
      </c>
      <c r="M540" t="n">
        <v>0</v>
      </c>
      <c r="N540" t="n">
        <v>0</v>
      </c>
      <c r="O540" t="n">
        <v>0</v>
      </c>
      <c r="P540" t="n">
        <v>0</v>
      </c>
      <c r="Q540" t="n">
        <v>0</v>
      </c>
      <c r="R540" s="2" t="inlineStr"/>
    </row>
    <row r="541" ht="15" customHeight="1">
      <c r="A541" t="inlineStr">
        <is>
          <t>A 13712-2025</t>
        </is>
      </c>
      <c r="B541" s="1" t="n">
        <v>45737</v>
      </c>
      <c r="C541" s="1" t="n">
        <v>46004</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16614-2025</t>
        </is>
      </c>
      <c r="B542" s="1" t="n">
        <v>45754.283125</v>
      </c>
      <c r="C542" s="1" t="n">
        <v>46004</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3888-2024</t>
        </is>
      </c>
      <c r="B543" s="1" t="n">
        <v>45322.45089120371</v>
      </c>
      <c r="C543" s="1" t="n">
        <v>46004</v>
      </c>
      <c r="D543" t="inlineStr">
        <is>
          <t>SKÅNE LÄN</t>
        </is>
      </c>
      <c r="E543" t="inlineStr">
        <is>
          <t>HÄSSLEHOLM</t>
        </is>
      </c>
      <c r="G543" t="n">
        <v>2.4</v>
      </c>
      <c r="H543" t="n">
        <v>0</v>
      </c>
      <c r="I543" t="n">
        <v>0</v>
      </c>
      <c r="J543" t="n">
        <v>0</v>
      </c>
      <c r="K543" t="n">
        <v>0</v>
      </c>
      <c r="L543" t="n">
        <v>0</v>
      </c>
      <c r="M543" t="n">
        <v>0</v>
      </c>
      <c r="N543" t="n">
        <v>0</v>
      </c>
      <c r="O543" t="n">
        <v>0</v>
      </c>
      <c r="P543" t="n">
        <v>0</v>
      </c>
      <c r="Q543" t="n">
        <v>0</v>
      </c>
      <c r="R543" s="2" t="inlineStr"/>
    </row>
    <row r="544" ht="15" customHeight="1">
      <c r="A544" t="inlineStr">
        <is>
          <t>A 3889-2024</t>
        </is>
      </c>
      <c r="B544" s="1" t="n">
        <v>45322.45234953704</v>
      </c>
      <c r="C544" s="1" t="n">
        <v>46004</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3294-2025</t>
        </is>
      </c>
      <c r="B545" s="1" t="n">
        <v>45679.64125</v>
      </c>
      <c r="C545" s="1" t="n">
        <v>46004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9669-2025</t>
        </is>
      </c>
      <c r="B546" s="1" t="n">
        <v>45716.32921296296</v>
      </c>
      <c r="C546" s="1" t="n">
        <v>46004</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50607-2023</t>
        </is>
      </c>
      <c r="B547" s="1" t="n">
        <v>45210</v>
      </c>
      <c r="C547" s="1" t="n">
        <v>46004</v>
      </c>
      <c r="D547" t="inlineStr">
        <is>
          <t>SKÅNE LÄN</t>
        </is>
      </c>
      <c r="E547" t="inlineStr">
        <is>
          <t>HÄSSLEHOLM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31995-2023</t>
        </is>
      </c>
      <c r="B548" s="1" t="n">
        <v>45107</v>
      </c>
      <c r="C548" s="1" t="n">
        <v>46004</v>
      </c>
      <c r="D548" t="inlineStr">
        <is>
          <t>SKÅNE LÄN</t>
        </is>
      </c>
      <c r="E548" t="inlineStr">
        <is>
          <t>HÄSSLEHOLM</t>
        </is>
      </c>
      <c r="G548" t="n">
        <v>7.3</v>
      </c>
      <c r="H548" t="n">
        <v>0</v>
      </c>
      <c r="I548" t="n">
        <v>0</v>
      </c>
      <c r="J548" t="n">
        <v>0</v>
      </c>
      <c r="K548" t="n">
        <v>0</v>
      </c>
      <c r="L548" t="n">
        <v>0</v>
      </c>
      <c r="M548" t="n">
        <v>0</v>
      </c>
      <c r="N548" t="n">
        <v>0</v>
      </c>
      <c r="O548" t="n">
        <v>0</v>
      </c>
      <c r="P548" t="n">
        <v>0</v>
      </c>
      <c r="Q548" t="n">
        <v>0</v>
      </c>
      <c r="R548" s="2" t="inlineStr"/>
    </row>
    <row r="549" ht="15" customHeight="1">
      <c r="A549" t="inlineStr">
        <is>
          <t>A 31998-2023</t>
        </is>
      </c>
      <c r="B549" s="1" t="n">
        <v>45119</v>
      </c>
      <c r="C549" s="1" t="n">
        <v>46004</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5478-2021</t>
        </is>
      </c>
      <c r="B550" s="1" t="n">
        <v>44230</v>
      </c>
      <c r="C550" s="1" t="n">
        <v>46004</v>
      </c>
      <c r="D550" t="inlineStr">
        <is>
          <t>SKÅNE LÄN</t>
        </is>
      </c>
      <c r="E550" t="inlineStr">
        <is>
          <t>HÄSSLEHOLM</t>
        </is>
      </c>
      <c r="G550" t="n">
        <v>0.1</v>
      </c>
      <c r="H550" t="n">
        <v>0</v>
      </c>
      <c r="I550" t="n">
        <v>0</v>
      </c>
      <c r="J550" t="n">
        <v>0</v>
      </c>
      <c r="K550" t="n">
        <v>0</v>
      </c>
      <c r="L550" t="n">
        <v>0</v>
      </c>
      <c r="M550" t="n">
        <v>0</v>
      </c>
      <c r="N550" t="n">
        <v>0</v>
      </c>
      <c r="O550" t="n">
        <v>0</v>
      </c>
      <c r="P550" t="n">
        <v>0</v>
      </c>
      <c r="Q550" t="n">
        <v>0</v>
      </c>
      <c r="R550" s="2" t="inlineStr"/>
    </row>
    <row r="551" ht="15" customHeight="1">
      <c r="A551" t="inlineStr">
        <is>
          <t>A 49950-2023</t>
        </is>
      </c>
      <c r="B551" s="1" t="n">
        <v>45215</v>
      </c>
      <c r="C551" s="1" t="n">
        <v>46004</v>
      </c>
      <c r="D551" t="inlineStr">
        <is>
          <t>SKÅNE LÄN</t>
        </is>
      </c>
      <c r="E551" t="inlineStr">
        <is>
          <t>HÄSSLEHOLM</t>
        </is>
      </c>
      <c r="G551" t="n">
        <v>1</v>
      </c>
      <c r="H551" t="n">
        <v>0</v>
      </c>
      <c r="I551" t="n">
        <v>0</v>
      </c>
      <c r="J551" t="n">
        <v>0</v>
      </c>
      <c r="K551" t="n">
        <v>0</v>
      </c>
      <c r="L551" t="n">
        <v>0</v>
      </c>
      <c r="M551" t="n">
        <v>0</v>
      </c>
      <c r="N551" t="n">
        <v>0</v>
      </c>
      <c r="O551" t="n">
        <v>0</v>
      </c>
      <c r="P551" t="n">
        <v>0</v>
      </c>
      <c r="Q551" t="n">
        <v>0</v>
      </c>
      <c r="R551" s="2" t="inlineStr"/>
    </row>
    <row r="552" ht="15" customHeight="1">
      <c r="A552" t="inlineStr">
        <is>
          <t>A 7150-2025</t>
        </is>
      </c>
      <c r="B552" s="1" t="n">
        <v>45702.38239583333</v>
      </c>
      <c r="C552" s="1" t="n">
        <v>46004</v>
      </c>
      <c r="D552" t="inlineStr">
        <is>
          <t>SKÅNE LÄN</t>
        </is>
      </c>
      <c r="E552" t="inlineStr">
        <is>
          <t>HÄSSLEHOLM</t>
        </is>
      </c>
      <c r="G552" t="n">
        <v>2.3</v>
      </c>
      <c r="H552" t="n">
        <v>0</v>
      </c>
      <c r="I552" t="n">
        <v>0</v>
      </c>
      <c r="J552" t="n">
        <v>0</v>
      </c>
      <c r="K552" t="n">
        <v>0</v>
      </c>
      <c r="L552" t="n">
        <v>0</v>
      </c>
      <c r="M552" t="n">
        <v>0</v>
      </c>
      <c r="N552" t="n">
        <v>0</v>
      </c>
      <c r="O552" t="n">
        <v>0</v>
      </c>
      <c r="P552" t="n">
        <v>0</v>
      </c>
      <c r="Q552" t="n">
        <v>0</v>
      </c>
      <c r="R552" s="2" t="inlineStr"/>
    </row>
    <row r="553" ht="15" customHeight="1">
      <c r="A553" t="inlineStr">
        <is>
          <t>A 38148-2022</t>
        </is>
      </c>
      <c r="B553" s="1" t="n">
        <v>44811</v>
      </c>
      <c r="C553" s="1" t="n">
        <v>46004</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41694-2024</t>
        </is>
      </c>
      <c r="B554" s="1" t="n">
        <v>45560.68341435185</v>
      </c>
      <c r="C554" s="1" t="n">
        <v>46004</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3123-2023</t>
        </is>
      </c>
      <c r="B555" s="1" t="n">
        <v>44946.4925</v>
      </c>
      <c r="C555" s="1" t="n">
        <v>46004</v>
      </c>
      <c r="D555" t="inlineStr">
        <is>
          <t>SKÅNE LÄN</t>
        </is>
      </c>
      <c r="E555" t="inlineStr">
        <is>
          <t>HÄSSLEHOLM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3126-2023</t>
        </is>
      </c>
      <c r="B556" s="1" t="n">
        <v>44946.49570601852</v>
      </c>
      <c r="C556" s="1" t="n">
        <v>46004</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20185-2023</t>
        </is>
      </c>
      <c r="B557" s="1" t="n">
        <v>45055.56795138889</v>
      </c>
      <c r="C557" s="1" t="n">
        <v>46004</v>
      </c>
      <c r="D557" t="inlineStr">
        <is>
          <t>SKÅNE LÄN</t>
        </is>
      </c>
      <c r="E557" t="inlineStr">
        <is>
          <t>HÄSSLEHOLM</t>
        </is>
      </c>
      <c r="G557" t="n">
        <v>3.5</v>
      </c>
      <c r="H557" t="n">
        <v>0</v>
      </c>
      <c r="I557" t="n">
        <v>0</v>
      </c>
      <c r="J557" t="n">
        <v>0</v>
      </c>
      <c r="K557" t="n">
        <v>0</v>
      </c>
      <c r="L557" t="n">
        <v>0</v>
      </c>
      <c r="M557" t="n">
        <v>0</v>
      </c>
      <c r="N557" t="n">
        <v>0</v>
      </c>
      <c r="O557" t="n">
        <v>0</v>
      </c>
      <c r="P557" t="n">
        <v>0</v>
      </c>
      <c r="Q557" t="n">
        <v>0</v>
      </c>
      <c r="R557" s="2" t="inlineStr"/>
    </row>
    <row r="558" ht="15" customHeight="1">
      <c r="A558" t="inlineStr">
        <is>
          <t>A 36795-2023</t>
        </is>
      </c>
      <c r="B558" s="1" t="n">
        <v>45154.38245370371</v>
      </c>
      <c r="C558" s="1" t="n">
        <v>46004</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46942-2024</t>
        </is>
      </c>
      <c r="B559" s="1" t="n">
        <v>45585.6684375</v>
      </c>
      <c r="C559" s="1" t="n">
        <v>46004</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31944-2023</t>
        </is>
      </c>
      <c r="B560" s="1" t="n">
        <v>45119.34895833334</v>
      </c>
      <c r="C560" s="1" t="n">
        <v>46004</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1706-2025</t>
        </is>
      </c>
      <c r="B561" s="1" t="n">
        <v>45670</v>
      </c>
      <c r="C561" s="1" t="n">
        <v>46004</v>
      </c>
      <c r="D561" t="inlineStr">
        <is>
          <t>SKÅNE LÄN</t>
        </is>
      </c>
      <c r="E561" t="inlineStr">
        <is>
          <t>HÄSSLEHOLM</t>
        </is>
      </c>
      <c r="G561" t="n">
        <v>5</v>
      </c>
      <c r="H561" t="n">
        <v>0</v>
      </c>
      <c r="I561" t="n">
        <v>0</v>
      </c>
      <c r="J561" t="n">
        <v>0</v>
      </c>
      <c r="K561" t="n">
        <v>0</v>
      </c>
      <c r="L561" t="n">
        <v>0</v>
      </c>
      <c r="M561" t="n">
        <v>0</v>
      </c>
      <c r="N561" t="n">
        <v>0</v>
      </c>
      <c r="O561" t="n">
        <v>0</v>
      </c>
      <c r="P561" t="n">
        <v>0</v>
      </c>
      <c r="Q561" t="n">
        <v>0</v>
      </c>
      <c r="R561" s="2" t="inlineStr"/>
    </row>
    <row r="562" ht="15" customHeight="1">
      <c r="A562" t="inlineStr">
        <is>
          <t>A 61170-2022</t>
        </is>
      </c>
      <c r="B562" s="1" t="n">
        <v>44915.48543981482</v>
      </c>
      <c r="C562" s="1" t="n">
        <v>46004</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37318-2024</t>
        </is>
      </c>
      <c r="B563" s="1" t="n">
        <v>45540</v>
      </c>
      <c r="C563" s="1" t="n">
        <v>46004</v>
      </c>
      <c r="D563" t="inlineStr">
        <is>
          <t>SKÅNE LÄN</t>
        </is>
      </c>
      <c r="E563" t="inlineStr">
        <is>
          <t>HÄSSLEHOLM</t>
        </is>
      </c>
      <c r="G563" t="n">
        <v>3.9</v>
      </c>
      <c r="H563" t="n">
        <v>0</v>
      </c>
      <c r="I563" t="n">
        <v>0</v>
      </c>
      <c r="J563" t="n">
        <v>0</v>
      </c>
      <c r="K563" t="n">
        <v>0</v>
      </c>
      <c r="L563" t="n">
        <v>0</v>
      </c>
      <c r="M563" t="n">
        <v>0</v>
      </c>
      <c r="N563" t="n">
        <v>0</v>
      </c>
      <c r="O563" t="n">
        <v>0</v>
      </c>
      <c r="P563" t="n">
        <v>0</v>
      </c>
      <c r="Q563" t="n">
        <v>0</v>
      </c>
      <c r="R563" s="2" t="inlineStr"/>
    </row>
    <row r="564" ht="15" customHeight="1">
      <c r="A564" t="inlineStr">
        <is>
          <t>A 37324-2024</t>
        </is>
      </c>
      <c r="B564" s="1" t="n">
        <v>45540.50104166667</v>
      </c>
      <c r="C564" s="1" t="n">
        <v>46004</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43696-2024</t>
        </is>
      </c>
      <c r="B565" s="1" t="n">
        <v>45569.58855324074</v>
      </c>
      <c r="C565" s="1" t="n">
        <v>46004</v>
      </c>
      <c r="D565" t="inlineStr">
        <is>
          <t>SKÅNE LÄN</t>
        </is>
      </c>
      <c r="E565" t="inlineStr">
        <is>
          <t>HÄSSLEHOLM</t>
        </is>
      </c>
      <c r="G565" t="n">
        <v>2.9</v>
      </c>
      <c r="H565" t="n">
        <v>0</v>
      </c>
      <c r="I565" t="n">
        <v>0</v>
      </c>
      <c r="J565" t="n">
        <v>0</v>
      </c>
      <c r="K565" t="n">
        <v>0</v>
      </c>
      <c r="L565" t="n">
        <v>0</v>
      </c>
      <c r="M565" t="n">
        <v>0</v>
      </c>
      <c r="N565" t="n">
        <v>0</v>
      </c>
      <c r="O565" t="n">
        <v>0</v>
      </c>
      <c r="P565" t="n">
        <v>0</v>
      </c>
      <c r="Q565" t="n">
        <v>0</v>
      </c>
      <c r="R565" s="2" t="inlineStr"/>
    </row>
    <row r="566" ht="15" customHeight="1">
      <c r="A566" t="inlineStr">
        <is>
          <t>A 36706-2022</t>
        </is>
      </c>
      <c r="B566" s="1" t="n">
        <v>44805.32891203704</v>
      </c>
      <c r="C566" s="1" t="n">
        <v>46004</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57656-2022</t>
        </is>
      </c>
      <c r="B567" s="1" t="n">
        <v>44897.4325925926</v>
      </c>
      <c r="C567" s="1" t="n">
        <v>46004</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32881-2024</t>
        </is>
      </c>
      <c r="B568" s="1" t="n">
        <v>45516</v>
      </c>
      <c r="C568" s="1" t="n">
        <v>46004</v>
      </c>
      <c r="D568" t="inlineStr">
        <is>
          <t>SKÅNE LÄN</t>
        </is>
      </c>
      <c r="E568" t="inlineStr">
        <is>
          <t>HÄSSLEHOLM</t>
        </is>
      </c>
      <c r="G568" t="n">
        <v>6.3</v>
      </c>
      <c r="H568" t="n">
        <v>0</v>
      </c>
      <c r="I568" t="n">
        <v>0</v>
      </c>
      <c r="J568" t="n">
        <v>0</v>
      </c>
      <c r="K568" t="n">
        <v>0</v>
      </c>
      <c r="L568" t="n">
        <v>0</v>
      </c>
      <c r="M568" t="n">
        <v>0</v>
      </c>
      <c r="N568" t="n">
        <v>0</v>
      </c>
      <c r="O568" t="n">
        <v>0</v>
      </c>
      <c r="P568" t="n">
        <v>0</v>
      </c>
      <c r="Q568" t="n">
        <v>0</v>
      </c>
      <c r="R568" s="2" t="inlineStr"/>
    </row>
    <row r="569" ht="15" customHeight="1">
      <c r="A569" t="inlineStr">
        <is>
          <t>A 43629-2023</t>
        </is>
      </c>
      <c r="B569" s="1" t="n">
        <v>45184</v>
      </c>
      <c r="C569" s="1" t="n">
        <v>46004</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23860-2024</t>
        </is>
      </c>
      <c r="B570" s="1" t="n">
        <v>45455</v>
      </c>
      <c r="C570" s="1" t="n">
        <v>46004</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23864-2024</t>
        </is>
      </c>
      <c r="B571" s="1" t="n">
        <v>45455</v>
      </c>
      <c r="C571" s="1" t="n">
        <v>46004</v>
      </c>
      <c r="D571" t="inlineStr">
        <is>
          <t>SKÅNE LÄN</t>
        </is>
      </c>
      <c r="E571" t="inlineStr">
        <is>
          <t>HÄSSLEHOLM</t>
        </is>
      </c>
      <c r="G571" t="n">
        <v>6.2</v>
      </c>
      <c r="H571" t="n">
        <v>0</v>
      </c>
      <c r="I571" t="n">
        <v>0</v>
      </c>
      <c r="J571" t="n">
        <v>0</v>
      </c>
      <c r="K571" t="n">
        <v>0</v>
      </c>
      <c r="L571" t="n">
        <v>0</v>
      </c>
      <c r="M571" t="n">
        <v>0</v>
      </c>
      <c r="N571" t="n">
        <v>0</v>
      </c>
      <c r="O571" t="n">
        <v>0</v>
      </c>
      <c r="P571" t="n">
        <v>0</v>
      </c>
      <c r="Q571" t="n">
        <v>0</v>
      </c>
      <c r="R571" s="2" t="inlineStr"/>
    </row>
    <row r="572" ht="15" customHeight="1">
      <c r="A572" t="inlineStr">
        <is>
          <t>A 22594-2024</t>
        </is>
      </c>
      <c r="B572" s="1" t="n">
        <v>45447.60892361111</v>
      </c>
      <c r="C572" s="1" t="n">
        <v>46004</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13990-2022</t>
        </is>
      </c>
      <c r="B573" s="1" t="n">
        <v>44650</v>
      </c>
      <c r="C573" s="1" t="n">
        <v>46004</v>
      </c>
      <c r="D573" t="inlineStr">
        <is>
          <t>SKÅNE LÄN</t>
        </is>
      </c>
      <c r="E573" t="inlineStr">
        <is>
          <t>HÄSSLEHOLM</t>
        </is>
      </c>
      <c r="G573" t="n">
        <v>3.6</v>
      </c>
      <c r="H573" t="n">
        <v>0</v>
      </c>
      <c r="I573" t="n">
        <v>0</v>
      </c>
      <c r="J573" t="n">
        <v>0</v>
      </c>
      <c r="K573" t="n">
        <v>0</v>
      </c>
      <c r="L573" t="n">
        <v>0</v>
      </c>
      <c r="M573" t="n">
        <v>0</v>
      </c>
      <c r="N573" t="n">
        <v>0</v>
      </c>
      <c r="O573" t="n">
        <v>0</v>
      </c>
      <c r="P573" t="n">
        <v>0</v>
      </c>
      <c r="Q573" t="n">
        <v>0</v>
      </c>
      <c r="R573" s="2" t="inlineStr"/>
    </row>
    <row r="574" ht="15" customHeight="1">
      <c r="A574" t="inlineStr">
        <is>
          <t>A 55056-2021</t>
        </is>
      </c>
      <c r="B574" s="1" t="n">
        <v>44474.62072916667</v>
      </c>
      <c r="C574" s="1" t="n">
        <v>46004</v>
      </c>
      <c r="D574" t="inlineStr">
        <is>
          <t>SKÅNE LÄN</t>
        </is>
      </c>
      <c r="E574" t="inlineStr">
        <is>
          <t>HÄSSLEHOLM</t>
        </is>
      </c>
      <c r="G574" t="n">
        <v>2.5</v>
      </c>
      <c r="H574" t="n">
        <v>0</v>
      </c>
      <c r="I574" t="n">
        <v>0</v>
      </c>
      <c r="J574" t="n">
        <v>0</v>
      </c>
      <c r="K574" t="n">
        <v>0</v>
      </c>
      <c r="L574" t="n">
        <v>0</v>
      </c>
      <c r="M574" t="n">
        <v>0</v>
      </c>
      <c r="N574" t="n">
        <v>0</v>
      </c>
      <c r="O574" t="n">
        <v>0</v>
      </c>
      <c r="P574" t="n">
        <v>0</v>
      </c>
      <c r="Q574" t="n">
        <v>0</v>
      </c>
      <c r="R574" s="2" t="inlineStr"/>
    </row>
    <row r="575" ht="15" customHeight="1">
      <c r="A575" t="inlineStr">
        <is>
          <t>A 7192-2025</t>
        </is>
      </c>
      <c r="B575" s="1" t="n">
        <v>45702.44746527778</v>
      </c>
      <c r="C575" s="1" t="n">
        <v>46004</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13544-2025</t>
        </is>
      </c>
      <c r="B576" s="1" t="n">
        <v>45736</v>
      </c>
      <c r="C576" s="1" t="n">
        <v>46004</v>
      </c>
      <c r="D576" t="inlineStr">
        <is>
          <t>SKÅNE LÄN</t>
        </is>
      </c>
      <c r="E576" t="inlineStr">
        <is>
          <t>HÄSSLEHOLM</t>
        </is>
      </c>
      <c r="G576" t="n">
        <v>2.5</v>
      </c>
      <c r="H576" t="n">
        <v>0</v>
      </c>
      <c r="I576" t="n">
        <v>0</v>
      </c>
      <c r="J576" t="n">
        <v>0</v>
      </c>
      <c r="K576" t="n">
        <v>0</v>
      </c>
      <c r="L576" t="n">
        <v>0</v>
      </c>
      <c r="M576" t="n">
        <v>0</v>
      </c>
      <c r="N576" t="n">
        <v>0</v>
      </c>
      <c r="O576" t="n">
        <v>0</v>
      </c>
      <c r="P576" t="n">
        <v>0</v>
      </c>
      <c r="Q576" t="n">
        <v>0</v>
      </c>
      <c r="R576" s="2" t="inlineStr"/>
    </row>
    <row r="577" ht="15" customHeight="1">
      <c r="A577" t="inlineStr">
        <is>
          <t>A 25213-2023</t>
        </is>
      </c>
      <c r="B577" s="1" t="n">
        <v>45086.60010416667</v>
      </c>
      <c r="C577" s="1" t="n">
        <v>46004</v>
      </c>
      <c r="D577" t="inlineStr">
        <is>
          <t>SKÅNE LÄN</t>
        </is>
      </c>
      <c r="E577" t="inlineStr">
        <is>
          <t>HÄSSLEHOLM</t>
        </is>
      </c>
      <c r="G577" t="n">
        <v>7.2</v>
      </c>
      <c r="H577" t="n">
        <v>0</v>
      </c>
      <c r="I577" t="n">
        <v>0</v>
      </c>
      <c r="J577" t="n">
        <v>0</v>
      </c>
      <c r="K577" t="n">
        <v>0</v>
      </c>
      <c r="L577" t="n">
        <v>0</v>
      </c>
      <c r="M577" t="n">
        <v>0</v>
      </c>
      <c r="N577" t="n">
        <v>0</v>
      </c>
      <c r="O577" t="n">
        <v>0</v>
      </c>
      <c r="P577" t="n">
        <v>0</v>
      </c>
      <c r="Q577" t="n">
        <v>0</v>
      </c>
      <c r="R577" s="2" t="inlineStr"/>
    </row>
    <row r="578" ht="15" customHeight="1">
      <c r="A578" t="inlineStr">
        <is>
          <t>A 8755-2024</t>
        </is>
      </c>
      <c r="B578" s="1" t="n">
        <v>45356</v>
      </c>
      <c r="C578" s="1" t="n">
        <v>46004</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8760-2024</t>
        </is>
      </c>
      <c r="B579" s="1" t="n">
        <v>45356.53420138889</v>
      </c>
      <c r="C579" s="1" t="n">
        <v>46004</v>
      </c>
      <c r="D579" t="inlineStr">
        <is>
          <t>SKÅNE LÄN</t>
        </is>
      </c>
      <c r="E579" t="inlineStr">
        <is>
          <t>HÄSSLEHOLM</t>
        </is>
      </c>
      <c r="G579" t="n">
        <v>6.1</v>
      </c>
      <c r="H579" t="n">
        <v>0</v>
      </c>
      <c r="I579" t="n">
        <v>0</v>
      </c>
      <c r="J579" t="n">
        <v>0</v>
      </c>
      <c r="K579" t="n">
        <v>0</v>
      </c>
      <c r="L579" t="n">
        <v>0</v>
      </c>
      <c r="M579" t="n">
        <v>0</v>
      </c>
      <c r="N579" t="n">
        <v>0</v>
      </c>
      <c r="O579" t="n">
        <v>0</v>
      </c>
      <c r="P579" t="n">
        <v>0</v>
      </c>
      <c r="Q579" t="n">
        <v>0</v>
      </c>
      <c r="R579" s="2" t="inlineStr"/>
    </row>
    <row r="580" ht="15" customHeight="1">
      <c r="A580" t="inlineStr">
        <is>
          <t>A 50564-2023</t>
        </is>
      </c>
      <c r="B580" s="1" t="n">
        <v>45217.37957175926</v>
      </c>
      <c r="C580" s="1" t="n">
        <v>46004</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18063-2023</t>
        </is>
      </c>
      <c r="B581" s="1" t="n">
        <v>45040.62850694444</v>
      </c>
      <c r="C581" s="1" t="n">
        <v>46004</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43061-2024</t>
        </is>
      </c>
      <c r="B582" s="1" t="n">
        <v>45567</v>
      </c>
      <c r="C582" s="1" t="n">
        <v>46004</v>
      </c>
      <c r="D582" t="inlineStr">
        <is>
          <t>SKÅNE LÄN</t>
        </is>
      </c>
      <c r="E582" t="inlineStr">
        <is>
          <t>HÄSSLEHOLM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11798-2022</t>
        </is>
      </c>
      <c r="B583" s="1" t="n">
        <v>44634.64900462963</v>
      </c>
      <c r="C583" s="1" t="n">
        <v>46004</v>
      </c>
      <c r="D583" t="inlineStr">
        <is>
          <t>SKÅNE LÄN</t>
        </is>
      </c>
      <c r="E583" t="inlineStr">
        <is>
          <t>HÄSSLEHOLM</t>
        </is>
      </c>
      <c r="G583" t="n">
        <v>2.8</v>
      </c>
      <c r="H583" t="n">
        <v>0</v>
      </c>
      <c r="I583" t="n">
        <v>0</v>
      </c>
      <c r="J583" t="n">
        <v>0</v>
      </c>
      <c r="K583" t="n">
        <v>0</v>
      </c>
      <c r="L583" t="n">
        <v>0</v>
      </c>
      <c r="M583" t="n">
        <v>0</v>
      </c>
      <c r="N583" t="n">
        <v>0</v>
      </c>
      <c r="O583" t="n">
        <v>0</v>
      </c>
      <c r="P583" t="n">
        <v>0</v>
      </c>
      <c r="Q583" t="n">
        <v>0</v>
      </c>
      <c r="R583" s="2" t="inlineStr"/>
    </row>
    <row r="584" ht="15" customHeight="1">
      <c r="A584" t="inlineStr">
        <is>
          <t>A 56881-2021</t>
        </is>
      </c>
      <c r="B584" s="1" t="n">
        <v>44481</v>
      </c>
      <c r="C584" s="1" t="n">
        <v>46004</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54171-2021</t>
        </is>
      </c>
      <c r="B585" s="1" t="n">
        <v>44470</v>
      </c>
      <c r="C585" s="1" t="n">
        <v>46004</v>
      </c>
      <c r="D585" t="inlineStr">
        <is>
          <t>SKÅNE LÄN</t>
        </is>
      </c>
      <c r="E585" t="inlineStr">
        <is>
          <t>HÄSSLEHOLM</t>
        </is>
      </c>
      <c r="G585" t="n">
        <v>1</v>
      </c>
      <c r="H585" t="n">
        <v>0</v>
      </c>
      <c r="I585" t="n">
        <v>0</v>
      </c>
      <c r="J585" t="n">
        <v>0</v>
      </c>
      <c r="K585" t="n">
        <v>0</v>
      </c>
      <c r="L585" t="n">
        <v>0</v>
      </c>
      <c r="M585" t="n">
        <v>0</v>
      </c>
      <c r="N585" t="n">
        <v>0</v>
      </c>
      <c r="O585" t="n">
        <v>0</v>
      </c>
      <c r="P585" t="n">
        <v>0</v>
      </c>
      <c r="Q585" t="n">
        <v>0</v>
      </c>
      <c r="R585" s="2" t="inlineStr"/>
    </row>
    <row r="586" ht="15" customHeight="1">
      <c r="A586" t="inlineStr">
        <is>
          <t>A 48798-2023</t>
        </is>
      </c>
      <c r="B586" s="1" t="n">
        <v>45209.25318287037</v>
      </c>
      <c r="C586" s="1" t="n">
        <v>46004</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48844-2023</t>
        </is>
      </c>
      <c r="B587" s="1" t="n">
        <v>45209</v>
      </c>
      <c r="C587" s="1" t="n">
        <v>46004</v>
      </c>
      <c r="D587" t="inlineStr">
        <is>
          <t>SKÅNE LÄN</t>
        </is>
      </c>
      <c r="E587" t="inlineStr">
        <is>
          <t>HÄSSLEHOLM</t>
        </is>
      </c>
      <c r="G587" t="n">
        <v>4</v>
      </c>
      <c r="H587" t="n">
        <v>0</v>
      </c>
      <c r="I587" t="n">
        <v>0</v>
      </c>
      <c r="J587" t="n">
        <v>0</v>
      </c>
      <c r="K587" t="n">
        <v>0</v>
      </c>
      <c r="L587" t="n">
        <v>0</v>
      </c>
      <c r="M587" t="n">
        <v>0</v>
      </c>
      <c r="N587" t="n">
        <v>0</v>
      </c>
      <c r="O587" t="n">
        <v>0</v>
      </c>
      <c r="P587" t="n">
        <v>0</v>
      </c>
      <c r="Q587" t="n">
        <v>0</v>
      </c>
      <c r="R587" s="2" t="inlineStr"/>
    </row>
    <row r="588" ht="15" customHeight="1">
      <c r="A588" t="inlineStr">
        <is>
          <t>A 24640-2023</t>
        </is>
      </c>
      <c r="B588" s="1" t="n">
        <v>45084.43181712963</v>
      </c>
      <c r="C588" s="1" t="n">
        <v>46004</v>
      </c>
      <c r="D588" t="inlineStr">
        <is>
          <t>SKÅNE LÄN</t>
        </is>
      </c>
      <c r="E588" t="inlineStr">
        <is>
          <t>HÄSSLEHOLM</t>
        </is>
      </c>
      <c r="G588" t="n">
        <v>1.5</v>
      </c>
      <c r="H588" t="n">
        <v>0</v>
      </c>
      <c r="I588" t="n">
        <v>0</v>
      </c>
      <c r="J588" t="n">
        <v>0</v>
      </c>
      <c r="K588" t="n">
        <v>0</v>
      </c>
      <c r="L588" t="n">
        <v>0</v>
      </c>
      <c r="M588" t="n">
        <v>0</v>
      </c>
      <c r="N588" t="n">
        <v>0</v>
      </c>
      <c r="O588" t="n">
        <v>0</v>
      </c>
      <c r="P588" t="n">
        <v>0</v>
      </c>
      <c r="Q588" t="n">
        <v>0</v>
      </c>
      <c r="R588" s="2" t="inlineStr"/>
    </row>
    <row r="589" ht="15" customHeight="1">
      <c r="A589" t="inlineStr">
        <is>
          <t>A 13673-2023</t>
        </is>
      </c>
      <c r="B589" s="1" t="n">
        <v>45006.87957175926</v>
      </c>
      <c r="C589" s="1" t="n">
        <v>46004</v>
      </c>
      <c r="D589" t="inlineStr">
        <is>
          <t>SKÅNE LÄN</t>
        </is>
      </c>
      <c r="E589" t="inlineStr">
        <is>
          <t>HÄSSLEHOLM</t>
        </is>
      </c>
      <c r="G589" t="n">
        <v>3.2</v>
      </c>
      <c r="H589" t="n">
        <v>0</v>
      </c>
      <c r="I589" t="n">
        <v>0</v>
      </c>
      <c r="J589" t="n">
        <v>0</v>
      </c>
      <c r="K589" t="n">
        <v>0</v>
      </c>
      <c r="L589" t="n">
        <v>0</v>
      </c>
      <c r="M589" t="n">
        <v>0</v>
      </c>
      <c r="N589" t="n">
        <v>0</v>
      </c>
      <c r="O589" t="n">
        <v>0</v>
      </c>
      <c r="P589" t="n">
        <v>0</v>
      </c>
      <c r="Q589" t="n">
        <v>0</v>
      </c>
      <c r="R589" s="2" t="inlineStr"/>
    </row>
    <row r="590" ht="15" customHeight="1">
      <c r="A590" t="inlineStr">
        <is>
          <t>A 48877-2024</t>
        </is>
      </c>
      <c r="B590" s="1" t="n">
        <v>45594.31729166667</v>
      </c>
      <c r="C590" s="1" t="n">
        <v>46004</v>
      </c>
      <c r="D590" t="inlineStr">
        <is>
          <t>SKÅNE LÄN</t>
        </is>
      </c>
      <c r="E590" t="inlineStr">
        <is>
          <t>HÄSSLEHOLM</t>
        </is>
      </c>
      <c r="G590" t="n">
        <v>1.8</v>
      </c>
      <c r="H590" t="n">
        <v>0</v>
      </c>
      <c r="I590" t="n">
        <v>0</v>
      </c>
      <c r="J590" t="n">
        <v>0</v>
      </c>
      <c r="K590" t="n">
        <v>0</v>
      </c>
      <c r="L590" t="n">
        <v>0</v>
      </c>
      <c r="M590" t="n">
        <v>0</v>
      </c>
      <c r="N590" t="n">
        <v>0</v>
      </c>
      <c r="O590" t="n">
        <v>0</v>
      </c>
      <c r="P590" t="n">
        <v>0</v>
      </c>
      <c r="Q590" t="n">
        <v>0</v>
      </c>
      <c r="R590" s="2" t="inlineStr"/>
    </row>
    <row r="591" ht="15" customHeight="1">
      <c r="A591" t="inlineStr">
        <is>
          <t>A 45984-2021</t>
        </is>
      </c>
      <c r="B591" s="1" t="n">
        <v>44441</v>
      </c>
      <c r="C591" s="1" t="n">
        <v>46004</v>
      </c>
      <c r="D591" t="inlineStr">
        <is>
          <t>SKÅNE LÄN</t>
        </is>
      </c>
      <c r="E591" t="inlineStr">
        <is>
          <t>HÄSSLEHOLM</t>
        </is>
      </c>
      <c r="G591" t="n">
        <v>2.1</v>
      </c>
      <c r="H591" t="n">
        <v>0</v>
      </c>
      <c r="I591" t="n">
        <v>0</v>
      </c>
      <c r="J591" t="n">
        <v>0</v>
      </c>
      <c r="K591" t="n">
        <v>0</v>
      </c>
      <c r="L591" t="n">
        <v>0</v>
      </c>
      <c r="M591" t="n">
        <v>0</v>
      </c>
      <c r="N591" t="n">
        <v>0</v>
      </c>
      <c r="O591" t="n">
        <v>0</v>
      </c>
      <c r="P591" t="n">
        <v>0</v>
      </c>
      <c r="Q591" t="n">
        <v>0</v>
      </c>
      <c r="R591" s="2" t="inlineStr"/>
    </row>
    <row r="592" ht="15" customHeight="1">
      <c r="A592" t="inlineStr">
        <is>
          <t>A 61524-2022</t>
        </is>
      </c>
      <c r="B592" s="1" t="n">
        <v>44910</v>
      </c>
      <c r="C592" s="1" t="n">
        <v>46004</v>
      </c>
      <c r="D592" t="inlineStr">
        <is>
          <t>SKÅNE LÄN</t>
        </is>
      </c>
      <c r="E592" t="inlineStr">
        <is>
          <t>HÄSSLEHOLM</t>
        </is>
      </c>
      <c r="F592" t="inlineStr">
        <is>
          <t>Kyrkan</t>
        </is>
      </c>
      <c r="G592" t="n">
        <v>2.1</v>
      </c>
      <c r="H592" t="n">
        <v>0</v>
      </c>
      <c r="I592" t="n">
        <v>0</v>
      </c>
      <c r="J592" t="n">
        <v>0</v>
      </c>
      <c r="K592" t="n">
        <v>0</v>
      </c>
      <c r="L592" t="n">
        <v>0</v>
      </c>
      <c r="M592" t="n">
        <v>0</v>
      </c>
      <c r="N592" t="n">
        <v>0</v>
      </c>
      <c r="O592" t="n">
        <v>0</v>
      </c>
      <c r="P592" t="n">
        <v>0</v>
      </c>
      <c r="Q592" t="n">
        <v>0</v>
      </c>
      <c r="R592" s="2" t="inlineStr"/>
    </row>
    <row r="593" ht="15" customHeight="1">
      <c r="A593" t="inlineStr">
        <is>
          <t>A 61578-2023</t>
        </is>
      </c>
      <c r="B593" s="1" t="n">
        <v>45265.47399305556</v>
      </c>
      <c r="C593" s="1" t="n">
        <v>46004</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8378-2023</t>
        </is>
      </c>
      <c r="B594" s="1" t="n">
        <v>44971</v>
      </c>
      <c r="C594" s="1" t="n">
        <v>46004</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51618-2024</t>
        </is>
      </c>
      <c r="B595" s="1" t="n">
        <v>45604.82615740741</v>
      </c>
      <c r="C595" s="1" t="n">
        <v>46004</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25542-2024</t>
        </is>
      </c>
      <c r="B596" s="1" t="n">
        <v>45463</v>
      </c>
      <c r="C596" s="1" t="n">
        <v>46004</v>
      </c>
      <c r="D596" t="inlineStr">
        <is>
          <t>SKÅNE LÄN</t>
        </is>
      </c>
      <c r="E596" t="inlineStr">
        <is>
          <t>HÄSSLEHOLM</t>
        </is>
      </c>
      <c r="G596" t="n">
        <v>6.9</v>
      </c>
      <c r="H596" t="n">
        <v>0</v>
      </c>
      <c r="I596" t="n">
        <v>0</v>
      </c>
      <c r="J596" t="n">
        <v>0</v>
      </c>
      <c r="K596" t="n">
        <v>0</v>
      </c>
      <c r="L596" t="n">
        <v>0</v>
      </c>
      <c r="M596" t="n">
        <v>0</v>
      </c>
      <c r="N596" t="n">
        <v>0</v>
      </c>
      <c r="O596" t="n">
        <v>0</v>
      </c>
      <c r="P596" t="n">
        <v>0</v>
      </c>
      <c r="Q596" t="n">
        <v>0</v>
      </c>
      <c r="R596" s="2" t="inlineStr"/>
    </row>
    <row r="597" ht="15" customHeight="1">
      <c r="A597" t="inlineStr">
        <is>
          <t>A 20279-2025</t>
        </is>
      </c>
      <c r="B597" s="1" t="n">
        <v>45774.38643518519</v>
      </c>
      <c r="C597" s="1" t="n">
        <v>46004</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59431-2023</t>
        </is>
      </c>
      <c r="B598" s="1" t="n">
        <v>45254.29207175926</v>
      </c>
      <c r="C598" s="1" t="n">
        <v>46004</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59433-2023</t>
        </is>
      </c>
      <c r="B599" s="1" t="n">
        <v>45254.29768518519</v>
      </c>
      <c r="C599" s="1" t="n">
        <v>46004</v>
      </c>
      <c r="D599" t="inlineStr">
        <is>
          <t>SKÅNE LÄN</t>
        </is>
      </c>
      <c r="E599" t="inlineStr">
        <is>
          <t>HÄSSLEHOLM</t>
        </is>
      </c>
      <c r="G599" t="n">
        <v>3.1</v>
      </c>
      <c r="H599" t="n">
        <v>0</v>
      </c>
      <c r="I599" t="n">
        <v>0</v>
      </c>
      <c r="J599" t="n">
        <v>0</v>
      </c>
      <c r="K599" t="n">
        <v>0</v>
      </c>
      <c r="L599" t="n">
        <v>0</v>
      </c>
      <c r="M599" t="n">
        <v>0</v>
      </c>
      <c r="N599" t="n">
        <v>0</v>
      </c>
      <c r="O599" t="n">
        <v>0</v>
      </c>
      <c r="P599" t="n">
        <v>0</v>
      </c>
      <c r="Q599" t="n">
        <v>0</v>
      </c>
      <c r="R599" s="2" t="inlineStr"/>
    </row>
    <row r="600" ht="15" customHeight="1">
      <c r="A600" t="inlineStr">
        <is>
          <t>A 42370-2023</t>
        </is>
      </c>
      <c r="B600" s="1" t="n">
        <v>45180</v>
      </c>
      <c r="C600" s="1" t="n">
        <v>46004</v>
      </c>
      <c r="D600" t="inlineStr">
        <is>
          <t>SKÅNE LÄN</t>
        </is>
      </c>
      <c r="E600" t="inlineStr">
        <is>
          <t>HÄSSLEHOLM</t>
        </is>
      </c>
      <c r="G600" t="n">
        <v>2.6</v>
      </c>
      <c r="H600" t="n">
        <v>0</v>
      </c>
      <c r="I600" t="n">
        <v>0</v>
      </c>
      <c r="J600" t="n">
        <v>0</v>
      </c>
      <c r="K600" t="n">
        <v>0</v>
      </c>
      <c r="L600" t="n">
        <v>0</v>
      </c>
      <c r="M600" t="n">
        <v>0</v>
      </c>
      <c r="N600" t="n">
        <v>0</v>
      </c>
      <c r="O600" t="n">
        <v>0</v>
      </c>
      <c r="P600" t="n">
        <v>0</v>
      </c>
      <c r="Q600" t="n">
        <v>0</v>
      </c>
      <c r="R600" s="2" t="inlineStr"/>
    </row>
    <row r="601" ht="15" customHeight="1">
      <c r="A601" t="inlineStr">
        <is>
          <t>A 55416-2021</t>
        </is>
      </c>
      <c r="B601" s="1" t="n">
        <v>44475</v>
      </c>
      <c r="C601" s="1" t="n">
        <v>46004</v>
      </c>
      <c r="D601" t="inlineStr">
        <is>
          <t>SKÅNE LÄN</t>
        </is>
      </c>
      <c r="E601" t="inlineStr">
        <is>
          <t>HÄSSLEHOLM</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4579-2025</t>
        </is>
      </c>
      <c r="B602" s="1" t="n">
        <v>45687.5009375</v>
      </c>
      <c r="C602" s="1" t="n">
        <v>46004</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21141-2024</t>
        </is>
      </c>
      <c r="B603" s="1" t="n">
        <v>45440.39012731481</v>
      </c>
      <c r="C603" s="1" t="n">
        <v>46004</v>
      </c>
      <c r="D603" t="inlineStr">
        <is>
          <t>SKÅNE LÄN</t>
        </is>
      </c>
      <c r="E603" t="inlineStr">
        <is>
          <t>HÄSSLEHOLM</t>
        </is>
      </c>
      <c r="G603" t="n">
        <v>1.3</v>
      </c>
      <c r="H603" t="n">
        <v>0</v>
      </c>
      <c r="I603" t="n">
        <v>0</v>
      </c>
      <c r="J603" t="n">
        <v>0</v>
      </c>
      <c r="K603" t="n">
        <v>0</v>
      </c>
      <c r="L603" t="n">
        <v>0</v>
      </c>
      <c r="M603" t="n">
        <v>0</v>
      </c>
      <c r="N603" t="n">
        <v>0</v>
      </c>
      <c r="O603" t="n">
        <v>0</v>
      </c>
      <c r="P603" t="n">
        <v>0</v>
      </c>
      <c r="Q603" t="n">
        <v>0</v>
      </c>
      <c r="R603" s="2" t="inlineStr"/>
    </row>
    <row r="604" ht="15" customHeight="1">
      <c r="A604" t="inlineStr">
        <is>
          <t>A 49379-2021</t>
        </is>
      </c>
      <c r="B604" s="1" t="n">
        <v>44454</v>
      </c>
      <c r="C604" s="1" t="n">
        <v>46004</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36240-2023</t>
        </is>
      </c>
      <c r="B605" s="1" t="n">
        <v>45150.89295138889</v>
      </c>
      <c r="C605" s="1" t="n">
        <v>46004</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11422-2025</t>
        </is>
      </c>
      <c r="B606" s="1" t="n">
        <v>45726</v>
      </c>
      <c r="C606" s="1" t="n">
        <v>46004</v>
      </c>
      <c r="D606" t="inlineStr">
        <is>
          <t>SKÅNE LÄN</t>
        </is>
      </c>
      <c r="E606" t="inlineStr">
        <is>
          <t>HÄSSLEHOLM</t>
        </is>
      </c>
      <c r="G606" t="n">
        <v>14.9</v>
      </c>
      <c r="H606" t="n">
        <v>0</v>
      </c>
      <c r="I606" t="n">
        <v>0</v>
      </c>
      <c r="J606" t="n">
        <v>0</v>
      </c>
      <c r="K606" t="n">
        <v>0</v>
      </c>
      <c r="L606" t="n">
        <v>0</v>
      </c>
      <c r="M606" t="n">
        <v>0</v>
      </c>
      <c r="N606" t="n">
        <v>0</v>
      </c>
      <c r="O606" t="n">
        <v>0</v>
      </c>
      <c r="P606" t="n">
        <v>0</v>
      </c>
      <c r="Q606" t="n">
        <v>0</v>
      </c>
      <c r="R606" s="2" t="inlineStr"/>
    </row>
    <row r="607" ht="15" customHeight="1">
      <c r="A607" t="inlineStr">
        <is>
          <t>A 45398-2024</t>
        </is>
      </c>
      <c r="B607" s="1" t="n">
        <v>45576.56260416667</v>
      </c>
      <c r="C607" s="1" t="n">
        <v>46004</v>
      </c>
      <c r="D607" t="inlineStr">
        <is>
          <t>SKÅNE LÄN</t>
        </is>
      </c>
      <c r="E607" t="inlineStr">
        <is>
          <t>HÄSSLEHOLM</t>
        </is>
      </c>
      <c r="G607" t="n">
        <v>4.2</v>
      </c>
      <c r="H607" t="n">
        <v>0</v>
      </c>
      <c r="I607" t="n">
        <v>0</v>
      </c>
      <c r="J607" t="n">
        <v>0</v>
      </c>
      <c r="K607" t="n">
        <v>0</v>
      </c>
      <c r="L607" t="n">
        <v>0</v>
      </c>
      <c r="M607" t="n">
        <v>0</v>
      </c>
      <c r="N607" t="n">
        <v>0</v>
      </c>
      <c r="O607" t="n">
        <v>0</v>
      </c>
      <c r="P607" t="n">
        <v>0</v>
      </c>
      <c r="Q607" t="n">
        <v>0</v>
      </c>
      <c r="R607" s="2" t="inlineStr"/>
    </row>
    <row r="608" ht="15" customHeight="1">
      <c r="A608" t="inlineStr">
        <is>
          <t>A 13851-2025</t>
        </is>
      </c>
      <c r="B608" s="1" t="n">
        <v>45737.56777777777</v>
      </c>
      <c r="C608" s="1" t="n">
        <v>46004</v>
      </c>
      <c r="D608" t="inlineStr">
        <is>
          <t>SKÅNE LÄN</t>
        </is>
      </c>
      <c r="E608" t="inlineStr">
        <is>
          <t>HÄSSLEHOLM</t>
        </is>
      </c>
      <c r="G608" t="n">
        <v>3</v>
      </c>
      <c r="H608" t="n">
        <v>0</v>
      </c>
      <c r="I608" t="n">
        <v>0</v>
      </c>
      <c r="J608" t="n">
        <v>0</v>
      </c>
      <c r="K608" t="n">
        <v>0</v>
      </c>
      <c r="L608" t="n">
        <v>0</v>
      </c>
      <c r="M608" t="n">
        <v>0</v>
      </c>
      <c r="N608" t="n">
        <v>0</v>
      </c>
      <c r="O608" t="n">
        <v>0</v>
      </c>
      <c r="P608" t="n">
        <v>0</v>
      </c>
      <c r="Q608" t="n">
        <v>0</v>
      </c>
      <c r="R608" s="2" t="inlineStr"/>
    </row>
    <row r="609" ht="15" customHeight="1">
      <c r="A609" t="inlineStr">
        <is>
          <t>A 7604-2024</t>
        </is>
      </c>
      <c r="B609" s="1" t="n">
        <v>45348</v>
      </c>
      <c r="C609" s="1" t="n">
        <v>46004</v>
      </c>
      <c r="D609" t="inlineStr">
        <is>
          <t>SKÅNE LÄN</t>
        </is>
      </c>
      <c r="E609" t="inlineStr">
        <is>
          <t>HÄSSLEHOLM</t>
        </is>
      </c>
      <c r="G609" t="n">
        <v>11.1</v>
      </c>
      <c r="H609" t="n">
        <v>0</v>
      </c>
      <c r="I609" t="n">
        <v>0</v>
      </c>
      <c r="J609" t="n">
        <v>0</v>
      </c>
      <c r="K609" t="n">
        <v>0</v>
      </c>
      <c r="L609" t="n">
        <v>0</v>
      </c>
      <c r="M609" t="n">
        <v>0</v>
      </c>
      <c r="N609" t="n">
        <v>0</v>
      </c>
      <c r="O609" t="n">
        <v>0</v>
      </c>
      <c r="P609" t="n">
        <v>0</v>
      </c>
      <c r="Q609" t="n">
        <v>0</v>
      </c>
      <c r="R609" s="2" t="inlineStr"/>
    </row>
    <row r="610" ht="15" customHeight="1">
      <c r="A610" t="inlineStr">
        <is>
          <t>A 4140-2023</t>
        </is>
      </c>
      <c r="B610" s="1" t="n">
        <v>44953</v>
      </c>
      <c r="C610" s="1" t="n">
        <v>46004</v>
      </c>
      <c r="D610" t="inlineStr">
        <is>
          <t>SKÅNE LÄN</t>
        </is>
      </c>
      <c r="E610" t="inlineStr">
        <is>
          <t>HÄSSLEHOLM</t>
        </is>
      </c>
      <c r="G610" t="n">
        <v>10.6</v>
      </c>
      <c r="H610" t="n">
        <v>0</v>
      </c>
      <c r="I610" t="n">
        <v>0</v>
      </c>
      <c r="J610" t="n">
        <v>0</v>
      </c>
      <c r="K610" t="n">
        <v>0</v>
      </c>
      <c r="L610" t="n">
        <v>0</v>
      </c>
      <c r="M610" t="n">
        <v>0</v>
      </c>
      <c r="N610" t="n">
        <v>0</v>
      </c>
      <c r="O610" t="n">
        <v>0</v>
      </c>
      <c r="P610" t="n">
        <v>0</v>
      </c>
      <c r="Q610" t="n">
        <v>0</v>
      </c>
      <c r="R610" s="2" t="inlineStr"/>
    </row>
    <row r="611" ht="15" customHeight="1">
      <c r="A611" t="inlineStr">
        <is>
          <t>A 29853-2024</t>
        </is>
      </c>
      <c r="B611" s="1" t="n">
        <v>45485.65844907407</v>
      </c>
      <c r="C611" s="1" t="n">
        <v>46004</v>
      </c>
      <c r="D611" t="inlineStr">
        <is>
          <t>SKÅNE LÄN</t>
        </is>
      </c>
      <c r="E611" t="inlineStr">
        <is>
          <t>HÄSSLEHOLM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29287-2023</t>
        </is>
      </c>
      <c r="B612" s="1" t="n">
        <v>45098</v>
      </c>
      <c r="C612" s="1" t="n">
        <v>46004</v>
      </c>
      <c r="D612" t="inlineStr">
        <is>
          <t>SKÅNE LÄN</t>
        </is>
      </c>
      <c r="E612" t="inlineStr">
        <is>
          <t>HÄSSLEHOLM</t>
        </is>
      </c>
      <c r="G612" t="n">
        <v>5.7</v>
      </c>
      <c r="H612" t="n">
        <v>0</v>
      </c>
      <c r="I612" t="n">
        <v>0</v>
      </c>
      <c r="J612" t="n">
        <v>0</v>
      </c>
      <c r="K612" t="n">
        <v>0</v>
      </c>
      <c r="L612" t="n">
        <v>0</v>
      </c>
      <c r="M612" t="n">
        <v>0</v>
      </c>
      <c r="N612" t="n">
        <v>0</v>
      </c>
      <c r="O612" t="n">
        <v>0</v>
      </c>
      <c r="P612" t="n">
        <v>0</v>
      </c>
      <c r="Q612" t="n">
        <v>0</v>
      </c>
      <c r="R612" s="2" t="inlineStr"/>
    </row>
    <row r="613" ht="15" customHeight="1">
      <c r="A613" t="inlineStr">
        <is>
          <t>A 12469-2023</t>
        </is>
      </c>
      <c r="B613" s="1" t="n">
        <v>44999.62109953703</v>
      </c>
      <c r="C613" s="1" t="n">
        <v>46004</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50000-2023</t>
        </is>
      </c>
      <c r="B614" s="1" t="n">
        <v>45215.4434837963</v>
      </c>
      <c r="C614" s="1" t="n">
        <v>46004</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5992-2022</t>
        </is>
      </c>
      <c r="B615" s="1" t="n">
        <v>44599</v>
      </c>
      <c r="C615" s="1" t="n">
        <v>46004</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417-2022</t>
        </is>
      </c>
      <c r="B616" s="1" t="n">
        <v>44565.84615740741</v>
      </c>
      <c r="C616" s="1" t="n">
        <v>46004</v>
      </c>
      <c r="D616" t="inlineStr">
        <is>
          <t>SKÅNE LÄN</t>
        </is>
      </c>
      <c r="E616" t="inlineStr">
        <is>
          <t>HÄSSLEHOLM</t>
        </is>
      </c>
      <c r="G616" t="n">
        <v>0</v>
      </c>
      <c r="H616" t="n">
        <v>0</v>
      </c>
      <c r="I616" t="n">
        <v>0</v>
      </c>
      <c r="J616" t="n">
        <v>0</v>
      </c>
      <c r="K616" t="n">
        <v>0</v>
      </c>
      <c r="L616" t="n">
        <v>0</v>
      </c>
      <c r="M616" t="n">
        <v>0</v>
      </c>
      <c r="N616" t="n">
        <v>0</v>
      </c>
      <c r="O616" t="n">
        <v>0</v>
      </c>
      <c r="P616" t="n">
        <v>0</v>
      </c>
      <c r="Q616" t="n">
        <v>0</v>
      </c>
      <c r="R616" s="2" t="inlineStr"/>
    </row>
    <row r="617" ht="15" customHeight="1">
      <c r="A617" t="inlineStr">
        <is>
          <t>A 51040-2024</t>
        </is>
      </c>
      <c r="B617" s="1" t="n">
        <v>45603.43222222223</v>
      </c>
      <c r="C617" s="1" t="n">
        <v>46004</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50249-2024</t>
        </is>
      </c>
      <c r="B618" s="1" t="n">
        <v>45600.56866898148</v>
      </c>
      <c r="C618" s="1" t="n">
        <v>46004</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25324-2024</t>
        </is>
      </c>
      <c r="B619" s="1" t="n">
        <v>45462.804375</v>
      </c>
      <c r="C619" s="1" t="n">
        <v>46004</v>
      </c>
      <c r="D619" t="inlineStr">
        <is>
          <t>SKÅNE LÄN</t>
        </is>
      </c>
      <c r="E619" t="inlineStr">
        <is>
          <t>HÄSSLEHOLM</t>
        </is>
      </c>
      <c r="G619" t="n">
        <v>0.2</v>
      </c>
      <c r="H619" t="n">
        <v>0</v>
      </c>
      <c r="I619" t="n">
        <v>0</v>
      </c>
      <c r="J619" t="n">
        <v>0</v>
      </c>
      <c r="K619" t="n">
        <v>0</v>
      </c>
      <c r="L619" t="n">
        <v>0</v>
      </c>
      <c r="M619" t="n">
        <v>0</v>
      </c>
      <c r="N619" t="n">
        <v>0</v>
      </c>
      <c r="O619" t="n">
        <v>0</v>
      </c>
      <c r="P619" t="n">
        <v>0</v>
      </c>
      <c r="Q619" t="n">
        <v>0</v>
      </c>
      <c r="R619" s="2" t="inlineStr"/>
    </row>
    <row r="620" ht="15" customHeight="1">
      <c r="A620" t="inlineStr">
        <is>
          <t>A 8803-2023</t>
        </is>
      </c>
      <c r="B620" s="1" t="n">
        <v>44978.61712962963</v>
      </c>
      <c r="C620" s="1" t="n">
        <v>46004</v>
      </c>
      <c r="D620" t="inlineStr">
        <is>
          <t>SKÅNE LÄN</t>
        </is>
      </c>
      <c r="E620" t="inlineStr">
        <is>
          <t>HÄSSLEHOLM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54326-2022</t>
        </is>
      </c>
      <c r="B621" s="1" t="n">
        <v>44882.42965277778</v>
      </c>
      <c r="C621" s="1" t="n">
        <v>46004</v>
      </c>
      <c r="D621" t="inlineStr">
        <is>
          <t>SKÅNE LÄN</t>
        </is>
      </c>
      <c r="E621" t="inlineStr">
        <is>
          <t>HÄSSLEHOLM</t>
        </is>
      </c>
      <c r="G621" t="n">
        <v>1.5</v>
      </c>
      <c r="H621" t="n">
        <v>0</v>
      </c>
      <c r="I621" t="n">
        <v>0</v>
      </c>
      <c r="J621" t="n">
        <v>0</v>
      </c>
      <c r="K621" t="n">
        <v>0</v>
      </c>
      <c r="L621" t="n">
        <v>0</v>
      </c>
      <c r="M621" t="n">
        <v>0</v>
      </c>
      <c r="N621" t="n">
        <v>0</v>
      </c>
      <c r="O621" t="n">
        <v>0</v>
      </c>
      <c r="P621" t="n">
        <v>0</v>
      </c>
      <c r="Q621" t="n">
        <v>0</v>
      </c>
      <c r="R621" s="2" t="inlineStr"/>
    </row>
    <row r="622" ht="15" customHeight="1">
      <c r="A622" t="inlineStr">
        <is>
          <t>A 45400-2022</t>
        </is>
      </c>
      <c r="B622" s="1" t="n">
        <v>44844.713125</v>
      </c>
      <c r="C622" s="1" t="n">
        <v>46004</v>
      </c>
      <c r="D622" t="inlineStr">
        <is>
          <t>SKÅNE LÄN</t>
        </is>
      </c>
      <c r="E622" t="inlineStr">
        <is>
          <t>HÄSSLEHOLM</t>
        </is>
      </c>
      <c r="G622" t="n">
        <v>1.6</v>
      </c>
      <c r="H622" t="n">
        <v>0</v>
      </c>
      <c r="I622" t="n">
        <v>0</v>
      </c>
      <c r="J622" t="n">
        <v>0</v>
      </c>
      <c r="K622" t="n">
        <v>0</v>
      </c>
      <c r="L622" t="n">
        <v>0</v>
      </c>
      <c r="M622" t="n">
        <v>0</v>
      </c>
      <c r="N622" t="n">
        <v>0</v>
      </c>
      <c r="O622" t="n">
        <v>0</v>
      </c>
      <c r="P622" t="n">
        <v>0</v>
      </c>
      <c r="Q622" t="n">
        <v>0</v>
      </c>
      <c r="R622" s="2" t="inlineStr"/>
    </row>
    <row r="623" ht="15" customHeight="1">
      <c r="A623" t="inlineStr">
        <is>
          <t>A 4809-2025</t>
        </is>
      </c>
      <c r="B623" s="1" t="n">
        <v>45688.60148148148</v>
      </c>
      <c r="C623" s="1" t="n">
        <v>46004</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12780-2024</t>
        </is>
      </c>
      <c r="B624" s="1" t="n">
        <v>45384.59726851852</v>
      </c>
      <c r="C624" s="1" t="n">
        <v>46004</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9375-2023</t>
        </is>
      </c>
      <c r="B625" s="1" t="n">
        <v>44981</v>
      </c>
      <c r="C625" s="1" t="n">
        <v>46004</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54174-2022</t>
        </is>
      </c>
      <c r="B626" s="1" t="n">
        <v>44881</v>
      </c>
      <c r="C626" s="1" t="n">
        <v>46004</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38376-2022</t>
        </is>
      </c>
      <c r="B627" s="1" t="n">
        <v>44812</v>
      </c>
      <c r="C627" s="1" t="n">
        <v>46004</v>
      </c>
      <c r="D627" t="inlineStr">
        <is>
          <t>SKÅNE LÄN</t>
        </is>
      </c>
      <c r="E627" t="inlineStr">
        <is>
          <t>HÄSSLEHOLM</t>
        </is>
      </c>
      <c r="G627" t="n">
        <v>1.9</v>
      </c>
      <c r="H627" t="n">
        <v>0</v>
      </c>
      <c r="I627" t="n">
        <v>0</v>
      </c>
      <c r="J627" t="n">
        <v>0</v>
      </c>
      <c r="K627" t="n">
        <v>0</v>
      </c>
      <c r="L627" t="n">
        <v>0</v>
      </c>
      <c r="M627" t="n">
        <v>0</v>
      </c>
      <c r="N627" t="n">
        <v>0</v>
      </c>
      <c r="O627" t="n">
        <v>0</v>
      </c>
      <c r="P627" t="n">
        <v>0</v>
      </c>
      <c r="Q627" t="n">
        <v>0</v>
      </c>
      <c r="R627" s="2" t="inlineStr"/>
    </row>
    <row r="628" ht="15" customHeight="1">
      <c r="A628" t="inlineStr">
        <is>
          <t>A 26857-2025</t>
        </is>
      </c>
      <c r="B628" s="1" t="n">
        <v>45810</v>
      </c>
      <c r="C628" s="1" t="n">
        <v>46004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54659-2023</t>
        </is>
      </c>
      <c r="B629" s="1" t="n">
        <v>45235</v>
      </c>
      <c r="C629" s="1" t="n">
        <v>46004</v>
      </c>
      <c r="D629" t="inlineStr">
        <is>
          <t>SKÅNE LÄN</t>
        </is>
      </c>
      <c r="E629" t="inlineStr">
        <is>
          <t>HÄSSLEHOLM</t>
        </is>
      </c>
      <c r="G629" t="n">
        <v>5</v>
      </c>
      <c r="H629" t="n">
        <v>0</v>
      </c>
      <c r="I629" t="n">
        <v>0</v>
      </c>
      <c r="J629" t="n">
        <v>0</v>
      </c>
      <c r="K629" t="n">
        <v>0</v>
      </c>
      <c r="L629" t="n">
        <v>0</v>
      </c>
      <c r="M629" t="n">
        <v>0</v>
      </c>
      <c r="N629" t="n">
        <v>0</v>
      </c>
      <c r="O629" t="n">
        <v>0</v>
      </c>
      <c r="P629" t="n">
        <v>0</v>
      </c>
      <c r="Q629" t="n">
        <v>0</v>
      </c>
      <c r="R629" s="2" t="inlineStr"/>
    </row>
    <row r="630" ht="15" customHeight="1">
      <c r="A630" t="inlineStr">
        <is>
          <t>A 30006-2023</t>
        </is>
      </c>
      <c r="B630" s="1" t="n">
        <v>45109.79962962963</v>
      </c>
      <c r="C630" s="1" t="n">
        <v>46004</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13961-2023</t>
        </is>
      </c>
      <c r="B631" s="1" t="n">
        <v>45008</v>
      </c>
      <c r="C631" s="1" t="n">
        <v>46004</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49167-2022</t>
        </is>
      </c>
      <c r="B632" s="1" t="n">
        <v>44860</v>
      </c>
      <c r="C632" s="1" t="n">
        <v>46004</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15036-2024</t>
        </is>
      </c>
      <c r="B633" s="1" t="n">
        <v>45399.48100694444</v>
      </c>
      <c r="C633" s="1" t="n">
        <v>46004</v>
      </c>
      <c r="D633" t="inlineStr">
        <is>
          <t>SKÅNE LÄN</t>
        </is>
      </c>
      <c r="E633" t="inlineStr">
        <is>
          <t>HÄSSLEHOLM</t>
        </is>
      </c>
      <c r="G633" t="n">
        <v>1.6</v>
      </c>
      <c r="H633" t="n">
        <v>0</v>
      </c>
      <c r="I633" t="n">
        <v>0</v>
      </c>
      <c r="J633" t="n">
        <v>0</v>
      </c>
      <c r="K633" t="n">
        <v>0</v>
      </c>
      <c r="L633" t="n">
        <v>0</v>
      </c>
      <c r="M633" t="n">
        <v>0</v>
      </c>
      <c r="N633" t="n">
        <v>0</v>
      </c>
      <c r="O633" t="n">
        <v>0</v>
      </c>
      <c r="P633" t="n">
        <v>0</v>
      </c>
      <c r="Q633" t="n">
        <v>0</v>
      </c>
      <c r="R633" s="2" t="inlineStr"/>
    </row>
    <row r="634" ht="15" customHeight="1">
      <c r="A634" t="inlineStr">
        <is>
          <t>A 7581-2023</t>
        </is>
      </c>
      <c r="B634" s="1" t="n">
        <v>44972.39556712963</v>
      </c>
      <c r="C634" s="1" t="n">
        <v>46004</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48191-2021</t>
        </is>
      </c>
      <c r="B635" s="1" t="n">
        <v>44449</v>
      </c>
      <c r="C635" s="1" t="n">
        <v>46004</v>
      </c>
      <c r="D635" t="inlineStr">
        <is>
          <t>SKÅNE LÄN</t>
        </is>
      </c>
      <c r="E635" t="inlineStr">
        <is>
          <t>HÄSSLEHOLM</t>
        </is>
      </c>
      <c r="G635" t="n">
        <v>6</v>
      </c>
      <c r="H635" t="n">
        <v>0</v>
      </c>
      <c r="I635" t="n">
        <v>0</v>
      </c>
      <c r="J635" t="n">
        <v>0</v>
      </c>
      <c r="K635" t="n">
        <v>0</v>
      </c>
      <c r="L635" t="n">
        <v>0</v>
      </c>
      <c r="M635" t="n">
        <v>0</v>
      </c>
      <c r="N635" t="n">
        <v>0</v>
      </c>
      <c r="O635" t="n">
        <v>0</v>
      </c>
      <c r="P635" t="n">
        <v>0</v>
      </c>
      <c r="Q635" t="n">
        <v>0</v>
      </c>
      <c r="R635" s="2" t="inlineStr"/>
    </row>
    <row r="636" ht="15" customHeight="1">
      <c r="A636" t="inlineStr">
        <is>
          <t>A 57963-2023</t>
        </is>
      </c>
      <c r="B636" s="1" t="n">
        <v>45247.57732638889</v>
      </c>
      <c r="C636" s="1" t="n">
        <v>46004</v>
      </c>
      <c r="D636" t="inlineStr">
        <is>
          <t>SKÅNE LÄN</t>
        </is>
      </c>
      <c r="E636" t="inlineStr">
        <is>
          <t>HÄSSLEHOLM</t>
        </is>
      </c>
      <c r="G636" t="n">
        <v>4.6</v>
      </c>
      <c r="H636" t="n">
        <v>0</v>
      </c>
      <c r="I636" t="n">
        <v>0</v>
      </c>
      <c r="J636" t="n">
        <v>0</v>
      </c>
      <c r="K636" t="n">
        <v>0</v>
      </c>
      <c r="L636" t="n">
        <v>0</v>
      </c>
      <c r="M636" t="n">
        <v>0</v>
      </c>
      <c r="N636" t="n">
        <v>0</v>
      </c>
      <c r="O636" t="n">
        <v>0</v>
      </c>
      <c r="P636" t="n">
        <v>0</v>
      </c>
      <c r="Q636" t="n">
        <v>0</v>
      </c>
      <c r="R636" s="2" t="inlineStr"/>
    </row>
    <row r="637" ht="15" customHeight="1">
      <c r="A637" t="inlineStr">
        <is>
          <t>A 5282-2023</t>
        </is>
      </c>
      <c r="B637" s="1" t="n">
        <v>44959.50471064815</v>
      </c>
      <c r="C637" s="1" t="n">
        <v>46004</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9709-2023</t>
        </is>
      </c>
      <c r="B638" s="1" t="n">
        <v>44984.48376157408</v>
      </c>
      <c r="C638" s="1" t="n">
        <v>46004</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57033-2022</t>
        </is>
      </c>
      <c r="B639" s="1" t="n">
        <v>44895.31270833333</v>
      </c>
      <c r="C639" s="1" t="n">
        <v>46004</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35845-2022</t>
        </is>
      </c>
      <c r="B640" s="1" t="n">
        <v>44802</v>
      </c>
      <c r="C640" s="1" t="n">
        <v>46004</v>
      </c>
      <c r="D640" t="inlineStr">
        <is>
          <t>SKÅNE LÄN</t>
        </is>
      </c>
      <c r="E640" t="inlineStr">
        <is>
          <t>HÄSSLEHOLM</t>
        </is>
      </c>
      <c r="G640" t="n">
        <v>0.9</v>
      </c>
      <c r="H640" t="n">
        <v>0</v>
      </c>
      <c r="I640" t="n">
        <v>0</v>
      </c>
      <c r="J640" t="n">
        <v>0</v>
      </c>
      <c r="K640" t="n">
        <v>0</v>
      </c>
      <c r="L640" t="n">
        <v>0</v>
      </c>
      <c r="M640" t="n">
        <v>0</v>
      </c>
      <c r="N640" t="n">
        <v>0</v>
      </c>
      <c r="O640" t="n">
        <v>0</v>
      </c>
      <c r="P640" t="n">
        <v>0</v>
      </c>
      <c r="Q640" t="n">
        <v>0</v>
      </c>
      <c r="R640" s="2" t="inlineStr"/>
    </row>
    <row r="641" ht="15" customHeight="1">
      <c r="A641" t="inlineStr">
        <is>
          <t>A 9615-2025</t>
        </is>
      </c>
      <c r="B641" s="1" t="n">
        <v>45715</v>
      </c>
      <c r="C641" s="1" t="n">
        <v>46004</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8524-2024</t>
        </is>
      </c>
      <c r="B642" s="1" t="n">
        <v>45355.48570601852</v>
      </c>
      <c r="C642" s="1" t="n">
        <v>46004</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52548-2023</t>
        </is>
      </c>
      <c r="B643" s="1" t="n">
        <v>45218</v>
      </c>
      <c r="C643" s="1" t="n">
        <v>46004</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12503-2022</t>
        </is>
      </c>
      <c r="B644" s="1" t="n">
        <v>44638</v>
      </c>
      <c r="C644" s="1" t="n">
        <v>46004</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22140-2023</t>
        </is>
      </c>
      <c r="B645" s="1" t="n">
        <v>45065</v>
      </c>
      <c r="C645" s="1" t="n">
        <v>46004</v>
      </c>
      <c r="D645" t="inlineStr">
        <is>
          <t>SKÅNE LÄN</t>
        </is>
      </c>
      <c r="E645" t="inlineStr">
        <is>
          <t>HÄSSLEHOLM</t>
        </is>
      </c>
      <c r="G645" t="n">
        <v>6.7</v>
      </c>
      <c r="H645" t="n">
        <v>0</v>
      </c>
      <c r="I645" t="n">
        <v>0</v>
      </c>
      <c r="J645" t="n">
        <v>0</v>
      </c>
      <c r="K645" t="n">
        <v>0</v>
      </c>
      <c r="L645" t="n">
        <v>0</v>
      </c>
      <c r="M645" t="n">
        <v>0</v>
      </c>
      <c r="N645" t="n">
        <v>0</v>
      </c>
      <c r="O645" t="n">
        <v>0</v>
      </c>
      <c r="P645" t="n">
        <v>0</v>
      </c>
      <c r="Q645" t="n">
        <v>0</v>
      </c>
      <c r="R645" s="2" t="inlineStr"/>
    </row>
    <row r="646" ht="15" customHeight="1">
      <c r="A646" t="inlineStr">
        <is>
          <t>A 23987-2024</t>
        </is>
      </c>
      <c r="B646" s="1" t="n">
        <v>45456</v>
      </c>
      <c r="C646" s="1" t="n">
        <v>46004</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4042-2023</t>
        </is>
      </c>
      <c r="B647" s="1" t="n">
        <v>44952.59950231481</v>
      </c>
      <c r="C647" s="1" t="n">
        <v>46004</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7653-2024</t>
        </is>
      </c>
      <c r="B648" s="1" t="n">
        <v>45348.69043981482</v>
      </c>
      <c r="C648" s="1" t="n">
        <v>46004</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24679-2023</t>
        </is>
      </c>
      <c r="B649" s="1" t="n">
        <v>45084</v>
      </c>
      <c r="C649" s="1" t="n">
        <v>46004</v>
      </c>
      <c r="D649" t="inlineStr">
        <is>
          <t>SKÅNE LÄN</t>
        </is>
      </c>
      <c r="E649" t="inlineStr">
        <is>
          <t>HÄSSLEHOLM</t>
        </is>
      </c>
      <c r="G649" t="n">
        <v>7.1</v>
      </c>
      <c r="H649" t="n">
        <v>0</v>
      </c>
      <c r="I649" t="n">
        <v>0</v>
      </c>
      <c r="J649" t="n">
        <v>0</v>
      </c>
      <c r="K649" t="n">
        <v>0</v>
      </c>
      <c r="L649" t="n">
        <v>0</v>
      </c>
      <c r="M649" t="n">
        <v>0</v>
      </c>
      <c r="N649" t="n">
        <v>0</v>
      </c>
      <c r="O649" t="n">
        <v>0</v>
      </c>
      <c r="P649" t="n">
        <v>0</v>
      </c>
      <c r="Q649" t="n">
        <v>0</v>
      </c>
      <c r="R649" s="2" t="inlineStr"/>
    </row>
    <row r="650" ht="15" customHeight="1">
      <c r="A650" t="inlineStr">
        <is>
          <t>A 9485-2023</t>
        </is>
      </c>
      <c r="B650" s="1" t="n">
        <v>44981.60901620371</v>
      </c>
      <c r="C650" s="1" t="n">
        <v>46004</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54777-2022</t>
        </is>
      </c>
      <c r="B651" s="1" t="n">
        <v>44883</v>
      </c>
      <c r="C651" s="1" t="n">
        <v>46004</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61929-2023</t>
        </is>
      </c>
      <c r="B652" s="1" t="n">
        <v>45266</v>
      </c>
      <c r="C652" s="1" t="n">
        <v>46004</v>
      </c>
      <c r="D652" t="inlineStr">
        <is>
          <t>SKÅNE LÄN</t>
        </is>
      </c>
      <c r="E652" t="inlineStr">
        <is>
          <t>HÄSSLEHOLM</t>
        </is>
      </c>
      <c r="G652" t="n">
        <v>1.9</v>
      </c>
      <c r="H652" t="n">
        <v>0</v>
      </c>
      <c r="I652" t="n">
        <v>0</v>
      </c>
      <c r="J652" t="n">
        <v>0</v>
      </c>
      <c r="K652" t="n">
        <v>0</v>
      </c>
      <c r="L652" t="n">
        <v>0</v>
      </c>
      <c r="M652" t="n">
        <v>0</v>
      </c>
      <c r="N652" t="n">
        <v>0</v>
      </c>
      <c r="O652" t="n">
        <v>0</v>
      </c>
      <c r="P652" t="n">
        <v>0</v>
      </c>
      <c r="Q652" t="n">
        <v>0</v>
      </c>
      <c r="R652" s="2" t="inlineStr"/>
    </row>
    <row r="653" ht="15" customHeight="1">
      <c r="A653" t="inlineStr">
        <is>
          <t>A 13555-2025</t>
        </is>
      </c>
      <c r="B653" s="1" t="n">
        <v>45736</v>
      </c>
      <c r="C653" s="1" t="n">
        <v>46004</v>
      </c>
      <c r="D653" t="inlineStr">
        <is>
          <t>SKÅNE LÄN</t>
        </is>
      </c>
      <c r="E653" t="inlineStr">
        <is>
          <t>HÄSSLEHOLM</t>
        </is>
      </c>
      <c r="G653" t="n">
        <v>1.1</v>
      </c>
      <c r="H653" t="n">
        <v>0</v>
      </c>
      <c r="I653" t="n">
        <v>0</v>
      </c>
      <c r="J653" t="n">
        <v>0</v>
      </c>
      <c r="K653" t="n">
        <v>0</v>
      </c>
      <c r="L653" t="n">
        <v>0</v>
      </c>
      <c r="M653" t="n">
        <v>0</v>
      </c>
      <c r="N653" t="n">
        <v>0</v>
      </c>
      <c r="O653" t="n">
        <v>0</v>
      </c>
      <c r="P653" t="n">
        <v>0</v>
      </c>
      <c r="Q653" t="n">
        <v>0</v>
      </c>
      <c r="R653" s="2" t="inlineStr"/>
    </row>
    <row r="654" ht="15" customHeight="1">
      <c r="A654" t="inlineStr">
        <is>
          <t>A 49219-2021</t>
        </is>
      </c>
      <c r="B654" s="1" t="n">
        <v>44454</v>
      </c>
      <c r="C654" s="1" t="n">
        <v>46004</v>
      </c>
      <c r="D654" t="inlineStr">
        <is>
          <t>SKÅNE LÄN</t>
        </is>
      </c>
      <c r="E654" t="inlineStr">
        <is>
          <t>HÄSSLEHOLM</t>
        </is>
      </c>
      <c r="G654" t="n">
        <v>7.8</v>
      </c>
      <c r="H654" t="n">
        <v>0</v>
      </c>
      <c r="I654" t="n">
        <v>0</v>
      </c>
      <c r="J654" t="n">
        <v>0</v>
      </c>
      <c r="K654" t="n">
        <v>0</v>
      </c>
      <c r="L654" t="n">
        <v>0</v>
      </c>
      <c r="M654" t="n">
        <v>0</v>
      </c>
      <c r="N654" t="n">
        <v>0</v>
      </c>
      <c r="O654" t="n">
        <v>0</v>
      </c>
      <c r="P654" t="n">
        <v>0</v>
      </c>
      <c r="Q654" t="n">
        <v>0</v>
      </c>
      <c r="R654" s="2" t="inlineStr"/>
    </row>
    <row r="655" ht="15" customHeight="1">
      <c r="A655" t="inlineStr">
        <is>
          <t>A 31160-2024</t>
        </is>
      </c>
      <c r="B655" s="1" t="n">
        <v>45503</v>
      </c>
      <c r="C655" s="1" t="n">
        <v>46004</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5890-2023</t>
        </is>
      </c>
      <c r="B656" s="1" t="n">
        <v>44963.64527777778</v>
      </c>
      <c r="C656" s="1" t="n">
        <v>46004</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5054-2022</t>
        </is>
      </c>
      <c r="B657" s="1" t="n">
        <v>44593.69065972222</v>
      </c>
      <c r="C657" s="1" t="n">
        <v>46004</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12936-2025</t>
        </is>
      </c>
      <c r="B658" s="1" t="n">
        <v>45734</v>
      </c>
      <c r="C658" s="1" t="n">
        <v>46004</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56062-2024</t>
        </is>
      </c>
      <c r="B659" s="1" t="n">
        <v>45624.37105324074</v>
      </c>
      <c r="C659" s="1" t="n">
        <v>46004</v>
      </c>
      <c r="D659" t="inlineStr">
        <is>
          <t>SKÅNE LÄN</t>
        </is>
      </c>
      <c r="E659" t="inlineStr">
        <is>
          <t>HÄSSLEHOLM</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41209-2023</t>
        </is>
      </c>
      <c r="B660" s="1" t="n">
        <v>45174.43481481481</v>
      </c>
      <c r="C660" s="1" t="n">
        <v>46004</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31391-2023</t>
        </is>
      </c>
      <c r="B661" s="1" t="n">
        <v>45114.56143518518</v>
      </c>
      <c r="C661" s="1" t="n">
        <v>46004</v>
      </c>
      <c r="D661" t="inlineStr">
        <is>
          <t>SKÅNE LÄN</t>
        </is>
      </c>
      <c r="E661" t="inlineStr">
        <is>
          <t>HÄSSLEHOLM</t>
        </is>
      </c>
      <c r="G661" t="n">
        <v>3.1</v>
      </c>
      <c r="H661" t="n">
        <v>0</v>
      </c>
      <c r="I661" t="n">
        <v>0</v>
      </c>
      <c r="J661" t="n">
        <v>0</v>
      </c>
      <c r="K661" t="n">
        <v>0</v>
      </c>
      <c r="L661" t="n">
        <v>0</v>
      </c>
      <c r="M661" t="n">
        <v>0</v>
      </c>
      <c r="N661" t="n">
        <v>0</v>
      </c>
      <c r="O661" t="n">
        <v>0</v>
      </c>
      <c r="P661" t="n">
        <v>0</v>
      </c>
      <c r="Q661" t="n">
        <v>0</v>
      </c>
      <c r="R661" s="2" t="inlineStr"/>
    </row>
    <row r="662" ht="15" customHeight="1">
      <c r="A662" t="inlineStr">
        <is>
          <t>A 44940-2023</t>
        </is>
      </c>
      <c r="B662" s="1" t="n">
        <v>45190.68653935185</v>
      </c>
      <c r="C662" s="1" t="n">
        <v>46004</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23723-2023</t>
        </is>
      </c>
      <c r="B663" s="1" t="n">
        <v>45077</v>
      </c>
      <c r="C663" s="1" t="n">
        <v>46004</v>
      </c>
      <c r="D663" t="inlineStr">
        <is>
          <t>SKÅNE LÄN</t>
        </is>
      </c>
      <c r="E663" t="inlineStr">
        <is>
          <t>HÄSSLEHOLM</t>
        </is>
      </c>
      <c r="G663" t="n">
        <v>3.9</v>
      </c>
      <c r="H663" t="n">
        <v>0</v>
      </c>
      <c r="I663" t="n">
        <v>0</v>
      </c>
      <c r="J663" t="n">
        <v>0</v>
      </c>
      <c r="K663" t="n">
        <v>0</v>
      </c>
      <c r="L663" t="n">
        <v>0</v>
      </c>
      <c r="M663" t="n">
        <v>0</v>
      </c>
      <c r="N663" t="n">
        <v>0</v>
      </c>
      <c r="O663" t="n">
        <v>0</v>
      </c>
      <c r="P663" t="n">
        <v>0</v>
      </c>
      <c r="Q663" t="n">
        <v>0</v>
      </c>
      <c r="R663" s="2" t="inlineStr"/>
    </row>
    <row r="664" ht="15" customHeight="1">
      <c r="A664" t="inlineStr">
        <is>
          <t>A 25533-2024</t>
        </is>
      </c>
      <c r="B664" s="1" t="n">
        <v>45463</v>
      </c>
      <c r="C664" s="1" t="n">
        <v>46004</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57275-2023</t>
        </is>
      </c>
      <c r="B665" s="1" t="n">
        <v>45245.58886574074</v>
      </c>
      <c r="C665" s="1" t="n">
        <v>46004</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61498-2022</t>
        </is>
      </c>
      <c r="B666" s="1" t="n">
        <v>44910</v>
      </c>
      <c r="C666" s="1" t="n">
        <v>46004</v>
      </c>
      <c r="D666" t="inlineStr">
        <is>
          <t>SKÅNE LÄN</t>
        </is>
      </c>
      <c r="E666" t="inlineStr">
        <is>
          <t>HÄSSLEHOLM</t>
        </is>
      </c>
      <c r="F666" t="inlineStr">
        <is>
          <t>Kyrkan</t>
        </is>
      </c>
      <c r="G666" t="n">
        <v>3.2</v>
      </c>
      <c r="H666" t="n">
        <v>0</v>
      </c>
      <c r="I666" t="n">
        <v>0</v>
      </c>
      <c r="J666" t="n">
        <v>0</v>
      </c>
      <c r="K666" t="n">
        <v>0</v>
      </c>
      <c r="L666" t="n">
        <v>0</v>
      </c>
      <c r="M666" t="n">
        <v>0</v>
      </c>
      <c r="N666" t="n">
        <v>0</v>
      </c>
      <c r="O666" t="n">
        <v>0</v>
      </c>
      <c r="P666" t="n">
        <v>0</v>
      </c>
      <c r="Q666" t="n">
        <v>0</v>
      </c>
      <c r="R666" s="2" t="inlineStr"/>
    </row>
    <row r="667" ht="15" customHeight="1">
      <c r="A667" t="inlineStr">
        <is>
          <t>A 22696-2023</t>
        </is>
      </c>
      <c r="B667" s="1" t="n">
        <v>45071.69464120371</v>
      </c>
      <c r="C667" s="1" t="n">
        <v>46004</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52337-2023</t>
        </is>
      </c>
      <c r="B668" s="1" t="n">
        <v>45224.66359953704</v>
      </c>
      <c r="C668" s="1" t="n">
        <v>46004</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31933-2024</t>
        </is>
      </c>
      <c r="B669" s="1" t="n">
        <v>45510.41123842593</v>
      </c>
      <c r="C669" s="1" t="n">
        <v>46004</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53302-2022</t>
        </is>
      </c>
      <c r="B670" s="1" t="n">
        <v>44877</v>
      </c>
      <c r="C670" s="1" t="n">
        <v>46004</v>
      </c>
      <c r="D670" t="inlineStr">
        <is>
          <t>SKÅNE LÄN</t>
        </is>
      </c>
      <c r="E670" t="inlineStr">
        <is>
          <t>HÄSSLEHOLM</t>
        </is>
      </c>
      <c r="G670" t="n">
        <v>0.1</v>
      </c>
      <c r="H670" t="n">
        <v>0</v>
      </c>
      <c r="I670" t="n">
        <v>0</v>
      </c>
      <c r="J670" t="n">
        <v>0</v>
      </c>
      <c r="K670" t="n">
        <v>0</v>
      </c>
      <c r="L670" t="n">
        <v>0</v>
      </c>
      <c r="M670" t="n">
        <v>0</v>
      </c>
      <c r="N670" t="n">
        <v>0</v>
      </c>
      <c r="O670" t="n">
        <v>0</v>
      </c>
      <c r="P670" t="n">
        <v>0</v>
      </c>
      <c r="Q670" t="n">
        <v>0</v>
      </c>
      <c r="R670" s="2" t="inlineStr"/>
    </row>
    <row r="671" ht="15" customHeight="1">
      <c r="A671" t="inlineStr">
        <is>
          <t>A 31581-2023</t>
        </is>
      </c>
      <c r="B671" s="1" t="n">
        <v>45117.45165509259</v>
      </c>
      <c r="C671" s="1" t="n">
        <v>46004</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23955-2023</t>
        </is>
      </c>
      <c r="B672" s="1" t="n">
        <v>45078.62217592593</v>
      </c>
      <c r="C672" s="1" t="n">
        <v>46004</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27991-2024</t>
        </is>
      </c>
      <c r="B673" s="1" t="n">
        <v>45476</v>
      </c>
      <c r="C673" s="1" t="n">
        <v>46004</v>
      </c>
      <c r="D673" t="inlineStr">
        <is>
          <t>SKÅNE LÄN</t>
        </is>
      </c>
      <c r="E673" t="inlineStr">
        <is>
          <t>HÄSSLEHOLM</t>
        </is>
      </c>
      <c r="G673" t="n">
        <v>5.8</v>
      </c>
      <c r="H673" t="n">
        <v>0</v>
      </c>
      <c r="I673" t="n">
        <v>0</v>
      </c>
      <c r="J673" t="n">
        <v>0</v>
      </c>
      <c r="K673" t="n">
        <v>0</v>
      </c>
      <c r="L673" t="n">
        <v>0</v>
      </c>
      <c r="M673" t="n">
        <v>0</v>
      </c>
      <c r="N673" t="n">
        <v>0</v>
      </c>
      <c r="O673" t="n">
        <v>0</v>
      </c>
      <c r="P673" t="n">
        <v>0</v>
      </c>
      <c r="Q673" t="n">
        <v>0</v>
      </c>
      <c r="R673" s="2" t="inlineStr"/>
    </row>
    <row r="674" ht="15" customHeight="1">
      <c r="A674" t="inlineStr">
        <is>
          <t>A 10897-2023</t>
        </is>
      </c>
      <c r="B674" s="1" t="n">
        <v>44985</v>
      </c>
      <c r="C674" s="1" t="n">
        <v>46004</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50571-2023</t>
        </is>
      </c>
      <c r="B675" s="1" t="n">
        <v>45217.38359953704</v>
      </c>
      <c r="C675" s="1" t="n">
        <v>46004</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18908-2023</t>
        </is>
      </c>
      <c r="B676" s="1" t="n">
        <v>45044</v>
      </c>
      <c r="C676" s="1" t="n">
        <v>46004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10028-2024</t>
        </is>
      </c>
      <c r="B677" s="1" t="n">
        <v>45363.97292824074</v>
      </c>
      <c r="C677" s="1" t="n">
        <v>46004</v>
      </c>
      <c r="D677" t="inlineStr">
        <is>
          <t>SKÅNE LÄN</t>
        </is>
      </c>
      <c r="E677" t="inlineStr">
        <is>
          <t>HÄSSLEHOLM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31946-2023</t>
        </is>
      </c>
      <c r="B678" s="1" t="n">
        <v>45119.35158564815</v>
      </c>
      <c r="C678" s="1" t="n">
        <v>46004</v>
      </c>
      <c r="D678" t="inlineStr">
        <is>
          <t>SKÅNE LÄN</t>
        </is>
      </c>
      <c r="E678" t="inlineStr">
        <is>
          <t>HÄSSLEHOLM</t>
        </is>
      </c>
      <c r="G678" t="n">
        <v>0.3</v>
      </c>
      <c r="H678" t="n">
        <v>0</v>
      </c>
      <c r="I678" t="n">
        <v>0</v>
      </c>
      <c r="J678" t="n">
        <v>0</v>
      </c>
      <c r="K678" t="n">
        <v>0</v>
      </c>
      <c r="L678" t="n">
        <v>0</v>
      </c>
      <c r="M678" t="n">
        <v>0</v>
      </c>
      <c r="N678" t="n">
        <v>0</v>
      </c>
      <c r="O678" t="n">
        <v>0</v>
      </c>
      <c r="P678" t="n">
        <v>0</v>
      </c>
      <c r="Q678" t="n">
        <v>0</v>
      </c>
      <c r="R678" s="2" t="inlineStr"/>
    </row>
    <row r="679" ht="15" customHeight="1">
      <c r="A679" t="inlineStr">
        <is>
          <t>A 13084-2025</t>
        </is>
      </c>
      <c r="B679" s="1" t="n">
        <v>45734</v>
      </c>
      <c r="C679" s="1" t="n">
        <v>46004</v>
      </c>
      <c r="D679" t="inlineStr">
        <is>
          <t>SKÅNE LÄN</t>
        </is>
      </c>
      <c r="E679" t="inlineStr">
        <is>
          <t>HÄSSLEHOLM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55303-2024</t>
        </is>
      </c>
      <c r="B680" s="1" t="n">
        <v>45621.6434837963</v>
      </c>
      <c r="C680" s="1" t="n">
        <v>46004</v>
      </c>
      <c r="D680" t="inlineStr">
        <is>
          <t>SKÅNE LÄN</t>
        </is>
      </c>
      <c r="E680" t="inlineStr">
        <is>
          <t>HÄSSLEHOLM</t>
        </is>
      </c>
      <c r="G680" t="n">
        <v>3.3</v>
      </c>
      <c r="H680" t="n">
        <v>0</v>
      </c>
      <c r="I680" t="n">
        <v>0</v>
      </c>
      <c r="J680" t="n">
        <v>0</v>
      </c>
      <c r="K680" t="n">
        <v>0</v>
      </c>
      <c r="L680" t="n">
        <v>0</v>
      </c>
      <c r="M680" t="n">
        <v>0</v>
      </c>
      <c r="N680" t="n">
        <v>0</v>
      </c>
      <c r="O680" t="n">
        <v>0</v>
      </c>
      <c r="P680" t="n">
        <v>0</v>
      </c>
      <c r="Q680" t="n">
        <v>0</v>
      </c>
      <c r="R680" s="2" t="inlineStr"/>
    </row>
    <row r="681" ht="15" customHeight="1">
      <c r="A681" t="inlineStr">
        <is>
          <t>A 16285-2025</t>
        </is>
      </c>
      <c r="B681" s="1" t="n">
        <v>45751.30045138889</v>
      </c>
      <c r="C681" s="1" t="n">
        <v>46004</v>
      </c>
      <c r="D681" t="inlineStr">
        <is>
          <t>SKÅNE LÄN</t>
        </is>
      </c>
      <c r="E681" t="inlineStr">
        <is>
          <t>HÄSSLEHOLM</t>
        </is>
      </c>
      <c r="G681" t="n">
        <v>2</v>
      </c>
      <c r="H681" t="n">
        <v>0</v>
      </c>
      <c r="I681" t="n">
        <v>0</v>
      </c>
      <c r="J681" t="n">
        <v>0</v>
      </c>
      <c r="K681" t="n">
        <v>0</v>
      </c>
      <c r="L681" t="n">
        <v>0</v>
      </c>
      <c r="M681" t="n">
        <v>0</v>
      </c>
      <c r="N681" t="n">
        <v>0</v>
      </c>
      <c r="O681" t="n">
        <v>0</v>
      </c>
      <c r="P681" t="n">
        <v>0</v>
      </c>
      <c r="Q681" t="n">
        <v>0</v>
      </c>
      <c r="R681" s="2" t="inlineStr"/>
    </row>
    <row r="682" ht="15" customHeight="1">
      <c r="A682" t="inlineStr">
        <is>
          <t>A 8249-2023</t>
        </is>
      </c>
      <c r="B682" s="1" t="n">
        <v>44974</v>
      </c>
      <c r="C682" s="1" t="n">
        <v>46004</v>
      </c>
      <c r="D682" t="inlineStr">
        <is>
          <t>SKÅNE LÄN</t>
        </is>
      </c>
      <c r="E682" t="inlineStr">
        <is>
          <t>HÄSSLEHOLM</t>
        </is>
      </c>
      <c r="G682" t="n">
        <v>5.8</v>
      </c>
      <c r="H682" t="n">
        <v>0</v>
      </c>
      <c r="I682" t="n">
        <v>0</v>
      </c>
      <c r="J682" t="n">
        <v>0</v>
      </c>
      <c r="K682" t="n">
        <v>0</v>
      </c>
      <c r="L682" t="n">
        <v>0</v>
      </c>
      <c r="M682" t="n">
        <v>0</v>
      </c>
      <c r="N682" t="n">
        <v>0</v>
      </c>
      <c r="O682" t="n">
        <v>0</v>
      </c>
      <c r="P682" t="n">
        <v>0</v>
      </c>
      <c r="Q682" t="n">
        <v>0</v>
      </c>
      <c r="R682" s="2" t="inlineStr"/>
    </row>
    <row r="683" ht="15" customHeight="1">
      <c r="A683" t="inlineStr">
        <is>
          <t>A 46000-2021</t>
        </is>
      </c>
      <c r="B683" s="1" t="n">
        <v>44441</v>
      </c>
      <c r="C683" s="1" t="n">
        <v>46004</v>
      </c>
      <c r="D683" t="inlineStr">
        <is>
          <t>SKÅNE LÄN</t>
        </is>
      </c>
      <c r="E683" t="inlineStr">
        <is>
          <t>HÄSSLEHOLM</t>
        </is>
      </c>
      <c r="G683" t="n">
        <v>1.6</v>
      </c>
      <c r="H683" t="n">
        <v>0</v>
      </c>
      <c r="I683" t="n">
        <v>0</v>
      </c>
      <c r="J683" t="n">
        <v>0</v>
      </c>
      <c r="K683" t="n">
        <v>0</v>
      </c>
      <c r="L683" t="n">
        <v>0</v>
      </c>
      <c r="M683" t="n">
        <v>0</v>
      </c>
      <c r="N683" t="n">
        <v>0</v>
      </c>
      <c r="O683" t="n">
        <v>0</v>
      </c>
      <c r="P683" t="n">
        <v>0</v>
      </c>
      <c r="Q683" t="n">
        <v>0</v>
      </c>
      <c r="R683" s="2" t="inlineStr"/>
    </row>
    <row r="684" ht="15" customHeight="1">
      <c r="A684" t="inlineStr">
        <is>
          <t>A 1616-2025</t>
        </is>
      </c>
      <c r="B684" s="1" t="n">
        <v>45670</v>
      </c>
      <c r="C684" s="1" t="n">
        <v>46004</v>
      </c>
      <c r="D684" t="inlineStr">
        <is>
          <t>SKÅNE LÄN</t>
        </is>
      </c>
      <c r="E684" t="inlineStr">
        <is>
          <t>HÄSSLEHOLM</t>
        </is>
      </c>
      <c r="G684" t="n">
        <v>3.6</v>
      </c>
      <c r="H684" t="n">
        <v>0</v>
      </c>
      <c r="I684" t="n">
        <v>0</v>
      </c>
      <c r="J684" t="n">
        <v>0</v>
      </c>
      <c r="K684" t="n">
        <v>0</v>
      </c>
      <c r="L684" t="n">
        <v>0</v>
      </c>
      <c r="M684" t="n">
        <v>0</v>
      </c>
      <c r="N684" t="n">
        <v>0</v>
      </c>
      <c r="O684" t="n">
        <v>0</v>
      </c>
      <c r="P684" t="n">
        <v>0</v>
      </c>
      <c r="Q684" t="n">
        <v>0</v>
      </c>
      <c r="R684" s="2" t="inlineStr"/>
    </row>
    <row r="685" ht="15" customHeight="1">
      <c r="A685" t="inlineStr">
        <is>
          <t>A 40202-2022</t>
        </is>
      </c>
      <c r="B685" s="1" t="n">
        <v>44820.60614583334</v>
      </c>
      <c r="C685" s="1" t="n">
        <v>46004</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4009-2024</t>
        </is>
      </c>
      <c r="B686" s="1" t="n">
        <v>45323</v>
      </c>
      <c r="C686" s="1" t="n">
        <v>46004</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10928-2024</t>
        </is>
      </c>
      <c r="B687" s="1" t="n">
        <v>45370</v>
      </c>
      <c r="C687" s="1" t="n">
        <v>46004</v>
      </c>
      <c r="D687" t="inlineStr">
        <is>
          <t>SKÅNE LÄN</t>
        </is>
      </c>
      <c r="E687" t="inlineStr">
        <is>
          <t>HÄSSLEHOLM</t>
        </is>
      </c>
      <c r="F687" t="inlineStr">
        <is>
          <t>Övriga Aktiebolag</t>
        </is>
      </c>
      <c r="G687" t="n">
        <v>0.5</v>
      </c>
      <c r="H687" t="n">
        <v>0</v>
      </c>
      <c r="I687" t="n">
        <v>0</v>
      </c>
      <c r="J687" t="n">
        <v>0</v>
      </c>
      <c r="K687" t="n">
        <v>0</v>
      </c>
      <c r="L687" t="n">
        <v>0</v>
      </c>
      <c r="M687" t="n">
        <v>0</v>
      </c>
      <c r="N687" t="n">
        <v>0</v>
      </c>
      <c r="O687" t="n">
        <v>0</v>
      </c>
      <c r="P687" t="n">
        <v>0</v>
      </c>
      <c r="Q687" t="n">
        <v>0</v>
      </c>
      <c r="R687" s="2" t="inlineStr"/>
    </row>
    <row r="688" ht="15" customHeight="1">
      <c r="A688" t="inlineStr">
        <is>
          <t>A 10944-2024</t>
        </is>
      </c>
      <c r="B688" s="1" t="n">
        <v>45370</v>
      </c>
      <c r="C688" s="1" t="n">
        <v>46004</v>
      </c>
      <c r="D688" t="inlineStr">
        <is>
          <t>SKÅNE LÄN</t>
        </is>
      </c>
      <c r="E688" t="inlineStr">
        <is>
          <t>HÄSSLEHOLM</t>
        </is>
      </c>
      <c r="F688" t="inlineStr">
        <is>
          <t>Övriga Aktiebolag</t>
        </is>
      </c>
      <c r="G688" t="n">
        <v>2.6</v>
      </c>
      <c r="H688" t="n">
        <v>0</v>
      </c>
      <c r="I688" t="n">
        <v>0</v>
      </c>
      <c r="J688" t="n">
        <v>0</v>
      </c>
      <c r="K688" t="n">
        <v>0</v>
      </c>
      <c r="L688" t="n">
        <v>0</v>
      </c>
      <c r="M688" t="n">
        <v>0</v>
      </c>
      <c r="N688" t="n">
        <v>0</v>
      </c>
      <c r="O688" t="n">
        <v>0</v>
      </c>
      <c r="P688" t="n">
        <v>0</v>
      </c>
      <c r="Q688" t="n">
        <v>0</v>
      </c>
      <c r="R688" s="2" t="inlineStr"/>
    </row>
    <row r="689" ht="15" customHeight="1">
      <c r="A689" t="inlineStr">
        <is>
          <t>A 34342-2021</t>
        </is>
      </c>
      <c r="B689" s="1" t="n">
        <v>44379</v>
      </c>
      <c r="C689" s="1" t="n">
        <v>46004</v>
      </c>
      <c r="D689" t="inlineStr">
        <is>
          <t>SKÅNE LÄN</t>
        </is>
      </c>
      <c r="E689" t="inlineStr">
        <is>
          <t>HÄSSLEHOLM</t>
        </is>
      </c>
      <c r="G689" t="n">
        <v>7</v>
      </c>
      <c r="H689" t="n">
        <v>0</v>
      </c>
      <c r="I689" t="n">
        <v>0</v>
      </c>
      <c r="J689" t="n">
        <v>0</v>
      </c>
      <c r="K689" t="n">
        <v>0</v>
      </c>
      <c r="L689" t="n">
        <v>0</v>
      </c>
      <c r="M689" t="n">
        <v>0</v>
      </c>
      <c r="N689" t="n">
        <v>0</v>
      </c>
      <c r="O689" t="n">
        <v>0</v>
      </c>
      <c r="P689" t="n">
        <v>0</v>
      </c>
      <c r="Q689" t="n">
        <v>0</v>
      </c>
      <c r="R689" s="2" t="inlineStr"/>
    </row>
    <row r="690" ht="15" customHeight="1">
      <c r="A690" t="inlineStr">
        <is>
          <t>A 1557-2023</t>
        </is>
      </c>
      <c r="B690" s="1" t="n">
        <v>44937</v>
      </c>
      <c r="C690" s="1" t="n">
        <v>46004</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4382-2023</t>
        </is>
      </c>
      <c r="B691" s="1" t="n">
        <v>44955.61152777778</v>
      </c>
      <c r="C691" s="1" t="n">
        <v>46004</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6087-2025</t>
        </is>
      </c>
      <c r="B692" s="1" t="n">
        <v>45697.69782407407</v>
      </c>
      <c r="C692" s="1" t="n">
        <v>46004</v>
      </c>
      <c r="D692" t="inlineStr">
        <is>
          <t>SKÅNE LÄN</t>
        </is>
      </c>
      <c r="E692" t="inlineStr">
        <is>
          <t>HÄSSLEHOLM</t>
        </is>
      </c>
      <c r="G692" t="n">
        <v>1.4</v>
      </c>
      <c r="H692" t="n">
        <v>0</v>
      </c>
      <c r="I692" t="n">
        <v>0</v>
      </c>
      <c r="J692" t="n">
        <v>0</v>
      </c>
      <c r="K692" t="n">
        <v>0</v>
      </c>
      <c r="L692" t="n">
        <v>0</v>
      </c>
      <c r="M692" t="n">
        <v>0</v>
      </c>
      <c r="N692" t="n">
        <v>0</v>
      </c>
      <c r="O692" t="n">
        <v>0</v>
      </c>
      <c r="P692" t="n">
        <v>0</v>
      </c>
      <c r="Q692" t="n">
        <v>0</v>
      </c>
      <c r="R692" s="2" t="inlineStr"/>
    </row>
    <row r="693" ht="15" customHeight="1">
      <c r="A693" t="inlineStr">
        <is>
          <t>A 33466-2024</t>
        </is>
      </c>
      <c r="B693" s="1" t="n">
        <v>45519</v>
      </c>
      <c r="C693" s="1" t="n">
        <v>46004</v>
      </c>
      <c r="D693" t="inlineStr">
        <is>
          <t>SKÅNE LÄN</t>
        </is>
      </c>
      <c r="E693" t="inlineStr">
        <is>
          <t>HÄSSLEHOLM</t>
        </is>
      </c>
      <c r="G693" t="n">
        <v>0.4</v>
      </c>
      <c r="H693" t="n">
        <v>0</v>
      </c>
      <c r="I693" t="n">
        <v>0</v>
      </c>
      <c r="J693" t="n">
        <v>0</v>
      </c>
      <c r="K693" t="n">
        <v>0</v>
      </c>
      <c r="L693" t="n">
        <v>0</v>
      </c>
      <c r="M693" t="n">
        <v>0</v>
      </c>
      <c r="N693" t="n">
        <v>0</v>
      </c>
      <c r="O693" t="n">
        <v>0</v>
      </c>
      <c r="P693" t="n">
        <v>0</v>
      </c>
      <c r="Q693" t="n">
        <v>0</v>
      </c>
      <c r="R693" s="2" t="inlineStr"/>
    </row>
    <row r="694" ht="15" customHeight="1">
      <c r="A694" t="inlineStr">
        <is>
          <t>A 9239-2025</t>
        </is>
      </c>
      <c r="B694" s="1" t="n">
        <v>45714</v>
      </c>
      <c r="C694" s="1" t="n">
        <v>46004</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47840-2023</t>
        </is>
      </c>
      <c r="B695" s="1" t="n">
        <v>45204</v>
      </c>
      <c r="C695" s="1" t="n">
        <v>46004</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6612-2024</t>
        </is>
      </c>
      <c r="B696" s="1" t="n">
        <v>45341.58859953703</v>
      </c>
      <c r="C696" s="1" t="n">
        <v>46004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52608-2023</t>
        </is>
      </c>
      <c r="B697" s="1" t="n">
        <v>45219</v>
      </c>
      <c r="C697" s="1" t="n">
        <v>46004</v>
      </c>
      <c r="D697" t="inlineStr">
        <is>
          <t>SKÅNE LÄN</t>
        </is>
      </c>
      <c r="E697" t="inlineStr">
        <is>
          <t>HÄSSLEHOLM</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62277-2023</t>
        </is>
      </c>
      <c r="B698" s="1" t="n">
        <v>45266</v>
      </c>
      <c r="C698" s="1" t="n">
        <v>46004</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34369-2023</t>
        </is>
      </c>
      <c r="B699" s="1" t="n">
        <v>45139.47817129629</v>
      </c>
      <c r="C699" s="1" t="n">
        <v>46004</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26879-2024</t>
        </is>
      </c>
      <c r="B700" s="1" t="n">
        <v>45470</v>
      </c>
      <c r="C700" s="1" t="n">
        <v>46004</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27954-2022</t>
        </is>
      </c>
      <c r="B701" s="1" t="n">
        <v>44743</v>
      </c>
      <c r="C701" s="1" t="n">
        <v>46004</v>
      </c>
      <c r="D701" t="inlineStr">
        <is>
          <t>SKÅNE LÄN</t>
        </is>
      </c>
      <c r="E701" t="inlineStr">
        <is>
          <t>HÄSSLEHOLM</t>
        </is>
      </c>
      <c r="G701" t="n">
        <v>9.4</v>
      </c>
      <c r="H701" t="n">
        <v>0</v>
      </c>
      <c r="I701" t="n">
        <v>0</v>
      </c>
      <c r="J701" t="n">
        <v>0</v>
      </c>
      <c r="K701" t="n">
        <v>0</v>
      </c>
      <c r="L701" t="n">
        <v>0</v>
      </c>
      <c r="M701" t="n">
        <v>0</v>
      </c>
      <c r="N701" t="n">
        <v>0</v>
      </c>
      <c r="O701" t="n">
        <v>0</v>
      </c>
      <c r="P701" t="n">
        <v>0</v>
      </c>
      <c r="Q701" t="n">
        <v>0</v>
      </c>
      <c r="R701" s="2" t="inlineStr"/>
    </row>
    <row r="702" ht="15" customHeight="1">
      <c r="A702" t="inlineStr">
        <is>
          <t>A 20493-2024</t>
        </is>
      </c>
      <c r="B702" s="1" t="n">
        <v>45435</v>
      </c>
      <c r="C702" s="1" t="n">
        <v>46004</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34834-2023</t>
        </is>
      </c>
      <c r="B703" s="1" t="n">
        <v>45141.7199537037</v>
      </c>
      <c r="C703" s="1" t="n">
        <v>46004</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54473-2023</t>
        </is>
      </c>
      <c r="B704" s="1" t="n">
        <v>45233</v>
      </c>
      <c r="C704" s="1" t="n">
        <v>46004</v>
      </c>
      <c r="D704" t="inlineStr">
        <is>
          <t>SKÅNE LÄN</t>
        </is>
      </c>
      <c r="E704" t="inlineStr">
        <is>
          <t>HÄSSLEHOLM</t>
        </is>
      </c>
      <c r="G704" t="n">
        <v>24.5</v>
      </c>
      <c r="H704" t="n">
        <v>0</v>
      </c>
      <c r="I704" t="n">
        <v>0</v>
      </c>
      <c r="J704" t="n">
        <v>0</v>
      </c>
      <c r="K704" t="n">
        <v>0</v>
      </c>
      <c r="L704" t="n">
        <v>0</v>
      </c>
      <c r="M704" t="n">
        <v>0</v>
      </c>
      <c r="N704" t="n">
        <v>0</v>
      </c>
      <c r="O704" t="n">
        <v>0</v>
      </c>
      <c r="P704" t="n">
        <v>0</v>
      </c>
      <c r="Q704" t="n">
        <v>0</v>
      </c>
      <c r="R704" s="2" t="inlineStr"/>
    </row>
    <row r="705" ht="15" customHeight="1">
      <c r="A705" t="inlineStr">
        <is>
          <t>A 11240-2023</t>
        </is>
      </c>
      <c r="B705" s="1" t="n">
        <v>44992</v>
      </c>
      <c r="C705" s="1" t="n">
        <v>46004</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26403-2024</t>
        </is>
      </c>
      <c r="B706" s="1" t="n">
        <v>45469.44505787037</v>
      </c>
      <c r="C706" s="1" t="n">
        <v>46004</v>
      </c>
      <c r="D706" t="inlineStr">
        <is>
          <t>SKÅNE LÄN</t>
        </is>
      </c>
      <c r="E706" t="inlineStr">
        <is>
          <t>HÄSSLEHOLM</t>
        </is>
      </c>
      <c r="G706" t="n">
        <v>2.6</v>
      </c>
      <c r="H706" t="n">
        <v>0</v>
      </c>
      <c r="I706" t="n">
        <v>0</v>
      </c>
      <c r="J706" t="n">
        <v>0</v>
      </c>
      <c r="K706" t="n">
        <v>0</v>
      </c>
      <c r="L706" t="n">
        <v>0</v>
      </c>
      <c r="M706" t="n">
        <v>0</v>
      </c>
      <c r="N706" t="n">
        <v>0</v>
      </c>
      <c r="O706" t="n">
        <v>0</v>
      </c>
      <c r="P706" t="n">
        <v>0</v>
      </c>
      <c r="Q706" t="n">
        <v>0</v>
      </c>
      <c r="R706" s="2" t="inlineStr"/>
    </row>
    <row r="707" ht="15" customHeight="1">
      <c r="A707" t="inlineStr">
        <is>
          <t>A 26403-2024</t>
        </is>
      </c>
      <c r="B707" s="1" t="n">
        <v>45469.44505787037</v>
      </c>
      <c r="C707" s="1" t="n">
        <v>46004</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9556-2025</t>
        </is>
      </c>
      <c r="B708" s="1" t="n">
        <v>45714</v>
      </c>
      <c r="C708" s="1" t="n">
        <v>46004</v>
      </c>
      <c r="D708" t="inlineStr">
        <is>
          <t>SKÅNE LÄN</t>
        </is>
      </c>
      <c r="E708" t="inlineStr">
        <is>
          <t>HÄSSLEHOLM</t>
        </is>
      </c>
      <c r="G708" t="n">
        <v>1.8</v>
      </c>
      <c r="H708" t="n">
        <v>0</v>
      </c>
      <c r="I708" t="n">
        <v>0</v>
      </c>
      <c r="J708" t="n">
        <v>0</v>
      </c>
      <c r="K708" t="n">
        <v>0</v>
      </c>
      <c r="L708" t="n">
        <v>0</v>
      </c>
      <c r="M708" t="n">
        <v>0</v>
      </c>
      <c r="N708" t="n">
        <v>0</v>
      </c>
      <c r="O708" t="n">
        <v>0</v>
      </c>
      <c r="P708" t="n">
        <v>0</v>
      </c>
      <c r="Q708" t="n">
        <v>0</v>
      </c>
      <c r="R708" s="2" t="inlineStr"/>
    </row>
    <row r="709" ht="15" customHeight="1">
      <c r="A709" t="inlineStr">
        <is>
          <t>A 41873-2023</t>
        </is>
      </c>
      <c r="B709" s="1" t="n">
        <v>45176</v>
      </c>
      <c r="C709" s="1" t="n">
        <v>46004</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41998-2021</t>
        </is>
      </c>
      <c r="B710" s="1" t="n">
        <v>44425</v>
      </c>
      <c r="C710" s="1" t="n">
        <v>46004</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16108-2025</t>
        </is>
      </c>
      <c r="B711" s="1" t="n">
        <v>45750.34667824074</v>
      </c>
      <c r="C711" s="1" t="n">
        <v>46004</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35712-2024</t>
        </is>
      </c>
      <c r="B712" s="1" t="n">
        <v>45532</v>
      </c>
      <c r="C712" s="1" t="n">
        <v>46004</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61691-2021</t>
        </is>
      </c>
      <c r="B713" s="1" t="n">
        <v>44501</v>
      </c>
      <c r="C713" s="1" t="n">
        <v>46004</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48326-2023</t>
        </is>
      </c>
      <c r="B714" s="1" t="n">
        <v>45205</v>
      </c>
      <c r="C714" s="1" t="n">
        <v>46004</v>
      </c>
      <c r="D714" t="inlineStr">
        <is>
          <t>SKÅNE LÄN</t>
        </is>
      </c>
      <c r="E714" t="inlineStr">
        <is>
          <t>HÄSSLEHOLM</t>
        </is>
      </c>
      <c r="G714" t="n">
        <v>12.7</v>
      </c>
      <c r="H714" t="n">
        <v>0</v>
      </c>
      <c r="I714" t="n">
        <v>0</v>
      </c>
      <c r="J714" t="n">
        <v>0</v>
      </c>
      <c r="K714" t="n">
        <v>0</v>
      </c>
      <c r="L714" t="n">
        <v>0</v>
      </c>
      <c r="M714" t="n">
        <v>0</v>
      </c>
      <c r="N714" t="n">
        <v>0</v>
      </c>
      <c r="O714" t="n">
        <v>0</v>
      </c>
      <c r="P714" t="n">
        <v>0</v>
      </c>
      <c r="Q714" t="n">
        <v>0</v>
      </c>
      <c r="R714" s="2" t="inlineStr"/>
    </row>
    <row r="715" ht="15" customHeight="1">
      <c r="A715" t="inlineStr">
        <is>
          <t>A 48627-2023</t>
        </is>
      </c>
      <c r="B715" s="1" t="n">
        <v>45208.57371527778</v>
      </c>
      <c r="C715" s="1" t="n">
        <v>46004</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11607-2025</t>
        </is>
      </c>
      <c r="B716" s="1" t="n">
        <v>45727</v>
      </c>
      <c r="C716" s="1" t="n">
        <v>46004</v>
      </c>
      <c r="D716" t="inlineStr">
        <is>
          <t>SKÅNE LÄN</t>
        </is>
      </c>
      <c r="E716" t="inlineStr">
        <is>
          <t>HÄSSLEHOLM</t>
        </is>
      </c>
      <c r="G716" t="n">
        <v>4.1</v>
      </c>
      <c r="H716" t="n">
        <v>0</v>
      </c>
      <c r="I716" t="n">
        <v>0</v>
      </c>
      <c r="J716" t="n">
        <v>0</v>
      </c>
      <c r="K716" t="n">
        <v>0</v>
      </c>
      <c r="L716" t="n">
        <v>0</v>
      </c>
      <c r="M716" t="n">
        <v>0</v>
      </c>
      <c r="N716" t="n">
        <v>0</v>
      </c>
      <c r="O716" t="n">
        <v>0</v>
      </c>
      <c r="P716" t="n">
        <v>0</v>
      </c>
      <c r="Q716" t="n">
        <v>0</v>
      </c>
      <c r="R716" s="2" t="inlineStr"/>
    </row>
    <row r="717" ht="15" customHeight="1">
      <c r="A717" t="inlineStr">
        <is>
          <t>A 16860-2025</t>
        </is>
      </c>
      <c r="B717" s="1" t="n">
        <v>45751</v>
      </c>
      <c r="C717" s="1" t="n">
        <v>46004</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57647-2024</t>
        </is>
      </c>
      <c r="B718" s="1" t="n">
        <v>45630</v>
      </c>
      <c r="C718" s="1" t="n">
        <v>46004</v>
      </c>
      <c r="D718" t="inlineStr">
        <is>
          <t>SKÅNE LÄN</t>
        </is>
      </c>
      <c r="E718" t="inlineStr">
        <is>
          <t>HÄSSLEHOLM</t>
        </is>
      </c>
      <c r="G718" t="n">
        <v>2.9</v>
      </c>
      <c r="H718" t="n">
        <v>0</v>
      </c>
      <c r="I718" t="n">
        <v>0</v>
      </c>
      <c r="J718" t="n">
        <v>0</v>
      </c>
      <c r="K718" t="n">
        <v>0</v>
      </c>
      <c r="L718" t="n">
        <v>0</v>
      </c>
      <c r="M718" t="n">
        <v>0</v>
      </c>
      <c r="N718" t="n">
        <v>0</v>
      </c>
      <c r="O718" t="n">
        <v>0</v>
      </c>
      <c r="P718" t="n">
        <v>0</v>
      </c>
      <c r="Q718" t="n">
        <v>0</v>
      </c>
      <c r="R718" s="2" t="inlineStr"/>
    </row>
    <row r="719" ht="15" customHeight="1">
      <c r="A719" t="inlineStr">
        <is>
          <t>A 54518-2022</t>
        </is>
      </c>
      <c r="B719" s="1" t="n">
        <v>44882</v>
      </c>
      <c r="C719" s="1" t="n">
        <v>46004</v>
      </c>
      <c r="D719" t="inlineStr">
        <is>
          <t>SKÅNE LÄN</t>
        </is>
      </c>
      <c r="E719" t="inlineStr">
        <is>
          <t>HÄSSLEHOLM</t>
        </is>
      </c>
      <c r="F719" t="inlineStr">
        <is>
          <t>Övriga Aktiebolag</t>
        </is>
      </c>
      <c r="G719" t="n">
        <v>6.8</v>
      </c>
      <c r="H719" t="n">
        <v>0</v>
      </c>
      <c r="I719" t="n">
        <v>0</v>
      </c>
      <c r="J719" t="n">
        <v>0</v>
      </c>
      <c r="K719" t="n">
        <v>0</v>
      </c>
      <c r="L719" t="n">
        <v>0</v>
      </c>
      <c r="M719" t="n">
        <v>0</v>
      </c>
      <c r="N719" t="n">
        <v>0</v>
      </c>
      <c r="O719" t="n">
        <v>0</v>
      </c>
      <c r="P719" t="n">
        <v>0</v>
      </c>
      <c r="Q719" t="n">
        <v>0</v>
      </c>
      <c r="R719" s="2" t="inlineStr"/>
    </row>
    <row r="720" ht="15" customHeight="1">
      <c r="A720" t="inlineStr">
        <is>
          <t>A 57491-2024</t>
        </is>
      </c>
      <c r="B720" s="1" t="n">
        <v>45629</v>
      </c>
      <c r="C720" s="1" t="n">
        <v>46004</v>
      </c>
      <c r="D720" t="inlineStr">
        <is>
          <t>SKÅNE LÄN</t>
        </is>
      </c>
      <c r="E720" t="inlineStr">
        <is>
          <t>HÄSSLEHOLM</t>
        </is>
      </c>
      <c r="G720" t="n">
        <v>3.2</v>
      </c>
      <c r="H720" t="n">
        <v>0</v>
      </c>
      <c r="I720" t="n">
        <v>0</v>
      </c>
      <c r="J720" t="n">
        <v>0</v>
      </c>
      <c r="K720" t="n">
        <v>0</v>
      </c>
      <c r="L720" t="n">
        <v>0</v>
      </c>
      <c r="M720" t="n">
        <v>0</v>
      </c>
      <c r="N720" t="n">
        <v>0</v>
      </c>
      <c r="O720" t="n">
        <v>0</v>
      </c>
      <c r="P720" t="n">
        <v>0</v>
      </c>
      <c r="Q720" t="n">
        <v>0</v>
      </c>
      <c r="R720" s="2" t="inlineStr"/>
    </row>
    <row r="721" ht="15" customHeight="1">
      <c r="A721" t="inlineStr">
        <is>
          <t>A 20564-2023</t>
        </is>
      </c>
      <c r="B721" s="1" t="n">
        <v>45057</v>
      </c>
      <c r="C721" s="1" t="n">
        <v>46004</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46004</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720-2025</t>
        </is>
      </c>
      <c r="B723" s="1" t="n">
        <v>45665.3744212963</v>
      </c>
      <c r="C723" s="1" t="n">
        <v>46004</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46641-2023</t>
        </is>
      </c>
      <c r="B724" s="1" t="n">
        <v>45198.44523148148</v>
      </c>
      <c r="C724" s="1" t="n">
        <v>46004</v>
      </c>
      <c r="D724" t="inlineStr">
        <is>
          <t>SKÅNE LÄN</t>
        </is>
      </c>
      <c r="E724" t="inlineStr">
        <is>
          <t>HÄSSLEHOLM</t>
        </is>
      </c>
      <c r="G724" t="n">
        <v>1.2</v>
      </c>
      <c r="H724" t="n">
        <v>0</v>
      </c>
      <c r="I724" t="n">
        <v>0</v>
      </c>
      <c r="J724" t="n">
        <v>0</v>
      </c>
      <c r="K724" t="n">
        <v>0</v>
      </c>
      <c r="L724" t="n">
        <v>0</v>
      </c>
      <c r="M724" t="n">
        <v>0</v>
      </c>
      <c r="N724" t="n">
        <v>0</v>
      </c>
      <c r="O724" t="n">
        <v>0</v>
      </c>
      <c r="P724" t="n">
        <v>0</v>
      </c>
      <c r="Q724" t="n">
        <v>0</v>
      </c>
      <c r="R724" s="2" t="inlineStr"/>
    </row>
    <row r="725" ht="15" customHeight="1">
      <c r="A725" t="inlineStr">
        <is>
          <t>A 8239-2025</t>
        </is>
      </c>
      <c r="B725" s="1" t="n">
        <v>45708.47984953703</v>
      </c>
      <c r="C725" s="1" t="n">
        <v>46004</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46645-2023</t>
        </is>
      </c>
      <c r="B726" s="1" t="n">
        <v>45198.44686342592</v>
      </c>
      <c r="C726" s="1" t="n">
        <v>46004</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16950-2025</t>
        </is>
      </c>
      <c r="B727" s="1" t="n">
        <v>45755</v>
      </c>
      <c r="C727" s="1" t="n">
        <v>46004</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27502-2023</t>
        </is>
      </c>
      <c r="B728" s="1" t="n">
        <v>45092</v>
      </c>
      <c r="C728" s="1" t="n">
        <v>46004</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31986-2023</t>
        </is>
      </c>
      <c r="B729" s="1" t="n">
        <v>45119</v>
      </c>
      <c r="C729" s="1" t="n">
        <v>46004</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62044-2022</t>
        </is>
      </c>
      <c r="B730" s="1" t="n">
        <v>44918.55976851852</v>
      </c>
      <c r="C730" s="1" t="n">
        <v>46004</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6619-2024</t>
        </is>
      </c>
      <c r="B731" s="1" t="n">
        <v>45341.6021412037</v>
      </c>
      <c r="C731" s="1" t="n">
        <v>46004</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6836-2023</t>
        </is>
      </c>
      <c r="B732" s="1" t="n">
        <v>44967</v>
      </c>
      <c r="C732" s="1" t="n">
        <v>46004</v>
      </c>
      <c r="D732" t="inlineStr">
        <is>
          <t>SKÅNE LÄN</t>
        </is>
      </c>
      <c r="E732" t="inlineStr">
        <is>
          <t>HÄSSLEHOLM</t>
        </is>
      </c>
      <c r="G732" t="n">
        <v>3.5</v>
      </c>
      <c r="H732" t="n">
        <v>0</v>
      </c>
      <c r="I732" t="n">
        <v>0</v>
      </c>
      <c r="J732" t="n">
        <v>0</v>
      </c>
      <c r="K732" t="n">
        <v>0</v>
      </c>
      <c r="L732" t="n">
        <v>0</v>
      </c>
      <c r="M732" t="n">
        <v>0</v>
      </c>
      <c r="N732" t="n">
        <v>0</v>
      </c>
      <c r="O732" t="n">
        <v>0</v>
      </c>
      <c r="P732" t="n">
        <v>0</v>
      </c>
      <c r="Q732" t="n">
        <v>0</v>
      </c>
      <c r="R732" s="2" t="inlineStr"/>
    </row>
    <row r="733" ht="15" customHeight="1">
      <c r="A733" t="inlineStr">
        <is>
          <t>A 6845-2023</t>
        </is>
      </c>
      <c r="B733" s="1" t="n">
        <v>44967</v>
      </c>
      <c r="C733" s="1" t="n">
        <v>46004</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53887-2023</t>
        </is>
      </c>
      <c r="B734" s="1" t="n">
        <v>45231.52675925926</v>
      </c>
      <c r="C734" s="1" t="n">
        <v>46004</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52341-2023</t>
        </is>
      </c>
      <c r="B735" s="1" t="n">
        <v>45224.67006944444</v>
      </c>
      <c r="C735" s="1" t="n">
        <v>46004</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12182-2025</t>
        </is>
      </c>
      <c r="B736" s="1" t="n">
        <v>45729</v>
      </c>
      <c r="C736" s="1" t="n">
        <v>46004</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21329-2023</t>
        </is>
      </c>
      <c r="B737" s="1" t="n">
        <v>45062</v>
      </c>
      <c r="C737" s="1" t="n">
        <v>46004</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1543-2024</t>
        </is>
      </c>
      <c r="B738" s="1" t="n">
        <v>45306</v>
      </c>
      <c r="C738" s="1" t="n">
        <v>46004</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27464-2022</t>
        </is>
      </c>
      <c r="B739" s="1" t="n">
        <v>44742.58704861111</v>
      </c>
      <c r="C739" s="1" t="n">
        <v>46004</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18800-2023</t>
        </is>
      </c>
      <c r="B740" s="1" t="n">
        <v>45044</v>
      </c>
      <c r="C740" s="1" t="n">
        <v>46004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6791-2021</t>
        </is>
      </c>
      <c r="B741" s="1" t="n">
        <v>44236</v>
      </c>
      <c r="C741" s="1" t="n">
        <v>46004</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1445-2021</t>
        </is>
      </c>
      <c r="B742" s="1" t="n">
        <v>44208</v>
      </c>
      <c r="C742" s="1" t="n">
        <v>46004</v>
      </c>
      <c r="D742" t="inlineStr">
        <is>
          <t>SKÅNE LÄN</t>
        </is>
      </c>
      <c r="E742" t="inlineStr">
        <is>
          <t>HÄSSLEHOLM</t>
        </is>
      </c>
      <c r="G742" t="n">
        <v>4.6</v>
      </c>
      <c r="H742" t="n">
        <v>0</v>
      </c>
      <c r="I742" t="n">
        <v>0</v>
      </c>
      <c r="J742" t="n">
        <v>0</v>
      </c>
      <c r="K742" t="n">
        <v>0</v>
      </c>
      <c r="L742" t="n">
        <v>0</v>
      </c>
      <c r="M742" t="n">
        <v>0</v>
      </c>
      <c r="N742" t="n">
        <v>0</v>
      </c>
      <c r="O742" t="n">
        <v>0</v>
      </c>
      <c r="P742" t="n">
        <v>0</v>
      </c>
      <c r="Q742" t="n">
        <v>0</v>
      </c>
      <c r="R742" s="2" t="inlineStr"/>
    </row>
    <row r="743" ht="15" customHeight="1">
      <c r="A743" t="inlineStr">
        <is>
          <t>A 6798-2025</t>
        </is>
      </c>
      <c r="B743" s="1" t="n">
        <v>45700.668125</v>
      </c>
      <c r="C743" s="1" t="n">
        <v>46004</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60848-2022</t>
        </is>
      </c>
      <c r="B744" s="1" t="n">
        <v>44914</v>
      </c>
      <c r="C744" s="1" t="n">
        <v>46004</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1560-2023</t>
        </is>
      </c>
      <c r="B745" s="1" t="n">
        <v>44937</v>
      </c>
      <c r="C745" s="1" t="n">
        <v>46004</v>
      </c>
      <c r="D745" t="inlineStr">
        <is>
          <t>SKÅNE LÄN</t>
        </is>
      </c>
      <c r="E745" t="inlineStr">
        <is>
          <t>HÄSSLEHOLM</t>
        </is>
      </c>
      <c r="G745" t="n">
        <v>6.8</v>
      </c>
      <c r="H745" t="n">
        <v>0</v>
      </c>
      <c r="I745" t="n">
        <v>0</v>
      </c>
      <c r="J745" t="n">
        <v>0</v>
      </c>
      <c r="K745" t="n">
        <v>0</v>
      </c>
      <c r="L745" t="n">
        <v>0</v>
      </c>
      <c r="M745" t="n">
        <v>0</v>
      </c>
      <c r="N745" t="n">
        <v>0</v>
      </c>
      <c r="O745" t="n">
        <v>0</v>
      </c>
      <c r="P745" t="n">
        <v>0</v>
      </c>
      <c r="Q745" t="n">
        <v>0</v>
      </c>
      <c r="R745" s="2" t="inlineStr"/>
    </row>
    <row r="746" ht="15" customHeight="1">
      <c r="A746" t="inlineStr">
        <is>
          <t>A 10752-2025</t>
        </is>
      </c>
      <c r="B746" s="1" t="n">
        <v>45722</v>
      </c>
      <c r="C746" s="1" t="n">
        <v>46004</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28599-2024</t>
        </is>
      </c>
      <c r="B747" s="1" t="n">
        <v>45478.4247800926</v>
      </c>
      <c r="C747" s="1" t="n">
        <v>46004</v>
      </c>
      <c r="D747" t="inlineStr">
        <is>
          <t>SKÅNE LÄN</t>
        </is>
      </c>
      <c r="E747" t="inlineStr">
        <is>
          <t>HÄSSLEHOLM</t>
        </is>
      </c>
      <c r="G747" t="n">
        <v>8.6</v>
      </c>
      <c r="H747" t="n">
        <v>0</v>
      </c>
      <c r="I747" t="n">
        <v>0</v>
      </c>
      <c r="J747" t="n">
        <v>0</v>
      </c>
      <c r="K747" t="n">
        <v>0</v>
      </c>
      <c r="L747" t="n">
        <v>0</v>
      </c>
      <c r="M747" t="n">
        <v>0</v>
      </c>
      <c r="N747" t="n">
        <v>0</v>
      </c>
      <c r="O747" t="n">
        <v>0</v>
      </c>
      <c r="P747" t="n">
        <v>0</v>
      </c>
      <c r="Q747" t="n">
        <v>0</v>
      </c>
      <c r="R747" s="2" t="inlineStr"/>
    </row>
    <row r="748" ht="15" customHeight="1">
      <c r="A748" t="inlineStr">
        <is>
          <t>A 47394-2025</t>
        </is>
      </c>
      <c r="B748" s="1" t="n">
        <v>45930</v>
      </c>
      <c r="C748" s="1" t="n">
        <v>46004</v>
      </c>
      <c r="D748" t="inlineStr">
        <is>
          <t>SKÅNE LÄN</t>
        </is>
      </c>
      <c r="E748" t="inlineStr">
        <is>
          <t>HÄSSLEHOLM</t>
        </is>
      </c>
      <c r="G748" t="n">
        <v>2.4</v>
      </c>
      <c r="H748" t="n">
        <v>0</v>
      </c>
      <c r="I748" t="n">
        <v>0</v>
      </c>
      <c r="J748" t="n">
        <v>0</v>
      </c>
      <c r="K748" t="n">
        <v>0</v>
      </c>
      <c r="L748" t="n">
        <v>0</v>
      </c>
      <c r="M748" t="n">
        <v>0</v>
      </c>
      <c r="N748" t="n">
        <v>0</v>
      </c>
      <c r="O748" t="n">
        <v>0</v>
      </c>
      <c r="P748" t="n">
        <v>0</v>
      </c>
      <c r="Q748" t="n">
        <v>0</v>
      </c>
      <c r="R748" s="2" t="inlineStr"/>
    </row>
    <row r="749" ht="15" customHeight="1">
      <c r="A749" t="inlineStr">
        <is>
          <t>A 25077-2024</t>
        </is>
      </c>
      <c r="B749" s="1" t="n">
        <v>45462</v>
      </c>
      <c r="C749" s="1" t="n">
        <v>46004</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47432-2025</t>
        </is>
      </c>
      <c r="B750" s="1" t="n">
        <v>45930</v>
      </c>
      <c r="C750" s="1" t="n">
        <v>46004</v>
      </c>
      <c r="D750" t="inlineStr">
        <is>
          <t>SKÅNE LÄN</t>
        </is>
      </c>
      <c r="E750" t="inlineStr">
        <is>
          <t>HÄSSLEHOLM</t>
        </is>
      </c>
      <c r="G750" t="n">
        <v>3.1</v>
      </c>
      <c r="H750" t="n">
        <v>0</v>
      </c>
      <c r="I750" t="n">
        <v>0</v>
      </c>
      <c r="J750" t="n">
        <v>0</v>
      </c>
      <c r="K750" t="n">
        <v>0</v>
      </c>
      <c r="L750" t="n">
        <v>0</v>
      </c>
      <c r="M750" t="n">
        <v>0</v>
      </c>
      <c r="N750" t="n">
        <v>0</v>
      </c>
      <c r="O750" t="n">
        <v>0</v>
      </c>
      <c r="P750" t="n">
        <v>0</v>
      </c>
      <c r="Q750" t="n">
        <v>0</v>
      </c>
      <c r="R750" s="2" t="inlineStr"/>
    </row>
    <row r="751" ht="15" customHeight="1">
      <c r="A751" t="inlineStr">
        <is>
          <t>A 22535-2024</t>
        </is>
      </c>
      <c r="B751" s="1" t="n">
        <v>45447</v>
      </c>
      <c r="C751" s="1" t="n">
        <v>46004</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47352-2025</t>
        </is>
      </c>
      <c r="B752" s="1" t="n">
        <v>45930</v>
      </c>
      <c r="C752" s="1" t="n">
        <v>46004</v>
      </c>
      <c r="D752" t="inlineStr">
        <is>
          <t>SKÅNE LÄN</t>
        </is>
      </c>
      <c r="E752" t="inlineStr">
        <is>
          <t>HÄSSLEHOLM</t>
        </is>
      </c>
      <c r="G752" t="n">
        <v>16.6</v>
      </c>
      <c r="H752" t="n">
        <v>0</v>
      </c>
      <c r="I752" t="n">
        <v>0</v>
      </c>
      <c r="J752" t="n">
        <v>0</v>
      </c>
      <c r="K752" t="n">
        <v>0</v>
      </c>
      <c r="L752" t="n">
        <v>0</v>
      </c>
      <c r="M752" t="n">
        <v>0</v>
      </c>
      <c r="N752" t="n">
        <v>0</v>
      </c>
      <c r="O752" t="n">
        <v>0</v>
      </c>
      <c r="P752" t="n">
        <v>0</v>
      </c>
      <c r="Q752" t="n">
        <v>0</v>
      </c>
      <c r="R752" s="2" t="inlineStr"/>
    </row>
    <row r="753" ht="15" customHeight="1">
      <c r="A753" t="inlineStr">
        <is>
          <t>A 6164-2023</t>
        </is>
      </c>
      <c r="B753" s="1" t="n">
        <v>44964.66871527778</v>
      </c>
      <c r="C753" s="1" t="n">
        <v>46004</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39366-2025</t>
        </is>
      </c>
      <c r="B754" s="1" t="n">
        <v>45889</v>
      </c>
      <c r="C754" s="1" t="n">
        <v>46004</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16121-2025</t>
        </is>
      </c>
      <c r="B755" s="1" t="n">
        <v>45750.40384259259</v>
      </c>
      <c r="C755" s="1" t="n">
        <v>46004</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11446-2025</t>
        </is>
      </c>
      <c r="B756" s="1" t="n">
        <v>45726</v>
      </c>
      <c r="C756" s="1" t="n">
        <v>46004</v>
      </c>
      <c r="D756" t="inlineStr">
        <is>
          <t>SKÅNE LÄN</t>
        </is>
      </c>
      <c r="E756" t="inlineStr">
        <is>
          <t>HÄSSLEHOLM</t>
        </is>
      </c>
      <c r="G756" t="n">
        <v>1.9</v>
      </c>
      <c r="H756" t="n">
        <v>0</v>
      </c>
      <c r="I756" t="n">
        <v>0</v>
      </c>
      <c r="J756" t="n">
        <v>0</v>
      </c>
      <c r="K756" t="n">
        <v>0</v>
      </c>
      <c r="L756" t="n">
        <v>0</v>
      </c>
      <c r="M756" t="n">
        <v>0</v>
      </c>
      <c r="N756" t="n">
        <v>0</v>
      </c>
      <c r="O756" t="n">
        <v>0</v>
      </c>
      <c r="P756" t="n">
        <v>0</v>
      </c>
      <c r="Q756" t="n">
        <v>0</v>
      </c>
      <c r="R756" s="2" t="inlineStr"/>
    </row>
    <row r="757" ht="15" customHeight="1">
      <c r="A757" t="inlineStr">
        <is>
          <t>A 15060-2023</t>
        </is>
      </c>
      <c r="B757" s="1" t="n">
        <v>45015.69832175926</v>
      </c>
      <c r="C757" s="1" t="n">
        <v>46004</v>
      </c>
      <c r="D757" t="inlineStr">
        <is>
          <t>SKÅNE LÄN</t>
        </is>
      </c>
      <c r="E757" t="inlineStr">
        <is>
          <t>HÄSSLEHOLM</t>
        </is>
      </c>
      <c r="G757" t="n">
        <v>1.7</v>
      </c>
      <c r="H757" t="n">
        <v>0</v>
      </c>
      <c r="I757" t="n">
        <v>0</v>
      </c>
      <c r="J757" t="n">
        <v>0</v>
      </c>
      <c r="K757" t="n">
        <v>0</v>
      </c>
      <c r="L757" t="n">
        <v>0</v>
      </c>
      <c r="M757" t="n">
        <v>0</v>
      </c>
      <c r="N757" t="n">
        <v>0</v>
      </c>
      <c r="O757" t="n">
        <v>0</v>
      </c>
      <c r="P757" t="n">
        <v>0</v>
      </c>
      <c r="Q757" t="n">
        <v>0</v>
      </c>
      <c r="R757" s="2" t="inlineStr"/>
    </row>
    <row r="758" ht="15" customHeight="1">
      <c r="A758" t="inlineStr">
        <is>
          <t>A 4787-2023</t>
        </is>
      </c>
      <c r="B758" s="1" t="n">
        <v>44957.60079861111</v>
      </c>
      <c r="C758" s="1" t="n">
        <v>46004</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4788-2023</t>
        </is>
      </c>
      <c r="B759" s="1" t="n">
        <v>44957.60130787037</v>
      </c>
      <c r="C759" s="1" t="n">
        <v>46004</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34348-2022</t>
        </is>
      </c>
      <c r="B760" s="1" t="n">
        <v>44792</v>
      </c>
      <c r="C760" s="1" t="n">
        <v>46004</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45399-2022</t>
        </is>
      </c>
      <c r="B761" s="1" t="n">
        <v>44844.70513888889</v>
      </c>
      <c r="C761" s="1" t="n">
        <v>46004</v>
      </c>
      <c r="D761" t="inlineStr">
        <is>
          <t>SKÅNE LÄN</t>
        </is>
      </c>
      <c r="E761" t="inlineStr">
        <is>
          <t>HÄSSLEHOLM</t>
        </is>
      </c>
      <c r="G761" t="n">
        <v>0</v>
      </c>
      <c r="H761" t="n">
        <v>0</v>
      </c>
      <c r="I761" t="n">
        <v>0</v>
      </c>
      <c r="J761" t="n">
        <v>0</v>
      </c>
      <c r="K761" t="n">
        <v>0</v>
      </c>
      <c r="L761" t="n">
        <v>0</v>
      </c>
      <c r="M761" t="n">
        <v>0</v>
      </c>
      <c r="N761" t="n">
        <v>0</v>
      </c>
      <c r="O761" t="n">
        <v>0</v>
      </c>
      <c r="P761" t="n">
        <v>0</v>
      </c>
      <c r="Q761" t="n">
        <v>0</v>
      </c>
      <c r="R761" s="2" t="inlineStr"/>
    </row>
    <row r="762" ht="15" customHeight="1">
      <c r="A762" t="inlineStr">
        <is>
          <t>A 35640-2023</t>
        </is>
      </c>
      <c r="B762" s="1" t="n">
        <v>45147</v>
      </c>
      <c r="C762" s="1" t="n">
        <v>46004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14008-2023</t>
        </is>
      </c>
      <c r="B763" s="1" t="n">
        <v>45008.56725694444</v>
      </c>
      <c r="C763" s="1" t="n">
        <v>46004</v>
      </c>
      <c r="D763" t="inlineStr">
        <is>
          <t>SKÅNE LÄN</t>
        </is>
      </c>
      <c r="E763" t="inlineStr">
        <is>
          <t>HÄSSLEHOLM</t>
        </is>
      </c>
      <c r="G763" t="n">
        <v>3.3</v>
      </c>
      <c r="H763" t="n">
        <v>0</v>
      </c>
      <c r="I763" t="n">
        <v>0</v>
      </c>
      <c r="J763" t="n">
        <v>0</v>
      </c>
      <c r="K763" t="n">
        <v>0</v>
      </c>
      <c r="L763" t="n">
        <v>0</v>
      </c>
      <c r="M763" t="n">
        <v>0</v>
      </c>
      <c r="N763" t="n">
        <v>0</v>
      </c>
      <c r="O763" t="n">
        <v>0</v>
      </c>
      <c r="P763" t="n">
        <v>0</v>
      </c>
      <c r="Q763" t="n">
        <v>0</v>
      </c>
      <c r="R763" s="2" t="inlineStr"/>
    </row>
    <row r="764" ht="15" customHeight="1">
      <c r="A764" t="inlineStr">
        <is>
          <t>A 2681-2024</t>
        </is>
      </c>
      <c r="B764" s="1" t="n">
        <v>45314</v>
      </c>
      <c r="C764" s="1" t="n">
        <v>46004</v>
      </c>
      <c r="D764" t="inlineStr">
        <is>
          <t>SKÅNE LÄN</t>
        </is>
      </c>
      <c r="E764" t="inlineStr">
        <is>
          <t>HÄSSLEHOLM</t>
        </is>
      </c>
      <c r="F764" t="inlineStr">
        <is>
          <t>Övriga Aktiebolag</t>
        </is>
      </c>
      <c r="G764" t="n">
        <v>1.4</v>
      </c>
      <c r="H764" t="n">
        <v>0</v>
      </c>
      <c r="I764" t="n">
        <v>0</v>
      </c>
      <c r="J764" t="n">
        <v>0</v>
      </c>
      <c r="K764" t="n">
        <v>0</v>
      </c>
      <c r="L764" t="n">
        <v>0</v>
      </c>
      <c r="M764" t="n">
        <v>0</v>
      </c>
      <c r="N764" t="n">
        <v>0</v>
      </c>
      <c r="O764" t="n">
        <v>0</v>
      </c>
      <c r="P764" t="n">
        <v>0</v>
      </c>
      <c r="Q764" t="n">
        <v>0</v>
      </c>
      <c r="R764" s="2" t="inlineStr"/>
    </row>
    <row r="765" ht="15" customHeight="1">
      <c r="A765" t="inlineStr">
        <is>
          <t>A 27177-2024</t>
        </is>
      </c>
      <c r="B765" s="1" t="n">
        <v>45471.57201388889</v>
      </c>
      <c r="C765" s="1" t="n">
        <v>46004</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47450-2025</t>
        </is>
      </c>
      <c r="B766" s="1" t="n">
        <v>45930</v>
      </c>
      <c r="C766" s="1" t="n">
        <v>46004</v>
      </c>
      <c r="D766" t="inlineStr">
        <is>
          <t>SKÅNE LÄN</t>
        </is>
      </c>
      <c r="E766" t="inlineStr">
        <is>
          <t>HÄSSLEHOLM</t>
        </is>
      </c>
      <c r="G766" t="n">
        <v>3.2</v>
      </c>
      <c r="H766" t="n">
        <v>0</v>
      </c>
      <c r="I766" t="n">
        <v>0</v>
      </c>
      <c r="J766" t="n">
        <v>0</v>
      </c>
      <c r="K766" t="n">
        <v>0</v>
      </c>
      <c r="L766" t="n">
        <v>0</v>
      </c>
      <c r="M766" t="n">
        <v>0</v>
      </c>
      <c r="N766" t="n">
        <v>0</v>
      </c>
      <c r="O766" t="n">
        <v>0</v>
      </c>
      <c r="P766" t="n">
        <v>0</v>
      </c>
      <c r="Q766" t="n">
        <v>0</v>
      </c>
      <c r="R766" s="2" t="inlineStr"/>
    </row>
    <row r="767" ht="15" customHeight="1">
      <c r="A767" t="inlineStr">
        <is>
          <t>A 47422-2025</t>
        </is>
      </c>
      <c r="B767" s="1" t="n">
        <v>45930</v>
      </c>
      <c r="C767" s="1" t="n">
        <v>46004</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315-2022</t>
        </is>
      </c>
      <c r="B768" s="1" t="n">
        <v>44565.55630787037</v>
      </c>
      <c r="C768" s="1" t="n">
        <v>46004</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42372-2024</t>
        </is>
      </c>
      <c r="B769" s="1" t="n">
        <v>45564.5127199074</v>
      </c>
      <c r="C769" s="1" t="n">
        <v>46004</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49219-2024</t>
        </is>
      </c>
      <c r="B770" s="1" t="n">
        <v>45595.40923611111</v>
      </c>
      <c r="C770" s="1" t="n">
        <v>46004</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4734-2025</t>
        </is>
      </c>
      <c r="B771" s="1" t="n">
        <v>45688.44030092593</v>
      </c>
      <c r="C771" s="1" t="n">
        <v>46004</v>
      </c>
      <c r="D771" t="inlineStr">
        <is>
          <t>SKÅNE LÄN</t>
        </is>
      </c>
      <c r="E771" t="inlineStr">
        <is>
          <t>HÄSSLEHOLM</t>
        </is>
      </c>
      <c r="G771" t="n">
        <v>19.6</v>
      </c>
      <c r="H771" t="n">
        <v>0</v>
      </c>
      <c r="I771" t="n">
        <v>0</v>
      </c>
      <c r="J771" t="n">
        <v>0</v>
      </c>
      <c r="K771" t="n">
        <v>0</v>
      </c>
      <c r="L771" t="n">
        <v>0</v>
      </c>
      <c r="M771" t="n">
        <v>0</v>
      </c>
      <c r="N771" t="n">
        <v>0</v>
      </c>
      <c r="O771" t="n">
        <v>0</v>
      </c>
      <c r="P771" t="n">
        <v>0</v>
      </c>
      <c r="Q771" t="n">
        <v>0</v>
      </c>
      <c r="R771" s="2" t="inlineStr"/>
    </row>
    <row r="772" ht="15" customHeight="1">
      <c r="A772" t="inlineStr">
        <is>
          <t>A 13646-2024</t>
        </is>
      </c>
      <c r="B772" s="1" t="n">
        <v>45387</v>
      </c>
      <c r="C772" s="1" t="n">
        <v>46004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4750-2024</t>
        </is>
      </c>
      <c r="B773" s="1" t="n">
        <v>45328</v>
      </c>
      <c r="C773" s="1" t="n">
        <v>46004</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24776-2025</t>
        </is>
      </c>
      <c r="B774" s="1" t="n">
        <v>45799.40640046296</v>
      </c>
      <c r="C774" s="1" t="n">
        <v>46004</v>
      </c>
      <c r="D774" t="inlineStr">
        <is>
          <t>SKÅNE LÄN</t>
        </is>
      </c>
      <c r="E774" t="inlineStr">
        <is>
          <t>HÄSSLEHOLM</t>
        </is>
      </c>
      <c r="G774" t="n">
        <v>5.4</v>
      </c>
      <c r="H774" t="n">
        <v>0</v>
      </c>
      <c r="I774" t="n">
        <v>0</v>
      </c>
      <c r="J774" t="n">
        <v>0</v>
      </c>
      <c r="K774" t="n">
        <v>0</v>
      </c>
      <c r="L774" t="n">
        <v>0</v>
      </c>
      <c r="M774" t="n">
        <v>0</v>
      </c>
      <c r="N774" t="n">
        <v>0</v>
      </c>
      <c r="O774" t="n">
        <v>0</v>
      </c>
      <c r="P774" t="n">
        <v>0</v>
      </c>
      <c r="Q774" t="n">
        <v>0</v>
      </c>
      <c r="R774" s="2" t="inlineStr"/>
    </row>
    <row r="775" ht="15" customHeight="1">
      <c r="A775" t="inlineStr">
        <is>
          <t>A 6180-2021</t>
        </is>
      </c>
      <c r="B775" s="1" t="n">
        <v>44232</v>
      </c>
      <c r="C775" s="1" t="n">
        <v>46004</v>
      </c>
      <c r="D775" t="inlineStr">
        <is>
          <t>SKÅNE LÄN</t>
        </is>
      </c>
      <c r="E775" t="inlineStr">
        <is>
          <t>HÄSSLEHOLM</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17138-2025</t>
        </is>
      </c>
      <c r="B776" s="1" t="n">
        <v>45755.80378472222</v>
      </c>
      <c r="C776" s="1" t="n">
        <v>46004</v>
      </c>
      <c r="D776" t="inlineStr">
        <is>
          <t>SKÅNE LÄN</t>
        </is>
      </c>
      <c r="E776" t="inlineStr">
        <is>
          <t>HÄSSLEHOLM</t>
        </is>
      </c>
      <c r="G776" t="n">
        <v>1.1</v>
      </c>
      <c r="H776" t="n">
        <v>0</v>
      </c>
      <c r="I776" t="n">
        <v>0</v>
      </c>
      <c r="J776" t="n">
        <v>0</v>
      </c>
      <c r="K776" t="n">
        <v>0</v>
      </c>
      <c r="L776" t="n">
        <v>0</v>
      </c>
      <c r="M776" t="n">
        <v>0</v>
      </c>
      <c r="N776" t="n">
        <v>0</v>
      </c>
      <c r="O776" t="n">
        <v>0</v>
      </c>
      <c r="P776" t="n">
        <v>0</v>
      </c>
      <c r="Q776" t="n">
        <v>0</v>
      </c>
      <c r="R776" s="2" t="inlineStr"/>
    </row>
    <row r="777" ht="15" customHeight="1">
      <c r="A777" t="inlineStr">
        <is>
          <t>A 39453-2025</t>
        </is>
      </c>
      <c r="B777" s="1" t="n">
        <v>45889</v>
      </c>
      <c r="C777" s="1" t="n">
        <v>46004</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46004</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57695-2023</t>
        </is>
      </c>
      <c r="B779" s="1" t="n">
        <v>45246</v>
      </c>
      <c r="C779" s="1" t="n">
        <v>46004</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39934-2025</t>
        </is>
      </c>
      <c r="B780" s="1" t="n">
        <v>45891.71465277778</v>
      </c>
      <c r="C780" s="1" t="n">
        <v>46004</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12162-2023</t>
        </is>
      </c>
      <c r="B781" s="1" t="n">
        <v>44998.49619212963</v>
      </c>
      <c r="C781" s="1" t="n">
        <v>46004</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36568-2024</t>
        </is>
      </c>
      <c r="B782" s="1" t="n">
        <v>45537</v>
      </c>
      <c r="C782" s="1" t="n">
        <v>46004</v>
      </c>
      <c r="D782" t="inlineStr">
        <is>
          <t>SKÅNE LÄN</t>
        </is>
      </c>
      <c r="E782" t="inlineStr">
        <is>
          <t>HÄSSLEHOLM</t>
        </is>
      </c>
      <c r="G782" t="n">
        <v>4.3</v>
      </c>
      <c r="H782" t="n">
        <v>0</v>
      </c>
      <c r="I782" t="n">
        <v>0</v>
      </c>
      <c r="J782" t="n">
        <v>0</v>
      </c>
      <c r="K782" t="n">
        <v>0</v>
      </c>
      <c r="L782" t="n">
        <v>0</v>
      </c>
      <c r="M782" t="n">
        <v>0</v>
      </c>
      <c r="N782" t="n">
        <v>0</v>
      </c>
      <c r="O782" t="n">
        <v>0</v>
      </c>
      <c r="P782" t="n">
        <v>0</v>
      </c>
      <c r="Q782" t="n">
        <v>0</v>
      </c>
      <c r="R782" s="2" t="inlineStr"/>
    </row>
    <row r="783" ht="15" customHeight="1">
      <c r="A783" t="inlineStr">
        <is>
          <t>A 9323-2025</t>
        </is>
      </c>
      <c r="B783" s="1" t="n">
        <v>45714.73532407408</v>
      </c>
      <c r="C783" s="1" t="n">
        <v>46004</v>
      </c>
      <c r="D783" t="inlineStr">
        <is>
          <t>SKÅNE LÄN</t>
        </is>
      </c>
      <c r="E783" t="inlineStr">
        <is>
          <t>HÄSSLEHOLM</t>
        </is>
      </c>
      <c r="G783" t="n">
        <v>5.2</v>
      </c>
      <c r="H783" t="n">
        <v>0</v>
      </c>
      <c r="I783" t="n">
        <v>0</v>
      </c>
      <c r="J783" t="n">
        <v>0</v>
      </c>
      <c r="K783" t="n">
        <v>0</v>
      </c>
      <c r="L783" t="n">
        <v>0</v>
      </c>
      <c r="M783" t="n">
        <v>0</v>
      </c>
      <c r="N783" t="n">
        <v>0</v>
      </c>
      <c r="O783" t="n">
        <v>0</v>
      </c>
      <c r="P783" t="n">
        <v>0</v>
      </c>
      <c r="Q783" t="n">
        <v>0</v>
      </c>
      <c r="R783" s="2" t="inlineStr"/>
    </row>
    <row r="784" ht="15" customHeight="1">
      <c r="A784" t="inlineStr">
        <is>
          <t>A 19593-2023</t>
        </is>
      </c>
      <c r="B784" s="1" t="n">
        <v>45050.75895833333</v>
      </c>
      <c r="C784" s="1" t="n">
        <v>46004</v>
      </c>
      <c r="D784" t="inlineStr">
        <is>
          <t>SKÅNE LÄN</t>
        </is>
      </c>
      <c r="E784" t="inlineStr">
        <is>
          <t>HÄSSLEHOLM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39457-2025</t>
        </is>
      </c>
      <c r="B785" s="1" t="n">
        <v>45889.76887731482</v>
      </c>
      <c r="C785" s="1" t="n">
        <v>46004</v>
      </c>
      <c r="D785" t="inlineStr">
        <is>
          <t>SKÅNE LÄN</t>
        </is>
      </c>
      <c r="E785" t="inlineStr">
        <is>
          <t>HÄSSLEHOLM</t>
        </is>
      </c>
      <c r="G785" t="n">
        <v>6.6</v>
      </c>
      <c r="H785" t="n">
        <v>0</v>
      </c>
      <c r="I785" t="n">
        <v>0</v>
      </c>
      <c r="J785" t="n">
        <v>0</v>
      </c>
      <c r="K785" t="n">
        <v>0</v>
      </c>
      <c r="L785" t="n">
        <v>0</v>
      </c>
      <c r="M785" t="n">
        <v>0</v>
      </c>
      <c r="N785" t="n">
        <v>0</v>
      </c>
      <c r="O785" t="n">
        <v>0</v>
      </c>
      <c r="P785" t="n">
        <v>0</v>
      </c>
      <c r="Q785" t="n">
        <v>0</v>
      </c>
      <c r="R785" s="2" t="inlineStr"/>
    </row>
    <row r="786" ht="15" customHeight="1">
      <c r="A786" t="inlineStr">
        <is>
          <t>A 5476-2021</t>
        </is>
      </c>
      <c r="B786" s="1" t="n">
        <v>44230</v>
      </c>
      <c r="C786" s="1" t="n">
        <v>46004</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13347-2025</t>
        </is>
      </c>
      <c r="B787" s="1" t="n">
        <v>45735.63175925926</v>
      </c>
      <c r="C787" s="1" t="n">
        <v>46004</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39937-2025</t>
        </is>
      </c>
      <c r="B788" s="1" t="n">
        <v>45891.73162037037</v>
      </c>
      <c r="C788" s="1" t="n">
        <v>46004</v>
      </c>
      <c r="D788" t="inlineStr">
        <is>
          <t>SKÅNE LÄN</t>
        </is>
      </c>
      <c r="E788" t="inlineStr">
        <is>
          <t>HÄSSLEHOLM</t>
        </is>
      </c>
      <c r="G788" t="n">
        <v>4.5</v>
      </c>
      <c r="H788" t="n">
        <v>0</v>
      </c>
      <c r="I788" t="n">
        <v>0</v>
      </c>
      <c r="J788" t="n">
        <v>0</v>
      </c>
      <c r="K788" t="n">
        <v>0</v>
      </c>
      <c r="L788" t="n">
        <v>0</v>
      </c>
      <c r="M788" t="n">
        <v>0</v>
      </c>
      <c r="N788" t="n">
        <v>0</v>
      </c>
      <c r="O788" t="n">
        <v>0</v>
      </c>
      <c r="P788" t="n">
        <v>0</v>
      </c>
      <c r="Q788" t="n">
        <v>0</v>
      </c>
      <c r="R788" s="2" t="inlineStr"/>
    </row>
    <row r="789" ht="15" customHeight="1">
      <c r="A789" t="inlineStr">
        <is>
          <t>A 45392-2024</t>
        </is>
      </c>
      <c r="B789" s="1" t="n">
        <v>45576.55008101852</v>
      </c>
      <c r="C789" s="1" t="n">
        <v>46004</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6122-2021</t>
        </is>
      </c>
      <c r="B790" s="1" t="n">
        <v>44232.55091435185</v>
      </c>
      <c r="C790" s="1" t="n">
        <v>46004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16454-2023</t>
        </is>
      </c>
      <c r="B791" s="1" t="n">
        <v>45029.48425925926</v>
      </c>
      <c r="C791" s="1" t="n">
        <v>46004</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4916-2024</t>
        </is>
      </c>
      <c r="B792" s="1" t="n">
        <v>45329</v>
      </c>
      <c r="C792" s="1" t="n">
        <v>46004</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27175-2024</t>
        </is>
      </c>
      <c r="B793" s="1" t="n">
        <v>45471.57111111111</v>
      </c>
      <c r="C793" s="1" t="n">
        <v>46004</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17335-2024</t>
        </is>
      </c>
      <c r="B794" s="1" t="n">
        <v>45414.5687962963</v>
      </c>
      <c r="C794" s="1" t="n">
        <v>46004</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16017-2023</t>
        </is>
      </c>
      <c r="B795" s="1" t="n">
        <v>45026</v>
      </c>
      <c r="C795" s="1" t="n">
        <v>46004</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24246-2023</t>
        </is>
      </c>
      <c r="B796" s="1" t="n">
        <v>45079</v>
      </c>
      <c r="C796" s="1" t="n">
        <v>46004</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24249-2023</t>
        </is>
      </c>
      <c r="B797" s="1" t="n">
        <v>45079.62466435185</v>
      </c>
      <c r="C797" s="1" t="n">
        <v>46004</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54658-2023</t>
        </is>
      </c>
      <c r="B798" s="1" t="n">
        <v>45235</v>
      </c>
      <c r="C798" s="1" t="n">
        <v>46004</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9555-2025</t>
        </is>
      </c>
      <c r="B799" s="1" t="n">
        <v>45714</v>
      </c>
      <c r="C799" s="1" t="n">
        <v>46004</v>
      </c>
      <c r="D799" t="inlineStr">
        <is>
          <t>SKÅNE LÄN</t>
        </is>
      </c>
      <c r="E799" t="inlineStr">
        <is>
          <t>HÄSSLEHOLM</t>
        </is>
      </c>
      <c r="G799" t="n">
        <v>5.4</v>
      </c>
      <c r="H799" t="n">
        <v>0</v>
      </c>
      <c r="I799" t="n">
        <v>0</v>
      </c>
      <c r="J799" t="n">
        <v>0</v>
      </c>
      <c r="K799" t="n">
        <v>0</v>
      </c>
      <c r="L799" t="n">
        <v>0</v>
      </c>
      <c r="M799" t="n">
        <v>0</v>
      </c>
      <c r="N799" t="n">
        <v>0</v>
      </c>
      <c r="O799" t="n">
        <v>0</v>
      </c>
      <c r="P799" t="n">
        <v>0</v>
      </c>
      <c r="Q799" t="n">
        <v>0</v>
      </c>
      <c r="R799" s="2" t="inlineStr"/>
    </row>
    <row r="800" ht="15" customHeight="1">
      <c r="A800" t="inlineStr">
        <is>
          <t>A 31989-2024</t>
        </is>
      </c>
      <c r="B800" s="1" t="n">
        <v>45510.58085648148</v>
      </c>
      <c r="C800" s="1" t="n">
        <v>46004</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1120-2024</t>
        </is>
      </c>
      <c r="B801" s="1" t="n">
        <v>45302.4452662037</v>
      </c>
      <c r="C801" s="1" t="n">
        <v>46004</v>
      </c>
      <c r="D801" t="inlineStr">
        <is>
          <t>SKÅNE LÄN</t>
        </is>
      </c>
      <c r="E801" t="inlineStr">
        <is>
          <t>HÄSSLEHOLM</t>
        </is>
      </c>
      <c r="G801" t="n">
        <v>2.7</v>
      </c>
      <c r="H801" t="n">
        <v>0</v>
      </c>
      <c r="I801" t="n">
        <v>0</v>
      </c>
      <c r="J801" t="n">
        <v>0</v>
      </c>
      <c r="K801" t="n">
        <v>0</v>
      </c>
      <c r="L801" t="n">
        <v>0</v>
      </c>
      <c r="M801" t="n">
        <v>0</v>
      </c>
      <c r="N801" t="n">
        <v>0</v>
      </c>
      <c r="O801" t="n">
        <v>0</v>
      </c>
      <c r="P801" t="n">
        <v>0</v>
      </c>
      <c r="Q801" t="n">
        <v>0</v>
      </c>
      <c r="R801" s="2" t="inlineStr"/>
    </row>
    <row r="802" ht="15" customHeight="1">
      <c r="A802" t="inlineStr">
        <is>
          <t>A 40241-2025</t>
        </is>
      </c>
      <c r="B802" s="1" t="n">
        <v>45894.87251157407</v>
      </c>
      <c r="C802" s="1" t="n">
        <v>46004</v>
      </c>
      <c r="D802" t="inlineStr">
        <is>
          <t>SKÅNE LÄN</t>
        </is>
      </c>
      <c r="E802" t="inlineStr">
        <is>
          <t>HÄSSLEHOLM</t>
        </is>
      </c>
      <c r="G802" t="n">
        <v>3.8</v>
      </c>
      <c r="H802" t="n">
        <v>0</v>
      </c>
      <c r="I802" t="n">
        <v>0</v>
      </c>
      <c r="J802" t="n">
        <v>0</v>
      </c>
      <c r="K802" t="n">
        <v>0</v>
      </c>
      <c r="L802" t="n">
        <v>0</v>
      </c>
      <c r="M802" t="n">
        <v>0</v>
      </c>
      <c r="N802" t="n">
        <v>0</v>
      </c>
      <c r="O802" t="n">
        <v>0</v>
      </c>
      <c r="P802" t="n">
        <v>0</v>
      </c>
      <c r="Q802" t="n">
        <v>0</v>
      </c>
      <c r="R802" s="2" t="inlineStr"/>
    </row>
    <row r="803" ht="15" customHeight="1">
      <c r="A803" t="inlineStr">
        <is>
          <t>A 53055-2021</t>
        </is>
      </c>
      <c r="B803" s="1" t="n">
        <v>44467</v>
      </c>
      <c r="C803" s="1" t="n">
        <v>46004</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524-2024</t>
        </is>
      </c>
      <c r="B804" s="1" t="n">
        <v>45299</v>
      </c>
      <c r="C804" s="1" t="n">
        <v>46004</v>
      </c>
      <c r="D804" t="inlineStr">
        <is>
          <t>SKÅNE LÄN</t>
        </is>
      </c>
      <c r="E804" t="inlineStr">
        <is>
          <t>HÄSSLEHOLM</t>
        </is>
      </c>
      <c r="G804" t="n">
        <v>29.4</v>
      </c>
      <c r="H804" t="n">
        <v>0</v>
      </c>
      <c r="I804" t="n">
        <v>0</v>
      </c>
      <c r="J804" t="n">
        <v>0</v>
      </c>
      <c r="K804" t="n">
        <v>0</v>
      </c>
      <c r="L804" t="n">
        <v>0</v>
      </c>
      <c r="M804" t="n">
        <v>0</v>
      </c>
      <c r="N804" t="n">
        <v>0</v>
      </c>
      <c r="O804" t="n">
        <v>0</v>
      </c>
      <c r="P804" t="n">
        <v>0</v>
      </c>
      <c r="Q804" t="n">
        <v>0</v>
      </c>
      <c r="R804" s="2" t="inlineStr"/>
    </row>
    <row r="805" ht="15" customHeight="1">
      <c r="A805" t="inlineStr">
        <is>
          <t>A 23666-2023</t>
        </is>
      </c>
      <c r="B805" s="1" t="n">
        <v>45077</v>
      </c>
      <c r="C805" s="1" t="n">
        <v>46004</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60973-2024</t>
        </is>
      </c>
      <c r="B806" s="1" t="n">
        <v>45644</v>
      </c>
      <c r="C806" s="1" t="n">
        <v>46004</v>
      </c>
      <c r="D806" t="inlineStr">
        <is>
          <t>SKÅNE LÄN</t>
        </is>
      </c>
      <c r="E806" t="inlineStr">
        <is>
          <t>HÄSSLEHOLM</t>
        </is>
      </c>
      <c r="G806" t="n">
        <v>3.6</v>
      </c>
      <c r="H806" t="n">
        <v>0</v>
      </c>
      <c r="I806" t="n">
        <v>0</v>
      </c>
      <c r="J806" t="n">
        <v>0</v>
      </c>
      <c r="K806" t="n">
        <v>0</v>
      </c>
      <c r="L806" t="n">
        <v>0</v>
      </c>
      <c r="M806" t="n">
        <v>0</v>
      </c>
      <c r="N806" t="n">
        <v>0</v>
      </c>
      <c r="O806" t="n">
        <v>0</v>
      </c>
      <c r="P806" t="n">
        <v>0</v>
      </c>
      <c r="Q806" t="n">
        <v>0</v>
      </c>
      <c r="R806" s="2" t="inlineStr"/>
    </row>
    <row r="807" ht="15" customHeight="1">
      <c r="A807" t="inlineStr">
        <is>
          <t>A 3726-2024</t>
        </is>
      </c>
      <c r="B807" s="1" t="n">
        <v>45321</v>
      </c>
      <c r="C807" s="1" t="n">
        <v>46004</v>
      </c>
      <c r="D807" t="inlineStr">
        <is>
          <t>SKÅNE LÄN</t>
        </is>
      </c>
      <c r="E807" t="inlineStr">
        <is>
          <t>HÄSSLEHOLM</t>
        </is>
      </c>
      <c r="G807" t="n">
        <v>0.3</v>
      </c>
      <c r="H807" t="n">
        <v>0</v>
      </c>
      <c r="I807" t="n">
        <v>0</v>
      </c>
      <c r="J807" t="n">
        <v>0</v>
      </c>
      <c r="K807" t="n">
        <v>0</v>
      </c>
      <c r="L807" t="n">
        <v>0</v>
      </c>
      <c r="M807" t="n">
        <v>0</v>
      </c>
      <c r="N807" t="n">
        <v>0</v>
      </c>
      <c r="O807" t="n">
        <v>0</v>
      </c>
      <c r="P807" t="n">
        <v>0</v>
      </c>
      <c r="Q807" t="n">
        <v>0</v>
      </c>
      <c r="R807" s="2" t="inlineStr"/>
    </row>
    <row r="808" ht="15" customHeight="1">
      <c r="A808" t="inlineStr">
        <is>
          <t>A 27478-2023</t>
        </is>
      </c>
      <c r="B808" s="1" t="n">
        <v>45092</v>
      </c>
      <c r="C808" s="1" t="n">
        <v>46004</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53085-2022</t>
        </is>
      </c>
      <c r="B809" s="1" t="n">
        <v>44873</v>
      </c>
      <c r="C809" s="1" t="n">
        <v>46004</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37898-2021</t>
        </is>
      </c>
      <c r="B810" s="1" t="n">
        <v>44403</v>
      </c>
      <c r="C810" s="1" t="n">
        <v>46004</v>
      </c>
      <c r="D810" t="inlineStr">
        <is>
          <t>SKÅNE LÄN</t>
        </is>
      </c>
      <c r="E810" t="inlineStr">
        <is>
          <t>HÄSSLEHOLM</t>
        </is>
      </c>
      <c r="F810" t="inlineStr">
        <is>
          <t>Kommuner</t>
        </is>
      </c>
      <c r="G810" t="n">
        <v>8.4</v>
      </c>
      <c r="H810" t="n">
        <v>0</v>
      </c>
      <c r="I810" t="n">
        <v>0</v>
      </c>
      <c r="J810" t="n">
        <v>0</v>
      </c>
      <c r="K810" t="n">
        <v>0</v>
      </c>
      <c r="L810" t="n">
        <v>0</v>
      </c>
      <c r="M810" t="n">
        <v>0</v>
      </c>
      <c r="N810" t="n">
        <v>0</v>
      </c>
      <c r="O810" t="n">
        <v>0</v>
      </c>
      <c r="P810" t="n">
        <v>0</v>
      </c>
      <c r="Q810" t="n">
        <v>0</v>
      </c>
      <c r="R810" s="2" t="inlineStr"/>
    </row>
    <row r="811" ht="15" customHeight="1">
      <c r="A811" t="inlineStr">
        <is>
          <t>A 28211-2022</t>
        </is>
      </c>
      <c r="B811" s="1" t="n">
        <v>44746</v>
      </c>
      <c r="C811" s="1" t="n">
        <v>46004</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9394-2025</t>
        </is>
      </c>
      <c r="B812" s="1" t="n">
        <v>45715.36387731481</v>
      </c>
      <c r="C812" s="1" t="n">
        <v>46004</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32154-2024</t>
        </is>
      </c>
      <c r="B813" s="1" t="n">
        <v>45511</v>
      </c>
      <c r="C813" s="1" t="n">
        <v>46004</v>
      </c>
      <c r="D813" t="inlineStr">
        <is>
          <t>SKÅNE LÄN</t>
        </is>
      </c>
      <c r="E813" t="inlineStr">
        <is>
          <t>HÄSSLEHOLM</t>
        </is>
      </c>
      <c r="G813" t="n">
        <v>6.4</v>
      </c>
      <c r="H813" t="n">
        <v>0</v>
      </c>
      <c r="I813" t="n">
        <v>0</v>
      </c>
      <c r="J813" t="n">
        <v>0</v>
      </c>
      <c r="K813" t="n">
        <v>0</v>
      </c>
      <c r="L813" t="n">
        <v>0</v>
      </c>
      <c r="M813" t="n">
        <v>0</v>
      </c>
      <c r="N813" t="n">
        <v>0</v>
      </c>
      <c r="O813" t="n">
        <v>0</v>
      </c>
      <c r="P813" t="n">
        <v>0</v>
      </c>
      <c r="Q813" t="n">
        <v>0</v>
      </c>
      <c r="R813" s="2" t="inlineStr"/>
    </row>
    <row r="814" ht="15" customHeight="1">
      <c r="A814" t="inlineStr">
        <is>
          <t>A 39223-2024</t>
        </is>
      </c>
      <c r="B814" s="1" t="n">
        <v>45550</v>
      </c>
      <c r="C814" s="1" t="n">
        <v>46004</v>
      </c>
      <c r="D814" t="inlineStr">
        <is>
          <t>SKÅNE LÄN</t>
        </is>
      </c>
      <c r="E814" t="inlineStr">
        <is>
          <t>HÄSSLEHOLM</t>
        </is>
      </c>
      <c r="G814" t="n">
        <v>3.1</v>
      </c>
      <c r="H814" t="n">
        <v>0</v>
      </c>
      <c r="I814" t="n">
        <v>0</v>
      </c>
      <c r="J814" t="n">
        <v>0</v>
      </c>
      <c r="K814" t="n">
        <v>0</v>
      </c>
      <c r="L814" t="n">
        <v>0</v>
      </c>
      <c r="M814" t="n">
        <v>0</v>
      </c>
      <c r="N814" t="n">
        <v>0</v>
      </c>
      <c r="O814" t="n">
        <v>0</v>
      </c>
      <c r="P814" t="n">
        <v>0</v>
      </c>
      <c r="Q814" t="n">
        <v>0</v>
      </c>
      <c r="R814" s="2" t="inlineStr"/>
    </row>
    <row r="815" ht="15" customHeight="1">
      <c r="A815" t="inlineStr">
        <is>
          <t>A 27297-2023</t>
        </is>
      </c>
      <c r="B815" s="1" t="n">
        <v>45096</v>
      </c>
      <c r="C815" s="1" t="n">
        <v>46004</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15990-2023</t>
        </is>
      </c>
      <c r="B816" s="1" t="n">
        <v>45023.39584490741</v>
      </c>
      <c r="C816" s="1" t="n">
        <v>46004</v>
      </c>
      <c r="D816" t="inlineStr">
        <is>
          <t>SKÅNE LÄN</t>
        </is>
      </c>
      <c r="E816" t="inlineStr">
        <is>
          <t>HÄSSLEHOLM</t>
        </is>
      </c>
      <c r="G816" t="n">
        <v>0.8</v>
      </c>
      <c r="H816" t="n">
        <v>0</v>
      </c>
      <c r="I816" t="n">
        <v>0</v>
      </c>
      <c r="J816" t="n">
        <v>0</v>
      </c>
      <c r="K816" t="n">
        <v>0</v>
      </c>
      <c r="L816" t="n">
        <v>0</v>
      </c>
      <c r="M816" t="n">
        <v>0</v>
      </c>
      <c r="N816" t="n">
        <v>0</v>
      </c>
      <c r="O816" t="n">
        <v>0</v>
      </c>
      <c r="P816" t="n">
        <v>0</v>
      </c>
      <c r="Q816" t="n">
        <v>0</v>
      </c>
      <c r="R816" s="2" t="inlineStr"/>
    </row>
    <row r="817" ht="15" customHeight="1">
      <c r="A817" t="inlineStr">
        <is>
          <t>A 26641-2023</t>
        </is>
      </c>
      <c r="B817" s="1" t="n">
        <v>45092.89619212963</v>
      </c>
      <c r="C817" s="1" t="n">
        <v>46004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27304-2023</t>
        </is>
      </c>
      <c r="B818" s="1" t="n">
        <v>45096.65199074074</v>
      </c>
      <c r="C818" s="1" t="n">
        <v>46004</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26207-2021</t>
        </is>
      </c>
      <c r="B819" s="1" t="n">
        <v>44347</v>
      </c>
      <c r="C819" s="1" t="n">
        <v>46004</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22693-2022</t>
        </is>
      </c>
      <c r="B820" s="1" t="n">
        <v>44714.54729166667</v>
      </c>
      <c r="C820" s="1" t="n">
        <v>46004</v>
      </c>
      <c r="D820" t="inlineStr">
        <is>
          <t>SKÅNE LÄN</t>
        </is>
      </c>
      <c r="E820" t="inlineStr">
        <is>
          <t>HÄSSLEHOLM</t>
        </is>
      </c>
      <c r="G820" t="n">
        <v>2.8</v>
      </c>
      <c r="H820" t="n">
        <v>0</v>
      </c>
      <c r="I820" t="n">
        <v>0</v>
      </c>
      <c r="J820" t="n">
        <v>0</v>
      </c>
      <c r="K820" t="n">
        <v>0</v>
      </c>
      <c r="L820" t="n">
        <v>0</v>
      </c>
      <c r="M820" t="n">
        <v>0</v>
      </c>
      <c r="N820" t="n">
        <v>0</v>
      </c>
      <c r="O820" t="n">
        <v>0</v>
      </c>
      <c r="P820" t="n">
        <v>0</v>
      </c>
      <c r="Q820" t="n">
        <v>0</v>
      </c>
      <c r="R820" s="2" t="inlineStr"/>
    </row>
    <row r="821" ht="15" customHeight="1">
      <c r="A821" t="inlineStr">
        <is>
          <t>A 62199-2022</t>
        </is>
      </c>
      <c r="B821" s="1" t="n">
        <v>44915</v>
      </c>
      <c r="C821" s="1" t="n">
        <v>46004</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9098-2022</t>
        </is>
      </c>
      <c r="B822" s="1" t="n">
        <v>44615</v>
      </c>
      <c r="C822" s="1" t="n">
        <v>46004</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19151-2023</t>
        </is>
      </c>
      <c r="B823" s="1" t="n">
        <v>45044</v>
      </c>
      <c r="C823" s="1" t="n">
        <v>46004</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6327-2021</t>
        </is>
      </c>
      <c r="B824" s="1" t="n">
        <v>44235</v>
      </c>
      <c r="C824" s="1" t="n">
        <v>46004</v>
      </c>
      <c r="D824" t="inlineStr">
        <is>
          <t>SKÅNE LÄN</t>
        </is>
      </c>
      <c r="E824" t="inlineStr">
        <is>
          <t>HÄSSLEHOLM</t>
        </is>
      </c>
      <c r="G824" t="n">
        <v>1.6</v>
      </c>
      <c r="H824" t="n">
        <v>0</v>
      </c>
      <c r="I824" t="n">
        <v>0</v>
      </c>
      <c r="J824" t="n">
        <v>0</v>
      </c>
      <c r="K824" t="n">
        <v>0</v>
      </c>
      <c r="L824" t="n">
        <v>0</v>
      </c>
      <c r="M824" t="n">
        <v>0</v>
      </c>
      <c r="N824" t="n">
        <v>0</v>
      </c>
      <c r="O824" t="n">
        <v>0</v>
      </c>
      <c r="P824" t="n">
        <v>0</v>
      </c>
      <c r="Q824" t="n">
        <v>0</v>
      </c>
      <c r="R824" s="2" t="inlineStr"/>
    </row>
    <row r="825" ht="15" customHeight="1">
      <c r="A825" t="inlineStr">
        <is>
          <t>A 2688-2024</t>
        </is>
      </c>
      <c r="B825" s="1" t="n">
        <v>45314</v>
      </c>
      <c r="C825" s="1" t="n">
        <v>46004</v>
      </c>
      <c r="D825" t="inlineStr">
        <is>
          <t>SKÅNE LÄN</t>
        </is>
      </c>
      <c r="E825" t="inlineStr">
        <is>
          <t>HÄSSLEHOLM</t>
        </is>
      </c>
      <c r="F825" t="inlineStr">
        <is>
          <t>Övriga Aktiebolag</t>
        </is>
      </c>
      <c r="G825" t="n">
        <v>2.8</v>
      </c>
      <c r="H825" t="n">
        <v>0</v>
      </c>
      <c r="I825" t="n">
        <v>0</v>
      </c>
      <c r="J825" t="n">
        <v>0</v>
      </c>
      <c r="K825" t="n">
        <v>0</v>
      </c>
      <c r="L825" t="n">
        <v>0</v>
      </c>
      <c r="M825" t="n">
        <v>0</v>
      </c>
      <c r="N825" t="n">
        <v>0</v>
      </c>
      <c r="O825" t="n">
        <v>0</v>
      </c>
      <c r="P825" t="n">
        <v>0</v>
      </c>
      <c r="Q825" t="n">
        <v>0</v>
      </c>
      <c r="R825" s="2" t="inlineStr"/>
    </row>
    <row r="826" ht="15" customHeight="1">
      <c r="A826" t="inlineStr">
        <is>
          <t>A 29850-2024</t>
        </is>
      </c>
      <c r="B826" s="1" t="n">
        <v>45485.64620370371</v>
      </c>
      <c r="C826" s="1" t="n">
        <v>46004</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15104-2023</t>
        </is>
      </c>
      <c r="B827" s="1" t="n">
        <v>45016.40576388889</v>
      </c>
      <c r="C827" s="1" t="n">
        <v>46004</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30007-2023</t>
        </is>
      </c>
      <c r="B828" s="1" t="n">
        <v>45109.80349537037</v>
      </c>
      <c r="C828" s="1" t="n">
        <v>46004</v>
      </c>
      <c r="D828" t="inlineStr">
        <is>
          <t>SKÅNE LÄN</t>
        </is>
      </c>
      <c r="E828" t="inlineStr">
        <is>
          <t>HÄSSLEHOLM</t>
        </is>
      </c>
      <c r="G828" t="n">
        <v>2.2</v>
      </c>
      <c r="H828" t="n">
        <v>0</v>
      </c>
      <c r="I828" t="n">
        <v>0</v>
      </c>
      <c r="J828" t="n">
        <v>0</v>
      </c>
      <c r="K828" t="n">
        <v>0</v>
      </c>
      <c r="L828" t="n">
        <v>0</v>
      </c>
      <c r="M828" t="n">
        <v>0</v>
      </c>
      <c r="N828" t="n">
        <v>0</v>
      </c>
      <c r="O828" t="n">
        <v>0</v>
      </c>
      <c r="P828" t="n">
        <v>0</v>
      </c>
      <c r="Q828" t="n">
        <v>0</v>
      </c>
      <c r="R828" s="2" t="inlineStr"/>
    </row>
    <row r="829" ht="15" customHeight="1">
      <c r="A829" t="inlineStr">
        <is>
          <t>A 4187-2023</t>
        </is>
      </c>
      <c r="B829" s="1" t="n">
        <v>44953</v>
      </c>
      <c r="C829" s="1" t="n">
        <v>46004</v>
      </c>
      <c r="D829" t="inlineStr">
        <is>
          <t>SKÅNE LÄN</t>
        </is>
      </c>
      <c r="E829" t="inlineStr">
        <is>
          <t>HÄSSLEHOLM</t>
        </is>
      </c>
      <c r="G829" t="n">
        <v>3.2</v>
      </c>
      <c r="H829" t="n">
        <v>0</v>
      </c>
      <c r="I829" t="n">
        <v>0</v>
      </c>
      <c r="J829" t="n">
        <v>0</v>
      </c>
      <c r="K829" t="n">
        <v>0</v>
      </c>
      <c r="L829" t="n">
        <v>0</v>
      </c>
      <c r="M829" t="n">
        <v>0</v>
      </c>
      <c r="N829" t="n">
        <v>0</v>
      </c>
      <c r="O829" t="n">
        <v>0</v>
      </c>
      <c r="P829" t="n">
        <v>0</v>
      </c>
      <c r="Q829" t="n">
        <v>0</v>
      </c>
      <c r="R829" s="2" t="inlineStr"/>
    </row>
    <row r="830" ht="15" customHeight="1">
      <c r="A830" t="inlineStr">
        <is>
          <t>A 42231-2022</t>
        </is>
      </c>
      <c r="B830" s="1" t="n">
        <v>44830.77003472222</v>
      </c>
      <c r="C830" s="1" t="n">
        <v>46004</v>
      </c>
      <c r="D830" t="inlineStr">
        <is>
          <t>SKÅNE LÄN</t>
        </is>
      </c>
      <c r="E830" t="inlineStr">
        <is>
          <t>HÄSSLEHOLM</t>
        </is>
      </c>
      <c r="G830" t="n">
        <v>2.7</v>
      </c>
      <c r="H830" t="n">
        <v>0</v>
      </c>
      <c r="I830" t="n">
        <v>0</v>
      </c>
      <c r="J830" t="n">
        <v>0</v>
      </c>
      <c r="K830" t="n">
        <v>0</v>
      </c>
      <c r="L830" t="n">
        <v>0</v>
      </c>
      <c r="M830" t="n">
        <v>0</v>
      </c>
      <c r="N830" t="n">
        <v>0</v>
      </c>
      <c r="O830" t="n">
        <v>0</v>
      </c>
      <c r="P830" t="n">
        <v>0</v>
      </c>
      <c r="Q830" t="n">
        <v>0</v>
      </c>
      <c r="R830" s="2" t="inlineStr"/>
    </row>
    <row r="831" ht="15" customHeight="1">
      <c r="A831" t="inlineStr">
        <is>
          <t>A 16397-2022</t>
        </is>
      </c>
      <c r="B831" s="1" t="n">
        <v>44671</v>
      </c>
      <c r="C831" s="1" t="n">
        <v>46004</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16398-2022</t>
        </is>
      </c>
      <c r="B832" s="1" t="n">
        <v>44671</v>
      </c>
      <c r="C832" s="1" t="n">
        <v>46004</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12507-2022</t>
        </is>
      </c>
      <c r="B833" s="1" t="n">
        <v>44638</v>
      </c>
      <c r="C833" s="1" t="n">
        <v>46004</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4512-2024</t>
        </is>
      </c>
      <c r="B834" s="1" t="n">
        <v>45327.6312962963</v>
      </c>
      <c r="C834" s="1" t="n">
        <v>46004</v>
      </c>
      <c r="D834" t="inlineStr">
        <is>
          <t>SKÅNE LÄN</t>
        </is>
      </c>
      <c r="E834" t="inlineStr">
        <is>
          <t>HÄSSLEHOLM</t>
        </is>
      </c>
      <c r="G834" t="n">
        <v>2</v>
      </c>
      <c r="H834" t="n">
        <v>0</v>
      </c>
      <c r="I834" t="n">
        <v>0</v>
      </c>
      <c r="J834" t="n">
        <v>0</v>
      </c>
      <c r="K834" t="n">
        <v>0</v>
      </c>
      <c r="L834" t="n">
        <v>0</v>
      </c>
      <c r="M834" t="n">
        <v>0</v>
      </c>
      <c r="N834" t="n">
        <v>0</v>
      </c>
      <c r="O834" t="n">
        <v>0</v>
      </c>
      <c r="P834" t="n">
        <v>0</v>
      </c>
      <c r="Q834" t="n">
        <v>0</v>
      </c>
      <c r="R834" s="2" t="inlineStr"/>
    </row>
    <row r="835" ht="15" customHeight="1">
      <c r="A835" t="inlineStr">
        <is>
          <t>A 15512-2025</t>
        </is>
      </c>
      <c r="B835" s="1" t="n">
        <v>45747</v>
      </c>
      <c r="C835" s="1" t="n">
        <v>46004</v>
      </c>
      <c r="D835" t="inlineStr">
        <is>
          <t>SKÅNE LÄN</t>
        </is>
      </c>
      <c r="E835" t="inlineStr">
        <is>
          <t>HÄSSLEHOLM</t>
        </is>
      </c>
      <c r="G835" t="n">
        <v>3.5</v>
      </c>
      <c r="H835" t="n">
        <v>0</v>
      </c>
      <c r="I835" t="n">
        <v>0</v>
      </c>
      <c r="J835" t="n">
        <v>0</v>
      </c>
      <c r="K835" t="n">
        <v>0</v>
      </c>
      <c r="L835" t="n">
        <v>0</v>
      </c>
      <c r="M835" t="n">
        <v>0</v>
      </c>
      <c r="N835" t="n">
        <v>0</v>
      </c>
      <c r="O835" t="n">
        <v>0</v>
      </c>
      <c r="P835" t="n">
        <v>0</v>
      </c>
      <c r="Q835" t="n">
        <v>0</v>
      </c>
      <c r="R835" s="2" t="inlineStr"/>
    </row>
    <row r="836" ht="15" customHeight="1">
      <c r="A836" t="inlineStr">
        <is>
          <t>A 59390-2021</t>
        </is>
      </c>
      <c r="B836" s="1" t="n">
        <v>44490</v>
      </c>
      <c r="C836" s="1" t="n">
        <v>46004</v>
      </c>
      <c r="D836" t="inlineStr">
        <is>
          <t>SKÅNE LÄN</t>
        </is>
      </c>
      <c r="E836" t="inlineStr">
        <is>
          <t>HÄSSLEHOLM</t>
        </is>
      </c>
      <c r="G836" t="n">
        <v>7.1</v>
      </c>
      <c r="H836" t="n">
        <v>0</v>
      </c>
      <c r="I836" t="n">
        <v>0</v>
      </c>
      <c r="J836" t="n">
        <v>0</v>
      </c>
      <c r="K836" t="n">
        <v>0</v>
      </c>
      <c r="L836" t="n">
        <v>0</v>
      </c>
      <c r="M836" t="n">
        <v>0</v>
      </c>
      <c r="N836" t="n">
        <v>0</v>
      </c>
      <c r="O836" t="n">
        <v>0</v>
      </c>
      <c r="P836" t="n">
        <v>0</v>
      </c>
      <c r="Q836" t="n">
        <v>0</v>
      </c>
      <c r="R836" s="2" t="inlineStr"/>
    </row>
    <row r="837" ht="15" customHeight="1">
      <c r="A837" t="inlineStr">
        <is>
          <t>A 39044-2024</t>
        </is>
      </c>
      <c r="B837" s="1" t="n">
        <v>45548.47707175926</v>
      </c>
      <c r="C837" s="1" t="n">
        <v>46004</v>
      </c>
      <c r="D837" t="inlineStr">
        <is>
          <t>SKÅNE LÄN</t>
        </is>
      </c>
      <c r="E837" t="inlineStr">
        <is>
          <t>HÄSSLEHOLM</t>
        </is>
      </c>
      <c r="G837" t="n">
        <v>2.8</v>
      </c>
      <c r="H837" t="n">
        <v>0</v>
      </c>
      <c r="I837" t="n">
        <v>0</v>
      </c>
      <c r="J837" t="n">
        <v>0</v>
      </c>
      <c r="K837" t="n">
        <v>0</v>
      </c>
      <c r="L837" t="n">
        <v>0</v>
      </c>
      <c r="M837" t="n">
        <v>0</v>
      </c>
      <c r="N837" t="n">
        <v>0</v>
      </c>
      <c r="O837" t="n">
        <v>0</v>
      </c>
      <c r="P837" t="n">
        <v>0</v>
      </c>
      <c r="Q837" t="n">
        <v>0</v>
      </c>
      <c r="R837" s="2" t="inlineStr"/>
    </row>
    <row r="838" ht="15" customHeight="1">
      <c r="A838" t="inlineStr">
        <is>
          <t>A 2597-2024</t>
        </is>
      </c>
      <c r="B838" s="1" t="n">
        <v>45313</v>
      </c>
      <c r="C838" s="1" t="n">
        <v>46004</v>
      </c>
      <c r="D838" t="inlineStr">
        <is>
          <t>SKÅNE LÄN</t>
        </is>
      </c>
      <c r="E838" t="inlineStr">
        <is>
          <t>HÄSSLEHOLM</t>
        </is>
      </c>
      <c r="G838" t="n">
        <v>1</v>
      </c>
      <c r="H838" t="n">
        <v>0</v>
      </c>
      <c r="I838" t="n">
        <v>0</v>
      </c>
      <c r="J838" t="n">
        <v>0</v>
      </c>
      <c r="K838" t="n">
        <v>0</v>
      </c>
      <c r="L838" t="n">
        <v>0</v>
      </c>
      <c r="M838" t="n">
        <v>0</v>
      </c>
      <c r="N838" t="n">
        <v>0</v>
      </c>
      <c r="O838" t="n">
        <v>0</v>
      </c>
      <c r="P838" t="n">
        <v>0</v>
      </c>
      <c r="Q838" t="n">
        <v>0</v>
      </c>
      <c r="R838" s="2" t="inlineStr"/>
    </row>
    <row r="839" ht="15" customHeight="1">
      <c r="A839" t="inlineStr">
        <is>
          <t>A 41400-2025</t>
        </is>
      </c>
      <c r="B839" s="1" t="n">
        <v>45901</v>
      </c>
      <c r="C839" s="1" t="n">
        <v>46004</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41401-2025</t>
        </is>
      </c>
      <c r="B840" s="1" t="n">
        <v>45901</v>
      </c>
      <c r="C840" s="1" t="n">
        <v>46004</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3531-2023</t>
        </is>
      </c>
      <c r="B841" s="1" t="n">
        <v>44950</v>
      </c>
      <c r="C841" s="1" t="n">
        <v>46004</v>
      </c>
      <c r="D841" t="inlineStr">
        <is>
          <t>SKÅNE LÄN</t>
        </is>
      </c>
      <c r="E841" t="inlineStr">
        <is>
          <t>HÄSSLEHOLM</t>
        </is>
      </c>
      <c r="G841" t="n">
        <v>10.1</v>
      </c>
      <c r="H841" t="n">
        <v>0</v>
      </c>
      <c r="I841" t="n">
        <v>0</v>
      </c>
      <c r="J841" t="n">
        <v>0</v>
      </c>
      <c r="K841" t="n">
        <v>0</v>
      </c>
      <c r="L841" t="n">
        <v>0</v>
      </c>
      <c r="M841" t="n">
        <v>0</v>
      </c>
      <c r="N841" t="n">
        <v>0</v>
      </c>
      <c r="O841" t="n">
        <v>0</v>
      </c>
      <c r="P841" t="n">
        <v>0</v>
      </c>
      <c r="Q841" t="n">
        <v>0</v>
      </c>
      <c r="R841" s="2" t="inlineStr"/>
    </row>
    <row r="842" ht="15" customHeight="1">
      <c r="A842" t="inlineStr">
        <is>
          <t>A 15417-2022</t>
        </is>
      </c>
      <c r="B842" s="1" t="n">
        <v>44659</v>
      </c>
      <c r="C842" s="1" t="n">
        <v>46004</v>
      </c>
      <c r="D842" t="inlineStr">
        <is>
          <t>SKÅNE LÄN</t>
        </is>
      </c>
      <c r="E842" t="inlineStr">
        <is>
          <t>HÄSSLEHOLM</t>
        </is>
      </c>
      <c r="F842" t="inlineStr">
        <is>
          <t>Kyrkan</t>
        </is>
      </c>
      <c r="G842" t="n">
        <v>2.9</v>
      </c>
      <c r="H842" t="n">
        <v>0</v>
      </c>
      <c r="I842" t="n">
        <v>0</v>
      </c>
      <c r="J842" t="n">
        <v>0</v>
      </c>
      <c r="K842" t="n">
        <v>0</v>
      </c>
      <c r="L842" t="n">
        <v>0</v>
      </c>
      <c r="M842" t="n">
        <v>0</v>
      </c>
      <c r="N842" t="n">
        <v>0</v>
      </c>
      <c r="O842" t="n">
        <v>0</v>
      </c>
      <c r="P842" t="n">
        <v>0</v>
      </c>
      <c r="Q842" t="n">
        <v>0</v>
      </c>
      <c r="R842" s="2" t="inlineStr"/>
    </row>
    <row r="843" ht="15" customHeight="1">
      <c r="A843" t="inlineStr">
        <is>
          <t>A 44262-2021</t>
        </is>
      </c>
      <c r="B843" s="1" t="n">
        <v>44434</v>
      </c>
      <c r="C843" s="1" t="n">
        <v>46004</v>
      </c>
      <c r="D843" t="inlineStr">
        <is>
          <t>SKÅNE LÄN</t>
        </is>
      </c>
      <c r="E843" t="inlineStr">
        <is>
          <t>HÄSSLEHOLM</t>
        </is>
      </c>
      <c r="G843" t="n">
        <v>4.7</v>
      </c>
      <c r="H843" t="n">
        <v>0</v>
      </c>
      <c r="I843" t="n">
        <v>0</v>
      </c>
      <c r="J843" t="n">
        <v>0</v>
      </c>
      <c r="K843" t="n">
        <v>0</v>
      </c>
      <c r="L843" t="n">
        <v>0</v>
      </c>
      <c r="M843" t="n">
        <v>0</v>
      </c>
      <c r="N843" t="n">
        <v>0</v>
      </c>
      <c r="O843" t="n">
        <v>0</v>
      </c>
      <c r="P843" t="n">
        <v>0</v>
      </c>
      <c r="Q843" t="n">
        <v>0</v>
      </c>
      <c r="R843" s="2" t="inlineStr"/>
    </row>
    <row r="844" ht="15" customHeight="1">
      <c r="A844" t="inlineStr">
        <is>
          <t>A 50659-2023</t>
        </is>
      </c>
      <c r="B844" s="1" t="n">
        <v>45217</v>
      </c>
      <c r="C844" s="1" t="n">
        <v>46004</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13808-2021</t>
        </is>
      </c>
      <c r="B845" s="1" t="n">
        <v>44276</v>
      </c>
      <c r="C845" s="1" t="n">
        <v>46004</v>
      </c>
      <c r="D845" t="inlineStr">
        <is>
          <t>SKÅNE LÄN</t>
        </is>
      </c>
      <c r="E845" t="inlineStr">
        <is>
          <t>HÄSSLEHOLM</t>
        </is>
      </c>
      <c r="G845" t="n">
        <v>10.3</v>
      </c>
      <c r="H845" t="n">
        <v>0</v>
      </c>
      <c r="I845" t="n">
        <v>0</v>
      </c>
      <c r="J845" t="n">
        <v>0</v>
      </c>
      <c r="K845" t="n">
        <v>0</v>
      </c>
      <c r="L845" t="n">
        <v>0</v>
      </c>
      <c r="M845" t="n">
        <v>0</v>
      </c>
      <c r="N845" t="n">
        <v>0</v>
      </c>
      <c r="O845" t="n">
        <v>0</v>
      </c>
      <c r="P845" t="n">
        <v>0</v>
      </c>
      <c r="Q845" t="n">
        <v>0</v>
      </c>
      <c r="R845" s="2" t="inlineStr"/>
    </row>
    <row r="846" ht="15" customHeight="1">
      <c r="A846" t="inlineStr">
        <is>
          <t>A 67801-2021</t>
        </is>
      </c>
      <c r="B846" s="1" t="n">
        <v>44525</v>
      </c>
      <c r="C846" s="1" t="n">
        <v>46004</v>
      </c>
      <c r="D846" t="inlineStr">
        <is>
          <t>SKÅNE LÄN</t>
        </is>
      </c>
      <c r="E846" t="inlineStr">
        <is>
          <t>HÄSSLEHOLM</t>
        </is>
      </c>
      <c r="G846" t="n">
        <v>2.2</v>
      </c>
      <c r="H846" t="n">
        <v>0</v>
      </c>
      <c r="I846" t="n">
        <v>0</v>
      </c>
      <c r="J846" t="n">
        <v>0</v>
      </c>
      <c r="K846" t="n">
        <v>0</v>
      </c>
      <c r="L846" t="n">
        <v>0</v>
      </c>
      <c r="M846" t="n">
        <v>0</v>
      </c>
      <c r="N846" t="n">
        <v>0</v>
      </c>
      <c r="O846" t="n">
        <v>0</v>
      </c>
      <c r="P846" t="n">
        <v>0</v>
      </c>
      <c r="Q846" t="n">
        <v>0</v>
      </c>
      <c r="R846" s="2" t="inlineStr"/>
    </row>
    <row r="847" ht="15" customHeight="1">
      <c r="A847" t="inlineStr">
        <is>
          <t>A 2144-2023</t>
        </is>
      </c>
      <c r="B847" s="1" t="n">
        <v>44940.79054398148</v>
      </c>
      <c r="C847" s="1" t="n">
        <v>46004</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3452-2023</t>
        </is>
      </c>
      <c r="B848" s="1" t="n">
        <v>44949</v>
      </c>
      <c r="C848" s="1" t="n">
        <v>46004</v>
      </c>
      <c r="D848" t="inlineStr">
        <is>
          <t>SKÅNE LÄN</t>
        </is>
      </c>
      <c r="E848" t="inlineStr">
        <is>
          <t>HÄSSLEHOLM</t>
        </is>
      </c>
      <c r="G848" t="n">
        <v>1.3</v>
      </c>
      <c r="H848" t="n">
        <v>0</v>
      </c>
      <c r="I848" t="n">
        <v>0</v>
      </c>
      <c r="J848" t="n">
        <v>0</v>
      </c>
      <c r="K848" t="n">
        <v>0</v>
      </c>
      <c r="L848" t="n">
        <v>0</v>
      </c>
      <c r="M848" t="n">
        <v>0</v>
      </c>
      <c r="N848" t="n">
        <v>0</v>
      </c>
      <c r="O848" t="n">
        <v>0</v>
      </c>
      <c r="P848" t="n">
        <v>0</v>
      </c>
      <c r="Q848" t="n">
        <v>0</v>
      </c>
      <c r="R848" s="2" t="inlineStr"/>
    </row>
    <row r="849" ht="15" customHeight="1">
      <c r="A849" t="inlineStr">
        <is>
          <t>A 50525-2024</t>
        </is>
      </c>
      <c r="B849" s="1" t="n">
        <v>45601</v>
      </c>
      <c r="C849" s="1" t="n">
        <v>46004</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260-2024</t>
        </is>
      </c>
      <c r="B850" s="1" t="n">
        <v>45294</v>
      </c>
      <c r="C850" s="1" t="n">
        <v>46004</v>
      </c>
      <c r="D850" t="inlineStr">
        <is>
          <t>SKÅNE LÄN</t>
        </is>
      </c>
      <c r="E850" t="inlineStr">
        <is>
          <t>HÄSSLEHOLM</t>
        </is>
      </c>
      <c r="G850" t="n">
        <v>0.2</v>
      </c>
      <c r="H850" t="n">
        <v>0</v>
      </c>
      <c r="I850" t="n">
        <v>0</v>
      </c>
      <c r="J850" t="n">
        <v>0</v>
      </c>
      <c r="K850" t="n">
        <v>0</v>
      </c>
      <c r="L850" t="n">
        <v>0</v>
      </c>
      <c r="M850" t="n">
        <v>0</v>
      </c>
      <c r="N850" t="n">
        <v>0</v>
      </c>
      <c r="O850" t="n">
        <v>0</v>
      </c>
      <c r="P850" t="n">
        <v>0</v>
      </c>
      <c r="Q850" t="n">
        <v>0</v>
      </c>
      <c r="R850" s="2" t="inlineStr"/>
    </row>
    <row r="851" ht="15" customHeight="1">
      <c r="A851" t="inlineStr">
        <is>
          <t>A 5016-2024</t>
        </is>
      </c>
      <c r="B851" s="1" t="n">
        <v>45329</v>
      </c>
      <c r="C851" s="1" t="n">
        <v>46004</v>
      </c>
      <c r="D851" t="inlineStr">
        <is>
          <t>SKÅNE LÄN</t>
        </is>
      </c>
      <c r="E851" t="inlineStr">
        <is>
          <t>HÄSSLEHOLM</t>
        </is>
      </c>
      <c r="G851" t="n">
        <v>3.2</v>
      </c>
      <c r="H851" t="n">
        <v>0</v>
      </c>
      <c r="I851" t="n">
        <v>0</v>
      </c>
      <c r="J851" t="n">
        <v>0</v>
      </c>
      <c r="K851" t="n">
        <v>0</v>
      </c>
      <c r="L851" t="n">
        <v>0</v>
      </c>
      <c r="M851" t="n">
        <v>0</v>
      </c>
      <c r="N851" t="n">
        <v>0</v>
      </c>
      <c r="O851" t="n">
        <v>0</v>
      </c>
      <c r="P851" t="n">
        <v>0</v>
      </c>
      <c r="Q851" t="n">
        <v>0</v>
      </c>
      <c r="R851" s="2" t="inlineStr"/>
    </row>
    <row r="852" ht="15" customHeight="1">
      <c r="A852" t="inlineStr">
        <is>
          <t>A 11603-2025</t>
        </is>
      </c>
      <c r="B852" s="1" t="n">
        <v>45727</v>
      </c>
      <c r="C852" s="1" t="n">
        <v>46004</v>
      </c>
      <c r="D852" t="inlineStr">
        <is>
          <t>SKÅNE LÄN</t>
        </is>
      </c>
      <c r="E852" t="inlineStr">
        <is>
          <t>HÄSSLEHOLM</t>
        </is>
      </c>
      <c r="G852" t="n">
        <v>5.6</v>
      </c>
      <c r="H852" t="n">
        <v>0</v>
      </c>
      <c r="I852" t="n">
        <v>0</v>
      </c>
      <c r="J852" t="n">
        <v>0</v>
      </c>
      <c r="K852" t="n">
        <v>0</v>
      </c>
      <c r="L852" t="n">
        <v>0</v>
      </c>
      <c r="M852" t="n">
        <v>0</v>
      </c>
      <c r="N852" t="n">
        <v>0</v>
      </c>
      <c r="O852" t="n">
        <v>0</v>
      </c>
      <c r="P852" t="n">
        <v>0</v>
      </c>
      <c r="Q852" t="n">
        <v>0</v>
      </c>
      <c r="R852" s="2" t="inlineStr"/>
    </row>
    <row r="853" ht="15" customHeight="1">
      <c r="A853" t="inlineStr">
        <is>
          <t>A 19020-2024</t>
        </is>
      </c>
      <c r="B853" s="1" t="n">
        <v>45427.66167824074</v>
      </c>
      <c r="C853" s="1" t="n">
        <v>46004</v>
      </c>
      <c r="D853" t="inlineStr">
        <is>
          <t>SKÅNE LÄN</t>
        </is>
      </c>
      <c r="E853" t="inlineStr">
        <is>
          <t>HÄSSLEHOLM</t>
        </is>
      </c>
      <c r="G853" t="n">
        <v>2.3</v>
      </c>
      <c r="H853" t="n">
        <v>0</v>
      </c>
      <c r="I853" t="n">
        <v>0</v>
      </c>
      <c r="J853" t="n">
        <v>0</v>
      </c>
      <c r="K853" t="n">
        <v>0</v>
      </c>
      <c r="L853" t="n">
        <v>0</v>
      </c>
      <c r="M853" t="n">
        <v>0</v>
      </c>
      <c r="N853" t="n">
        <v>0</v>
      </c>
      <c r="O853" t="n">
        <v>0</v>
      </c>
      <c r="P853" t="n">
        <v>0</v>
      </c>
      <c r="Q853" t="n">
        <v>0</v>
      </c>
      <c r="R853" s="2" t="inlineStr"/>
    </row>
    <row r="854" ht="15" customHeight="1">
      <c r="A854" t="inlineStr">
        <is>
          <t>A 37141-2021</t>
        </is>
      </c>
      <c r="B854" s="1" t="n">
        <v>44396</v>
      </c>
      <c r="C854" s="1" t="n">
        <v>46004</v>
      </c>
      <c r="D854" t="inlineStr">
        <is>
          <t>SKÅNE LÄN</t>
        </is>
      </c>
      <c r="E854" t="inlineStr">
        <is>
          <t>HÄSSLEHOLM</t>
        </is>
      </c>
      <c r="G854" t="n">
        <v>12.8</v>
      </c>
      <c r="H854" t="n">
        <v>0</v>
      </c>
      <c r="I854" t="n">
        <v>0</v>
      </c>
      <c r="J854" t="n">
        <v>0</v>
      </c>
      <c r="K854" t="n">
        <v>0</v>
      </c>
      <c r="L854" t="n">
        <v>0</v>
      </c>
      <c r="M854" t="n">
        <v>0</v>
      </c>
      <c r="N854" t="n">
        <v>0</v>
      </c>
      <c r="O854" t="n">
        <v>0</v>
      </c>
      <c r="P854" t="n">
        <v>0</v>
      </c>
      <c r="Q854" t="n">
        <v>0</v>
      </c>
      <c r="R854" s="2" t="inlineStr"/>
    </row>
    <row r="855" ht="15" customHeight="1">
      <c r="A855" t="inlineStr">
        <is>
          <t>A 40734-2024</t>
        </is>
      </c>
      <c r="B855" s="1" t="n">
        <v>45558</v>
      </c>
      <c r="C855" s="1" t="n">
        <v>46004</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40738-2024</t>
        </is>
      </c>
      <c r="B856" s="1" t="n">
        <v>45558</v>
      </c>
      <c r="C856" s="1" t="n">
        <v>46004</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7202-2022</t>
        </is>
      </c>
      <c r="B857" s="1" t="n">
        <v>44606</v>
      </c>
      <c r="C857" s="1" t="n">
        <v>46004</v>
      </c>
      <c r="D857" t="inlineStr">
        <is>
          <t>SKÅNE LÄN</t>
        </is>
      </c>
      <c r="E857" t="inlineStr">
        <is>
          <t>HÄSSLEHOLM</t>
        </is>
      </c>
      <c r="G857" t="n">
        <v>4.7</v>
      </c>
      <c r="H857" t="n">
        <v>0</v>
      </c>
      <c r="I857" t="n">
        <v>0</v>
      </c>
      <c r="J857" t="n">
        <v>0</v>
      </c>
      <c r="K857" t="n">
        <v>0</v>
      </c>
      <c r="L857" t="n">
        <v>0</v>
      </c>
      <c r="M857" t="n">
        <v>0</v>
      </c>
      <c r="N857" t="n">
        <v>0</v>
      </c>
      <c r="O857" t="n">
        <v>0</v>
      </c>
      <c r="P857" t="n">
        <v>0</v>
      </c>
      <c r="Q857" t="n">
        <v>0</v>
      </c>
      <c r="R857" s="2" t="inlineStr"/>
    </row>
    <row r="858" ht="15" customHeight="1">
      <c r="A858" t="inlineStr">
        <is>
          <t>A 49199-2024</t>
        </is>
      </c>
      <c r="B858" s="1" t="n">
        <v>45595</v>
      </c>
      <c r="C858" s="1" t="n">
        <v>46004</v>
      </c>
      <c r="D858" t="inlineStr">
        <is>
          <t>SKÅNE LÄN</t>
        </is>
      </c>
      <c r="E858" t="inlineStr">
        <is>
          <t>HÄSSLEHOLM</t>
        </is>
      </c>
      <c r="G858" t="n">
        <v>5.2</v>
      </c>
      <c r="H858" t="n">
        <v>0</v>
      </c>
      <c r="I858" t="n">
        <v>0</v>
      </c>
      <c r="J858" t="n">
        <v>0</v>
      </c>
      <c r="K858" t="n">
        <v>0</v>
      </c>
      <c r="L858" t="n">
        <v>0</v>
      </c>
      <c r="M858" t="n">
        <v>0</v>
      </c>
      <c r="N858" t="n">
        <v>0</v>
      </c>
      <c r="O858" t="n">
        <v>0</v>
      </c>
      <c r="P858" t="n">
        <v>0</v>
      </c>
      <c r="Q858" t="n">
        <v>0</v>
      </c>
      <c r="R858" s="2" t="inlineStr"/>
    </row>
    <row r="859" ht="15" customHeight="1">
      <c r="A859" t="inlineStr">
        <is>
          <t>A 25206-2023</t>
        </is>
      </c>
      <c r="B859" s="1" t="n">
        <v>45086.59318287037</v>
      </c>
      <c r="C859" s="1" t="n">
        <v>46004</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25221-2023</t>
        </is>
      </c>
      <c r="B860" s="1" t="n">
        <v>45086.60842592592</v>
      </c>
      <c r="C860" s="1" t="n">
        <v>46004</v>
      </c>
      <c r="D860" t="inlineStr">
        <is>
          <t>SKÅNE LÄN</t>
        </is>
      </c>
      <c r="E860" t="inlineStr">
        <is>
          <t>HÄSSLEHOLM</t>
        </is>
      </c>
      <c r="G860" t="n">
        <v>2.5</v>
      </c>
      <c r="H860" t="n">
        <v>0</v>
      </c>
      <c r="I860" t="n">
        <v>0</v>
      </c>
      <c r="J860" t="n">
        <v>0</v>
      </c>
      <c r="K860" t="n">
        <v>0</v>
      </c>
      <c r="L860" t="n">
        <v>0</v>
      </c>
      <c r="M860" t="n">
        <v>0</v>
      </c>
      <c r="N860" t="n">
        <v>0</v>
      </c>
      <c r="O860" t="n">
        <v>0</v>
      </c>
      <c r="P860" t="n">
        <v>0</v>
      </c>
      <c r="Q860" t="n">
        <v>0</v>
      </c>
      <c r="R860" s="2" t="inlineStr"/>
    </row>
    <row r="861" ht="15" customHeight="1">
      <c r="A861" t="inlineStr">
        <is>
          <t>A 57272-2023</t>
        </is>
      </c>
      <c r="B861" s="1" t="n">
        <v>45245</v>
      </c>
      <c r="C861" s="1" t="n">
        <v>46004</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13856-2025</t>
        </is>
      </c>
      <c r="B862" s="1" t="n">
        <v>45737.57289351852</v>
      </c>
      <c r="C862" s="1" t="n">
        <v>46004</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21494-2023</t>
        </is>
      </c>
      <c r="B863" s="1" t="n">
        <v>45063</v>
      </c>
      <c r="C863" s="1" t="n">
        <v>46004</v>
      </c>
      <c r="D863" t="inlineStr">
        <is>
          <t>SKÅNE LÄN</t>
        </is>
      </c>
      <c r="E863" t="inlineStr">
        <is>
          <t>HÄSSLEHOLM</t>
        </is>
      </c>
      <c r="G863" t="n">
        <v>3.7</v>
      </c>
      <c r="H863" t="n">
        <v>0</v>
      </c>
      <c r="I863" t="n">
        <v>0</v>
      </c>
      <c r="J863" t="n">
        <v>0</v>
      </c>
      <c r="K863" t="n">
        <v>0</v>
      </c>
      <c r="L863" t="n">
        <v>0</v>
      </c>
      <c r="M863" t="n">
        <v>0</v>
      </c>
      <c r="N863" t="n">
        <v>0</v>
      </c>
      <c r="O863" t="n">
        <v>0</v>
      </c>
      <c r="P863" t="n">
        <v>0</v>
      </c>
      <c r="Q863" t="n">
        <v>0</v>
      </c>
      <c r="R863" s="2" t="inlineStr"/>
    </row>
    <row r="864" ht="15" customHeight="1">
      <c r="A864" t="inlineStr">
        <is>
          <t>A 21495-2023</t>
        </is>
      </c>
      <c r="B864" s="1" t="n">
        <v>45063</v>
      </c>
      <c r="C864" s="1" t="n">
        <v>46004</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62167-2022</t>
        </is>
      </c>
      <c r="B865" s="1" t="n">
        <v>44915</v>
      </c>
      <c r="C865" s="1" t="n">
        <v>46004</v>
      </c>
      <c r="D865" t="inlineStr">
        <is>
          <t>SKÅNE LÄN</t>
        </is>
      </c>
      <c r="E865" t="inlineStr">
        <is>
          <t>HÄSSLEHOLM</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62234-2022</t>
        </is>
      </c>
      <c r="B866" s="1" t="n">
        <v>44922</v>
      </c>
      <c r="C866" s="1" t="n">
        <v>46004</v>
      </c>
      <c r="D866" t="inlineStr">
        <is>
          <t>SKÅNE LÄN</t>
        </is>
      </c>
      <c r="E866" t="inlineStr">
        <is>
          <t>HÄSSLEHOLM</t>
        </is>
      </c>
      <c r="G866" t="n">
        <v>1.3</v>
      </c>
      <c r="H866" t="n">
        <v>0</v>
      </c>
      <c r="I866" t="n">
        <v>0</v>
      </c>
      <c r="J866" t="n">
        <v>0</v>
      </c>
      <c r="K866" t="n">
        <v>0</v>
      </c>
      <c r="L866" t="n">
        <v>0</v>
      </c>
      <c r="M866" t="n">
        <v>0</v>
      </c>
      <c r="N866" t="n">
        <v>0</v>
      </c>
      <c r="O866" t="n">
        <v>0</v>
      </c>
      <c r="P866" t="n">
        <v>0</v>
      </c>
      <c r="Q866" t="n">
        <v>0</v>
      </c>
      <c r="R866" s="2" t="inlineStr"/>
    </row>
    <row r="867" ht="15" customHeight="1">
      <c r="A867" t="inlineStr">
        <is>
          <t>A 34299-2024</t>
        </is>
      </c>
      <c r="B867" s="1" t="n">
        <v>45524</v>
      </c>
      <c r="C867" s="1" t="n">
        <v>46004</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6638-2021</t>
        </is>
      </c>
      <c r="B868" s="1" t="n">
        <v>44235</v>
      </c>
      <c r="C868" s="1" t="n">
        <v>46004</v>
      </c>
      <c r="D868" t="inlineStr">
        <is>
          <t>SKÅNE LÄN</t>
        </is>
      </c>
      <c r="E868" t="inlineStr">
        <is>
          <t>HÄSSLEHOLM</t>
        </is>
      </c>
      <c r="G868" t="n">
        <v>112.4</v>
      </c>
      <c r="H868" t="n">
        <v>0</v>
      </c>
      <c r="I868" t="n">
        <v>0</v>
      </c>
      <c r="J868" t="n">
        <v>0</v>
      </c>
      <c r="K868" t="n">
        <v>0</v>
      </c>
      <c r="L868" t="n">
        <v>0</v>
      </c>
      <c r="M868" t="n">
        <v>0</v>
      </c>
      <c r="N868" t="n">
        <v>0</v>
      </c>
      <c r="O868" t="n">
        <v>0</v>
      </c>
      <c r="P868" t="n">
        <v>0</v>
      </c>
      <c r="Q868" t="n">
        <v>0</v>
      </c>
      <c r="R868" s="2" t="inlineStr"/>
    </row>
    <row r="869" ht="15" customHeight="1">
      <c r="A869" t="inlineStr">
        <is>
          <t>A 42520-2025</t>
        </is>
      </c>
      <c r="B869" s="1" t="n">
        <v>45905.54846064815</v>
      </c>
      <c r="C869" s="1" t="n">
        <v>46004</v>
      </c>
      <c r="D869" t="inlineStr">
        <is>
          <t>SKÅNE LÄN</t>
        </is>
      </c>
      <c r="E869" t="inlineStr">
        <is>
          <t>HÄSSLEHOLM</t>
        </is>
      </c>
      <c r="G869" t="n">
        <v>2.5</v>
      </c>
      <c r="H869" t="n">
        <v>0</v>
      </c>
      <c r="I869" t="n">
        <v>0</v>
      </c>
      <c r="J869" t="n">
        <v>0</v>
      </c>
      <c r="K869" t="n">
        <v>0</v>
      </c>
      <c r="L869" t="n">
        <v>0</v>
      </c>
      <c r="M869" t="n">
        <v>0</v>
      </c>
      <c r="N869" t="n">
        <v>0</v>
      </c>
      <c r="O869" t="n">
        <v>0</v>
      </c>
      <c r="P869" t="n">
        <v>0</v>
      </c>
      <c r="Q869" t="n">
        <v>0</v>
      </c>
      <c r="R869" s="2" t="inlineStr"/>
    </row>
    <row r="870" ht="15" customHeight="1">
      <c r="A870" t="inlineStr">
        <is>
          <t>A 48889-2024</t>
        </is>
      </c>
      <c r="B870" s="1" t="n">
        <v>45594.33754629629</v>
      </c>
      <c r="C870" s="1" t="n">
        <v>46004</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9697-2023</t>
        </is>
      </c>
      <c r="B871" s="1" t="n">
        <v>44984</v>
      </c>
      <c r="C871" s="1" t="n">
        <v>46004</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8263-2025</t>
        </is>
      </c>
      <c r="B872" s="1" t="n">
        <v>45708.50398148148</v>
      </c>
      <c r="C872" s="1" t="n">
        <v>46004</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29275-2023</t>
        </is>
      </c>
      <c r="B873" s="1" t="n">
        <v>45105</v>
      </c>
      <c r="C873" s="1" t="n">
        <v>46004</v>
      </c>
      <c r="D873" t="inlineStr">
        <is>
          <t>SKÅNE LÄN</t>
        </is>
      </c>
      <c r="E873" t="inlineStr">
        <is>
          <t>HÄSSLEHOLM</t>
        </is>
      </c>
      <c r="G873" t="n">
        <v>2.1</v>
      </c>
      <c r="H873" t="n">
        <v>0</v>
      </c>
      <c r="I873" t="n">
        <v>0</v>
      </c>
      <c r="J873" t="n">
        <v>0</v>
      </c>
      <c r="K873" t="n">
        <v>0</v>
      </c>
      <c r="L873" t="n">
        <v>0</v>
      </c>
      <c r="M873" t="n">
        <v>0</v>
      </c>
      <c r="N873" t="n">
        <v>0</v>
      </c>
      <c r="O873" t="n">
        <v>0</v>
      </c>
      <c r="P873" t="n">
        <v>0</v>
      </c>
      <c r="Q873" t="n">
        <v>0</v>
      </c>
      <c r="R873" s="2" t="inlineStr"/>
    </row>
    <row r="874" ht="15" customHeight="1">
      <c r="A874" t="inlineStr">
        <is>
          <t>A 42232-2022</t>
        </is>
      </c>
      <c r="B874" s="1" t="n">
        <v>44830.77591435185</v>
      </c>
      <c r="C874" s="1" t="n">
        <v>46004</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13018-2024</t>
        </is>
      </c>
      <c r="B875" s="1" t="n">
        <v>45385.58274305556</v>
      </c>
      <c r="C875" s="1" t="n">
        <v>46004</v>
      </c>
      <c r="D875" t="inlineStr">
        <is>
          <t>SKÅNE LÄN</t>
        </is>
      </c>
      <c r="E875" t="inlineStr">
        <is>
          <t>HÄSSLEHOLM</t>
        </is>
      </c>
      <c r="G875" t="n">
        <v>4.8</v>
      </c>
      <c r="H875" t="n">
        <v>0</v>
      </c>
      <c r="I875" t="n">
        <v>0</v>
      </c>
      <c r="J875" t="n">
        <v>0</v>
      </c>
      <c r="K875" t="n">
        <v>0</v>
      </c>
      <c r="L875" t="n">
        <v>0</v>
      </c>
      <c r="M875" t="n">
        <v>0</v>
      </c>
      <c r="N875" t="n">
        <v>0</v>
      </c>
      <c r="O875" t="n">
        <v>0</v>
      </c>
      <c r="P875" t="n">
        <v>0</v>
      </c>
      <c r="Q875" t="n">
        <v>0</v>
      </c>
      <c r="R875" s="2" t="inlineStr"/>
    </row>
    <row r="876" ht="15" customHeight="1">
      <c r="A876" t="inlineStr">
        <is>
          <t>A 2712-2024</t>
        </is>
      </c>
      <c r="B876" s="1" t="n">
        <v>45314</v>
      </c>
      <c r="C876" s="1" t="n">
        <v>46004</v>
      </c>
      <c r="D876" t="inlineStr">
        <is>
          <t>SKÅNE LÄN</t>
        </is>
      </c>
      <c r="E876" t="inlineStr">
        <is>
          <t>HÄSSLEHOLM</t>
        </is>
      </c>
      <c r="G876" t="n">
        <v>11.3</v>
      </c>
      <c r="H876" t="n">
        <v>0</v>
      </c>
      <c r="I876" t="n">
        <v>0</v>
      </c>
      <c r="J876" t="n">
        <v>0</v>
      </c>
      <c r="K876" t="n">
        <v>0</v>
      </c>
      <c r="L876" t="n">
        <v>0</v>
      </c>
      <c r="M876" t="n">
        <v>0</v>
      </c>
      <c r="N876" t="n">
        <v>0</v>
      </c>
      <c r="O876" t="n">
        <v>0</v>
      </c>
      <c r="P876" t="n">
        <v>0</v>
      </c>
      <c r="Q876" t="n">
        <v>0</v>
      </c>
      <c r="R876" s="2" t="inlineStr"/>
    </row>
    <row r="877" ht="15" customHeight="1">
      <c r="A877" t="inlineStr">
        <is>
          <t>A 22595-2024</t>
        </is>
      </c>
      <c r="B877" s="1" t="n">
        <v>45447.61053240741</v>
      </c>
      <c r="C877" s="1" t="n">
        <v>46004</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37038-2022</t>
        </is>
      </c>
      <c r="B878" s="1" t="n">
        <v>44806.44232638889</v>
      </c>
      <c r="C878" s="1" t="n">
        <v>46004</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5894-2023</t>
        </is>
      </c>
      <c r="B879" s="1" t="n">
        <v>44963.65148148148</v>
      </c>
      <c r="C879" s="1" t="n">
        <v>46004</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60704-2023</t>
        </is>
      </c>
      <c r="B880" s="1" t="n">
        <v>45260.51340277777</v>
      </c>
      <c r="C880" s="1" t="n">
        <v>46004</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9502-2023</t>
        </is>
      </c>
      <c r="B881" s="1" t="n">
        <v>44981.63278935185</v>
      </c>
      <c r="C881" s="1" t="n">
        <v>46004</v>
      </c>
      <c r="D881" t="inlineStr">
        <is>
          <t>SKÅNE LÄN</t>
        </is>
      </c>
      <c r="E881" t="inlineStr">
        <is>
          <t>HÄSSLEHOLM</t>
        </is>
      </c>
      <c r="G881" t="n">
        <v>0.4</v>
      </c>
      <c r="H881" t="n">
        <v>0</v>
      </c>
      <c r="I881" t="n">
        <v>0</v>
      </c>
      <c r="J881" t="n">
        <v>0</v>
      </c>
      <c r="K881" t="n">
        <v>0</v>
      </c>
      <c r="L881" t="n">
        <v>0</v>
      </c>
      <c r="M881" t="n">
        <v>0</v>
      </c>
      <c r="N881" t="n">
        <v>0</v>
      </c>
      <c r="O881" t="n">
        <v>0</v>
      </c>
      <c r="P881" t="n">
        <v>0</v>
      </c>
      <c r="Q881" t="n">
        <v>0</v>
      </c>
      <c r="R881" s="2" t="inlineStr"/>
    </row>
    <row r="882" ht="15" customHeight="1">
      <c r="A882" t="inlineStr">
        <is>
          <t>A 48046-2023</t>
        </is>
      </c>
      <c r="B882" s="1" t="n">
        <v>45204.85201388889</v>
      </c>
      <c r="C882" s="1" t="n">
        <v>46004</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57749-2023</t>
        </is>
      </c>
      <c r="B883" s="1" t="n">
        <v>45246</v>
      </c>
      <c r="C883" s="1" t="n">
        <v>46004</v>
      </c>
      <c r="D883" t="inlineStr">
        <is>
          <t>SKÅNE LÄN</t>
        </is>
      </c>
      <c r="E883" t="inlineStr">
        <is>
          <t>HÄSSLEHOLM</t>
        </is>
      </c>
      <c r="G883" t="n">
        <v>2.7</v>
      </c>
      <c r="H883" t="n">
        <v>0</v>
      </c>
      <c r="I883" t="n">
        <v>0</v>
      </c>
      <c r="J883" t="n">
        <v>0</v>
      </c>
      <c r="K883" t="n">
        <v>0</v>
      </c>
      <c r="L883" t="n">
        <v>0</v>
      </c>
      <c r="M883" t="n">
        <v>0</v>
      </c>
      <c r="N883" t="n">
        <v>0</v>
      </c>
      <c r="O883" t="n">
        <v>0</v>
      </c>
      <c r="P883" t="n">
        <v>0</v>
      </c>
      <c r="Q883" t="n">
        <v>0</v>
      </c>
      <c r="R883" s="2" t="inlineStr"/>
    </row>
    <row r="884" ht="15" customHeight="1">
      <c r="A884" t="inlineStr">
        <is>
          <t>A 1538-2024</t>
        </is>
      </c>
      <c r="B884" s="1" t="n">
        <v>45306</v>
      </c>
      <c r="C884" s="1" t="n">
        <v>46004</v>
      </c>
      <c r="D884" t="inlineStr">
        <is>
          <t>SKÅNE LÄN</t>
        </is>
      </c>
      <c r="E884" t="inlineStr">
        <is>
          <t>HÄSSLEHOLM</t>
        </is>
      </c>
      <c r="G884" t="n">
        <v>4.8</v>
      </c>
      <c r="H884" t="n">
        <v>0</v>
      </c>
      <c r="I884" t="n">
        <v>0</v>
      </c>
      <c r="J884" t="n">
        <v>0</v>
      </c>
      <c r="K884" t="n">
        <v>0</v>
      </c>
      <c r="L884" t="n">
        <v>0</v>
      </c>
      <c r="M884" t="n">
        <v>0</v>
      </c>
      <c r="N884" t="n">
        <v>0</v>
      </c>
      <c r="O884" t="n">
        <v>0</v>
      </c>
      <c r="P884" t="n">
        <v>0</v>
      </c>
      <c r="Q884" t="n">
        <v>0</v>
      </c>
      <c r="R884" s="2" t="inlineStr"/>
    </row>
    <row r="885" ht="15" customHeight="1">
      <c r="A885" t="inlineStr">
        <is>
          <t>A 3135-2023</t>
        </is>
      </c>
      <c r="B885" s="1" t="n">
        <v>44946.51672453704</v>
      </c>
      <c r="C885" s="1" t="n">
        <v>46004</v>
      </c>
      <c r="D885" t="inlineStr">
        <is>
          <t>SKÅNE LÄN</t>
        </is>
      </c>
      <c r="E885" t="inlineStr">
        <is>
          <t>HÄSSLEHOLM</t>
        </is>
      </c>
      <c r="G885" t="n">
        <v>7.2</v>
      </c>
      <c r="H885" t="n">
        <v>0</v>
      </c>
      <c r="I885" t="n">
        <v>0</v>
      </c>
      <c r="J885" t="n">
        <v>0</v>
      </c>
      <c r="K885" t="n">
        <v>0</v>
      </c>
      <c r="L885" t="n">
        <v>0</v>
      </c>
      <c r="M885" t="n">
        <v>0</v>
      </c>
      <c r="N885" t="n">
        <v>0</v>
      </c>
      <c r="O885" t="n">
        <v>0</v>
      </c>
      <c r="P885" t="n">
        <v>0</v>
      </c>
      <c r="Q885" t="n">
        <v>0</v>
      </c>
      <c r="R885" s="2" t="inlineStr"/>
    </row>
    <row r="886" ht="15" customHeight="1">
      <c r="A886" t="inlineStr">
        <is>
          <t>A 56986-2024</t>
        </is>
      </c>
      <c r="B886" s="1" t="n">
        <v>45626</v>
      </c>
      <c r="C886" s="1" t="n">
        <v>46004</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46222-2022</t>
        </is>
      </c>
      <c r="B887" s="1" t="n">
        <v>44847.58725694445</v>
      </c>
      <c r="C887" s="1" t="n">
        <v>46004</v>
      </c>
      <c r="D887" t="inlineStr">
        <is>
          <t>SKÅNE LÄN</t>
        </is>
      </c>
      <c r="E887" t="inlineStr">
        <is>
          <t>HÄSSLEHOLM</t>
        </is>
      </c>
      <c r="G887" t="n">
        <v>6.3</v>
      </c>
      <c r="H887" t="n">
        <v>0</v>
      </c>
      <c r="I887" t="n">
        <v>0</v>
      </c>
      <c r="J887" t="n">
        <v>0</v>
      </c>
      <c r="K887" t="n">
        <v>0</v>
      </c>
      <c r="L887" t="n">
        <v>0</v>
      </c>
      <c r="M887" t="n">
        <v>0</v>
      </c>
      <c r="N887" t="n">
        <v>0</v>
      </c>
      <c r="O887" t="n">
        <v>0</v>
      </c>
      <c r="P887" t="n">
        <v>0</v>
      </c>
      <c r="Q887" t="n">
        <v>0</v>
      </c>
      <c r="R887" s="2" t="inlineStr"/>
    </row>
    <row r="888" ht="15" customHeight="1">
      <c r="A888" t="inlineStr">
        <is>
          <t>A 2567-2024</t>
        </is>
      </c>
      <c r="B888" s="1" t="n">
        <v>45313.62460648148</v>
      </c>
      <c r="C888" s="1" t="n">
        <v>46004</v>
      </c>
      <c r="D888" t="inlineStr">
        <is>
          <t>SKÅNE LÄN</t>
        </is>
      </c>
      <c r="E888" t="inlineStr">
        <is>
          <t>HÄSSLEHOLM</t>
        </is>
      </c>
      <c r="G888" t="n">
        <v>1.1</v>
      </c>
      <c r="H888" t="n">
        <v>0</v>
      </c>
      <c r="I888" t="n">
        <v>0</v>
      </c>
      <c r="J888" t="n">
        <v>0</v>
      </c>
      <c r="K888" t="n">
        <v>0</v>
      </c>
      <c r="L888" t="n">
        <v>0</v>
      </c>
      <c r="M888" t="n">
        <v>0</v>
      </c>
      <c r="N888" t="n">
        <v>0</v>
      </c>
      <c r="O888" t="n">
        <v>0</v>
      </c>
      <c r="P888" t="n">
        <v>0</v>
      </c>
      <c r="Q888" t="n">
        <v>0</v>
      </c>
      <c r="R888" s="2" t="inlineStr"/>
    </row>
    <row r="889" ht="15" customHeight="1">
      <c r="A889" t="inlineStr">
        <is>
          <t>A 34342-2021</t>
        </is>
      </c>
      <c r="B889" s="1" t="n">
        <v>44379</v>
      </c>
      <c r="C889" s="1" t="n">
        <v>46004</v>
      </c>
      <c r="D889" t="inlineStr">
        <is>
          <t>SKÅNE LÄN</t>
        </is>
      </c>
      <c r="E889" t="inlineStr">
        <is>
          <t>HÄSSLEHOLM</t>
        </is>
      </c>
      <c r="G889" t="n">
        <v>7</v>
      </c>
      <c r="H889" t="n">
        <v>0</v>
      </c>
      <c r="I889" t="n">
        <v>0</v>
      </c>
      <c r="J889" t="n">
        <v>0</v>
      </c>
      <c r="K889" t="n">
        <v>0</v>
      </c>
      <c r="L889" t="n">
        <v>0</v>
      </c>
      <c r="M889" t="n">
        <v>0</v>
      </c>
      <c r="N889" t="n">
        <v>0</v>
      </c>
      <c r="O889" t="n">
        <v>0</v>
      </c>
      <c r="P889" t="n">
        <v>0</v>
      </c>
      <c r="Q889" t="n">
        <v>0</v>
      </c>
      <c r="R889" s="2" t="inlineStr"/>
    </row>
    <row r="890" ht="15" customHeight="1">
      <c r="A890" t="inlineStr">
        <is>
          <t>A 3507-2024</t>
        </is>
      </c>
      <c r="B890" s="1" t="n">
        <v>45320.4906712963</v>
      </c>
      <c r="C890" s="1" t="n">
        <v>46004</v>
      </c>
      <c r="D890" t="inlineStr">
        <is>
          <t>SKÅNE LÄN</t>
        </is>
      </c>
      <c r="E890" t="inlineStr">
        <is>
          <t>HÄSSLEHOLM</t>
        </is>
      </c>
      <c r="G890" t="n">
        <v>6.4</v>
      </c>
      <c r="H890" t="n">
        <v>0</v>
      </c>
      <c r="I890" t="n">
        <v>0</v>
      </c>
      <c r="J890" t="n">
        <v>0</v>
      </c>
      <c r="K890" t="n">
        <v>0</v>
      </c>
      <c r="L890" t="n">
        <v>0</v>
      </c>
      <c r="M890" t="n">
        <v>0</v>
      </c>
      <c r="N890" t="n">
        <v>0</v>
      </c>
      <c r="O890" t="n">
        <v>0</v>
      </c>
      <c r="P890" t="n">
        <v>0</v>
      </c>
      <c r="Q890" t="n">
        <v>0</v>
      </c>
      <c r="R890" s="2" t="inlineStr"/>
    </row>
    <row r="891" ht="15" customHeight="1">
      <c r="A891" t="inlineStr">
        <is>
          <t>A 49111-2023</t>
        </is>
      </c>
      <c r="B891" s="1" t="n">
        <v>45210.44464120371</v>
      </c>
      <c r="C891" s="1" t="n">
        <v>46004</v>
      </c>
      <c r="D891" t="inlineStr">
        <is>
          <t>SKÅNE LÄN</t>
        </is>
      </c>
      <c r="E891" t="inlineStr">
        <is>
          <t>HÄSSLEHOLM</t>
        </is>
      </c>
      <c r="G891" t="n">
        <v>0.2</v>
      </c>
      <c r="H891" t="n">
        <v>0</v>
      </c>
      <c r="I891" t="n">
        <v>0</v>
      </c>
      <c r="J891" t="n">
        <v>0</v>
      </c>
      <c r="K891" t="n">
        <v>0</v>
      </c>
      <c r="L891" t="n">
        <v>0</v>
      </c>
      <c r="M891" t="n">
        <v>0</v>
      </c>
      <c r="N891" t="n">
        <v>0</v>
      </c>
      <c r="O891" t="n">
        <v>0</v>
      </c>
      <c r="P891" t="n">
        <v>0</v>
      </c>
      <c r="Q891" t="n">
        <v>0</v>
      </c>
      <c r="R891" s="2" t="inlineStr"/>
    </row>
    <row r="892" ht="15" customHeight="1">
      <c r="A892" t="inlineStr">
        <is>
          <t>A 61178-2022</t>
        </is>
      </c>
      <c r="B892" s="1" t="n">
        <v>44915</v>
      </c>
      <c r="C892" s="1" t="n">
        <v>46004</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61185-2022</t>
        </is>
      </c>
      <c r="B893" s="1" t="n">
        <v>44915</v>
      </c>
      <c r="C893" s="1" t="n">
        <v>46004</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28632-2024</t>
        </is>
      </c>
      <c r="B894" s="1" t="n">
        <v>45478</v>
      </c>
      <c r="C894" s="1" t="n">
        <v>46004</v>
      </c>
      <c r="D894" t="inlineStr">
        <is>
          <t>SKÅNE LÄN</t>
        </is>
      </c>
      <c r="E894" t="inlineStr">
        <is>
          <t>HÄSSLEHOLM</t>
        </is>
      </c>
      <c r="G894" t="n">
        <v>4</v>
      </c>
      <c r="H894" t="n">
        <v>0</v>
      </c>
      <c r="I894" t="n">
        <v>0</v>
      </c>
      <c r="J894" t="n">
        <v>0</v>
      </c>
      <c r="K894" t="n">
        <v>0</v>
      </c>
      <c r="L894" t="n">
        <v>0</v>
      </c>
      <c r="M894" t="n">
        <v>0</v>
      </c>
      <c r="N894" t="n">
        <v>0</v>
      </c>
      <c r="O894" t="n">
        <v>0</v>
      </c>
      <c r="P894" t="n">
        <v>0</v>
      </c>
      <c r="Q894" t="n">
        <v>0</v>
      </c>
      <c r="R894" s="2" t="inlineStr"/>
    </row>
    <row r="895" ht="15" customHeight="1">
      <c r="A895" t="inlineStr">
        <is>
          <t>A 58915-2023</t>
        </is>
      </c>
      <c r="B895" s="1" t="n">
        <v>45250</v>
      </c>
      <c r="C895" s="1" t="n">
        <v>46004</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15508-2023</t>
        </is>
      </c>
      <c r="B896" s="1" t="n">
        <v>45020.50045138889</v>
      </c>
      <c r="C896" s="1" t="n">
        <v>46004</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43516-2025</t>
        </is>
      </c>
      <c r="B897" s="1" t="n">
        <v>45911</v>
      </c>
      <c r="C897" s="1" t="n">
        <v>46004</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43332-2025</t>
        </is>
      </c>
      <c r="B898" s="1" t="n">
        <v>45910.70217592592</v>
      </c>
      <c r="C898" s="1" t="n">
        <v>46004</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11708-2025</t>
        </is>
      </c>
      <c r="B899" s="1" t="n">
        <v>45727.58626157408</v>
      </c>
      <c r="C899" s="1" t="n">
        <v>46004</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43333-2025</t>
        </is>
      </c>
      <c r="B900" s="1" t="n">
        <v>45910</v>
      </c>
      <c r="C900" s="1" t="n">
        <v>46004</v>
      </c>
      <c r="D900" t="inlineStr">
        <is>
          <t>SKÅNE LÄN</t>
        </is>
      </c>
      <c r="E900" t="inlineStr">
        <is>
          <t>HÄSSLEHOLM</t>
        </is>
      </c>
      <c r="G900" t="n">
        <v>10.1</v>
      </c>
      <c r="H900" t="n">
        <v>0</v>
      </c>
      <c r="I900" t="n">
        <v>0</v>
      </c>
      <c r="J900" t="n">
        <v>0</v>
      </c>
      <c r="K900" t="n">
        <v>0</v>
      </c>
      <c r="L900" t="n">
        <v>0</v>
      </c>
      <c r="M900" t="n">
        <v>0</v>
      </c>
      <c r="N900" t="n">
        <v>0</v>
      </c>
      <c r="O900" t="n">
        <v>0</v>
      </c>
      <c r="P900" t="n">
        <v>0</v>
      </c>
      <c r="Q900" t="n">
        <v>0</v>
      </c>
      <c r="R900" s="2" t="inlineStr"/>
    </row>
    <row r="901" ht="15" customHeight="1">
      <c r="A901" t="inlineStr">
        <is>
          <t>A 21028-2021</t>
        </is>
      </c>
      <c r="B901" s="1" t="n">
        <v>44319</v>
      </c>
      <c r="C901" s="1" t="n">
        <v>46004</v>
      </c>
      <c r="D901" t="inlineStr">
        <is>
          <t>SKÅNE LÄN</t>
        </is>
      </c>
      <c r="E901" t="inlineStr">
        <is>
          <t>HÄSSLEHOLM</t>
        </is>
      </c>
      <c r="G901" t="n">
        <v>3.1</v>
      </c>
      <c r="H901" t="n">
        <v>0</v>
      </c>
      <c r="I901" t="n">
        <v>0</v>
      </c>
      <c r="J901" t="n">
        <v>0</v>
      </c>
      <c r="K901" t="n">
        <v>0</v>
      </c>
      <c r="L901" t="n">
        <v>0</v>
      </c>
      <c r="M901" t="n">
        <v>0</v>
      </c>
      <c r="N901" t="n">
        <v>0</v>
      </c>
      <c r="O901" t="n">
        <v>0</v>
      </c>
      <c r="P901" t="n">
        <v>0</v>
      </c>
      <c r="Q901" t="n">
        <v>0</v>
      </c>
      <c r="R901" s="2" t="inlineStr"/>
    </row>
    <row r="902" ht="15" customHeight="1">
      <c r="A902" t="inlineStr">
        <is>
          <t>A 69357-2021</t>
        </is>
      </c>
      <c r="B902" s="1" t="n">
        <v>44531</v>
      </c>
      <c r="C902" s="1" t="n">
        <v>46004</v>
      </c>
      <c r="D902" t="inlineStr">
        <is>
          <t>SKÅNE LÄN</t>
        </is>
      </c>
      <c r="E902" t="inlineStr">
        <is>
          <t>HÄSSLEHOLM</t>
        </is>
      </c>
      <c r="G902" t="n">
        <v>1.6</v>
      </c>
      <c r="H902" t="n">
        <v>0</v>
      </c>
      <c r="I902" t="n">
        <v>0</v>
      </c>
      <c r="J902" t="n">
        <v>0</v>
      </c>
      <c r="K902" t="n">
        <v>0</v>
      </c>
      <c r="L902" t="n">
        <v>0</v>
      </c>
      <c r="M902" t="n">
        <v>0</v>
      </c>
      <c r="N902" t="n">
        <v>0</v>
      </c>
      <c r="O902" t="n">
        <v>0</v>
      </c>
      <c r="P902" t="n">
        <v>0</v>
      </c>
      <c r="Q902" t="n">
        <v>0</v>
      </c>
      <c r="R902" s="2" t="inlineStr"/>
    </row>
    <row r="903" ht="15" customHeight="1">
      <c r="A903" t="inlineStr">
        <is>
          <t>A 61934-2023</t>
        </is>
      </c>
      <c r="B903" s="1" t="n">
        <v>45266.54125</v>
      </c>
      <c r="C903" s="1" t="n">
        <v>46004</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43869-2025</t>
        </is>
      </c>
      <c r="B904" s="1" t="n">
        <v>45912.66452546296</v>
      </c>
      <c r="C904" s="1" t="n">
        <v>46004</v>
      </c>
      <c r="D904" t="inlineStr">
        <is>
          <t>SKÅNE LÄN</t>
        </is>
      </c>
      <c r="E904" t="inlineStr">
        <is>
          <t>HÄSSLEHOLM</t>
        </is>
      </c>
      <c r="G904" t="n">
        <v>0.7</v>
      </c>
      <c r="H904" t="n">
        <v>0</v>
      </c>
      <c r="I904" t="n">
        <v>0</v>
      </c>
      <c r="J904" t="n">
        <v>0</v>
      </c>
      <c r="K904" t="n">
        <v>0</v>
      </c>
      <c r="L904" t="n">
        <v>0</v>
      </c>
      <c r="M904" t="n">
        <v>0</v>
      </c>
      <c r="N904" t="n">
        <v>0</v>
      </c>
      <c r="O904" t="n">
        <v>0</v>
      </c>
      <c r="P904" t="n">
        <v>0</v>
      </c>
      <c r="Q904" t="n">
        <v>0</v>
      </c>
      <c r="R904" s="2" t="inlineStr"/>
    </row>
    <row r="905" ht="15" customHeight="1">
      <c r="A905" t="inlineStr">
        <is>
          <t>A 43741-2025</t>
        </is>
      </c>
      <c r="B905" s="1" t="n">
        <v>45912.45541666666</v>
      </c>
      <c r="C905" s="1" t="n">
        <v>46004</v>
      </c>
      <c r="D905" t="inlineStr">
        <is>
          <t>SKÅNE LÄN</t>
        </is>
      </c>
      <c r="E905" t="inlineStr">
        <is>
          <t>HÄSSLEHOLM</t>
        </is>
      </c>
      <c r="G905" t="n">
        <v>4.3</v>
      </c>
      <c r="H905" t="n">
        <v>0</v>
      </c>
      <c r="I905" t="n">
        <v>0</v>
      </c>
      <c r="J905" t="n">
        <v>0</v>
      </c>
      <c r="K905" t="n">
        <v>0</v>
      </c>
      <c r="L905" t="n">
        <v>0</v>
      </c>
      <c r="M905" t="n">
        <v>0</v>
      </c>
      <c r="N905" t="n">
        <v>0</v>
      </c>
      <c r="O905" t="n">
        <v>0</v>
      </c>
      <c r="P905" t="n">
        <v>0</v>
      </c>
      <c r="Q905" t="n">
        <v>0</v>
      </c>
      <c r="R905" s="2" t="inlineStr"/>
    </row>
    <row r="906" ht="15" customHeight="1">
      <c r="A906" t="inlineStr">
        <is>
          <t>A 11715-2023</t>
        </is>
      </c>
      <c r="B906" s="1" t="n">
        <v>44992</v>
      </c>
      <c r="C906" s="1" t="n">
        <v>46004</v>
      </c>
      <c r="D906" t="inlineStr">
        <is>
          <t>SKÅNE LÄN</t>
        </is>
      </c>
      <c r="E906" t="inlineStr">
        <is>
          <t>HÄSSLEHOLM</t>
        </is>
      </c>
      <c r="F906" t="inlineStr">
        <is>
          <t>Övriga Aktiebolag</t>
        </is>
      </c>
      <c r="G906" t="n">
        <v>2</v>
      </c>
      <c r="H906" t="n">
        <v>0</v>
      </c>
      <c r="I906" t="n">
        <v>0</v>
      </c>
      <c r="J906" t="n">
        <v>0</v>
      </c>
      <c r="K906" t="n">
        <v>0</v>
      </c>
      <c r="L906" t="n">
        <v>0</v>
      </c>
      <c r="M906" t="n">
        <v>0</v>
      </c>
      <c r="N906" t="n">
        <v>0</v>
      </c>
      <c r="O906" t="n">
        <v>0</v>
      </c>
      <c r="P906" t="n">
        <v>0</v>
      </c>
      <c r="Q906" t="n">
        <v>0</v>
      </c>
      <c r="R906" s="2" t="inlineStr"/>
    </row>
    <row r="907" ht="15" customHeight="1">
      <c r="A907" t="inlineStr">
        <is>
          <t>A 38888-2023</t>
        </is>
      </c>
      <c r="B907" s="1" t="n">
        <v>45161</v>
      </c>
      <c r="C907" s="1" t="n">
        <v>46004</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59030-2024</t>
        </is>
      </c>
      <c r="B908" s="1" t="n">
        <v>45636.68916666666</v>
      </c>
      <c r="C908" s="1" t="n">
        <v>46004</v>
      </c>
      <c r="D908" t="inlineStr">
        <is>
          <t>SKÅNE LÄN</t>
        </is>
      </c>
      <c r="E908" t="inlineStr">
        <is>
          <t>HÄSSLEHOLM</t>
        </is>
      </c>
      <c r="G908" t="n">
        <v>1.5</v>
      </c>
      <c r="H908" t="n">
        <v>0</v>
      </c>
      <c r="I908" t="n">
        <v>0</v>
      </c>
      <c r="J908" t="n">
        <v>0</v>
      </c>
      <c r="K908" t="n">
        <v>0</v>
      </c>
      <c r="L908" t="n">
        <v>0</v>
      </c>
      <c r="M908" t="n">
        <v>0</v>
      </c>
      <c r="N908" t="n">
        <v>0</v>
      </c>
      <c r="O908" t="n">
        <v>0</v>
      </c>
      <c r="P908" t="n">
        <v>0</v>
      </c>
      <c r="Q908" t="n">
        <v>0</v>
      </c>
      <c r="R908" s="2" t="inlineStr"/>
    </row>
    <row r="909" ht="15" customHeight="1">
      <c r="A909" t="inlineStr">
        <is>
          <t>A 48663-2024</t>
        </is>
      </c>
      <c r="B909" s="1" t="n">
        <v>45593.48892361111</v>
      </c>
      <c r="C909" s="1" t="n">
        <v>46004</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43738-2025</t>
        </is>
      </c>
      <c r="B910" s="1" t="n">
        <v>45912.45037037037</v>
      </c>
      <c r="C910" s="1" t="n">
        <v>46004</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7153-2025</t>
        </is>
      </c>
      <c r="B911" s="1" t="n">
        <v>45702.38512731482</v>
      </c>
      <c r="C911" s="1" t="n">
        <v>46004</v>
      </c>
      <c r="D911" t="inlineStr">
        <is>
          <t>SKÅNE LÄN</t>
        </is>
      </c>
      <c r="E911" t="inlineStr">
        <is>
          <t>HÄSSLEHOLM</t>
        </is>
      </c>
      <c r="G911" t="n">
        <v>2.7</v>
      </c>
      <c r="H911" t="n">
        <v>0</v>
      </c>
      <c r="I911" t="n">
        <v>0</v>
      </c>
      <c r="J911" t="n">
        <v>0</v>
      </c>
      <c r="K911" t="n">
        <v>0</v>
      </c>
      <c r="L911" t="n">
        <v>0</v>
      </c>
      <c r="M911" t="n">
        <v>0</v>
      </c>
      <c r="N911" t="n">
        <v>0</v>
      </c>
      <c r="O911" t="n">
        <v>0</v>
      </c>
      <c r="P911" t="n">
        <v>0</v>
      </c>
      <c r="Q911" t="n">
        <v>0</v>
      </c>
      <c r="R911" s="2" t="inlineStr"/>
    </row>
    <row r="912" ht="15" customHeight="1">
      <c r="A912" t="inlineStr">
        <is>
          <t>A 44624-2025</t>
        </is>
      </c>
      <c r="B912" s="1" t="n">
        <v>45917.47152777778</v>
      </c>
      <c r="C912" s="1" t="n">
        <v>46004</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10594-2025</t>
        </is>
      </c>
      <c r="B913" s="1" t="n">
        <v>45721</v>
      </c>
      <c r="C913" s="1" t="n">
        <v>46004</v>
      </c>
      <c r="D913" t="inlineStr">
        <is>
          <t>SKÅNE LÄN</t>
        </is>
      </c>
      <c r="E913" t="inlineStr">
        <is>
          <t>HÄSSLEHOLM</t>
        </is>
      </c>
      <c r="G913" t="n">
        <v>5.3</v>
      </c>
      <c r="H913" t="n">
        <v>0</v>
      </c>
      <c r="I913" t="n">
        <v>0</v>
      </c>
      <c r="J913" t="n">
        <v>0</v>
      </c>
      <c r="K913" t="n">
        <v>0</v>
      </c>
      <c r="L913" t="n">
        <v>0</v>
      </c>
      <c r="M913" t="n">
        <v>0</v>
      </c>
      <c r="N913" t="n">
        <v>0</v>
      </c>
      <c r="O913" t="n">
        <v>0</v>
      </c>
      <c r="P913" t="n">
        <v>0</v>
      </c>
      <c r="Q913" t="n">
        <v>0</v>
      </c>
      <c r="R913" s="2" t="inlineStr"/>
    </row>
    <row r="914" ht="15" customHeight="1">
      <c r="A914" t="inlineStr">
        <is>
          <t>A 44611-2025</t>
        </is>
      </c>
      <c r="B914" s="1" t="n">
        <v>45917.45109953704</v>
      </c>
      <c r="C914" s="1" t="n">
        <v>46004</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44330-2025</t>
        </is>
      </c>
      <c r="B915" s="1" t="n">
        <v>45916.42120370371</v>
      </c>
      <c r="C915" s="1" t="n">
        <v>46004</v>
      </c>
      <c r="D915" t="inlineStr">
        <is>
          <t>SKÅNE LÄN</t>
        </is>
      </c>
      <c r="E915" t="inlineStr">
        <is>
          <t>HÄSSLEHOLM</t>
        </is>
      </c>
      <c r="G915" t="n">
        <v>2.7</v>
      </c>
      <c r="H915" t="n">
        <v>0</v>
      </c>
      <c r="I915" t="n">
        <v>0</v>
      </c>
      <c r="J915" t="n">
        <v>0</v>
      </c>
      <c r="K915" t="n">
        <v>0</v>
      </c>
      <c r="L915" t="n">
        <v>0</v>
      </c>
      <c r="M915" t="n">
        <v>0</v>
      </c>
      <c r="N915" t="n">
        <v>0</v>
      </c>
      <c r="O915" t="n">
        <v>0</v>
      </c>
      <c r="P915" t="n">
        <v>0</v>
      </c>
      <c r="Q915" t="n">
        <v>0</v>
      </c>
      <c r="R915" s="2" t="inlineStr"/>
    </row>
    <row r="916" ht="15" customHeight="1">
      <c r="A916" t="inlineStr">
        <is>
          <t>A 48771-2024</t>
        </is>
      </c>
      <c r="B916" s="1" t="n">
        <v>45593.61284722222</v>
      </c>
      <c r="C916" s="1" t="n">
        <v>46004</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44523-2025</t>
        </is>
      </c>
      <c r="B917" s="1" t="n">
        <v>45916</v>
      </c>
      <c r="C917" s="1" t="n">
        <v>46004</v>
      </c>
      <c r="D917" t="inlineStr">
        <is>
          <t>SKÅNE LÄN</t>
        </is>
      </c>
      <c r="E917" t="inlineStr">
        <is>
          <t>HÄSSLEHOLM</t>
        </is>
      </c>
      <c r="G917" t="n">
        <v>1.6</v>
      </c>
      <c r="H917" t="n">
        <v>0</v>
      </c>
      <c r="I917" t="n">
        <v>0</v>
      </c>
      <c r="J917" t="n">
        <v>0</v>
      </c>
      <c r="K917" t="n">
        <v>0</v>
      </c>
      <c r="L917" t="n">
        <v>0</v>
      </c>
      <c r="M917" t="n">
        <v>0</v>
      </c>
      <c r="N917" t="n">
        <v>0</v>
      </c>
      <c r="O917" t="n">
        <v>0</v>
      </c>
      <c r="P917" t="n">
        <v>0</v>
      </c>
      <c r="Q917" t="n">
        <v>0</v>
      </c>
      <c r="R917" s="2" t="inlineStr"/>
    </row>
    <row r="918" ht="15" customHeight="1">
      <c r="A918" t="inlineStr">
        <is>
          <t>A 12344-2023</t>
        </is>
      </c>
      <c r="B918" s="1" t="n">
        <v>44999</v>
      </c>
      <c r="C918" s="1" t="n">
        <v>46004</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44515-2025</t>
        </is>
      </c>
      <c r="B919" s="1" t="n">
        <v>45916.7062037037</v>
      </c>
      <c r="C919" s="1" t="n">
        <v>46004</v>
      </c>
      <c r="D919" t="inlineStr">
        <is>
          <t>SKÅNE LÄN</t>
        </is>
      </c>
      <c r="E919" t="inlineStr">
        <is>
          <t>HÄSSLEHOLM</t>
        </is>
      </c>
      <c r="G919" t="n">
        <v>1.5</v>
      </c>
      <c r="H919" t="n">
        <v>0</v>
      </c>
      <c r="I919" t="n">
        <v>0</v>
      </c>
      <c r="J919" t="n">
        <v>0</v>
      </c>
      <c r="K919" t="n">
        <v>0</v>
      </c>
      <c r="L919" t="n">
        <v>0</v>
      </c>
      <c r="M919" t="n">
        <v>0</v>
      </c>
      <c r="N919" t="n">
        <v>0</v>
      </c>
      <c r="O919" t="n">
        <v>0</v>
      </c>
      <c r="P919" t="n">
        <v>0</v>
      </c>
      <c r="Q919" t="n">
        <v>0</v>
      </c>
      <c r="R919" s="2" t="inlineStr"/>
    </row>
    <row r="920" ht="15" customHeight="1">
      <c r="A920" t="inlineStr">
        <is>
          <t>A 61197-2024</t>
        </is>
      </c>
      <c r="B920" s="1" t="n">
        <v>45645.63184027778</v>
      </c>
      <c r="C920" s="1" t="n">
        <v>46004</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6165-2023</t>
        </is>
      </c>
      <c r="B921" s="1" t="n">
        <v>44964.67114583333</v>
      </c>
      <c r="C921" s="1" t="n">
        <v>46004</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33938-2023</t>
        </is>
      </c>
      <c r="B922" s="1" t="n">
        <v>45124</v>
      </c>
      <c r="C922" s="1" t="n">
        <v>46004</v>
      </c>
      <c r="D922" t="inlineStr">
        <is>
          <t>SKÅNE LÄN</t>
        </is>
      </c>
      <c r="E922" t="inlineStr">
        <is>
          <t>HÄSSLEHOLM</t>
        </is>
      </c>
      <c r="G922" t="n">
        <v>1.8</v>
      </c>
      <c r="H922" t="n">
        <v>0</v>
      </c>
      <c r="I922" t="n">
        <v>0</v>
      </c>
      <c r="J922" t="n">
        <v>0</v>
      </c>
      <c r="K922" t="n">
        <v>0</v>
      </c>
      <c r="L922" t="n">
        <v>0</v>
      </c>
      <c r="M922" t="n">
        <v>0</v>
      </c>
      <c r="N922" t="n">
        <v>0</v>
      </c>
      <c r="O922" t="n">
        <v>0</v>
      </c>
      <c r="P922" t="n">
        <v>0</v>
      </c>
      <c r="Q922" t="n">
        <v>0</v>
      </c>
      <c r="R922" s="2" t="inlineStr"/>
    </row>
    <row r="923" ht="15" customHeight="1">
      <c r="A923" t="inlineStr">
        <is>
          <t>A 61533-2022</t>
        </is>
      </c>
      <c r="B923" s="1" t="n">
        <v>44910</v>
      </c>
      <c r="C923" s="1" t="n">
        <v>46004</v>
      </c>
      <c r="D923" t="inlineStr">
        <is>
          <t>SKÅNE LÄN</t>
        </is>
      </c>
      <c r="E923" t="inlineStr">
        <is>
          <t>HÄSSLEHOLM</t>
        </is>
      </c>
      <c r="F923" t="inlineStr">
        <is>
          <t>Kyrkan</t>
        </is>
      </c>
      <c r="G923" t="n">
        <v>1</v>
      </c>
      <c r="H923" t="n">
        <v>0</v>
      </c>
      <c r="I923" t="n">
        <v>0</v>
      </c>
      <c r="J923" t="n">
        <v>0</v>
      </c>
      <c r="K923" t="n">
        <v>0</v>
      </c>
      <c r="L923" t="n">
        <v>0</v>
      </c>
      <c r="M923" t="n">
        <v>0</v>
      </c>
      <c r="N923" t="n">
        <v>0</v>
      </c>
      <c r="O923" t="n">
        <v>0</v>
      </c>
      <c r="P923" t="n">
        <v>0</v>
      </c>
      <c r="Q923" t="n">
        <v>0</v>
      </c>
      <c r="R923" s="2" t="inlineStr"/>
    </row>
    <row r="924" ht="15" customHeight="1">
      <c r="A924" t="inlineStr">
        <is>
          <t>A 44616-2025</t>
        </is>
      </c>
      <c r="B924" s="1" t="n">
        <v>45917.45572916666</v>
      </c>
      <c r="C924" s="1" t="n">
        <v>46004</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677-2024</t>
        </is>
      </c>
      <c r="B925" s="1" t="n">
        <v>45300</v>
      </c>
      <c r="C925" s="1" t="n">
        <v>46004</v>
      </c>
      <c r="D925" t="inlineStr">
        <is>
          <t>SKÅNE LÄN</t>
        </is>
      </c>
      <c r="E925" t="inlineStr">
        <is>
          <t>HÄSSLEHOLM</t>
        </is>
      </c>
      <c r="G925" t="n">
        <v>6.8</v>
      </c>
      <c r="H925" t="n">
        <v>0</v>
      </c>
      <c r="I925" t="n">
        <v>0</v>
      </c>
      <c r="J925" t="n">
        <v>0</v>
      </c>
      <c r="K925" t="n">
        <v>0</v>
      </c>
      <c r="L925" t="n">
        <v>0</v>
      </c>
      <c r="M925" t="n">
        <v>0</v>
      </c>
      <c r="N925" t="n">
        <v>0</v>
      </c>
      <c r="O925" t="n">
        <v>0</v>
      </c>
      <c r="P925" t="n">
        <v>0</v>
      </c>
      <c r="Q925" t="n">
        <v>0</v>
      </c>
      <c r="R925" s="2" t="inlineStr"/>
    </row>
    <row r="926" ht="15" customHeight="1">
      <c r="A926" t="inlineStr">
        <is>
          <t>A 44614-2025</t>
        </is>
      </c>
      <c r="B926" s="1" t="n">
        <v>45917.45422453704</v>
      </c>
      <c r="C926" s="1" t="n">
        <v>46004</v>
      </c>
      <c r="D926" t="inlineStr">
        <is>
          <t>SKÅNE LÄN</t>
        </is>
      </c>
      <c r="E926" t="inlineStr">
        <is>
          <t>HÄSSLEHOLM</t>
        </is>
      </c>
      <c r="G926" t="n">
        <v>5.4</v>
      </c>
      <c r="H926" t="n">
        <v>0</v>
      </c>
      <c r="I926" t="n">
        <v>0</v>
      </c>
      <c r="J926" t="n">
        <v>0</v>
      </c>
      <c r="K926" t="n">
        <v>0</v>
      </c>
      <c r="L926" t="n">
        <v>0</v>
      </c>
      <c r="M926" t="n">
        <v>0</v>
      </c>
      <c r="N926" t="n">
        <v>0</v>
      </c>
      <c r="O926" t="n">
        <v>0</v>
      </c>
      <c r="P926" t="n">
        <v>0</v>
      </c>
      <c r="Q926" t="n">
        <v>0</v>
      </c>
      <c r="R926" s="2" t="inlineStr"/>
    </row>
    <row r="927" ht="15" customHeight="1">
      <c r="A927" t="inlineStr">
        <is>
          <t>A 45176-2025</t>
        </is>
      </c>
      <c r="B927" s="1" t="n">
        <v>45919.52307870371</v>
      </c>
      <c r="C927" s="1" t="n">
        <v>46004</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45221-2025</t>
        </is>
      </c>
      <c r="B928" s="1" t="n">
        <v>45919.57760416667</v>
      </c>
      <c r="C928" s="1" t="n">
        <v>46004</v>
      </c>
      <c r="D928" t="inlineStr">
        <is>
          <t>SKÅNE LÄN</t>
        </is>
      </c>
      <c r="E928" t="inlineStr">
        <is>
          <t>HÄSSLEHOLM</t>
        </is>
      </c>
      <c r="G928" t="n">
        <v>1.7</v>
      </c>
      <c r="H928" t="n">
        <v>0</v>
      </c>
      <c r="I928" t="n">
        <v>0</v>
      </c>
      <c r="J928" t="n">
        <v>0</v>
      </c>
      <c r="K928" t="n">
        <v>0</v>
      </c>
      <c r="L928" t="n">
        <v>0</v>
      </c>
      <c r="M928" t="n">
        <v>0</v>
      </c>
      <c r="N928" t="n">
        <v>0</v>
      </c>
      <c r="O928" t="n">
        <v>0</v>
      </c>
      <c r="P928" t="n">
        <v>0</v>
      </c>
      <c r="Q928" t="n">
        <v>0</v>
      </c>
      <c r="R928" s="2" t="inlineStr"/>
    </row>
    <row r="929" ht="15" customHeight="1">
      <c r="A929" t="inlineStr">
        <is>
          <t>A 20872-2025</t>
        </is>
      </c>
      <c r="B929" s="1" t="n">
        <v>45777.34688657407</v>
      </c>
      <c r="C929" s="1" t="n">
        <v>46004</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45273-2025</t>
        </is>
      </c>
      <c r="B930" s="1" t="n">
        <v>45919.70486111111</v>
      </c>
      <c r="C930" s="1" t="n">
        <v>46004</v>
      </c>
      <c r="D930" t="inlineStr">
        <is>
          <t>SKÅNE LÄN</t>
        </is>
      </c>
      <c r="E930" t="inlineStr">
        <is>
          <t>HÄSSLEHOLM</t>
        </is>
      </c>
      <c r="G930" t="n">
        <v>4.4</v>
      </c>
      <c r="H930" t="n">
        <v>0</v>
      </c>
      <c r="I930" t="n">
        <v>0</v>
      </c>
      <c r="J930" t="n">
        <v>0</v>
      </c>
      <c r="K930" t="n">
        <v>0</v>
      </c>
      <c r="L930" t="n">
        <v>0</v>
      </c>
      <c r="M930" t="n">
        <v>0</v>
      </c>
      <c r="N930" t="n">
        <v>0</v>
      </c>
      <c r="O930" t="n">
        <v>0</v>
      </c>
      <c r="P930" t="n">
        <v>0</v>
      </c>
      <c r="Q930" t="n">
        <v>0</v>
      </c>
      <c r="R930" s="2" t="inlineStr"/>
    </row>
    <row r="931" ht="15" customHeight="1">
      <c r="A931" t="inlineStr">
        <is>
          <t>A 45084-2025</t>
        </is>
      </c>
      <c r="B931" s="1" t="n">
        <v>45918</v>
      </c>
      <c r="C931" s="1" t="n">
        <v>46004</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29994-2023</t>
        </is>
      </c>
      <c r="B932" s="1" t="n">
        <v>45109.60038194444</v>
      </c>
      <c r="C932" s="1" t="n">
        <v>46004</v>
      </c>
      <c r="D932" t="inlineStr">
        <is>
          <t>SKÅNE LÄN</t>
        </is>
      </c>
      <c r="E932" t="inlineStr">
        <is>
          <t>HÄSSLEHOLM</t>
        </is>
      </c>
      <c r="G932" t="n">
        <v>2.8</v>
      </c>
      <c r="H932" t="n">
        <v>0</v>
      </c>
      <c r="I932" t="n">
        <v>0</v>
      </c>
      <c r="J932" t="n">
        <v>0</v>
      </c>
      <c r="K932" t="n">
        <v>0</v>
      </c>
      <c r="L932" t="n">
        <v>0</v>
      </c>
      <c r="M932" t="n">
        <v>0</v>
      </c>
      <c r="N932" t="n">
        <v>0</v>
      </c>
      <c r="O932" t="n">
        <v>0</v>
      </c>
      <c r="P932" t="n">
        <v>0</v>
      </c>
      <c r="Q932" t="n">
        <v>0</v>
      </c>
      <c r="R932" s="2" t="inlineStr"/>
    </row>
    <row r="933" ht="15" customHeight="1">
      <c r="A933" t="inlineStr">
        <is>
          <t>A 45496-2025</t>
        </is>
      </c>
      <c r="B933" s="1" t="n">
        <v>45922</v>
      </c>
      <c r="C933" s="1" t="n">
        <v>46004</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45495-2025</t>
        </is>
      </c>
      <c r="B934" s="1" t="n">
        <v>45922.56369212963</v>
      </c>
      <c r="C934" s="1" t="n">
        <v>46004</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21206-2025</t>
        </is>
      </c>
      <c r="B935" s="1" t="n">
        <v>45779.48318287037</v>
      </c>
      <c r="C935" s="1" t="n">
        <v>46004</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45314-2025</t>
        </is>
      </c>
      <c r="B936" s="1" t="n">
        <v>45921.81738425926</v>
      </c>
      <c r="C936" s="1" t="n">
        <v>46004</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45763-2025</t>
        </is>
      </c>
      <c r="B937" s="1" t="n">
        <v>45923.51778935185</v>
      </c>
      <c r="C937" s="1" t="n">
        <v>46004</v>
      </c>
      <c r="D937" t="inlineStr">
        <is>
          <t>SKÅNE LÄN</t>
        </is>
      </c>
      <c r="E937" t="inlineStr">
        <is>
          <t>HÄSSLEHOLM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45764-2025</t>
        </is>
      </c>
      <c r="B938" s="1" t="n">
        <v>45923.52037037037</v>
      </c>
      <c r="C938" s="1" t="n">
        <v>46004</v>
      </c>
      <c r="D938" t="inlineStr">
        <is>
          <t>SKÅNE LÄN</t>
        </is>
      </c>
      <c r="E938" t="inlineStr">
        <is>
          <t>HÄSSLEHOLM</t>
        </is>
      </c>
      <c r="G938" t="n">
        <v>6.3</v>
      </c>
      <c r="H938" t="n">
        <v>0</v>
      </c>
      <c r="I938" t="n">
        <v>0</v>
      </c>
      <c r="J938" t="n">
        <v>0</v>
      </c>
      <c r="K938" t="n">
        <v>0</v>
      </c>
      <c r="L938" t="n">
        <v>0</v>
      </c>
      <c r="M938" t="n">
        <v>0</v>
      </c>
      <c r="N938" t="n">
        <v>0</v>
      </c>
      <c r="O938" t="n">
        <v>0</v>
      </c>
      <c r="P938" t="n">
        <v>0</v>
      </c>
      <c r="Q938" t="n">
        <v>0</v>
      </c>
      <c r="R938" s="2" t="inlineStr"/>
    </row>
    <row r="939" ht="15" customHeight="1">
      <c r="A939" t="inlineStr">
        <is>
          <t>A 45443-2025</t>
        </is>
      </c>
      <c r="B939" s="1" t="n">
        <v>45920</v>
      </c>
      <c r="C939" s="1" t="n">
        <v>46004</v>
      </c>
      <c r="D939" t="inlineStr">
        <is>
          <t>SKÅNE LÄN</t>
        </is>
      </c>
      <c r="E939" t="inlineStr">
        <is>
          <t>HÄSSLEHOLM</t>
        </is>
      </c>
      <c r="G939" t="n">
        <v>1.6</v>
      </c>
      <c r="H939" t="n">
        <v>0</v>
      </c>
      <c r="I939" t="n">
        <v>0</v>
      </c>
      <c r="J939" t="n">
        <v>0</v>
      </c>
      <c r="K939" t="n">
        <v>0</v>
      </c>
      <c r="L939" t="n">
        <v>0</v>
      </c>
      <c r="M939" t="n">
        <v>0</v>
      </c>
      <c r="N939" t="n">
        <v>0</v>
      </c>
      <c r="O939" t="n">
        <v>0</v>
      </c>
      <c r="P939" t="n">
        <v>0</v>
      </c>
      <c r="Q939" t="n">
        <v>0</v>
      </c>
      <c r="R939" s="2" t="inlineStr"/>
    </row>
    <row r="940" ht="15" customHeight="1">
      <c r="A940" t="inlineStr">
        <is>
          <t>A 45458-2025</t>
        </is>
      </c>
      <c r="B940" s="1" t="n">
        <v>45920</v>
      </c>
      <c r="C940" s="1" t="n">
        <v>46004</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45465-2025</t>
        </is>
      </c>
      <c r="B941" s="1" t="n">
        <v>45920</v>
      </c>
      <c r="C941" s="1" t="n">
        <v>46004</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21091-2025</t>
        </is>
      </c>
      <c r="B942" s="1" t="n">
        <v>45777</v>
      </c>
      <c r="C942" s="1" t="n">
        <v>46004</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317-2025</t>
        </is>
      </c>
      <c r="B943" s="1" t="n">
        <v>45660</v>
      </c>
      <c r="C943" s="1" t="n">
        <v>46004</v>
      </c>
      <c r="D943" t="inlineStr">
        <is>
          <t>SKÅNE LÄN</t>
        </is>
      </c>
      <c r="E943" t="inlineStr">
        <is>
          <t>HÄSSLEHOLM</t>
        </is>
      </c>
      <c r="G943" t="n">
        <v>1.6</v>
      </c>
      <c r="H943" t="n">
        <v>0</v>
      </c>
      <c r="I943" t="n">
        <v>0</v>
      </c>
      <c r="J943" t="n">
        <v>0</v>
      </c>
      <c r="K943" t="n">
        <v>0</v>
      </c>
      <c r="L943" t="n">
        <v>0</v>
      </c>
      <c r="M943" t="n">
        <v>0</v>
      </c>
      <c r="N943" t="n">
        <v>0</v>
      </c>
      <c r="O943" t="n">
        <v>0</v>
      </c>
      <c r="P943" t="n">
        <v>0</v>
      </c>
      <c r="Q943" t="n">
        <v>0</v>
      </c>
      <c r="R943" s="2" t="inlineStr"/>
    </row>
    <row r="944" ht="15" customHeight="1">
      <c r="A944" t="inlineStr">
        <is>
          <t>A 21638-2025</t>
        </is>
      </c>
      <c r="B944" s="1" t="n">
        <v>45783.43087962963</v>
      </c>
      <c r="C944" s="1" t="n">
        <v>46004</v>
      </c>
      <c r="D944" t="inlineStr">
        <is>
          <t>SKÅNE LÄN</t>
        </is>
      </c>
      <c r="E944" t="inlineStr">
        <is>
          <t>HÄSSLEHOLM</t>
        </is>
      </c>
      <c r="G944" t="n">
        <v>0.8</v>
      </c>
      <c r="H944" t="n">
        <v>0</v>
      </c>
      <c r="I944" t="n">
        <v>0</v>
      </c>
      <c r="J944" t="n">
        <v>0</v>
      </c>
      <c r="K944" t="n">
        <v>0</v>
      </c>
      <c r="L944" t="n">
        <v>0</v>
      </c>
      <c r="M944" t="n">
        <v>0</v>
      </c>
      <c r="N944" t="n">
        <v>0</v>
      </c>
      <c r="O944" t="n">
        <v>0</v>
      </c>
      <c r="P944" t="n">
        <v>0</v>
      </c>
      <c r="Q944" t="n">
        <v>0</v>
      </c>
      <c r="R944" s="2" t="inlineStr"/>
    </row>
    <row r="945" ht="15" customHeight="1">
      <c r="A945" t="inlineStr">
        <is>
          <t>A 45414-2025</t>
        </is>
      </c>
      <c r="B945" s="1" t="n">
        <v>45920</v>
      </c>
      <c r="C945" s="1" t="n">
        <v>46004</v>
      </c>
      <c r="D945" t="inlineStr">
        <is>
          <t>SKÅNE LÄN</t>
        </is>
      </c>
      <c r="E945" t="inlineStr">
        <is>
          <t>HÄSSLEHOLM</t>
        </is>
      </c>
      <c r="G945" t="n">
        <v>14.7</v>
      </c>
      <c r="H945" t="n">
        <v>0</v>
      </c>
      <c r="I945" t="n">
        <v>0</v>
      </c>
      <c r="J945" t="n">
        <v>0</v>
      </c>
      <c r="K945" t="n">
        <v>0</v>
      </c>
      <c r="L945" t="n">
        <v>0</v>
      </c>
      <c r="M945" t="n">
        <v>0</v>
      </c>
      <c r="N945" t="n">
        <v>0</v>
      </c>
      <c r="O945" t="n">
        <v>0</v>
      </c>
      <c r="P945" t="n">
        <v>0</v>
      </c>
      <c r="Q945" t="n">
        <v>0</v>
      </c>
      <c r="R945" s="2" t="inlineStr"/>
    </row>
    <row r="946" ht="15" customHeight="1">
      <c r="A946" t="inlineStr">
        <is>
          <t>A 45683-2025</t>
        </is>
      </c>
      <c r="B946" s="1" t="n">
        <v>45923.37590277778</v>
      </c>
      <c r="C946" s="1" t="n">
        <v>46004</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45516-2025</t>
        </is>
      </c>
      <c r="B947" s="1" t="n">
        <v>45922</v>
      </c>
      <c r="C947" s="1" t="n">
        <v>46004</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39111-2023</t>
        </is>
      </c>
      <c r="B948" s="1" t="n">
        <v>45164.87140046297</v>
      </c>
      <c r="C948" s="1" t="n">
        <v>46004</v>
      </c>
      <c r="D948" t="inlineStr">
        <is>
          <t>SKÅNE LÄN</t>
        </is>
      </c>
      <c r="E948" t="inlineStr">
        <is>
          <t>HÄSSLEHOLM</t>
        </is>
      </c>
      <c r="G948" t="n">
        <v>0.9</v>
      </c>
      <c r="H948" t="n">
        <v>0</v>
      </c>
      <c r="I948" t="n">
        <v>0</v>
      </c>
      <c r="J948" t="n">
        <v>0</v>
      </c>
      <c r="K948" t="n">
        <v>0</v>
      </c>
      <c r="L948" t="n">
        <v>0</v>
      </c>
      <c r="M948" t="n">
        <v>0</v>
      </c>
      <c r="N948" t="n">
        <v>0</v>
      </c>
      <c r="O948" t="n">
        <v>0</v>
      </c>
      <c r="P948" t="n">
        <v>0</v>
      </c>
      <c r="Q948" t="n">
        <v>0</v>
      </c>
      <c r="R948" s="2" t="inlineStr"/>
    </row>
    <row r="949" ht="15" customHeight="1">
      <c r="A949" t="inlineStr">
        <is>
          <t>A 60851-2024</t>
        </is>
      </c>
      <c r="B949" s="1" t="n">
        <v>45644.66182870371</v>
      </c>
      <c r="C949" s="1" t="n">
        <v>46004</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21625-2025</t>
        </is>
      </c>
      <c r="B950" s="1" t="n">
        <v>45783.41252314814</v>
      </c>
      <c r="C950" s="1" t="n">
        <v>46004</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45514-2025</t>
        </is>
      </c>
      <c r="B951" s="1" t="n">
        <v>45922</v>
      </c>
      <c r="C951" s="1" t="n">
        <v>46004</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7818-2024</t>
        </is>
      </c>
      <c r="B952" s="1" t="n">
        <v>45349.68872685185</v>
      </c>
      <c r="C952" s="1" t="n">
        <v>46004</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11121-2023</t>
        </is>
      </c>
      <c r="B953" s="1" t="n">
        <v>44986</v>
      </c>
      <c r="C953" s="1" t="n">
        <v>46004</v>
      </c>
      <c r="D953" t="inlineStr">
        <is>
          <t>SKÅNE LÄN</t>
        </is>
      </c>
      <c r="E953" t="inlineStr">
        <is>
          <t>HÄSSLEHOLM</t>
        </is>
      </c>
      <c r="F953" t="inlineStr">
        <is>
          <t>Kommuner</t>
        </is>
      </c>
      <c r="G953" t="n">
        <v>5.8</v>
      </c>
      <c r="H953" t="n">
        <v>0</v>
      </c>
      <c r="I953" t="n">
        <v>0</v>
      </c>
      <c r="J953" t="n">
        <v>0</v>
      </c>
      <c r="K953" t="n">
        <v>0</v>
      </c>
      <c r="L953" t="n">
        <v>0</v>
      </c>
      <c r="M953" t="n">
        <v>0</v>
      </c>
      <c r="N953" t="n">
        <v>0</v>
      </c>
      <c r="O953" t="n">
        <v>0</v>
      </c>
      <c r="P953" t="n">
        <v>0</v>
      </c>
      <c r="Q953" t="n">
        <v>0</v>
      </c>
      <c r="R953" s="2" t="inlineStr"/>
    </row>
    <row r="954" ht="15" customHeight="1">
      <c r="A954" t="inlineStr">
        <is>
          <t>A 11116-2023</t>
        </is>
      </c>
      <c r="B954" s="1" t="n">
        <v>44986</v>
      </c>
      <c r="C954" s="1" t="n">
        <v>46004</v>
      </c>
      <c r="D954" t="inlineStr">
        <is>
          <t>SKÅNE LÄN</t>
        </is>
      </c>
      <c r="E954" t="inlineStr">
        <is>
          <t>HÄSSLEHOLM</t>
        </is>
      </c>
      <c r="F954" t="inlineStr">
        <is>
          <t>Kommuner</t>
        </is>
      </c>
      <c r="G954" t="n">
        <v>15.1</v>
      </c>
      <c r="H954" t="n">
        <v>0</v>
      </c>
      <c r="I954" t="n">
        <v>0</v>
      </c>
      <c r="J954" t="n">
        <v>0</v>
      </c>
      <c r="K954" t="n">
        <v>0</v>
      </c>
      <c r="L954" t="n">
        <v>0</v>
      </c>
      <c r="M954" t="n">
        <v>0</v>
      </c>
      <c r="N954" t="n">
        <v>0</v>
      </c>
      <c r="O954" t="n">
        <v>0</v>
      </c>
      <c r="P954" t="n">
        <v>0</v>
      </c>
      <c r="Q954" t="n">
        <v>0</v>
      </c>
      <c r="R954" s="2" t="inlineStr"/>
    </row>
    <row r="955" ht="15" customHeight="1">
      <c r="A955" t="inlineStr">
        <is>
          <t>A 45762-2025</t>
        </is>
      </c>
      <c r="B955" s="1" t="n">
        <v>45923.51548611111</v>
      </c>
      <c r="C955" s="1" t="n">
        <v>46004</v>
      </c>
      <c r="D955" t="inlineStr">
        <is>
          <t>SKÅNE LÄN</t>
        </is>
      </c>
      <c r="E955" t="inlineStr">
        <is>
          <t>HÄSSLEHOLM</t>
        </is>
      </c>
      <c r="G955" t="n">
        <v>2.3</v>
      </c>
      <c r="H955" t="n">
        <v>0</v>
      </c>
      <c r="I955" t="n">
        <v>0</v>
      </c>
      <c r="J955" t="n">
        <v>0</v>
      </c>
      <c r="K955" t="n">
        <v>0</v>
      </c>
      <c r="L955" t="n">
        <v>0</v>
      </c>
      <c r="M955" t="n">
        <v>0</v>
      </c>
      <c r="N955" t="n">
        <v>0</v>
      </c>
      <c r="O955" t="n">
        <v>0</v>
      </c>
      <c r="P955" t="n">
        <v>0</v>
      </c>
      <c r="Q955" t="n">
        <v>0</v>
      </c>
      <c r="R955" s="2" t="inlineStr"/>
    </row>
    <row r="956" ht="15" customHeight="1">
      <c r="A956" t="inlineStr">
        <is>
          <t>A 13149-2024</t>
        </is>
      </c>
      <c r="B956" s="1" t="n">
        <v>45386</v>
      </c>
      <c r="C956" s="1" t="n">
        <v>46004</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29845-2024</t>
        </is>
      </c>
      <c r="B957" s="1" t="n">
        <v>45485.6212037037</v>
      </c>
      <c r="C957" s="1" t="n">
        <v>46004</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1703-2025</t>
        </is>
      </c>
      <c r="B958" s="1" t="n">
        <v>45670.80732638889</v>
      </c>
      <c r="C958" s="1" t="n">
        <v>46004</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53466-2024</t>
        </is>
      </c>
      <c r="B959" s="1" t="n">
        <v>45614.55304398148</v>
      </c>
      <c r="C959" s="1" t="n">
        <v>46004</v>
      </c>
      <c r="D959" t="inlineStr">
        <is>
          <t>SKÅNE LÄN</t>
        </is>
      </c>
      <c r="E959" t="inlineStr">
        <is>
          <t>HÄSSLEHOLM</t>
        </is>
      </c>
      <c r="G959" t="n">
        <v>1.3</v>
      </c>
      <c r="H959" t="n">
        <v>0</v>
      </c>
      <c r="I959" t="n">
        <v>0</v>
      </c>
      <c r="J959" t="n">
        <v>0</v>
      </c>
      <c r="K959" t="n">
        <v>0</v>
      </c>
      <c r="L959" t="n">
        <v>0</v>
      </c>
      <c r="M959" t="n">
        <v>0</v>
      </c>
      <c r="N959" t="n">
        <v>0</v>
      </c>
      <c r="O959" t="n">
        <v>0</v>
      </c>
      <c r="P959" t="n">
        <v>0</v>
      </c>
      <c r="Q959" t="n">
        <v>0</v>
      </c>
      <c r="R959" s="2" t="inlineStr"/>
    </row>
    <row r="960" ht="15" customHeight="1">
      <c r="A960" t="inlineStr">
        <is>
          <t>A 54763-2025</t>
        </is>
      </c>
      <c r="B960" s="1" t="n">
        <v>45966.60167824074</v>
      </c>
      <c r="C960" s="1" t="n">
        <v>46004</v>
      </c>
      <c r="D960" t="inlineStr">
        <is>
          <t>SKÅNE LÄN</t>
        </is>
      </c>
      <c r="E960" t="inlineStr">
        <is>
          <t>HÄSSLEHOLM</t>
        </is>
      </c>
      <c r="G960" t="n">
        <v>1.3</v>
      </c>
      <c r="H960" t="n">
        <v>0</v>
      </c>
      <c r="I960" t="n">
        <v>0</v>
      </c>
      <c r="J960" t="n">
        <v>0</v>
      </c>
      <c r="K960" t="n">
        <v>0</v>
      </c>
      <c r="L960" t="n">
        <v>0</v>
      </c>
      <c r="M960" t="n">
        <v>0</v>
      </c>
      <c r="N960" t="n">
        <v>0</v>
      </c>
      <c r="O960" t="n">
        <v>0</v>
      </c>
      <c r="P960" t="n">
        <v>0</v>
      </c>
      <c r="Q960" t="n">
        <v>0</v>
      </c>
      <c r="R960" s="2" t="inlineStr"/>
    </row>
    <row r="961" ht="15" customHeight="1">
      <c r="A961" t="inlineStr">
        <is>
          <t>A 61533-2024</t>
        </is>
      </c>
      <c r="B961" s="1" t="n">
        <v>45646</v>
      </c>
      <c r="C961" s="1" t="n">
        <v>46004</v>
      </c>
      <c r="D961" t="inlineStr">
        <is>
          <t>SKÅNE LÄN</t>
        </is>
      </c>
      <c r="E961" t="inlineStr">
        <is>
          <t>HÄSSLEHOLM</t>
        </is>
      </c>
      <c r="G961" t="n">
        <v>4.5</v>
      </c>
      <c r="H961" t="n">
        <v>0</v>
      </c>
      <c r="I961" t="n">
        <v>0</v>
      </c>
      <c r="J961" t="n">
        <v>0</v>
      </c>
      <c r="K961" t="n">
        <v>0</v>
      </c>
      <c r="L961" t="n">
        <v>0</v>
      </c>
      <c r="M961" t="n">
        <v>0</v>
      </c>
      <c r="N961" t="n">
        <v>0</v>
      </c>
      <c r="O961" t="n">
        <v>0</v>
      </c>
      <c r="P961" t="n">
        <v>0</v>
      </c>
      <c r="Q961" t="n">
        <v>0</v>
      </c>
      <c r="R961" s="2" t="inlineStr"/>
    </row>
    <row r="962" ht="15" customHeight="1">
      <c r="A962" t="inlineStr">
        <is>
          <t>A 19735-2023</t>
        </is>
      </c>
      <c r="B962" s="1" t="n">
        <v>45051.52199074074</v>
      </c>
      <c r="C962" s="1" t="n">
        <v>46004</v>
      </c>
      <c r="D962" t="inlineStr">
        <is>
          <t>SKÅNE LÄN</t>
        </is>
      </c>
      <c r="E962" t="inlineStr">
        <is>
          <t>HÄSSLEHOLM</t>
        </is>
      </c>
      <c r="G962" t="n">
        <v>4</v>
      </c>
      <c r="H962" t="n">
        <v>0</v>
      </c>
      <c r="I962" t="n">
        <v>0</v>
      </c>
      <c r="J962" t="n">
        <v>0</v>
      </c>
      <c r="K962" t="n">
        <v>0</v>
      </c>
      <c r="L962" t="n">
        <v>0</v>
      </c>
      <c r="M962" t="n">
        <v>0</v>
      </c>
      <c r="N962" t="n">
        <v>0</v>
      </c>
      <c r="O962" t="n">
        <v>0</v>
      </c>
      <c r="P962" t="n">
        <v>0</v>
      </c>
      <c r="Q962" t="n">
        <v>0</v>
      </c>
      <c r="R962" s="2" t="inlineStr"/>
    </row>
    <row r="963" ht="15" customHeight="1">
      <c r="A963" t="inlineStr">
        <is>
          <t>A 2490-2024</t>
        </is>
      </c>
      <c r="B963" s="1" t="n">
        <v>45313.43649305555</v>
      </c>
      <c r="C963" s="1" t="n">
        <v>46004</v>
      </c>
      <c r="D963" t="inlineStr">
        <is>
          <t>SKÅNE LÄN</t>
        </is>
      </c>
      <c r="E963" t="inlineStr">
        <is>
          <t>HÄSSLEHOLM</t>
        </is>
      </c>
      <c r="G963" t="n">
        <v>4</v>
      </c>
      <c r="H963" t="n">
        <v>0</v>
      </c>
      <c r="I963" t="n">
        <v>0</v>
      </c>
      <c r="J963" t="n">
        <v>0</v>
      </c>
      <c r="K963" t="n">
        <v>0</v>
      </c>
      <c r="L963" t="n">
        <v>0</v>
      </c>
      <c r="M963" t="n">
        <v>0</v>
      </c>
      <c r="N963" t="n">
        <v>0</v>
      </c>
      <c r="O963" t="n">
        <v>0</v>
      </c>
      <c r="P963" t="n">
        <v>0</v>
      </c>
      <c r="Q963" t="n">
        <v>0</v>
      </c>
      <c r="R963" s="2" t="inlineStr"/>
    </row>
    <row r="964" ht="15" customHeight="1">
      <c r="A964" t="inlineStr">
        <is>
          <t>A 61537-2024</t>
        </is>
      </c>
      <c r="B964" s="1" t="n">
        <v>45646</v>
      </c>
      <c r="C964" s="1" t="n">
        <v>46004</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9668-2025</t>
        </is>
      </c>
      <c r="B965" s="1" t="n">
        <v>45716</v>
      </c>
      <c r="C965" s="1" t="n">
        <v>46004</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34890-2023</t>
        </is>
      </c>
      <c r="B966" s="1" t="n">
        <v>45142.39475694444</v>
      </c>
      <c r="C966" s="1" t="n">
        <v>46004</v>
      </c>
      <c r="D966" t="inlineStr">
        <is>
          <t>SKÅNE LÄN</t>
        </is>
      </c>
      <c r="E966" t="inlineStr">
        <is>
          <t>HÄSSLEHOLM</t>
        </is>
      </c>
      <c r="G966" t="n">
        <v>4</v>
      </c>
      <c r="H966" t="n">
        <v>0</v>
      </c>
      <c r="I966" t="n">
        <v>0</v>
      </c>
      <c r="J966" t="n">
        <v>0</v>
      </c>
      <c r="K966" t="n">
        <v>0</v>
      </c>
      <c r="L966" t="n">
        <v>0</v>
      </c>
      <c r="M966" t="n">
        <v>0</v>
      </c>
      <c r="N966" t="n">
        <v>0</v>
      </c>
      <c r="O966" t="n">
        <v>0</v>
      </c>
      <c r="P966" t="n">
        <v>0</v>
      </c>
      <c r="Q966" t="n">
        <v>0</v>
      </c>
      <c r="R966" s="2" t="inlineStr"/>
    </row>
    <row r="967" ht="15" customHeight="1">
      <c r="A967" t="inlineStr">
        <is>
          <t>A 22024-2025</t>
        </is>
      </c>
      <c r="B967" s="1" t="n">
        <v>45784.85322916666</v>
      </c>
      <c r="C967" s="1" t="n">
        <v>46004</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20006-2025</t>
        </is>
      </c>
      <c r="B968" s="1" t="n">
        <v>45772.05032407407</v>
      </c>
      <c r="C968" s="1" t="n">
        <v>46004</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56735-2024</t>
        </is>
      </c>
      <c r="B969" s="1" t="n">
        <v>45628.36234953703</v>
      </c>
      <c r="C969" s="1" t="n">
        <v>46004</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29844-2024</t>
        </is>
      </c>
      <c r="B970" s="1" t="n">
        <v>45485</v>
      </c>
      <c r="C970" s="1" t="n">
        <v>46004</v>
      </c>
      <c r="D970" t="inlineStr">
        <is>
          <t>SKÅNE LÄN</t>
        </is>
      </c>
      <c r="E970" t="inlineStr">
        <is>
          <t>HÄSSLEHOLM</t>
        </is>
      </c>
      <c r="G970" t="n">
        <v>1.9</v>
      </c>
      <c r="H970" t="n">
        <v>0</v>
      </c>
      <c r="I970" t="n">
        <v>0</v>
      </c>
      <c r="J970" t="n">
        <v>0</v>
      </c>
      <c r="K970" t="n">
        <v>0</v>
      </c>
      <c r="L970" t="n">
        <v>0</v>
      </c>
      <c r="M970" t="n">
        <v>0</v>
      </c>
      <c r="N970" t="n">
        <v>0</v>
      </c>
      <c r="O970" t="n">
        <v>0</v>
      </c>
      <c r="P970" t="n">
        <v>0</v>
      </c>
      <c r="Q970" t="n">
        <v>0</v>
      </c>
      <c r="R970" s="2" t="inlineStr"/>
    </row>
    <row r="971" ht="15" customHeight="1">
      <c r="A971" t="inlineStr">
        <is>
          <t>A 9678-2025</t>
        </is>
      </c>
      <c r="B971" s="1" t="n">
        <v>45716</v>
      </c>
      <c r="C971" s="1" t="n">
        <v>46004</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55662-2022</t>
        </is>
      </c>
      <c r="B972" s="1" t="n">
        <v>44883</v>
      </c>
      <c r="C972" s="1" t="n">
        <v>46004</v>
      </c>
      <c r="D972" t="inlineStr">
        <is>
          <t>SKÅNE LÄN</t>
        </is>
      </c>
      <c r="E972" t="inlineStr">
        <is>
          <t>HÄSSLEHOLM</t>
        </is>
      </c>
      <c r="F972" t="inlineStr">
        <is>
          <t>Övriga Aktiebolag</t>
        </is>
      </c>
      <c r="G972" t="n">
        <v>2.6</v>
      </c>
      <c r="H972" t="n">
        <v>0</v>
      </c>
      <c r="I972" t="n">
        <v>0</v>
      </c>
      <c r="J972" t="n">
        <v>0</v>
      </c>
      <c r="K972" t="n">
        <v>0</v>
      </c>
      <c r="L972" t="n">
        <v>0</v>
      </c>
      <c r="M972" t="n">
        <v>0</v>
      </c>
      <c r="N972" t="n">
        <v>0</v>
      </c>
      <c r="O972" t="n">
        <v>0</v>
      </c>
      <c r="P972" t="n">
        <v>0</v>
      </c>
      <c r="Q972" t="n">
        <v>0</v>
      </c>
      <c r="R972" s="2" t="inlineStr"/>
    </row>
    <row r="973" ht="15" customHeight="1">
      <c r="A973" t="inlineStr">
        <is>
          <t>A 3886-2024</t>
        </is>
      </c>
      <c r="B973" s="1" t="n">
        <v>45322.44539351852</v>
      </c>
      <c r="C973" s="1" t="n">
        <v>46004</v>
      </c>
      <c r="D973" t="inlineStr">
        <is>
          <t>SKÅNE LÄN</t>
        </is>
      </c>
      <c r="E973" t="inlineStr">
        <is>
          <t>HÄSSLEHOLM</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9924-2025</t>
        </is>
      </c>
      <c r="B974" s="1" t="n">
        <v>45717.72505787037</v>
      </c>
      <c r="C974" s="1" t="n">
        <v>46004</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22587-2025</t>
        </is>
      </c>
      <c r="B975" s="1" t="n">
        <v>45789.39974537037</v>
      </c>
      <c r="C975" s="1" t="n">
        <v>46004</v>
      </c>
      <c r="D975" t="inlineStr">
        <is>
          <t>SKÅNE LÄN</t>
        </is>
      </c>
      <c r="E975" t="inlineStr">
        <is>
          <t>HÄSSLEHOLM</t>
        </is>
      </c>
      <c r="G975" t="n">
        <v>5.7</v>
      </c>
      <c r="H975" t="n">
        <v>0</v>
      </c>
      <c r="I975" t="n">
        <v>0</v>
      </c>
      <c r="J975" t="n">
        <v>0</v>
      </c>
      <c r="K975" t="n">
        <v>0</v>
      </c>
      <c r="L975" t="n">
        <v>0</v>
      </c>
      <c r="M975" t="n">
        <v>0</v>
      </c>
      <c r="N975" t="n">
        <v>0</v>
      </c>
      <c r="O975" t="n">
        <v>0</v>
      </c>
      <c r="P975" t="n">
        <v>0</v>
      </c>
      <c r="Q975" t="n">
        <v>0</v>
      </c>
      <c r="R975" s="2" t="inlineStr"/>
    </row>
    <row r="976" ht="15" customHeight="1">
      <c r="A976" t="inlineStr">
        <is>
          <t>A 54668-2025</t>
        </is>
      </c>
      <c r="B976" s="1" t="n">
        <v>45966.40803240741</v>
      </c>
      <c r="C976" s="1" t="n">
        <v>46004</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54664-2025</t>
        </is>
      </c>
      <c r="B977" s="1" t="n">
        <v>45966.40738425926</v>
      </c>
      <c r="C977" s="1" t="n">
        <v>46004</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54771-2025</t>
        </is>
      </c>
      <c r="B978" s="1" t="n">
        <v>45966.60829861111</v>
      </c>
      <c r="C978" s="1" t="n">
        <v>46004</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60920-2024</t>
        </is>
      </c>
      <c r="B979" s="1" t="n">
        <v>45645.34442129629</v>
      </c>
      <c r="C979" s="1" t="n">
        <v>46004</v>
      </c>
      <c r="D979" t="inlineStr">
        <is>
          <t>SKÅNE LÄN</t>
        </is>
      </c>
      <c r="E979" t="inlineStr">
        <is>
          <t>HÄSSLEHOLM</t>
        </is>
      </c>
      <c r="G979" t="n">
        <v>2.6</v>
      </c>
      <c r="H979" t="n">
        <v>0</v>
      </c>
      <c r="I979" t="n">
        <v>0</v>
      </c>
      <c r="J979" t="n">
        <v>0</v>
      </c>
      <c r="K979" t="n">
        <v>0</v>
      </c>
      <c r="L979" t="n">
        <v>0</v>
      </c>
      <c r="M979" t="n">
        <v>0</v>
      </c>
      <c r="N979" t="n">
        <v>0</v>
      </c>
      <c r="O979" t="n">
        <v>0</v>
      </c>
      <c r="P979" t="n">
        <v>0</v>
      </c>
      <c r="Q979" t="n">
        <v>0</v>
      </c>
      <c r="R979" s="2" t="inlineStr"/>
    </row>
    <row r="980" ht="15" customHeight="1">
      <c r="A980" t="inlineStr">
        <is>
          <t>A 40536-2024</t>
        </is>
      </c>
      <c r="B980" s="1" t="n">
        <v>45555.61314814815</v>
      </c>
      <c r="C980" s="1" t="n">
        <v>46004</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56386-2023</t>
        </is>
      </c>
      <c r="B981" s="1" t="n">
        <v>45243</v>
      </c>
      <c r="C981" s="1" t="n">
        <v>46004</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29274-2023</t>
        </is>
      </c>
      <c r="B982" s="1" t="n">
        <v>45105</v>
      </c>
      <c r="C982" s="1" t="n">
        <v>46004</v>
      </c>
      <c r="D982" t="inlineStr">
        <is>
          <t>SKÅNE LÄN</t>
        </is>
      </c>
      <c r="E982" t="inlineStr">
        <is>
          <t>HÄSSLEHOLM</t>
        </is>
      </c>
      <c r="G982" t="n">
        <v>3.4</v>
      </c>
      <c r="H982" t="n">
        <v>0</v>
      </c>
      <c r="I982" t="n">
        <v>0</v>
      </c>
      <c r="J982" t="n">
        <v>0</v>
      </c>
      <c r="K982" t="n">
        <v>0</v>
      </c>
      <c r="L982" t="n">
        <v>0</v>
      </c>
      <c r="M982" t="n">
        <v>0</v>
      </c>
      <c r="N982" t="n">
        <v>0</v>
      </c>
      <c r="O982" t="n">
        <v>0</v>
      </c>
      <c r="P982" t="n">
        <v>0</v>
      </c>
      <c r="Q982" t="n">
        <v>0</v>
      </c>
      <c r="R982" s="2" t="inlineStr"/>
    </row>
    <row r="983" ht="15" customHeight="1">
      <c r="A983" t="inlineStr">
        <is>
          <t>A 61932-2023</t>
        </is>
      </c>
      <c r="B983" s="1" t="n">
        <v>45266.53761574074</v>
      </c>
      <c r="C983" s="1" t="n">
        <v>46004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27606-2024</t>
        </is>
      </c>
      <c r="B984" s="1" t="n">
        <v>45474</v>
      </c>
      <c r="C984" s="1" t="n">
        <v>46004</v>
      </c>
      <c r="D984" t="inlineStr">
        <is>
          <t>SKÅNE LÄN</t>
        </is>
      </c>
      <c r="E984" t="inlineStr">
        <is>
          <t>HÄSSLEHOLM</t>
        </is>
      </c>
      <c r="G984" t="n">
        <v>3.6</v>
      </c>
      <c r="H984" t="n">
        <v>0</v>
      </c>
      <c r="I984" t="n">
        <v>0</v>
      </c>
      <c r="J984" t="n">
        <v>0</v>
      </c>
      <c r="K984" t="n">
        <v>0</v>
      </c>
      <c r="L984" t="n">
        <v>0</v>
      </c>
      <c r="M984" t="n">
        <v>0</v>
      </c>
      <c r="N984" t="n">
        <v>0</v>
      </c>
      <c r="O984" t="n">
        <v>0</v>
      </c>
      <c r="P984" t="n">
        <v>0</v>
      </c>
      <c r="Q984" t="n">
        <v>0</v>
      </c>
      <c r="R984" s="2" t="inlineStr"/>
    </row>
    <row r="985" ht="15" customHeight="1">
      <c r="A985" t="inlineStr">
        <is>
          <t>A 55268-2025</t>
        </is>
      </c>
      <c r="B985" s="1" t="n">
        <v>45968.6715625</v>
      </c>
      <c r="C985" s="1" t="n">
        <v>46004</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50244-2024</t>
        </is>
      </c>
      <c r="B986" s="1" t="n">
        <v>45600.56502314815</v>
      </c>
      <c r="C986" s="1" t="n">
        <v>46004</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7221-2025</t>
        </is>
      </c>
      <c r="B987" s="1" t="n">
        <v>45701</v>
      </c>
      <c r="C987" s="1" t="n">
        <v>46004</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5532-2025</t>
        </is>
      </c>
      <c r="B988" s="1" t="n">
        <v>45693</v>
      </c>
      <c r="C988" s="1" t="n">
        <v>46004</v>
      </c>
      <c r="D988" t="inlineStr">
        <is>
          <t>SKÅNE LÄN</t>
        </is>
      </c>
      <c r="E988" t="inlineStr">
        <is>
          <t>HÄSSLEHOLM</t>
        </is>
      </c>
      <c r="G988" t="n">
        <v>2.4</v>
      </c>
      <c r="H988" t="n">
        <v>0</v>
      </c>
      <c r="I988" t="n">
        <v>0</v>
      </c>
      <c r="J988" t="n">
        <v>0</v>
      </c>
      <c r="K988" t="n">
        <v>0</v>
      </c>
      <c r="L988" t="n">
        <v>0</v>
      </c>
      <c r="M988" t="n">
        <v>0</v>
      </c>
      <c r="N988" t="n">
        <v>0</v>
      </c>
      <c r="O988" t="n">
        <v>0</v>
      </c>
      <c r="P988" t="n">
        <v>0</v>
      </c>
      <c r="Q988" t="n">
        <v>0</v>
      </c>
      <c r="R988" s="2" t="inlineStr"/>
    </row>
    <row r="989" ht="15" customHeight="1">
      <c r="A989" t="inlineStr">
        <is>
          <t>A 10230-2025</t>
        </is>
      </c>
      <c r="B989" s="1" t="n">
        <v>45720</v>
      </c>
      <c r="C989" s="1" t="n">
        <v>46004</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33266-2024</t>
        </is>
      </c>
      <c r="B990" s="1" t="n">
        <v>45518</v>
      </c>
      <c r="C990" s="1" t="n">
        <v>46004</v>
      </c>
      <c r="D990" t="inlineStr">
        <is>
          <t>SKÅNE LÄN</t>
        </is>
      </c>
      <c r="E990" t="inlineStr">
        <is>
          <t>HÄSSLEHOLM</t>
        </is>
      </c>
      <c r="G990" t="n">
        <v>3.2</v>
      </c>
      <c r="H990" t="n">
        <v>0</v>
      </c>
      <c r="I990" t="n">
        <v>0</v>
      </c>
      <c r="J990" t="n">
        <v>0</v>
      </c>
      <c r="K990" t="n">
        <v>0</v>
      </c>
      <c r="L990" t="n">
        <v>0</v>
      </c>
      <c r="M990" t="n">
        <v>0</v>
      </c>
      <c r="N990" t="n">
        <v>0</v>
      </c>
      <c r="O990" t="n">
        <v>0</v>
      </c>
      <c r="P990" t="n">
        <v>0</v>
      </c>
      <c r="Q990" t="n">
        <v>0</v>
      </c>
      <c r="R990" s="2" t="inlineStr"/>
    </row>
    <row r="991" ht="15" customHeight="1">
      <c r="A991" t="inlineStr">
        <is>
          <t>A 55549-2025</t>
        </is>
      </c>
      <c r="B991" s="1" t="n">
        <v>45971.63805555556</v>
      </c>
      <c r="C991" s="1" t="n">
        <v>46004</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46786-2025</t>
        </is>
      </c>
      <c r="B992" s="1" t="n">
        <v>45926.64484953704</v>
      </c>
      <c r="C992" s="1" t="n">
        <v>46004</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48797-2023</t>
        </is>
      </c>
      <c r="B993" s="1" t="n">
        <v>45209.24986111111</v>
      </c>
      <c r="C993" s="1" t="n">
        <v>46004</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47126-2025</t>
        </is>
      </c>
      <c r="B994" s="1" t="n">
        <v>45929.685625</v>
      </c>
      <c r="C994" s="1" t="n">
        <v>46004</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47127-2025</t>
        </is>
      </c>
      <c r="B995" s="1" t="n">
        <v>45929.6893287037</v>
      </c>
      <c r="C995" s="1" t="n">
        <v>46004</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22592-2025</t>
        </is>
      </c>
      <c r="B996" s="1" t="n">
        <v>45789.40502314815</v>
      </c>
      <c r="C996" s="1" t="n">
        <v>46004</v>
      </c>
      <c r="D996" t="inlineStr">
        <is>
          <t>SKÅNE LÄN</t>
        </is>
      </c>
      <c r="E996" t="inlineStr">
        <is>
          <t>HÄSSLEHOLM</t>
        </is>
      </c>
      <c r="G996" t="n">
        <v>7.1</v>
      </c>
      <c r="H996" t="n">
        <v>0</v>
      </c>
      <c r="I996" t="n">
        <v>0</v>
      </c>
      <c r="J996" t="n">
        <v>0</v>
      </c>
      <c r="K996" t="n">
        <v>0</v>
      </c>
      <c r="L996" t="n">
        <v>0</v>
      </c>
      <c r="M996" t="n">
        <v>0</v>
      </c>
      <c r="N996" t="n">
        <v>0</v>
      </c>
      <c r="O996" t="n">
        <v>0</v>
      </c>
      <c r="P996" t="n">
        <v>0</v>
      </c>
      <c r="Q996" t="n">
        <v>0</v>
      </c>
      <c r="R996" s="2" t="inlineStr"/>
    </row>
    <row r="997" ht="15" customHeight="1">
      <c r="A997" t="inlineStr">
        <is>
          <t>A 23007-2025</t>
        </is>
      </c>
      <c r="B997" s="1" t="n">
        <v>45790</v>
      </c>
      <c r="C997" s="1" t="n">
        <v>46004</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17171-2025</t>
        </is>
      </c>
      <c r="B998" s="1" t="n">
        <v>45755</v>
      </c>
      <c r="C998" s="1" t="n">
        <v>46004</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16930-2024</t>
        </is>
      </c>
      <c r="B999" s="1" t="n">
        <v>45411</v>
      </c>
      <c r="C999" s="1" t="n">
        <v>46004</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27825-2024</t>
        </is>
      </c>
      <c r="B1000" s="1" t="n">
        <v>45475</v>
      </c>
      <c r="C1000" s="1" t="n">
        <v>46004</v>
      </c>
      <c r="D1000" t="inlineStr">
        <is>
          <t>SKÅNE LÄN</t>
        </is>
      </c>
      <c r="E1000" t="inlineStr">
        <is>
          <t>HÄSSLEHOLM</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31254-2024</t>
        </is>
      </c>
      <c r="B1001" s="1" t="n">
        <v>45503</v>
      </c>
      <c r="C1001" s="1" t="n">
        <v>46004</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37486-2024</t>
        </is>
      </c>
      <c r="B1002" s="1" t="n">
        <v>45541</v>
      </c>
      <c r="C1002" s="1" t="n">
        <v>46004</v>
      </c>
      <c r="D1002" t="inlineStr">
        <is>
          <t>SKÅNE LÄN</t>
        </is>
      </c>
      <c r="E1002" t="inlineStr">
        <is>
          <t>HÄSSLEHOLM</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44838-2023</t>
        </is>
      </c>
      <c r="B1003" s="1" t="n">
        <v>45190</v>
      </c>
      <c r="C1003" s="1" t="n">
        <v>46004</v>
      </c>
      <c r="D1003" t="inlineStr">
        <is>
          <t>SKÅNE LÄN</t>
        </is>
      </c>
      <c r="E1003" t="inlineStr">
        <is>
          <t>HÄSSLEHOLM</t>
        </is>
      </c>
      <c r="F1003" t="inlineStr">
        <is>
          <t>Kommuner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13954-2023</t>
        </is>
      </c>
      <c r="B1004" s="1" t="n">
        <v>45008</v>
      </c>
      <c r="C1004" s="1" t="n">
        <v>46004</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46761-2025</t>
        </is>
      </c>
      <c r="B1005" s="1" t="n">
        <v>45926.62289351852</v>
      </c>
      <c r="C1005" s="1" t="n">
        <v>46004</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46855-2025</t>
        </is>
      </c>
      <c r="B1006" s="1" t="n">
        <v>45928.88497685185</v>
      </c>
      <c r="C1006" s="1" t="n">
        <v>46004</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13007-2024</t>
        </is>
      </c>
      <c r="B1007" s="1" t="n">
        <v>45385.57092592592</v>
      </c>
      <c r="C1007" s="1" t="n">
        <v>46004</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46605-2025</t>
        </is>
      </c>
      <c r="B1008" s="1" t="n">
        <v>45926.41214120371</v>
      </c>
      <c r="C1008" s="1" t="n">
        <v>46004</v>
      </c>
      <c r="D1008" t="inlineStr">
        <is>
          <t>SKÅNE LÄN</t>
        </is>
      </c>
      <c r="E1008" t="inlineStr">
        <is>
          <t>HÄSSLEHOLM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40152-2024</t>
        </is>
      </c>
      <c r="B1009" s="1" t="n">
        <v>45554</v>
      </c>
      <c r="C1009" s="1" t="n">
        <v>46004</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74030-2021</t>
        </is>
      </c>
      <c r="B1010" s="1" t="n">
        <v>44553</v>
      </c>
      <c r="C1010" s="1" t="n">
        <v>46004</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15072-2024</t>
        </is>
      </c>
      <c r="B1011" s="1" t="n">
        <v>45399.5996875</v>
      </c>
      <c r="C1011" s="1" t="n">
        <v>46004</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11262-2025</t>
        </is>
      </c>
      <c r="B1012" s="1" t="n">
        <v>45726</v>
      </c>
      <c r="C1012" s="1" t="n">
        <v>46004</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5395-2024</t>
        </is>
      </c>
      <c r="B1013" s="1" t="n">
        <v>45331</v>
      </c>
      <c r="C1013" s="1" t="n">
        <v>46004</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2621-2025</t>
        </is>
      </c>
      <c r="B1014" s="1" t="n">
        <v>45675.60765046296</v>
      </c>
      <c r="C1014" s="1" t="n">
        <v>46004</v>
      </c>
      <c r="D1014" t="inlineStr">
        <is>
          <t>SKÅNE LÄN</t>
        </is>
      </c>
      <c r="E1014" t="inlineStr">
        <is>
          <t>HÄSSLEHOLM</t>
        </is>
      </c>
      <c r="F1014" t="inlineStr">
        <is>
          <t>Kommuner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8737-2025</t>
        </is>
      </c>
      <c r="B1015" s="1" t="n">
        <v>45712.54578703704</v>
      </c>
      <c r="C1015" s="1" t="n">
        <v>46004</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37764-2022</t>
        </is>
      </c>
      <c r="B1016" s="1" t="n">
        <v>44810</v>
      </c>
      <c r="C1016" s="1" t="n">
        <v>46004</v>
      </c>
      <c r="D1016" t="inlineStr">
        <is>
          <t>SKÅNE LÄN</t>
        </is>
      </c>
      <c r="E1016" t="inlineStr">
        <is>
          <t>HÄSSLEHOLM</t>
        </is>
      </c>
      <c r="F1016" t="inlineStr">
        <is>
          <t>Kyrkan</t>
        </is>
      </c>
      <c r="G1016" t="n">
        <v>9.4</v>
      </c>
      <c r="H1016" t="n">
        <v>0</v>
      </c>
      <c r="I1016" t="n">
        <v>0</v>
      </c>
      <c r="J1016" t="n">
        <v>0</v>
      </c>
      <c r="K1016" t="n">
        <v>0</v>
      </c>
      <c r="L1016" t="n">
        <v>0</v>
      </c>
      <c r="M1016" t="n">
        <v>0</v>
      </c>
      <c r="N1016" t="n">
        <v>0</v>
      </c>
      <c r="O1016" t="n">
        <v>0</v>
      </c>
      <c r="P1016" t="n">
        <v>0</v>
      </c>
      <c r="Q1016" t="n">
        <v>0</v>
      </c>
      <c r="R1016" s="2" t="inlineStr"/>
    </row>
    <row r="1017" ht="15" customHeight="1">
      <c r="A1017" t="inlineStr">
        <is>
          <t>A 51018-2023</t>
        </is>
      </c>
      <c r="B1017" s="1" t="n">
        <v>45218</v>
      </c>
      <c r="C1017" s="1" t="n">
        <v>46004</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23005-2025</t>
        </is>
      </c>
      <c r="B1018" s="1" t="n">
        <v>45790</v>
      </c>
      <c r="C1018" s="1" t="n">
        <v>46004</v>
      </c>
      <c r="D1018" t="inlineStr">
        <is>
          <t>SKÅNE LÄN</t>
        </is>
      </c>
      <c r="E1018" t="inlineStr">
        <is>
          <t>HÄSSLEHOLM</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60797-2024</t>
        </is>
      </c>
      <c r="B1019" s="1" t="n">
        <v>45644</v>
      </c>
      <c r="C1019" s="1" t="n">
        <v>46004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56069-2024</t>
        </is>
      </c>
      <c r="B1020" s="1" t="n">
        <v>45624.38006944444</v>
      </c>
      <c r="C1020" s="1" t="n">
        <v>46004</v>
      </c>
      <c r="D1020" t="inlineStr">
        <is>
          <t>SKÅNE LÄN</t>
        </is>
      </c>
      <c r="E1020" t="inlineStr">
        <is>
          <t>HÄSSLEHOLM</t>
        </is>
      </c>
      <c r="F1020" t="inlineStr">
        <is>
          <t>Övriga Aktiebolag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25726-2025</t>
        </is>
      </c>
      <c r="B1021" s="1" t="n">
        <v>45803</v>
      </c>
      <c r="C1021" s="1" t="n">
        <v>46004</v>
      </c>
      <c r="D1021" t="inlineStr">
        <is>
          <t>SKÅNE LÄN</t>
        </is>
      </c>
      <c r="E1021" t="inlineStr">
        <is>
          <t>HÄSSLEHOLM</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47259-2025</t>
        </is>
      </c>
      <c r="B1022" s="1" t="n">
        <v>45930</v>
      </c>
      <c r="C1022" s="1" t="n">
        <v>46004</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47473-2025</t>
        </is>
      </c>
      <c r="B1023" s="1" t="n">
        <v>45930.67763888889</v>
      </c>
      <c r="C1023" s="1" t="n">
        <v>46004</v>
      </c>
      <c r="D1023" t="inlineStr">
        <is>
          <t>SKÅNE LÄN</t>
        </is>
      </c>
      <c r="E1023" t="inlineStr">
        <is>
          <t>HÄSSLEHOLM</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47466-2025</t>
        </is>
      </c>
      <c r="B1024" s="1" t="n">
        <v>45930.66677083333</v>
      </c>
      <c r="C1024" s="1" t="n">
        <v>46004</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55455-2025</t>
        </is>
      </c>
      <c r="B1025" s="1" t="n">
        <v>45971</v>
      </c>
      <c r="C1025" s="1" t="n">
        <v>46004</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55458-2025</t>
        </is>
      </c>
      <c r="B1026" s="1" t="n">
        <v>45971</v>
      </c>
      <c r="C1026" s="1" t="n">
        <v>46004</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7681-2025</t>
        </is>
      </c>
      <c r="B1027" s="1" t="n">
        <v>45706.36758101852</v>
      </c>
      <c r="C1027" s="1" t="n">
        <v>46004</v>
      </c>
      <c r="D1027" t="inlineStr">
        <is>
          <t>SKÅNE LÄN</t>
        </is>
      </c>
      <c r="E1027" t="inlineStr">
        <is>
          <t>HÄSSLEHOLM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24032-2025</t>
        </is>
      </c>
      <c r="B1028" s="1" t="n">
        <v>45796.478125</v>
      </c>
      <c r="C1028" s="1" t="n">
        <v>46004</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6596-2021</t>
        </is>
      </c>
      <c r="B1029" s="1" t="n">
        <v>44236</v>
      </c>
      <c r="C1029" s="1" t="n">
        <v>46004</v>
      </c>
      <c r="D1029" t="inlineStr">
        <is>
          <t>SKÅNE LÄN</t>
        </is>
      </c>
      <c r="E1029" t="inlineStr">
        <is>
          <t>HÄSSLEHOLM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48184-2025</t>
        </is>
      </c>
      <c r="B1030" s="1" t="n">
        <v>45933.46131944445</v>
      </c>
      <c r="C1030" s="1" t="n">
        <v>46004</v>
      </c>
      <c r="D1030" t="inlineStr">
        <is>
          <t>SKÅNE LÄN</t>
        </is>
      </c>
      <c r="E1030" t="inlineStr">
        <is>
          <t>HÄSSLEHOLM</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48185-2025</t>
        </is>
      </c>
      <c r="B1031" s="1" t="n">
        <v>45933.46434027778</v>
      </c>
      <c r="C1031" s="1" t="n">
        <v>46004</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60789-2024</t>
        </is>
      </c>
      <c r="B1032" s="1" t="n">
        <v>45644</v>
      </c>
      <c r="C1032" s="1" t="n">
        <v>46004</v>
      </c>
      <c r="D1032" t="inlineStr">
        <is>
          <t>SKÅNE LÄN</t>
        </is>
      </c>
      <c r="E1032" t="inlineStr">
        <is>
          <t>HÄSSLEHOLM</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5252-2025</t>
        </is>
      </c>
      <c r="B1033" s="1" t="n">
        <v>45692.3449537037</v>
      </c>
      <c r="C1033" s="1" t="n">
        <v>46004</v>
      </c>
      <c r="D1033" t="inlineStr">
        <is>
          <t>SKÅNE LÄN</t>
        </is>
      </c>
      <c r="E1033" t="inlineStr">
        <is>
          <t>HÄSSLEHOLM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5242-2025</t>
        </is>
      </c>
      <c r="B1034" s="1" t="n">
        <v>45692.32883101852</v>
      </c>
      <c r="C1034" s="1" t="n">
        <v>46004</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24034-2025</t>
        </is>
      </c>
      <c r="B1035" s="1" t="n">
        <v>45796.48251157408</v>
      </c>
      <c r="C1035" s="1" t="n">
        <v>46004</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24250-2025</t>
        </is>
      </c>
      <c r="B1036" s="1" t="n">
        <v>45797.40260416667</v>
      </c>
      <c r="C1036" s="1" t="n">
        <v>46004</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56065-2025</t>
        </is>
      </c>
      <c r="B1037" s="1" t="n">
        <v>45973</v>
      </c>
      <c r="C1037" s="1" t="n">
        <v>46004</v>
      </c>
      <c r="D1037" t="inlineStr">
        <is>
          <t>SKÅNE LÄN</t>
        </is>
      </c>
      <c r="E1037" t="inlineStr">
        <is>
          <t>HÄSSLEHOLM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56667-2025</t>
        </is>
      </c>
      <c r="B1038" s="1" t="n">
        <v>45975.68508101852</v>
      </c>
      <c r="C1038" s="1" t="n">
        <v>46004</v>
      </c>
      <c r="D1038" t="inlineStr">
        <is>
          <t>SKÅNE LÄN</t>
        </is>
      </c>
      <c r="E1038" t="inlineStr">
        <is>
          <t>HÄSSLEHOLM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24029-2025</t>
        </is>
      </c>
      <c r="B1039" s="1" t="n">
        <v>45796.47552083333</v>
      </c>
      <c r="C1039" s="1" t="n">
        <v>46004</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24039-2025</t>
        </is>
      </c>
      <c r="B1040" s="1" t="n">
        <v>45796.48675925926</v>
      </c>
      <c r="C1040" s="1" t="n">
        <v>46004</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24047-2025</t>
        </is>
      </c>
      <c r="B1041" s="1" t="n">
        <v>45796.49528935185</v>
      </c>
      <c r="C1041" s="1" t="n">
        <v>46004</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24675-2025</t>
        </is>
      </c>
      <c r="B1042" s="1" t="n">
        <v>45798.653125</v>
      </c>
      <c r="C1042" s="1" t="n">
        <v>46004</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42735-2024</t>
        </is>
      </c>
      <c r="B1043" s="1" t="n">
        <v>45566.47274305556</v>
      </c>
      <c r="C1043" s="1" t="n">
        <v>46004</v>
      </c>
      <c r="D1043" t="inlineStr">
        <is>
          <t>SKÅNE LÄN</t>
        </is>
      </c>
      <c r="E1043" t="inlineStr">
        <is>
          <t>HÄSSLEHOLM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55522-2024</t>
        </is>
      </c>
      <c r="B1044" s="1" t="n">
        <v>45622</v>
      </c>
      <c r="C1044" s="1" t="n">
        <v>46004</v>
      </c>
      <c r="D1044" t="inlineStr">
        <is>
          <t>SKÅNE LÄN</t>
        </is>
      </c>
      <c r="E1044" t="inlineStr">
        <is>
          <t>HÄSSLEHOLM</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32826-2024</t>
        </is>
      </c>
      <c r="B1045" s="1" t="n">
        <v>45516.59056712963</v>
      </c>
      <c r="C1045" s="1" t="n">
        <v>46004</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32512-2024</t>
        </is>
      </c>
      <c r="B1046" s="1" t="n">
        <v>45513.45613425926</v>
      </c>
      <c r="C1046" s="1" t="n">
        <v>46004</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56767-2025</t>
        </is>
      </c>
      <c r="B1047" s="1" t="n">
        <v>45978.38178240741</v>
      </c>
      <c r="C1047" s="1" t="n">
        <v>46004</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56794-2025</t>
        </is>
      </c>
      <c r="B1048" s="1" t="n">
        <v>45978.43039351852</v>
      </c>
      <c r="C1048" s="1" t="n">
        <v>46004</v>
      </c>
      <c r="D1048" t="inlineStr">
        <is>
          <t>SKÅNE LÄN</t>
        </is>
      </c>
      <c r="E1048" t="inlineStr">
        <is>
          <t>HÄSSLEHOLM</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24985-2025</t>
        </is>
      </c>
      <c r="B1049" s="1" t="n">
        <v>45799.60256944445</v>
      </c>
      <c r="C1049" s="1" t="n">
        <v>46004</v>
      </c>
      <c r="D1049" t="inlineStr">
        <is>
          <t>SKÅNE LÄN</t>
        </is>
      </c>
      <c r="E1049" t="inlineStr">
        <is>
          <t>HÄSSLEHOLM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10562-2025</t>
        </is>
      </c>
      <c r="B1050" s="1" t="n">
        <v>45721.52913194444</v>
      </c>
      <c r="C1050" s="1" t="n">
        <v>46004</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56797-2025</t>
        </is>
      </c>
      <c r="B1051" s="1" t="n">
        <v>45978.43273148148</v>
      </c>
      <c r="C1051" s="1" t="n">
        <v>46004</v>
      </c>
      <c r="D1051" t="inlineStr">
        <is>
          <t>SKÅNE LÄN</t>
        </is>
      </c>
      <c r="E1051" t="inlineStr">
        <is>
          <t>HÄSSLEHOLM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56798-2025</t>
        </is>
      </c>
      <c r="B1052" s="1" t="n">
        <v>45978.43378472222</v>
      </c>
      <c r="C1052" s="1" t="n">
        <v>46004</v>
      </c>
      <c r="D1052" t="inlineStr">
        <is>
          <t>SKÅNE LÄN</t>
        </is>
      </c>
      <c r="E1052" t="inlineStr">
        <is>
          <t>HÄSSLEHOLM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48722-2025</t>
        </is>
      </c>
      <c r="B1053" s="1" t="n">
        <v>45935</v>
      </c>
      <c r="C1053" s="1" t="n">
        <v>46004</v>
      </c>
      <c r="D1053" t="inlineStr">
        <is>
          <t>SKÅNE LÄN</t>
        </is>
      </c>
      <c r="E1053" t="inlineStr">
        <is>
          <t>HÄSSLEHOLM</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24658-2025</t>
        </is>
      </c>
      <c r="B1054" s="1" t="n">
        <v>45798.64134259259</v>
      </c>
      <c r="C1054" s="1" t="n">
        <v>46004</v>
      </c>
      <c r="D1054" t="inlineStr">
        <is>
          <t>SKÅNE LÄN</t>
        </is>
      </c>
      <c r="E1054" t="inlineStr">
        <is>
          <t>HÄSSLEHOLM</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25372-2025</t>
        </is>
      </c>
      <c r="B1055" s="1" t="n">
        <v>45799</v>
      </c>
      <c r="C1055" s="1" t="n">
        <v>46004</v>
      </c>
      <c r="D1055" t="inlineStr">
        <is>
          <t>SKÅNE LÄN</t>
        </is>
      </c>
      <c r="E1055" t="inlineStr">
        <is>
          <t>HÄSSLEHOLM</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9399-2025</t>
        </is>
      </c>
      <c r="B1056" s="1" t="n">
        <v>45715.37861111111</v>
      </c>
      <c r="C1056" s="1" t="n">
        <v>46004</v>
      </c>
      <c r="D1056" t="inlineStr">
        <is>
          <t>SKÅNE LÄN</t>
        </is>
      </c>
      <c r="E1056" t="inlineStr">
        <is>
          <t>HÄSSLEHOLM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259-2024</t>
        </is>
      </c>
      <c r="B1057" s="1" t="n">
        <v>45294</v>
      </c>
      <c r="C1057" s="1" t="n">
        <v>46004</v>
      </c>
      <c r="D1057" t="inlineStr">
        <is>
          <t>SKÅNE LÄN</t>
        </is>
      </c>
      <c r="E1057" t="inlineStr">
        <is>
          <t>HÄSSLEHOLM</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29659-2024</t>
        </is>
      </c>
      <c r="B1058" s="1" t="n">
        <v>45484.92587962963</v>
      </c>
      <c r="C1058" s="1" t="n">
        <v>46004</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56769-2025</t>
        </is>
      </c>
      <c r="B1059" s="1" t="n">
        <v>45978.38429398148</v>
      </c>
      <c r="C1059" s="1" t="n">
        <v>46004</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27837-2024</t>
        </is>
      </c>
      <c r="B1060" s="1" t="n">
        <v>45475</v>
      </c>
      <c r="C1060" s="1" t="n">
        <v>46004</v>
      </c>
      <c r="D1060" t="inlineStr">
        <is>
          <t>SKÅNE LÄN</t>
        </is>
      </c>
      <c r="E1060" t="inlineStr">
        <is>
          <t>HÄSSLEHOLM</t>
        </is>
      </c>
      <c r="F1060" t="inlineStr">
        <is>
          <t>Kommuner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1679-2022</t>
        </is>
      </c>
      <c r="B1061" s="1" t="n">
        <v>44573</v>
      </c>
      <c r="C1061" s="1" t="n">
        <v>46004</v>
      </c>
      <c r="D1061" t="inlineStr">
        <is>
          <t>SKÅNE LÄN</t>
        </is>
      </c>
      <c r="E1061" t="inlineStr">
        <is>
          <t>HÄSSLEHOLM</t>
        </is>
      </c>
      <c r="F1061" t="inlineStr">
        <is>
          <t>Kyrkan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51565-2023</t>
        </is>
      </c>
      <c r="B1062" s="1" t="n">
        <v>45222</v>
      </c>
      <c r="C1062" s="1" t="n">
        <v>46004</v>
      </c>
      <c r="D1062" t="inlineStr">
        <is>
          <t>SKÅNE LÄN</t>
        </is>
      </c>
      <c r="E1062" t="inlineStr">
        <is>
          <t>HÄSSLEHOLM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25615-2025</t>
        </is>
      </c>
      <c r="B1063" s="1" t="n">
        <v>45803</v>
      </c>
      <c r="C1063" s="1" t="n">
        <v>46004</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11412-2025</t>
        </is>
      </c>
      <c r="B1064" s="1" t="n">
        <v>45726</v>
      </c>
      <c r="C1064" s="1" t="n">
        <v>46004</v>
      </c>
      <c r="D1064" t="inlineStr">
        <is>
          <t>SKÅNE LÄN</t>
        </is>
      </c>
      <c r="E1064" t="inlineStr">
        <is>
          <t>HÄSSLEHOLM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49135-2025</t>
        </is>
      </c>
      <c r="B1065" s="1" t="n">
        <v>45938.00990740741</v>
      </c>
      <c r="C1065" s="1" t="n">
        <v>46004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49136-2025</t>
        </is>
      </c>
      <c r="B1066" s="1" t="n">
        <v>45938.01277777777</v>
      </c>
      <c r="C1066" s="1" t="n">
        <v>46004</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49137-2025</t>
        </is>
      </c>
      <c r="B1067" s="1" t="n">
        <v>45938.05672453704</v>
      </c>
      <c r="C1067" s="1" t="n">
        <v>46004</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25430-2025</t>
        </is>
      </c>
      <c r="B1068" s="1" t="n">
        <v>45800.78212962963</v>
      </c>
      <c r="C1068" s="1" t="n">
        <v>46004</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11466-2025</t>
        </is>
      </c>
      <c r="B1069" s="1" t="n">
        <v>45726</v>
      </c>
      <c r="C1069" s="1" t="n">
        <v>46004</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25431-2025</t>
        </is>
      </c>
      <c r="B1070" s="1" t="n">
        <v>45800.78340277778</v>
      </c>
      <c r="C1070" s="1" t="n">
        <v>46004</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25432-2025</t>
        </is>
      </c>
      <c r="B1071" s="1" t="n">
        <v>45800.7847800926</v>
      </c>
      <c r="C1071" s="1" t="n">
        <v>46004</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11470-2025</t>
        </is>
      </c>
      <c r="B1072" s="1" t="n">
        <v>45726</v>
      </c>
      <c r="C1072" s="1" t="n">
        <v>46004</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54798-2025</t>
        </is>
      </c>
      <c r="B1073" s="1" t="n">
        <v>45966</v>
      </c>
      <c r="C1073" s="1" t="n">
        <v>46004</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54807-2025</t>
        </is>
      </c>
      <c r="B1074" s="1" t="n">
        <v>45966</v>
      </c>
      <c r="C1074" s="1" t="n">
        <v>46004</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57817-2025</t>
        </is>
      </c>
      <c r="B1075" s="1" t="n">
        <v>45981.59475694445</v>
      </c>
      <c r="C1075" s="1" t="n">
        <v>46004</v>
      </c>
      <c r="D1075" t="inlineStr">
        <is>
          <t>SKÅNE LÄN</t>
        </is>
      </c>
      <c r="E1075" t="inlineStr">
        <is>
          <t>HÄSSLEHOLM</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26232-2025</t>
        </is>
      </c>
      <c r="B1076" s="1" t="n">
        <v>45805.56642361111</v>
      </c>
      <c r="C1076" s="1" t="n">
        <v>46004</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26244-2025</t>
        </is>
      </c>
      <c r="B1077" s="1" t="n">
        <v>45805.57364583333</v>
      </c>
      <c r="C1077" s="1" t="n">
        <v>46004</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38358-2024</t>
        </is>
      </c>
      <c r="B1078" s="1" t="n">
        <v>45545.79068287037</v>
      </c>
      <c r="C1078" s="1" t="n">
        <v>46004</v>
      </c>
      <c r="D1078" t="inlineStr">
        <is>
          <t>SKÅNE LÄN</t>
        </is>
      </c>
      <c r="E1078" t="inlineStr">
        <is>
          <t>HÄSSLEHOLM</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27393-2025</t>
        </is>
      </c>
      <c r="B1079" s="1" t="n">
        <v>45812.68295138889</v>
      </c>
      <c r="C1079" s="1" t="n">
        <v>46004</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49845-2025</t>
        </is>
      </c>
      <c r="B1080" s="1" t="n">
        <v>45940.48015046296</v>
      </c>
      <c r="C1080" s="1" t="n">
        <v>46004</v>
      </c>
      <c r="D1080" t="inlineStr">
        <is>
          <t>SKÅNE LÄN</t>
        </is>
      </c>
      <c r="E1080" t="inlineStr">
        <is>
          <t>HÄSSLEHOLM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16368-2025</t>
        </is>
      </c>
      <c r="B1081" s="1" t="n">
        <v>45751</v>
      </c>
      <c r="C1081" s="1" t="n">
        <v>46004</v>
      </c>
      <c r="D1081" t="inlineStr">
        <is>
          <t>SKÅNE LÄN</t>
        </is>
      </c>
      <c r="E1081" t="inlineStr">
        <is>
          <t>HÄSSLEHOLM</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27349-2025</t>
        </is>
      </c>
      <c r="B1082" s="1" t="n">
        <v>45812</v>
      </c>
      <c r="C1082" s="1" t="n">
        <v>46004</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58241-2025</t>
        </is>
      </c>
      <c r="B1083" s="1" t="n">
        <v>45985.38797453704</v>
      </c>
      <c r="C1083" s="1" t="n">
        <v>46004</v>
      </c>
      <c r="D1083" t="inlineStr">
        <is>
          <t>SKÅNE LÄN</t>
        </is>
      </c>
      <c r="E1083" t="inlineStr">
        <is>
          <t>HÄSSLEHOLM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1886-2025</t>
        </is>
      </c>
      <c r="B1084" s="1" t="n">
        <v>45671</v>
      </c>
      <c r="C1084" s="1" t="n">
        <v>46004</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15536-2025</t>
        </is>
      </c>
      <c r="B1085" s="1" t="n">
        <v>45747</v>
      </c>
      <c r="C1085" s="1" t="n">
        <v>46004</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24904-2025</t>
        </is>
      </c>
      <c r="B1086" s="1" t="n">
        <v>45799</v>
      </c>
      <c r="C1086" s="1" t="n">
        <v>46004</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28240-2025</t>
        </is>
      </c>
      <c r="B1087" s="1" t="n">
        <v>45817</v>
      </c>
      <c r="C1087" s="1" t="n">
        <v>46004</v>
      </c>
      <c r="D1087" t="inlineStr">
        <is>
          <t>SKÅNE LÄN</t>
        </is>
      </c>
      <c r="E1087" t="inlineStr">
        <is>
          <t>HÄSSLEHOLM</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27940-2025</t>
        </is>
      </c>
      <c r="B1088" s="1" t="n">
        <v>45817.50439814815</v>
      </c>
      <c r="C1088" s="1" t="n">
        <v>46004</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27934-2025</t>
        </is>
      </c>
      <c r="B1089" s="1" t="n">
        <v>45817.49761574074</v>
      </c>
      <c r="C1089" s="1" t="n">
        <v>46004</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28251-2025</t>
        </is>
      </c>
      <c r="B1090" s="1" t="n">
        <v>45817</v>
      </c>
      <c r="C1090" s="1" t="n">
        <v>46004</v>
      </c>
      <c r="D1090" t="inlineStr">
        <is>
          <t>SKÅNE LÄN</t>
        </is>
      </c>
      <c r="E1090" t="inlineStr">
        <is>
          <t>HÄSSLEHOLM</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28122-2025</t>
        </is>
      </c>
      <c r="B1091" s="1" t="n">
        <v>45817</v>
      </c>
      <c r="C1091" s="1" t="n">
        <v>46004</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27887-2025</t>
        </is>
      </c>
      <c r="B1092" s="1" t="n">
        <v>45817.45994212963</v>
      </c>
      <c r="C1092" s="1" t="n">
        <v>46004</v>
      </c>
      <c r="D1092" t="inlineStr">
        <is>
          <t>SKÅNE LÄN</t>
        </is>
      </c>
      <c r="E1092" t="inlineStr">
        <is>
          <t>HÄSSLEHOLM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58689-2025</t>
        </is>
      </c>
      <c r="B1093" s="1" t="n">
        <v>45986</v>
      </c>
      <c r="C1093" s="1" t="n">
        <v>46004</v>
      </c>
      <c r="D1093" t="inlineStr">
        <is>
          <t>SKÅNE LÄN</t>
        </is>
      </c>
      <c r="E1093" t="inlineStr">
        <is>
          <t>HÄSSLEHOLM</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28095-2025</t>
        </is>
      </c>
      <c r="B1094" s="1" t="n">
        <v>45817</v>
      </c>
      <c r="C1094" s="1" t="n">
        <v>46004</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58632-2025</t>
        </is>
      </c>
      <c r="B1095" s="1" t="n">
        <v>45986</v>
      </c>
      <c r="C1095" s="1" t="n">
        <v>46004</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49824-2024</t>
        </is>
      </c>
      <c r="B1096" s="1" t="n">
        <v>45597</v>
      </c>
      <c r="C1096" s="1" t="n">
        <v>46004</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54426-2025</t>
        </is>
      </c>
      <c r="B1097" s="1" t="n">
        <v>45965</v>
      </c>
      <c r="C1097" s="1" t="n">
        <v>46004</v>
      </c>
      <c r="D1097" t="inlineStr">
        <is>
          <t>SKÅNE LÄN</t>
        </is>
      </c>
      <c r="E1097" t="inlineStr">
        <is>
          <t>HÄSSLEHOLM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50676-2025</t>
        </is>
      </c>
      <c r="B1098" s="1" t="n">
        <v>45945</v>
      </c>
      <c r="C1098" s="1" t="n">
        <v>46004</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50678-2025</t>
        </is>
      </c>
      <c r="B1099" s="1" t="n">
        <v>45945</v>
      </c>
      <c r="C1099" s="1" t="n">
        <v>46004</v>
      </c>
      <c r="D1099" t="inlineStr">
        <is>
          <t>SKÅNE LÄN</t>
        </is>
      </c>
      <c r="E1099" t="inlineStr">
        <is>
          <t>HÄSSLEHOLM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49827-2022</t>
        </is>
      </c>
      <c r="B1100" s="1" t="n">
        <v>44859</v>
      </c>
      <c r="C1100" s="1" t="n">
        <v>46004</v>
      </c>
      <c r="D1100" t="inlineStr">
        <is>
          <t>SKÅNE LÄN</t>
        </is>
      </c>
      <c r="E1100" t="inlineStr">
        <is>
          <t>HÄSSLEHOLM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50677-2025</t>
        </is>
      </c>
      <c r="B1101" s="1" t="n">
        <v>45945</v>
      </c>
      <c r="C1101" s="1" t="n">
        <v>46004</v>
      </c>
      <c r="D1101" t="inlineStr">
        <is>
          <t>SKÅNE LÄN</t>
        </is>
      </c>
      <c r="E1101" t="inlineStr">
        <is>
          <t>HÄSSLEHOLM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50834-2025</t>
        </is>
      </c>
      <c r="B1102" s="1" t="n">
        <v>45946.55746527778</v>
      </c>
      <c r="C1102" s="1" t="n">
        <v>46004</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50872-2025</t>
        </is>
      </c>
      <c r="B1103" s="1" t="n">
        <v>45946</v>
      </c>
      <c r="C1103" s="1" t="n">
        <v>46004</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51024-2025</t>
        </is>
      </c>
      <c r="B1104" s="1" t="n">
        <v>45947.395</v>
      </c>
      <c r="C1104" s="1" t="n">
        <v>46004</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29170-2025</t>
        </is>
      </c>
      <c r="B1105" s="1" t="n">
        <v>45821.69766203704</v>
      </c>
      <c r="C1105" s="1" t="n">
        <v>46004</v>
      </c>
      <c r="D1105" t="inlineStr">
        <is>
          <t>SKÅNE LÄN</t>
        </is>
      </c>
      <c r="E1105" t="inlineStr">
        <is>
          <t>HÄSSLEHOLM</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29171-2025</t>
        </is>
      </c>
      <c r="B1106" s="1" t="n">
        <v>45821.69863425926</v>
      </c>
      <c r="C1106" s="1" t="n">
        <v>46004</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29168-2025</t>
        </is>
      </c>
      <c r="B1107" s="1" t="n">
        <v>45821.69547453704</v>
      </c>
      <c r="C1107" s="1" t="n">
        <v>46004</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50839-2025</t>
        </is>
      </c>
      <c r="B1108" s="1" t="n">
        <v>45946</v>
      </c>
      <c r="C1108" s="1" t="n">
        <v>46004</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50829-2025</t>
        </is>
      </c>
      <c r="B1109" s="1" t="n">
        <v>45946.55309027778</v>
      </c>
      <c r="C1109" s="1" t="n">
        <v>46004</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58933-2025</t>
        </is>
      </c>
      <c r="B1110" s="1" t="n">
        <v>45987.56107638889</v>
      </c>
      <c r="C1110" s="1" t="n">
        <v>46004</v>
      </c>
      <c r="D1110" t="inlineStr">
        <is>
          <t>SKÅNE LÄN</t>
        </is>
      </c>
      <c r="E1110" t="inlineStr">
        <is>
          <t>HÄSSLEHOLM</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51097-2025</t>
        </is>
      </c>
      <c r="B1111" s="1" t="n">
        <v>45947.48018518519</v>
      </c>
      <c r="C1111" s="1" t="n">
        <v>46004</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30010-2025</t>
        </is>
      </c>
      <c r="B1112" s="1" t="n">
        <v>45826</v>
      </c>
      <c r="C1112" s="1" t="n">
        <v>46004</v>
      </c>
      <c r="D1112" t="inlineStr">
        <is>
          <t>SKÅNE LÄN</t>
        </is>
      </c>
      <c r="E1112" t="inlineStr">
        <is>
          <t>HÄSSLEHOLM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51597-2025</t>
        </is>
      </c>
      <c r="B1113" s="1" t="n">
        <v>45951.37163194444</v>
      </c>
      <c r="C1113" s="1" t="n">
        <v>46004</v>
      </c>
      <c r="D1113" t="inlineStr">
        <is>
          <t>SKÅNE LÄN</t>
        </is>
      </c>
      <c r="E1113" t="inlineStr">
        <is>
          <t>HÄSSLEHOLM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51795-2025</t>
        </is>
      </c>
      <c r="B1114" s="1" t="n">
        <v>45951</v>
      </c>
      <c r="C1114" s="1" t="n">
        <v>46004</v>
      </c>
      <c r="D1114" t="inlineStr">
        <is>
          <t>SKÅNE LÄN</t>
        </is>
      </c>
      <c r="E1114" t="inlineStr">
        <is>
          <t>HÄSSLEHOLM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51796-2025</t>
        </is>
      </c>
      <c r="B1115" s="1" t="n">
        <v>45951.74546296296</v>
      </c>
      <c r="C1115" s="1" t="n">
        <v>46004</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51640-2025</t>
        </is>
      </c>
      <c r="B1116" s="1" t="n">
        <v>45951.44361111111</v>
      </c>
      <c r="C1116" s="1" t="n">
        <v>46004</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31159-2025</t>
        </is>
      </c>
      <c r="B1117" s="1" t="n">
        <v>45832.65322916667</v>
      </c>
      <c r="C1117" s="1" t="n">
        <v>46004</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59722-2025</t>
        </is>
      </c>
      <c r="B1118" s="1" t="n">
        <v>45992.5474537037</v>
      </c>
      <c r="C1118" s="1" t="n">
        <v>46004</v>
      </c>
      <c r="D1118" t="inlineStr">
        <is>
          <t>SKÅNE LÄN</t>
        </is>
      </c>
      <c r="E1118" t="inlineStr">
        <is>
          <t>HÄSSLEHOLM</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52126-2025</t>
        </is>
      </c>
      <c r="B1119" s="1" t="n">
        <v>45952.72109953704</v>
      </c>
      <c r="C1119" s="1" t="n">
        <v>46004</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55569-2025</t>
        </is>
      </c>
      <c r="B1120" s="1" t="n">
        <v>45971</v>
      </c>
      <c r="C1120" s="1" t="n">
        <v>46004</v>
      </c>
      <c r="D1120" t="inlineStr">
        <is>
          <t>SKÅNE LÄN</t>
        </is>
      </c>
      <c r="E1120" t="inlineStr">
        <is>
          <t>HÄSSLEHOLM</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30092-2025</t>
        </is>
      </c>
      <c r="B1121" s="1" t="n">
        <v>45826</v>
      </c>
      <c r="C1121" s="1" t="n">
        <v>46004</v>
      </c>
      <c r="D1121" t="inlineStr">
        <is>
          <t>SKÅNE LÄN</t>
        </is>
      </c>
      <c r="E1121" t="inlineStr">
        <is>
          <t>HÄSSLEHOLM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30109-2025</t>
        </is>
      </c>
      <c r="B1122" s="1" t="n">
        <v>45826</v>
      </c>
      <c r="C1122" s="1" t="n">
        <v>46004</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29649-2025</t>
        </is>
      </c>
      <c r="B1123" s="1" t="n">
        <v>45825.47446759259</v>
      </c>
      <c r="C1123" s="1" t="n">
        <v>46004</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32585-2025</t>
        </is>
      </c>
      <c r="B1124" s="1" t="n">
        <v>45838.60021990741</v>
      </c>
      <c r="C1124" s="1" t="n">
        <v>46004</v>
      </c>
      <c r="D1124" t="inlineStr">
        <is>
          <t>SKÅNE LÄN</t>
        </is>
      </c>
      <c r="E1124" t="inlineStr">
        <is>
          <t>HÄSSLEHOLM</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32592-2025</t>
        </is>
      </c>
      <c r="B1125" s="1" t="n">
        <v>45838.61020833333</v>
      </c>
      <c r="C1125" s="1" t="n">
        <v>46004</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33562-2025</t>
        </is>
      </c>
      <c r="B1126" s="1" t="n">
        <v>45841.57803240741</v>
      </c>
      <c r="C1126" s="1" t="n">
        <v>46004</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46813-2024</t>
        </is>
      </c>
      <c r="B1127" s="1" t="n">
        <v>45583</v>
      </c>
      <c r="C1127" s="1" t="n">
        <v>46004</v>
      </c>
      <c r="D1127" t="inlineStr">
        <is>
          <t>SKÅNE LÄN</t>
        </is>
      </c>
      <c r="E1127" t="inlineStr">
        <is>
          <t>HÄSSLEHOLM</t>
        </is>
      </c>
      <c r="G1127" t="n">
        <v>14.9</v>
      </c>
      <c r="H1127" t="n">
        <v>0</v>
      </c>
      <c r="I1127" t="n">
        <v>0</v>
      </c>
      <c r="J1127" t="n">
        <v>0</v>
      </c>
      <c r="K1127" t="n">
        <v>0</v>
      </c>
      <c r="L1127" t="n">
        <v>0</v>
      </c>
      <c r="M1127" t="n">
        <v>0</v>
      </c>
      <c r="N1127" t="n">
        <v>0</v>
      </c>
      <c r="O1127" t="n">
        <v>0</v>
      </c>
      <c r="P1127" t="n">
        <v>0</v>
      </c>
      <c r="Q1127" t="n">
        <v>0</v>
      </c>
      <c r="R1127" s="2" t="inlineStr"/>
    </row>
    <row r="1128" ht="15" customHeight="1">
      <c r="A1128" t="inlineStr">
        <is>
          <t>A 33875-2025</t>
        </is>
      </c>
      <c r="B1128" s="1" t="n">
        <v>45842.55300925926</v>
      </c>
      <c r="C1128" s="1" t="n">
        <v>46004</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33877-2025</t>
        </is>
      </c>
      <c r="B1129" s="1" t="n">
        <v>45842.55564814815</v>
      </c>
      <c r="C1129" s="1" t="n">
        <v>46004</v>
      </c>
      <c r="D1129" t="inlineStr">
        <is>
          <t>SKÅNE LÄN</t>
        </is>
      </c>
      <c r="E1129" t="inlineStr">
        <is>
          <t>HÄSSLEHOLM</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33879-2025</t>
        </is>
      </c>
      <c r="B1130" s="1" t="n">
        <v>45842.55766203703</v>
      </c>
      <c r="C1130" s="1" t="n">
        <v>46004</v>
      </c>
      <c r="D1130" t="inlineStr">
        <is>
          <t>SKÅNE LÄN</t>
        </is>
      </c>
      <c r="E1130" t="inlineStr">
        <is>
          <t>HÄSSLEHOLM</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61322-2025</t>
        </is>
      </c>
      <c r="B1131" s="1" t="n">
        <v>46000</v>
      </c>
      <c r="C1131" s="1" t="n">
        <v>46004</v>
      </c>
      <c r="D1131" t="inlineStr">
        <is>
          <t>SKÅNE LÄN</t>
        </is>
      </c>
      <c r="E1131" t="inlineStr">
        <is>
          <t>HÄSSLEHOLM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33948-2025</t>
        </is>
      </c>
      <c r="B1132" s="1" t="n">
        <v>45842.65945601852</v>
      </c>
      <c r="C1132" s="1" t="n">
        <v>46004</v>
      </c>
      <c r="D1132" t="inlineStr">
        <is>
          <t>SKÅNE LÄN</t>
        </is>
      </c>
      <c r="E1132" t="inlineStr">
        <is>
          <t>HÄSSLEHOLM</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22678-2025</t>
        </is>
      </c>
      <c r="B1133" s="1" t="n">
        <v>45789.49725694444</v>
      </c>
      <c r="C1133" s="1" t="n">
        <v>46004</v>
      </c>
      <c r="D1133" t="inlineStr">
        <is>
          <t>SKÅNE LÄN</t>
        </is>
      </c>
      <c r="E1133" t="inlineStr">
        <is>
          <t>HÄSSLEHOLM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32958-2023</t>
        </is>
      </c>
      <c r="B1134" s="1" t="n">
        <v>45125.52142361111</v>
      </c>
      <c r="C1134" s="1" t="n">
        <v>46004</v>
      </c>
      <c r="D1134" t="inlineStr">
        <is>
          <t>SKÅNE LÄN</t>
        </is>
      </c>
      <c r="E1134" t="inlineStr">
        <is>
          <t>HÄSSLEHOLM</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34174-2025</t>
        </is>
      </c>
      <c r="B1135" s="1" t="n">
        <v>45844</v>
      </c>
      <c r="C1135" s="1" t="n">
        <v>46004</v>
      </c>
      <c r="D1135" t="inlineStr">
        <is>
          <t>SKÅNE LÄN</t>
        </is>
      </c>
      <c r="E1135" t="inlineStr">
        <is>
          <t>HÄSSLEHOLM</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34177-2025</t>
        </is>
      </c>
      <c r="B1136" s="1" t="n">
        <v>45844</v>
      </c>
      <c r="C1136" s="1" t="n">
        <v>46004</v>
      </c>
      <c r="D1136" t="inlineStr">
        <is>
          <t>SKÅNE LÄN</t>
        </is>
      </c>
      <c r="E1136" t="inlineStr">
        <is>
          <t>HÄSSLEHOLM</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33950-2025</t>
        </is>
      </c>
      <c r="B1137" s="1" t="n">
        <v>45842</v>
      </c>
      <c r="C1137" s="1" t="n">
        <v>46004</v>
      </c>
      <c r="D1137" t="inlineStr">
        <is>
          <t>SKÅNE LÄN</t>
        </is>
      </c>
      <c r="E1137" t="inlineStr">
        <is>
          <t>HÄSSLEHOLM</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53020-2025</t>
        </is>
      </c>
      <c r="B1138" s="1" t="n">
        <v>45957.90707175926</v>
      </c>
      <c r="C1138" s="1" t="n">
        <v>46004</v>
      </c>
      <c r="D1138" t="inlineStr">
        <is>
          <t>SKÅNE LÄN</t>
        </is>
      </c>
      <c r="E1138" t="inlineStr">
        <is>
          <t>HÄSSLEHOLM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53424-2025</t>
        </is>
      </c>
      <c r="B1139" s="1" t="n">
        <v>45959</v>
      </c>
      <c r="C1139" s="1" t="n">
        <v>46004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11753-2025</t>
        </is>
      </c>
      <c r="B1140" s="1" t="n">
        <v>45727</v>
      </c>
      <c r="C1140" s="1" t="n">
        <v>46004</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61215-2025</t>
        </is>
      </c>
      <c r="B1141" s="1" t="n">
        <v>46000</v>
      </c>
      <c r="C1141" s="1" t="n">
        <v>46004</v>
      </c>
      <c r="D1141" t="inlineStr">
        <is>
          <t>SKÅNE LÄN</t>
        </is>
      </c>
      <c r="E1141" t="inlineStr">
        <is>
          <t>HÄSSLEHOLM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53018-2025</t>
        </is>
      </c>
      <c r="B1142" s="1" t="n">
        <v>45957.90064814815</v>
      </c>
      <c r="C1142" s="1" t="n">
        <v>46004</v>
      </c>
      <c r="D1142" t="inlineStr">
        <is>
          <t>SKÅNE LÄN</t>
        </is>
      </c>
      <c r="E1142" t="inlineStr">
        <is>
          <t>HÄSSLEHOLM</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34869-2025</t>
        </is>
      </c>
      <c r="B1143" s="1" t="n">
        <v>45849</v>
      </c>
      <c r="C1143" s="1" t="n">
        <v>46004</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53056-2025</t>
        </is>
      </c>
      <c r="B1144" s="1" t="n">
        <v>45958.36518518518</v>
      </c>
      <c r="C1144" s="1" t="n">
        <v>46004</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20970-2025</t>
        </is>
      </c>
      <c r="B1145" s="1" t="n">
        <v>45777.45417824074</v>
      </c>
      <c r="C1145" s="1" t="n">
        <v>46004</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35259-2025</t>
        </is>
      </c>
      <c r="B1146" s="1" t="n">
        <v>45853.76912037037</v>
      </c>
      <c r="C1146" s="1" t="n">
        <v>46004</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61474-2025</t>
        </is>
      </c>
      <c r="B1147" s="1" t="n">
        <v>46001.61886574074</v>
      </c>
      <c r="C1147" s="1" t="n">
        <v>46004</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17413-2025</t>
        </is>
      </c>
      <c r="B1148" s="1" t="n">
        <v>45757.37480324074</v>
      </c>
      <c r="C1148" s="1" t="n">
        <v>46004</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41680-2024</t>
        </is>
      </c>
      <c r="B1149" s="1" t="n">
        <v>45560</v>
      </c>
      <c r="C1149" s="1" t="n">
        <v>46004</v>
      </c>
      <c r="D1149" t="inlineStr">
        <is>
          <t>SKÅNE LÄN</t>
        </is>
      </c>
      <c r="E1149" t="inlineStr">
        <is>
          <t>HÄSSLEHOLM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47161-2025</t>
        </is>
      </c>
      <c r="B1150" s="1" t="n">
        <v>45929</v>
      </c>
      <c r="C1150" s="1" t="n">
        <v>46004</v>
      </c>
      <c r="D1150" t="inlineStr">
        <is>
          <t>SKÅNE LÄN</t>
        </is>
      </c>
      <c r="E1150" t="inlineStr">
        <is>
          <t>HÄSSLEHOLM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36259-2025</t>
        </is>
      </c>
      <c r="B1151" s="1" t="n">
        <v>45867.59799768519</v>
      </c>
      <c r="C1151" s="1" t="n">
        <v>46004</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36130-2025</t>
        </is>
      </c>
      <c r="B1152" s="1" t="n">
        <v>45866.62273148148</v>
      </c>
      <c r="C1152" s="1" t="n">
        <v>46004</v>
      </c>
      <c r="D1152" t="inlineStr">
        <is>
          <t>SKÅNE LÄN</t>
        </is>
      </c>
      <c r="E1152" t="inlineStr">
        <is>
          <t>HÄSSLEHOLM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19666-2025</t>
        </is>
      </c>
      <c r="B1153" s="1" t="n">
        <v>45770.69326388889</v>
      </c>
      <c r="C1153" s="1" t="n">
        <v>46004</v>
      </c>
      <c r="D1153" t="inlineStr">
        <is>
          <t>SKÅNE LÄN</t>
        </is>
      </c>
      <c r="E1153" t="inlineStr">
        <is>
          <t>HÄSSLEHOLM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36359-2025</t>
        </is>
      </c>
      <c r="B1154" s="1" t="n">
        <v>45867</v>
      </c>
      <c r="C1154" s="1" t="n">
        <v>46004</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36361-2025</t>
        </is>
      </c>
      <c r="B1155" s="1" t="n">
        <v>45867</v>
      </c>
      <c r="C1155" s="1" t="n">
        <v>46004</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36085-2025</t>
        </is>
      </c>
      <c r="B1156" s="1" t="n">
        <v>45866.46190972222</v>
      </c>
      <c r="C1156" s="1" t="n">
        <v>46004</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36358-2025</t>
        </is>
      </c>
      <c r="B1157" s="1" t="n">
        <v>45867</v>
      </c>
      <c r="C1157" s="1" t="n">
        <v>46004</v>
      </c>
      <c r="D1157" t="inlineStr">
        <is>
          <t>SKÅNE LÄN</t>
        </is>
      </c>
      <c r="E1157" t="inlineStr">
        <is>
          <t>HÄSSLEHOLM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8209-2025</t>
        </is>
      </c>
      <c r="B1158" s="1" t="n">
        <v>45708.44244212963</v>
      </c>
      <c r="C1158" s="1" t="n">
        <v>46004</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36938-2025</t>
        </is>
      </c>
      <c r="B1159" s="1" t="n">
        <v>45874.58476851852</v>
      </c>
      <c r="C1159" s="1" t="n">
        <v>46004</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37286-2025</t>
        </is>
      </c>
      <c r="B1160" s="1" t="n">
        <v>45876.50116898148</v>
      </c>
      <c r="C1160" s="1" t="n">
        <v>46004</v>
      </c>
      <c r="D1160" t="inlineStr">
        <is>
          <t>SKÅNE LÄN</t>
        </is>
      </c>
      <c r="E1160" t="inlineStr">
        <is>
          <t>HÄSSLEHOLM</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37271-2025</t>
        </is>
      </c>
      <c r="B1161" s="1" t="n">
        <v>45876.47828703704</v>
      </c>
      <c r="C1161" s="1" t="n">
        <v>46004</v>
      </c>
      <c r="D1161" t="inlineStr">
        <is>
          <t>SKÅNE LÄN</t>
        </is>
      </c>
      <c r="E1161" t="inlineStr">
        <is>
          <t>HÄSSLEHOLM</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32981-2025</t>
        </is>
      </c>
      <c r="B1162" s="1" t="n">
        <v>45839.86820601852</v>
      </c>
      <c r="C1162" s="1" t="n">
        <v>46004</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16862-2025</t>
        </is>
      </c>
      <c r="B1163" s="1" t="n">
        <v>45751</v>
      </c>
      <c r="C1163" s="1" t="n">
        <v>46004</v>
      </c>
      <c r="D1163" t="inlineStr">
        <is>
          <t>SKÅNE LÄN</t>
        </is>
      </c>
      <c r="E1163" t="inlineStr">
        <is>
          <t>HÄSSLEHOLM</t>
        </is>
      </c>
      <c r="G1163" t="n">
        <v>2.3</v>
      </c>
      <c r="H1163" t="n">
        <v>0</v>
      </c>
      <c r="I1163" t="n">
        <v>0</v>
      </c>
      <c r="J1163" t="n">
        <v>0</v>
      </c>
      <c r="K1163" t="n">
        <v>0</v>
      </c>
      <c r="L1163" t="n">
        <v>0</v>
      </c>
      <c r="M1163" t="n">
        <v>0</v>
      </c>
      <c r="N1163" t="n">
        <v>0</v>
      </c>
      <c r="O1163" t="n">
        <v>0</v>
      </c>
      <c r="P1163" t="n">
        <v>0</v>
      </c>
      <c r="Q1163" t="n">
        <v>0</v>
      </c>
      <c r="R1163" s="2" t="inlineStr"/>
    </row>
    <row r="1164">
      <c r="A1164" t="inlineStr">
        <is>
          <t>A 18109-2025</t>
        </is>
      </c>
      <c r="B1164" s="1" t="n">
        <v>45761</v>
      </c>
      <c r="C1164" s="1" t="n">
        <v>46004</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2025-12-13T10:30:18Z</dcterms:created>
  <dcterms:modified xmlns:dcterms="http://purl.org/dc/terms/" xmlns:xsi="http://www.w3.org/2001/XMLSchema-instance" xsi:type="dcterms:W3CDTF">2025-12-13T10:30:19Z</dcterms:modified>
</cp:coreProperties>
</file>