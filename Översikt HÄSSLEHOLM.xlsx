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46079</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46079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46079</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46079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46079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46079</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46079</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46079</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46079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46079</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46079</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46079</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46079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46079</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46079</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46079</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9289-2025</t>
        </is>
      </c>
      <c r="B21" s="1" t="n">
        <v>45714</v>
      </c>
      <c r="C21" s="1" t="n">
        <v>46079</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14933-2023</t>
        </is>
      </c>
      <c r="B22" s="1" t="n">
        <v>45014</v>
      </c>
      <c r="C22" s="1" t="n">
        <v>46079</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8223-2025</t>
        </is>
      </c>
      <c r="B23" s="1" t="n">
        <v>45708.46127314815</v>
      </c>
      <c r="C23" s="1" t="n">
        <v>46079</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4619-2025</t>
        </is>
      </c>
      <c r="B24" s="1" t="n">
        <v>45687</v>
      </c>
      <c r="C24" s="1" t="n">
        <v>46079</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7862-2024</t>
        </is>
      </c>
      <c r="B25" s="1" t="n">
        <v>45348</v>
      </c>
      <c r="C25" s="1" t="n">
        <v>46079</v>
      </c>
      <c r="D25" t="inlineStr">
        <is>
          <t>SKÅNE LÄN</t>
        </is>
      </c>
      <c r="E25" t="inlineStr">
        <is>
          <t>HÄSSLEHOLM</t>
        </is>
      </c>
      <c r="G25" t="n">
        <v>5</v>
      </c>
      <c r="H25" t="n">
        <v>0</v>
      </c>
      <c r="I25" t="n">
        <v>1</v>
      </c>
      <c r="J25" t="n">
        <v>0</v>
      </c>
      <c r="K25" t="n">
        <v>0</v>
      </c>
      <c r="L25" t="n">
        <v>0</v>
      </c>
      <c r="M25" t="n">
        <v>0</v>
      </c>
      <c r="N25" t="n">
        <v>0</v>
      </c>
      <c r="O25" t="n">
        <v>0</v>
      </c>
      <c r="P25" t="n">
        <v>0</v>
      </c>
      <c r="Q25" t="n">
        <v>1</v>
      </c>
      <c r="R25" s="2" t="inlineStr">
        <is>
          <t>Stor revmossa</t>
        </is>
      </c>
      <c r="S25">
        <f>HYPERLINK("https://klasma.github.io/Logging_1293/artfynd/A 7862-2024 artfynd.xlsx", "A 7862-2024")</f>
        <v/>
      </c>
      <c r="T25">
        <f>HYPERLINK("https://klasma.github.io/Logging_1293/kartor/A 7862-2024 karta.png", "A 7862-2024")</f>
        <v/>
      </c>
      <c r="V25">
        <f>HYPERLINK("https://klasma.github.io/Logging_1293/klagomål/A 7862-2024 FSC-klagomål.docx", "A 7862-2024")</f>
        <v/>
      </c>
      <c r="W25">
        <f>HYPERLINK("https://klasma.github.io/Logging_1293/klagomålsmail/A 7862-2024 FSC-klagomål mail.docx", "A 7862-2024")</f>
        <v/>
      </c>
      <c r="X25">
        <f>HYPERLINK("https://klasma.github.io/Logging_1293/tillsyn/A 7862-2024 tillsynsbegäran.docx", "A 7862-2024")</f>
        <v/>
      </c>
      <c r="Y25">
        <f>HYPERLINK("https://klasma.github.io/Logging_1293/tillsynsmail/A 7862-2024 tillsynsbegäran mail.docx", "A 7862-2024")</f>
        <v/>
      </c>
    </row>
    <row r="26" ht="15" customHeight="1">
      <c r="A26" t="inlineStr">
        <is>
          <t>A 20280-2025</t>
        </is>
      </c>
      <c r="B26" s="1" t="n">
        <v>45774.38790509259</v>
      </c>
      <c r="C26" s="1" t="n">
        <v>46079</v>
      </c>
      <c r="D26" t="inlineStr">
        <is>
          <t>SKÅNE LÄN</t>
        </is>
      </c>
      <c r="E26" t="inlineStr">
        <is>
          <t>HÄSSLEHOLM</t>
        </is>
      </c>
      <c r="G26" t="n">
        <v>3</v>
      </c>
      <c r="H26" t="n">
        <v>0</v>
      </c>
      <c r="I26" t="n">
        <v>0</v>
      </c>
      <c r="J26" t="n">
        <v>0</v>
      </c>
      <c r="K26" t="n">
        <v>1</v>
      </c>
      <c r="L26" t="n">
        <v>0</v>
      </c>
      <c r="M26" t="n">
        <v>0</v>
      </c>
      <c r="N26" t="n">
        <v>0</v>
      </c>
      <c r="O26" t="n">
        <v>1</v>
      </c>
      <c r="P26" t="n">
        <v>1</v>
      </c>
      <c r="Q26" t="n">
        <v>1</v>
      </c>
      <c r="R26" s="2" t="inlineStr">
        <is>
          <t>Revig blodrot</t>
        </is>
      </c>
      <c r="S26">
        <f>HYPERLINK("https://klasma.github.io/Logging_1293/artfynd/A 20280-2025 artfynd.xlsx", "A 20280-2025")</f>
        <v/>
      </c>
      <c r="T26">
        <f>HYPERLINK("https://klasma.github.io/Logging_1293/kartor/A 20280-2025 karta.png", "A 20280-2025")</f>
        <v/>
      </c>
      <c r="V26">
        <f>HYPERLINK("https://klasma.github.io/Logging_1293/klagomål/A 20280-2025 FSC-klagomål.docx", "A 20280-2025")</f>
        <v/>
      </c>
      <c r="W26">
        <f>HYPERLINK("https://klasma.github.io/Logging_1293/klagomålsmail/A 20280-2025 FSC-klagomål mail.docx", "A 20280-2025")</f>
        <v/>
      </c>
      <c r="X26">
        <f>HYPERLINK("https://klasma.github.io/Logging_1293/tillsyn/A 20280-2025 tillsynsbegäran.docx", "A 20280-2025")</f>
        <v/>
      </c>
      <c r="Y26">
        <f>HYPERLINK("https://klasma.github.io/Logging_1293/tillsynsmail/A 20280-2025 tillsynsbegäran mail.docx", "A 20280-2025")</f>
        <v/>
      </c>
    </row>
    <row r="27" ht="15" customHeight="1">
      <c r="A27" t="inlineStr">
        <is>
          <t>A 61707-2024</t>
        </is>
      </c>
      <c r="B27" s="1" t="n">
        <v>45648.61747685185</v>
      </c>
      <c r="C27" s="1" t="n">
        <v>46079</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Rödlånke</t>
        </is>
      </c>
      <c r="S27">
        <f>HYPERLINK("https://klasma.github.io/Logging_1293/artfynd/A 61707-2024 artfynd.xlsx", "A 61707-2024")</f>
        <v/>
      </c>
      <c r="T27">
        <f>HYPERLINK("https://klasma.github.io/Logging_1293/kartor/A 61707-2024 karta.png", "A 61707-2024")</f>
        <v/>
      </c>
      <c r="V27">
        <f>HYPERLINK("https://klasma.github.io/Logging_1293/klagomål/A 61707-2024 FSC-klagomål.docx", "A 61707-2024")</f>
        <v/>
      </c>
      <c r="W27">
        <f>HYPERLINK("https://klasma.github.io/Logging_1293/klagomålsmail/A 61707-2024 FSC-klagomål mail.docx", "A 61707-2024")</f>
        <v/>
      </c>
      <c r="X27">
        <f>HYPERLINK("https://klasma.github.io/Logging_1293/tillsyn/A 61707-2024 tillsynsbegäran.docx", "A 61707-2024")</f>
        <v/>
      </c>
      <c r="Y27">
        <f>HYPERLINK("https://klasma.github.io/Logging_1293/tillsynsmail/A 61707-2024 tillsynsbegäran mail.docx", "A 61707-2024")</f>
        <v/>
      </c>
    </row>
    <row r="28" ht="15" customHeight="1">
      <c r="A28" t="inlineStr">
        <is>
          <t>A 40613-2025</t>
        </is>
      </c>
      <c r="B28" s="1" t="n">
        <v>45896</v>
      </c>
      <c r="C28" s="1" t="n">
        <v>46079</v>
      </c>
      <c r="D28" t="inlineStr">
        <is>
          <t>SKÅNE LÄN</t>
        </is>
      </c>
      <c r="E28" t="inlineStr">
        <is>
          <t>HÄSSLEHOLM</t>
        </is>
      </c>
      <c r="F28" t="inlineStr">
        <is>
          <t>Kyrkan</t>
        </is>
      </c>
      <c r="G28" t="n">
        <v>3.4</v>
      </c>
      <c r="H28" t="n">
        <v>1</v>
      </c>
      <c r="I28" t="n">
        <v>0</v>
      </c>
      <c r="J28" t="n">
        <v>0</v>
      </c>
      <c r="K28" t="n">
        <v>0</v>
      </c>
      <c r="L28" t="n">
        <v>0</v>
      </c>
      <c r="M28" t="n">
        <v>0</v>
      </c>
      <c r="N28" t="n">
        <v>0</v>
      </c>
      <c r="O28" t="n">
        <v>0</v>
      </c>
      <c r="P28" t="n">
        <v>0</v>
      </c>
      <c r="Q28" t="n">
        <v>1</v>
      </c>
      <c r="R28" s="2" t="inlineStr">
        <is>
          <t>Revlummer</t>
        </is>
      </c>
      <c r="S28">
        <f>HYPERLINK("https://klasma.github.io/Logging_1293/artfynd/A 40613-2025 artfynd.xlsx", "A 40613-2025")</f>
        <v/>
      </c>
      <c r="T28">
        <f>HYPERLINK("https://klasma.github.io/Logging_1293/kartor/A 40613-2025 karta.png", "A 40613-2025")</f>
        <v/>
      </c>
      <c r="V28">
        <f>HYPERLINK("https://klasma.github.io/Logging_1293/klagomål/A 40613-2025 FSC-klagomål.docx", "A 40613-2025")</f>
        <v/>
      </c>
      <c r="W28">
        <f>HYPERLINK("https://klasma.github.io/Logging_1293/klagomålsmail/A 40613-2025 FSC-klagomål mail.docx", "A 40613-2025")</f>
        <v/>
      </c>
      <c r="X28">
        <f>HYPERLINK("https://klasma.github.io/Logging_1293/tillsyn/A 40613-2025 tillsynsbegäran.docx", "A 40613-2025")</f>
        <v/>
      </c>
      <c r="Y28">
        <f>HYPERLINK("https://klasma.github.io/Logging_1293/tillsynsmail/A 40613-2025 tillsynsbegäran mail.docx", "A 40613-2025")</f>
        <v/>
      </c>
    </row>
    <row r="29" ht="15" customHeight="1">
      <c r="A29" t="inlineStr">
        <is>
          <t>A 6634-2024</t>
        </is>
      </c>
      <c r="B29" s="1" t="n">
        <v>45341</v>
      </c>
      <c r="C29" s="1" t="n">
        <v>46079</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60925-2024</t>
        </is>
      </c>
      <c r="B30" s="1" t="n">
        <v>45645.3550462963</v>
      </c>
      <c r="C30" s="1" t="n">
        <v>46079</v>
      </c>
      <c r="D30" t="inlineStr">
        <is>
          <t>SKÅNE LÄN</t>
        </is>
      </c>
      <c r="E30" t="inlineStr">
        <is>
          <t>HÄSSLEHOLM</t>
        </is>
      </c>
      <c r="G30" t="n">
        <v>1.8</v>
      </c>
      <c r="H30" t="n">
        <v>0</v>
      </c>
      <c r="I30" t="n">
        <v>0</v>
      </c>
      <c r="J30" t="n">
        <v>0</v>
      </c>
      <c r="K30" t="n">
        <v>0</v>
      </c>
      <c r="L30" t="n">
        <v>1</v>
      </c>
      <c r="M30" t="n">
        <v>0</v>
      </c>
      <c r="N30" t="n">
        <v>0</v>
      </c>
      <c r="O30" t="n">
        <v>1</v>
      </c>
      <c r="P30" t="n">
        <v>1</v>
      </c>
      <c r="Q30" t="n">
        <v>1</v>
      </c>
      <c r="R30" s="2" t="inlineStr">
        <is>
          <t>Ask</t>
        </is>
      </c>
      <c r="S30">
        <f>HYPERLINK("https://klasma.github.io/Logging_1293/artfynd/A 60925-2024 artfynd.xlsx", "A 60925-2024")</f>
        <v/>
      </c>
      <c r="T30">
        <f>HYPERLINK("https://klasma.github.io/Logging_1293/kartor/A 60925-2024 karta.png", "A 60925-2024")</f>
        <v/>
      </c>
      <c r="V30">
        <f>HYPERLINK("https://klasma.github.io/Logging_1293/klagomål/A 60925-2024 FSC-klagomål.docx", "A 60925-2024")</f>
        <v/>
      </c>
      <c r="W30">
        <f>HYPERLINK("https://klasma.github.io/Logging_1293/klagomålsmail/A 60925-2024 FSC-klagomål mail.docx", "A 60925-2024")</f>
        <v/>
      </c>
      <c r="X30">
        <f>HYPERLINK("https://klasma.github.io/Logging_1293/tillsyn/A 60925-2024 tillsynsbegäran.docx", "A 60925-2024")</f>
        <v/>
      </c>
      <c r="Y30">
        <f>HYPERLINK("https://klasma.github.io/Logging_1293/tillsynsmail/A 60925-2024 tillsynsbegäran mail.docx", "A 60925-2024")</f>
        <v/>
      </c>
    </row>
    <row r="31" ht="15" customHeight="1">
      <c r="A31" t="inlineStr">
        <is>
          <t>A 54523-2024</t>
        </is>
      </c>
      <c r="B31" s="1" t="n">
        <v>45617</v>
      </c>
      <c r="C31" s="1" t="n">
        <v>46079</v>
      </c>
      <c r="D31" t="inlineStr">
        <is>
          <t>SKÅNE LÄN</t>
        </is>
      </c>
      <c r="E31" t="inlineStr">
        <is>
          <t>HÄSSLEHOLM</t>
        </is>
      </c>
      <c r="G31" t="n">
        <v>4.5</v>
      </c>
      <c r="H31" t="n">
        <v>1</v>
      </c>
      <c r="I31" t="n">
        <v>0</v>
      </c>
      <c r="J31" t="n">
        <v>0</v>
      </c>
      <c r="K31" t="n">
        <v>0</v>
      </c>
      <c r="L31" t="n">
        <v>0</v>
      </c>
      <c r="M31" t="n">
        <v>0</v>
      </c>
      <c r="N31" t="n">
        <v>0</v>
      </c>
      <c r="O31" t="n">
        <v>0</v>
      </c>
      <c r="P31" t="n">
        <v>0</v>
      </c>
      <c r="Q31" t="n">
        <v>1</v>
      </c>
      <c r="R31" s="2" t="inlineStr">
        <is>
          <t>Grönvit nattviol</t>
        </is>
      </c>
      <c r="S31">
        <f>HYPERLINK("https://klasma.github.io/Logging_1293/artfynd/A 54523-2024 artfynd.xlsx", "A 54523-2024")</f>
        <v/>
      </c>
      <c r="T31">
        <f>HYPERLINK("https://klasma.github.io/Logging_1293/kartor/A 54523-2024 karta.png", "A 54523-2024")</f>
        <v/>
      </c>
      <c r="V31">
        <f>HYPERLINK("https://klasma.github.io/Logging_1293/klagomål/A 54523-2024 FSC-klagomål.docx", "A 54523-2024")</f>
        <v/>
      </c>
      <c r="W31">
        <f>HYPERLINK("https://klasma.github.io/Logging_1293/klagomålsmail/A 54523-2024 FSC-klagomål mail.docx", "A 54523-2024")</f>
        <v/>
      </c>
      <c r="X31">
        <f>HYPERLINK("https://klasma.github.io/Logging_1293/tillsyn/A 54523-2024 tillsynsbegäran.docx", "A 54523-2024")</f>
        <v/>
      </c>
      <c r="Y31">
        <f>HYPERLINK("https://klasma.github.io/Logging_1293/tillsynsmail/A 54523-2024 tillsynsbegäran mail.docx", "A 54523-2024")</f>
        <v/>
      </c>
    </row>
    <row r="32" ht="15" customHeight="1">
      <c r="A32" t="inlineStr">
        <is>
          <t>A 27390-2025</t>
        </is>
      </c>
      <c r="B32" s="1" t="n">
        <v>45812.67840277778</v>
      </c>
      <c r="C32" s="1" t="n">
        <v>46079</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Grönhjon</t>
        </is>
      </c>
      <c r="S32">
        <f>HYPERLINK("https://klasma.github.io/Logging_1293/artfynd/A 27390-2025 artfynd.xlsx", "A 27390-2025")</f>
        <v/>
      </c>
      <c r="T32">
        <f>HYPERLINK("https://klasma.github.io/Logging_1293/kartor/A 27390-2025 karta.png", "A 27390-2025")</f>
        <v/>
      </c>
      <c r="V32">
        <f>HYPERLINK("https://klasma.github.io/Logging_1293/klagomål/A 27390-2025 FSC-klagomål.docx", "A 27390-2025")</f>
        <v/>
      </c>
      <c r="W32">
        <f>HYPERLINK("https://klasma.github.io/Logging_1293/klagomålsmail/A 27390-2025 FSC-klagomål mail.docx", "A 27390-2025")</f>
        <v/>
      </c>
      <c r="X32">
        <f>HYPERLINK("https://klasma.github.io/Logging_1293/tillsyn/A 27390-2025 tillsynsbegäran.docx", "A 27390-2025")</f>
        <v/>
      </c>
      <c r="Y32">
        <f>HYPERLINK("https://klasma.github.io/Logging_1293/tillsynsmail/A 27390-2025 tillsynsbegäran mail.docx", "A 27390-2025")</f>
        <v/>
      </c>
    </row>
    <row r="33" ht="15" customHeight="1">
      <c r="A33" t="inlineStr">
        <is>
          <t>A 16107-2025</t>
        </is>
      </c>
      <c r="B33" s="1" t="n">
        <v>45750.34537037037</v>
      </c>
      <c r="C33" s="1" t="n">
        <v>46079</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49572-2022</t>
        </is>
      </c>
      <c r="B34" s="1" t="n">
        <v>44862.335</v>
      </c>
      <c r="C34" s="1" t="n">
        <v>46079</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57533-2025</t>
        </is>
      </c>
      <c r="B35" s="1" t="n">
        <v>45980.63923611111</v>
      </c>
      <c r="C35" s="1" t="n">
        <v>46079</v>
      </c>
      <c r="D35" t="inlineStr">
        <is>
          <t>SKÅNE LÄN</t>
        </is>
      </c>
      <c r="E35" t="inlineStr">
        <is>
          <t>HÄSSLEHOLM</t>
        </is>
      </c>
      <c r="G35" t="n">
        <v>0.9</v>
      </c>
      <c r="H35" t="n">
        <v>0</v>
      </c>
      <c r="I35" t="n">
        <v>1</v>
      </c>
      <c r="J35" t="n">
        <v>0</v>
      </c>
      <c r="K35" t="n">
        <v>0</v>
      </c>
      <c r="L35" t="n">
        <v>0</v>
      </c>
      <c r="M35" t="n">
        <v>0</v>
      </c>
      <c r="N35" t="n">
        <v>0</v>
      </c>
      <c r="O35" t="n">
        <v>0</v>
      </c>
      <c r="P35" t="n">
        <v>0</v>
      </c>
      <c r="Q35" t="n">
        <v>1</v>
      </c>
      <c r="R35" s="2" t="inlineStr">
        <is>
          <t>Strutbräken</t>
        </is>
      </c>
      <c r="S35">
        <f>HYPERLINK("https://klasma.github.io/Logging_1293/artfynd/A 57533-2025 artfynd.xlsx", "A 57533-2025")</f>
        <v/>
      </c>
      <c r="T35">
        <f>HYPERLINK("https://klasma.github.io/Logging_1293/kartor/A 57533-2025 karta.png", "A 57533-2025")</f>
        <v/>
      </c>
      <c r="V35">
        <f>HYPERLINK("https://klasma.github.io/Logging_1293/klagomål/A 57533-2025 FSC-klagomål.docx", "A 57533-2025")</f>
        <v/>
      </c>
      <c r="W35">
        <f>HYPERLINK("https://klasma.github.io/Logging_1293/klagomålsmail/A 57533-2025 FSC-klagomål mail.docx", "A 57533-2025")</f>
        <v/>
      </c>
      <c r="X35">
        <f>HYPERLINK("https://klasma.github.io/Logging_1293/tillsyn/A 57533-2025 tillsynsbegäran.docx", "A 57533-2025")</f>
        <v/>
      </c>
      <c r="Y35">
        <f>HYPERLINK("https://klasma.github.io/Logging_1293/tillsynsmail/A 57533-2025 tillsynsbegäran mail.docx", "A 57533-2025")</f>
        <v/>
      </c>
    </row>
    <row r="36" ht="15" customHeight="1">
      <c r="A36" t="inlineStr">
        <is>
          <t>A 36690-2025</t>
        </is>
      </c>
      <c r="B36" s="1" t="n">
        <v>45873.42915509259</v>
      </c>
      <c r="C36" s="1" t="n">
        <v>46079</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29272-2023</t>
        </is>
      </c>
      <c r="B37" s="1" t="n">
        <v>45105</v>
      </c>
      <c r="C37" s="1" t="n">
        <v>46079</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46079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46079</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46079</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46079</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46079</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46079</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46079</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46079</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46079</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46079</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46079</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46079</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46079</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46079</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46079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46079</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46079</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46079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46079</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46079</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46079</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46079</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46079</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46079</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46079</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46079</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7249-2022</t>
        </is>
      </c>
      <c r="B66" s="1" t="n">
        <v>44606</v>
      </c>
      <c r="C66" s="1" t="n">
        <v>46079</v>
      </c>
      <c r="D66" t="inlineStr">
        <is>
          <t>SKÅNE LÄN</t>
        </is>
      </c>
      <c r="E66" t="inlineStr">
        <is>
          <t>HÄSSLEHOLM</t>
        </is>
      </c>
      <c r="F66" t="inlineStr">
        <is>
          <t>Övriga Aktiebolag</t>
        </is>
      </c>
      <c r="G66" t="n">
        <v>0.6</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46079</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46079</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46079</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46079</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46079</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46079</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46079</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46079</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46079</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46079</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46079</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46079</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46079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46079</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46079</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46079</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46079</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46079</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46079</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46079</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46079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46079</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46079</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46079</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46079</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46079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46079</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46079</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46079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46079</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18515-2021</t>
        </is>
      </c>
      <c r="B97" s="1" t="n">
        <v>44305</v>
      </c>
      <c r="C97" s="1" t="n">
        <v>46079</v>
      </c>
      <c r="D97" t="inlineStr">
        <is>
          <t>SKÅNE LÄN</t>
        </is>
      </c>
      <c r="E97" t="inlineStr">
        <is>
          <t>HÄSSLEHOLM</t>
        </is>
      </c>
      <c r="F97" t="inlineStr">
        <is>
          <t>Övriga Aktiebolag</t>
        </is>
      </c>
      <c r="G97" t="n">
        <v>0.5</v>
      </c>
      <c r="H97" t="n">
        <v>0</v>
      </c>
      <c r="I97" t="n">
        <v>0</v>
      </c>
      <c r="J97" t="n">
        <v>0</v>
      </c>
      <c r="K97" t="n">
        <v>0</v>
      </c>
      <c r="L97" t="n">
        <v>0</v>
      </c>
      <c r="M97" t="n">
        <v>0</v>
      </c>
      <c r="N97" t="n">
        <v>0</v>
      </c>
      <c r="O97" t="n">
        <v>0</v>
      </c>
      <c r="P97" t="n">
        <v>0</v>
      </c>
      <c r="Q97" t="n">
        <v>0</v>
      </c>
      <c r="R97" s="2" t="inlineStr"/>
    </row>
    <row r="98" ht="15" customHeight="1">
      <c r="A98" t="inlineStr">
        <is>
          <t>A 18523-2021</t>
        </is>
      </c>
      <c r="B98" s="1" t="n">
        <v>44305</v>
      </c>
      <c r="C98" s="1" t="n">
        <v>46079</v>
      </c>
      <c r="D98" t="inlineStr">
        <is>
          <t>SKÅNE LÄN</t>
        </is>
      </c>
      <c r="E98" t="inlineStr">
        <is>
          <t>HÄSSLEHOLM</t>
        </is>
      </c>
      <c r="F98" t="inlineStr">
        <is>
          <t>Övriga Aktiebolag</t>
        </is>
      </c>
      <c r="G98" t="n">
        <v>1.2</v>
      </c>
      <c r="H98" t="n">
        <v>0</v>
      </c>
      <c r="I98" t="n">
        <v>0</v>
      </c>
      <c r="J98" t="n">
        <v>0</v>
      </c>
      <c r="K98" t="n">
        <v>0</v>
      </c>
      <c r="L98" t="n">
        <v>0</v>
      </c>
      <c r="M98" t="n">
        <v>0</v>
      </c>
      <c r="N98" t="n">
        <v>0</v>
      </c>
      <c r="O98" t="n">
        <v>0</v>
      </c>
      <c r="P98" t="n">
        <v>0</v>
      </c>
      <c r="Q98" t="n">
        <v>0</v>
      </c>
      <c r="R98" s="2" t="inlineStr"/>
    </row>
    <row r="99" ht="15" customHeight="1">
      <c r="A99" t="inlineStr">
        <is>
          <t>A 12617-2021</t>
        </is>
      </c>
      <c r="B99" s="1" t="n">
        <v>44270.45030092593</v>
      </c>
      <c r="C99" s="1" t="n">
        <v>46079</v>
      </c>
      <c r="D99" t="inlineStr">
        <is>
          <t>SKÅNE LÄN</t>
        </is>
      </c>
      <c r="E99" t="inlineStr">
        <is>
          <t>HÄSSLEHOLM</t>
        </is>
      </c>
      <c r="G99" t="n">
        <v>1.2</v>
      </c>
      <c r="H99" t="n">
        <v>0</v>
      </c>
      <c r="I99" t="n">
        <v>0</v>
      </c>
      <c r="J99" t="n">
        <v>0</v>
      </c>
      <c r="K99" t="n">
        <v>0</v>
      </c>
      <c r="L99" t="n">
        <v>0</v>
      </c>
      <c r="M99" t="n">
        <v>0</v>
      </c>
      <c r="N99" t="n">
        <v>0</v>
      </c>
      <c r="O99" t="n">
        <v>0</v>
      </c>
      <c r="P99" t="n">
        <v>0</v>
      </c>
      <c r="Q99" t="n">
        <v>0</v>
      </c>
      <c r="R99" s="2" t="inlineStr"/>
    </row>
    <row r="100" ht="15" customHeight="1">
      <c r="A100" t="inlineStr">
        <is>
          <t>A 44328-2021</t>
        </is>
      </c>
      <c r="B100" s="1" t="n">
        <v>44435</v>
      </c>
      <c r="C100" s="1" t="n">
        <v>46079</v>
      </c>
      <c r="D100" t="inlineStr">
        <is>
          <t>SKÅNE LÄN</t>
        </is>
      </c>
      <c r="E100" t="inlineStr">
        <is>
          <t>HÄSSLEHOLM</t>
        </is>
      </c>
      <c r="G100" t="n">
        <v>2.7</v>
      </c>
      <c r="H100" t="n">
        <v>0</v>
      </c>
      <c r="I100" t="n">
        <v>0</v>
      </c>
      <c r="J100" t="n">
        <v>0</v>
      </c>
      <c r="K100" t="n">
        <v>0</v>
      </c>
      <c r="L100" t="n">
        <v>0</v>
      </c>
      <c r="M100" t="n">
        <v>0</v>
      </c>
      <c r="N100" t="n">
        <v>0</v>
      </c>
      <c r="O100" t="n">
        <v>0</v>
      </c>
      <c r="P100" t="n">
        <v>0</v>
      </c>
      <c r="Q100" t="n">
        <v>0</v>
      </c>
      <c r="R100" s="2" t="inlineStr"/>
    </row>
    <row r="101" ht="15" customHeight="1">
      <c r="A101" t="inlineStr">
        <is>
          <t>A 2631-2022</t>
        </is>
      </c>
      <c r="B101" s="1" t="n">
        <v>44580</v>
      </c>
      <c r="C101" s="1" t="n">
        <v>46079</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56431-2021</t>
        </is>
      </c>
      <c r="B102" s="1" t="n">
        <v>44480</v>
      </c>
      <c r="C102" s="1" t="n">
        <v>46079</v>
      </c>
      <c r="D102" t="inlineStr">
        <is>
          <t>SKÅNE LÄN</t>
        </is>
      </c>
      <c r="E102" t="inlineStr">
        <is>
          <t>HÄSSLEHOLM</t>
        </is>
      </c>
      <c r="F102" t="inlineStr">
        <is>
          <t>Kyrkan</t>
        </is>
      </c>
      <c r="G102" t="n">
        <v>0.9</v>
      </c>
      <c r="H102" t="n">
        <v>0</v>
      </c>
      <c r="I102" t="n">
        <v>0</v>
      </c>
      <c r="J102" t="n">
        <v>0</v>
      </c>
      <c r="K102" t="n">
        <v>0</v>
      </c>
      <c r="L102" t="n">
        <v>0</v>
      </c>
      <c r="M102" t="n">
        <v>0</v>
      </c>
      <c r="N102" t="n">
        <v>0</v>
      </c>
      <c r="O102" t="n">
        <v>0</v>
      </c>
      <c r="P102" t="n">
        <v>0</v>
      </c>
      <c r="Q102" t="n">
        <v>0</v>
      </c>
      <c r="R102" s="2" t="inlineStr"/>
    </row>
    <row r="103" ht="15" customHeight="1">
      <c r="A103" t="inlineStr">
        <is>
          <t>A 9292-2022</t>
        </is>
      </c>
      <c r="B103" s="1" t="n">
        <v>44616</v>
      </c>
      <c r="C103" s="1" t="n">
        <v>46079</v>
      </c>
      <c r="D103" t="inlineStr">
        <is>
          <t>SKÅNE LÄN</t>
        </is>
      </c>
      <c r="E103" t="inlineStr">
        <is>
          <t>HÄSSLEHOLM</t>
        </is>
      </c>
      <c r="G103" t="n">
        <v>1.6</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46079</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46079</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3277-2022</t>
        </is>
      </c>
      <c r="B106" s="1" t="n">
        <v>44584.41274305555</v>
      </c>
      <c r="C106" s="1" t="n">
        <v>46079</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46217-2022</t>
        </is>
      </c>
      <c r="B107" s="1" t="n">
        <v>44846</v>
      </c>
      <c r="C107" s="1" t="n">
        <v>46079</v>
      </c>
      <c r="D107" t="inlineStr">
        <is>
          <t>SKÅNE LÄN</t>
        </is>
      </c>
      <c r="E107" t="inlineStr">
        <is>
          <t>HÄSSLEHOLM</t>
        </is>
      </c>
      <c r="G107" t="n">
        <v>3.1</v>
      </c>
      <c r="H107" t="n">
        <v>0</v>
      </c>
      <c r="I107" t="n">
        <v>0</v>
      </c>
      <c r="J107" t="n">
        <v>0</v>
      </c>
      <c r="K107" t="n">
        <v>0</v>
      </c>
      <c r="L107" t="n">
        <v>0</v>
      </c>
      <c r="M107" t="n">
        <v>0</v>
      </c>
      <c r="N107" t="n">
        <v>0</v>
      </c>
      <c r="O107" t="n">
        <v>0</v>
      </c>
      <c r="P107" t="n">
        <v>0</v>
      </c>
      <c r="Q107" t="n">
        <v>0</v>
      </c>
      <c r="R107" s="2" t="inlineStr"/>
    </row>
    <row r="108" ht="15" customHeight="1">
      <c r="A108" t="inlineStr">
        <is>
          <t>A 15423-2022</t>
        </is>
      </c>
      <c r="B108" s="1" t="n">
        <v>44659</v>
      </c>
      <c r="C108" s="1" t="n">
        <v>46079</v>
      </c>
      <c r="D108" t="inlineStr">
        <is>
          <t>SKÅNE LÄN</t>
        </is>
      </c>
      <c r="E108" t="inlineStr">
        <is>
          <t>HÄSSLEHOLM</t>
        </is>
      </c>
      <c r="F108" t="inlineStr">
        <is>
          <t>Kyrkan</t>
        </is>
      </c>
      <c r="G108" t="n">
        <v>0.9</v>
      </c>
      <c r="H108" t="n">
        <v>0</v>
      </c>
      <c r="I108" t="n">
        <v>0</v>
      </c>
      <c r="J108" t="n">
        <v>0</v>
      </c>
      <c r="K108" t="n">
        <v>0</v>
      </c>
      <c r="L108" t="n">
        <v>0</v>
      </c>
      <c r="M108" t="n">
        <v>0</v>
      </c>
      <c r="N108" t="n">
        <v>0</v>
      </c>
      <c r="O108" t="n">
        <v>0</v>
      </c>
      <c r="P108" t="n">
        <v>0</v>
      </c>
      <c r="Q108" t="n">
        <v>0</v>
      </c>
      <c r="R108" s="2" t="inlineStr"/>
    </row>
    <row r="109" ht="15" customHeight="1">
      <c r="A109" t="inlineStr">
        <is>
          <t>A 14054-2021</t>
        </is>
      </c>
      <c r="B109" s="1" t="n">
        <v>44277</v>
      </c>
      <c r="C109" s="1" t="n">
        <v>46079</v>
      </c>
      <c r="D109" t="inlineStr">
        <is>
          <t>SKÅNE LÄN</t>
        </is>
      </c>
      <c r="E109" t="inlineStr">
        <is>
          <t>HÄSSLEHOLM</t>
        </is>
      </c>
      <c r="G109" t="n">
        <v>2</v>
      </c>
      <c r="H109" t="n">
        <v>0</v>
      </c>
      <c r="I109" t="n">
        <v>0</v>
      </c>
      <c r="J109" t="n">
        <v>0</v>
      </c>
      <c r="K109" t="n">
        <v>0</v>
      </c>
      <c r="L109" t="n">
        <v>0</v>
      </c>
      <c r="M109" t="n">
        <v>0</v>
      </c>
      <c r="N109" t="n">
        <v>0</v>
      </c>
      <c r="O109" t="n">
        <v>0</v>
      </c>
      <c r="P109" t="n">
        <v>0</v>
      </c>
      <c r="Q109" t="n">
        <v>0</v>
      </c>
      <c r="R109" s="2" t="inlineStr"/>
    </row>
    <row r="110" ht="15" customHeight="1">
      <c r="A110" t="inlineStr">
        <is>
          <t>A 45349-2022</t>
        </is>
      </c>
      <c r="B110" s="1" t="n">
        <v>44844.6118287037</v>
      </c>
      <c r="C110" s="1" t="n">
        <v>46079</v>
      </c>
      <c r="D110" t="inlineStr">
        <is>
          <t>SKÅNE LÄN</t>
        </is>
      </c>
      <c r="E110" t="inlineStr">
        <is>
          <t>HÄSSLEHOLM</t>
        </is>
      </c>
      <c r="G110" t="n">
        <v>6.2</v>
      </c>
      <c r="H110" t="n">
        <v>0</v>
      </c>
      <c r="I110" t="n">
        <v>0</v>
      </c>
      <c r="J110" t="n">
        <v>0</v>
      </c>
      <c r="K110" t="n">
        <v>0</v>
      </c>
      <c r="L110" t="n">
        <v>0</v>
      </c>
      <c r="M110" t="n">
        <v>0</v>
      </c>
      <c r="N110" t="n">
        <v>0</v>
      </c>
      <c r="O110" t="n">
        <v>0</v>
      </c>
      <c r="P110" t="n">
        <v>0</v>
      </c>
      <c r="Q110" t="n">
        <v>0</v>
      </c>
      <c r="R110" s="2" t="inlineStr"/>
    </row>
    <row r="111" ht="15" customHeight="1">
      <c r="A111" t="inlineStr">
        <is>
          <t>A 56989-2021</t>
        </is>
      </c>
      <c r="B111" s="1" t="n">
        <v>44482</v>
      </c>
      <c r="C111" s="1" t="n">
        <v>46079</v>
      </c>
      <c r="D111" t="inlineStr">
        <is>
          <t>SKÅNE LÄN</t>
        </is>
      </c>
      <c r="E111" t="inlineStr">
        <is>
          <t>HÄSSLEHOLM</t>
        </is>
      </c>
      <c r="G111" t="n">
        <v>1.1</v>
      </c>
      <c r="H111" t="n">
        <v>0</v>
      </c>
      <c r="I111" t="n">
        <v>0</v>
      </c>
      <c r="J111" t="n">
        <v>0</v>
      </c>
      <c r="K111" t="n">
        <v>0</v>
      </c>
      <c r="L111" t="n">
        <v>0</v>
      </c>
      <c r="M111" t="n">
        <v>0</v>
      </c>
      <c r="N111" t="n">
        <v>0</v>
      </c>
      <c r="O111" t="n">
        <v>0</v>
      </c>
      <c r="P111" t="n">
        <v>0</v>
      </c>
      <c r="Q111" t="n">
        <v>0</v>
      </c>
      <c r="R111" s="2" t="inlineStr"/>
    </row>
    <row r="112" ht="15" customHeight="1">
      <c r="A112" t="inlineStr">
        <is>
          <t>A 4156-2022</t>
        </is>
      </c>
      <c r="B112" s="1" t="n">
        <v>44588</v>
      </c>
      <c r="C112" s="1" t="n">
        <v>46079</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51159-2021</t>
        </is>
      </c>
      <c r="B113" s="1" t="n">
        <v>44461</v>
      </c>
      <c r="C113" s="1" t="n">
        <v>46079</v>
      </c>
      <c r="D113" t="inlineStr">
        <is>
          <t>SKÅNE LÄN</t>
        </is>
      </c>
      <c r="E113" t="inlineStr">
        <is>
          <t>HÄSSLEHOLM</t>
        </is>
      </c>
      <c r="F113" t="inlineStr">
        <is>
          <t>Kommuner</t>
        </is>
      </c>
      <c r="G113" t="n">
        <v>0.8</v>
      </c>
      <c r="H113" t="n">
        <v>0</v>
      </c>
      <c r="I113" t="n">
        <v>0</v>
      </c>
      <c r="J113" t="n">
        <v>0</v>
      </c>
      <c r="K113" t="n">
        <v>0</v>
      </c>
      <c r="L113" t="n">
        <v>0</v>
      </c>
      <c r="M113" t="n">
        <v>0</v>
      </c>
      <c r="N113" t="n">
        <v>0</v>
      </c>
      <c r="O113" t="n">
        <v>0</v>
      </c>
      <c r="P113" t="n">
        <v>0</v>
      </c>
      <c r="Q113" t="n">
        <v>0</v>
      </c>
      <c r="R113" s="2" t="inlineStr"/>
    </row>
    <row r="114" ht="15" customHeight="1">
      <c r="A114" t="inlineStr">
        <is>
          <t>A 25383-2021</t>
        </is>
      </c>
      <c r="B114" s="1" t="n">
        <v>44342</v>
      </c>
      <c r="C114" s="1" t="n">
        <v>46079</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15118-2022</t>
        </is>
      </c>
      <c r="B115" s="1" t="n">
        <v>44659</v>
      </c>
      <c r="C115" s="1" t="n">
        <v>46079</v>
      </c>
      <c r="D115" t="inlineStr">
        <is>
          <t>SKÅNE LÄN</t>
        </is>
      </c>
      <c r="E115" t="inlineStr">
        <is>
          <t>HÄSSLEHOLM</t>
        </is>
      </c>
      <c r="F115" t="inlineStr">
        <is>
          <t>Kyrkan</t>
        </is>
      </c>
      <c r="G115" t="n">
        <v>0.7</v>
      </c>
      <c r="H115" t="n">
        <v>0</v>
      </c>
      <c r="I115" t="n">
        <v>0</v>
      </c>
      <c r="J115" t="n">
        <v>0</v>
      </c>
      <c r="K115" t="n">
        <v>0</v>
      </c>
      <c r="L115" t="n">
        <v>0</v>
      </c>
      <c r="M115" t="n">
        <v>0</v>
      </c>
      <c r="N115" t="n">
        <v>0</v>
      </c>
      <c r="O115" t="n">
        <v>0</v>
      </c>
      <c r="P115" t="n">
        <v>0</v>
      </c>
      <c r="Q115" t="n">
        <v>0</v>
      </c>
      <c r="R115" s="2" t="inlineStr"/>
    </row>
    <row r="116" ht="15" customHeight="1">
      <c r="A116" t="inlineStr">
        <is>
          <t>A 27330-2021</t>
        </is>
      </c>
      <c r="B116" s="1" t="n">
        <v>44351</v>
      </c>
      <c r="C116" s="1" t="n">
        <v>46079</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43639-2021</t>
        </is>
      </c>
      <c r="B117" s="1" t="n">
        <v>44433</v>
      </c>
      <c r="C117" s="1" t="n">
        <v>46079</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52567-2021</t>
        </is>
      </c>
      <c r="B118" s="1" t="n">
        <v>44466</v>
      </c>
      <c r="C118" s="1" t="n">
        <v>46079</v>
      </c>
      <c r="D118" t="inlineStr">
        <is>
          <t>SKÅNE LÄN</t>
        </is>
      </c>
      <c r="E118" t="inlineStr">
        <is>
          <t>HÄSSLEHOLM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3276-2022</t>
        </is>
      </c>
      <c r="B119" s="1" t="n">
        <v>44584.40916666666</v>
      </c>
      <c r="C119" s="1" t="n">
        <v>46079</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52461-2021</t>
        </is>
      </c>
      <c r="B120" s="1" t="n">
        <v>44466</v>
      </c>
      <c r="C120" s="1" t="n">
        <v>46079</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46079</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63972-2021</t>
        </is>
      </c>
      <c r="B122" s="1" t="n">
        <v>44509.89649305555</v>
      </c>
      <c r="C122" s="1" t="n">
        <v>46079</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354-2022</t>
        </is>
      </c>
      <c r="B123" s="1" t="n">
        <v>44565.62510416667</v>
      </c>
      <c r="C123" s="1" t="n">
        <v>46079</v>
      </c>
      <c r="D123" t="inlineStr">
        <is>
          <t>SKÅNE LÄN</t>
        </is>
      </c>
      <c r="E123" t="inlineStr">
        <is>
          <t>HÄSSLEHOLM</t>
        </is>
      </c>
      <c r="G123" t="n">
        <v>2.4</v>
      </c>
      <c r="H123" t="n">
        <v>0</v>
      </c>
      <c r="I123" t="n">
        <v>0</v>
      </c>
      <c r="J123" t="n">
        <v>0</v>
      </c>
      <c r="K123" t="n">
        <v>0</v>
      </c>
      <c r="L123" t="n">
        <v>0</v>
      </c>
      <c r="M123" t="n">
        <v>0</v>
      </c>
      <c r="N123" t="n">
        <v>0</v>
      </c>
      <c r="O123" t="n">
        <v>0</v>
      </c>
      <c r="P123" t="n">
        <v>0</v>
      </c>
      <c r="Q123" t="n">
        <v>0</v>
      </c>
      <c r="R123" s="2" t="inlineStr"/>
    </row>
    <row r="124" ht="15" customHeight="1">
      <c r="A124" t="inlineStr">
        <is>
          <t>A 32892-2021</t>
        </is>
      </c>
      <c r="B124" s="1" t="n">
        <v>44375</v>
      </c>
      <c r="C124" s="1" t="n">
        <v>46079</v>
      </c>
      <c r="D124" t="inlineStr">
        <is>
          <t>SKÅNE LÄN</t>
        </is>
      </c>
      <c r="E124" t="inlineStr">
        <is>
          <t>HÄSSLEHOLM</t>
        </is>
      </c>
      <c r="G124" t="n">
        <v>2.9</v>
      </c>
      <c r="H124" t="n">
        <v>0</v>
      </c>
      <c r="I124" t="n">
        <v>0</v>
      </c>
      <c r="J124" t="n">
        <v>0</v>
      </c>
      <c r="K124" t="n">
        <v>0</v>
      </c>
      <c r="L124" t="n">
        <v>0</v>
      </c>
      <c r="M124" t="n">
        <v>0</v>
      </c>
      <c r="N124" t="n">
        <v>0</v>
      </c>
      <c r="O124" t="n">
        <v>0</v>
      </c>
      <c r="P124" t="n">
        <v>0</v>
      </c>
      <c r="Q124" t="n">
        <v>0</v>
      </c>
      <c r="R124" s="2" t="inlineStr"/>
    </row>
    <row r="125" ht="15" customHeight="1">
      <c r="A125" t="inlineStr">
        <is>
          <t>A 74297-2021</t>
        </is>
      </c>
      <c r="B125" s="1" t="n">
        <v>44558</v>
      </c>
      <c r="C125" s="1" t="n">
        <v>46079</v>
      </c>
      <c r="D125" t="inlineStr">
        <is>
          <t>SKÅNE LÄN</t>
        </is>
      </c>
      <c r="E125" t="inlineStr">
        <is>
          <t>HÄSSLEHOLM</t>
        </is>
      </c>
      <c r="F125" t="inlineStr">
        <is>
          <t>Kyrkan</t>
        </is>
      </c>
      <c r="G125" t="n">
        <v>3.8</v>
      </c>
      <c r="H125" t="n">
        <v>0</v>
      </c>
      <c r="I125" t="n">
        <v>0</v>
      </c>
      <c r="J125" t="n">
        <v>0</v>
      </c>
      <c r="K125" t="n">
        <v>0</v>
      </c>
      <c r="L125" t="n">
        <v>0</v>
      </c>
      <c r="M125" t="n">
        <v>0</v>
      </c>
      <c r="N125" t="n">
        <v>0</v>
      </c>
      <c r="O125" t="n">
        <v>0</v>
      </c>
      <c r="P125" t="n">
        <v>0</v>
      </c>
      <c r="Q125" t="n">
        <v>0</v>
      </c>
      <c r="R125" s="2" t="inlineStr"/>
    </row>
    <row r="126" ht="15" customHeight="1">
      <c r="A126" t="inlineStr">
        <is>
          <t>A 41581-2021</t>
        </is>
      </c>
      <c r="B126" s="1" t="n">
        <v>44425.40167824074</v>
      </c>
      <c r="C126" s="1" t="n">
        <v>46079</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46079</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52786-2021</t>
        </is>
      </c>
      <c r="B128" s="1" t="n">
        <v>44467.36061342592</v>
      </c>
      <c r="C128" s="1" t="n">
        <v>46079</v>
      </c>
      <c r="D128" t="inlineStr">
        <is>
          <t>SKÅNE LÄN</t>
        </is>
      </c>
      <c r="E128" t="inlineStr">
        <is>
          <t>HÄSSLEHOLM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37334-2021</t>
        </is>
      </c>
      <c r="B129" s="1" t="n">
        <v>44397.57800925926</v>
      </c>
      <c r="C129" s="1" t="n">
        <v>46079</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20659-2021</t>
        </is>
      </c>
      <c r="B130" s="1" t="n">
        <v>44316</v>
      </c>
      <c r="C130" s="1" t="n">
        <v>46079</v>
      </c>
      <c r="D130" t="inlineStr">
        <is>
          <t>SKÅNE LÄN</t>
        </is>
      </c>
      <c r="E130" t="inlineStr">
        <is>
          <t>HÄSSLEHOLM</t>
        </is>
      </c>
      <c r="G130" t="n">
        <v>2.8</v>
      </c>
      <c r="H130" t="n">
        <v>0</v>
      </c>
      <c r="I130" t="n">
        <v>0</v>
      </c>
      <c r="J130" t="n">
        <v>0</v>
      </c>
      <c r="K130" t="n">
        <v>0</v>
      </c>
      <c r="L130" t="n">
        <v>0</v>
      </c>
      <c r="M130" t="n">
        <v>0</v>
      </c>
      <c r="N130" t="n">
        <v>0</v>
      </c>
      <c r="O130" t="n">
        <v>0</v>
      </c>
      <c r="P130" t="n">
        <v>0</v>
      </c>
      <c r="Q130" t="n">
        <v>0</v>
      </c>
      <c r="R130" s="2" t="inlineStr"/>
    </row>
    <row r="131" ht="15" customHeight="1">
      <c r="A131" t="inlineStr">
        <is>
          <t>A 29143-2021</t>
        </is>
      </c>
      <c r="B131" s="1" t="n">
        <v>44358.6319212963</v>
      </c>
      <c r="C131" s="1" t="n">
        <v>46079</v>
      </c>
      <c r="D131" t="inlineStr">
        <is>
          <t>SKÅNE LÄN</t>
        </is>
      </c>
      <c r="E131" t="inlineStr">
        <is>
          <t>HÄSSLEHOLM</t>
        </is>
      </c>
      <c r="G131" t="n">
        <v>2.9</v>
      </c>
      <c r="H131" t="n">
        <v>0</v>
      </c>
      <c r="I131" t="n">
        <v>0</v>
      </c>
      <c r="J131" t="n">
        <v>0</v>
      </c>
      <c r="K131" t="n">
        <v>0</v>
      </c>
      <c r="L131" t="n">
        <v>0</v>
      </c>
      <c r="M131" t="n">
        <v>0</v>
      </c>
      <c r="N131" t="n">
        <v>0</v>
      </c>
      <c r="O131" t="n">
        <v>0</v>
      </c>
      <c r="P131" t="n">
        <v>0</v>
      </c>
      <c r="Q131" t="n">
        <v>0</v>
      </c>
      <c r="R131" s="2" t="inlineStr"/>
    </row>
    <row r="132" ht="15" customHeight="1">
      <c r="A132" t="inlineStr">
        <is>
          <t>A 21535-2021</t>
        </is>
      </c>
      <c r="B132" s="1" t="n">
        <v>44321</v>
      </c>
      <c r="C132" s="1" t="n">
        <v>46079</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39102-2022</t>
        </is>
      </c>
      <c r="B133" s="1" t="n">
        <v>44817.43260416666</v>
      </c>
      <c r="C133" s="1" t="n">
        <v>46079</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46079</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46079</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46079</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47112-2021</t>
        </is>
      </c>
      <c r="B137" s="1" t="n">
        <v>44446</v>
      </c>
      <c r="C137" s="1" t="n">
        <v>46079</v>
      </c>
      <c r="D137" t="inlineStr">
        <is>
          <t>SKÅNE LÄN</t>
        </is>
      </c>
      <c r="E137" t="inlineStr">
        <is>
          <t>HÄSSLEHOLM</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44669-2022</t>
        </is>
      </c>
      <c r="B138" s="1" t="n">
        <v>44840</v>
      </c>
      <c r="C138" s="1" t="n">
        <v>46079</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33736-2021</t>
        </is>
      </c>
      <c r="B139" s="1" t="n">
        <v>44378</v>
      </c>
      <c r="C139" s="1" t="n">
        <v>46079</v>
      </c>
      <c r="D139" t="inlineStr">
        <is>
          <t>SKÅNE LÄN</t>
        </is>
      </c>
      <c r="E139" t="inlineStr">
        <is>
          <t>HÄSSLEHOLM</t>
        </is>
      </c>
      <c r="G139" t="n">
        <v>7.6</v>
      </c>
      <c r="H139" t="n">
        <v>0</v>
      </c>
      <c r="I139" t="n">
        <v>0</v>
      </c>
      <c r="J139" t="n">
        <v>0</v>
      </c>
      <c r="K139" t="n">
        <v>0</v>
      </c>
      <c r="L139" t="n">
        <v>0</v>
      </c>
      <c r="M139" t="n">
        <v>0</v>
      </c>
      <c r="N139" t="n">
        <v>0</v>
      </c>
      <c r="O139" t="n">
        <v>0</v>
      </c>
      <c r="P139" t="n">
        <v>0</v>
      </c>
      <c r="Q139" t="n">
        <v>0</v>
      </c>
      <c r="R139" s="2" t="inlineStr"/>
    </row>
    <row r="140" ht="15" customHeight="1">
      <c r="A140" t="inlineStr">
        <is>
          <t>A 26386-2022</t>
        </is>
      </c>
      <c r="B140" s="1" t="n">
        <v>44735.6803125</v>
      </c>
      <c r="C140" s="1" t="n">
        <v>46079</v>
      </c>
      <c r="D140" t="inlineStr">
        <is>
          <t>SKÅNE LÄN</t>
        </is>
      </c>
      <c r="E140" t="inlineStr">
        <is>
          <t>HÄSSLEHOLM</t>
        </is>
      </c>
      <c r="G140" t="n">
        <v>1.5</v>
      </c>
      <c r="H140" t="n">
        <v>0</v>
      </c>
      <c r="I140" t="n">
        <v>0</v>
      </c>
      <c r="J140" t="n">
        <v>0</v>
      </c>
      <c r="K140" t="n">
        <v>0</v>
      </c>
      <c r="L140" t="n">
        <v>0</v>
      </c>
      <c r="M140" t="n">
        <v>0</v>
      </c>
      <c r="N140" t="n">
        <v>0</v>
      </c>
      <c r="O140" t="n">
        <v>0</v>
      </c>
      <c r="P140" t="n">
        <v>0</v>
      </c>
      <c r="Q140" t="n">
        <v>0</v>
      </c>
      <c r="R140" s="2" t="inlineStr"/>
    </row>
    <row r="141" ht="15" customHeight="1">
      <c r="A141" t="inlineStr">
        <is>
          <t>A 52295-2021</t>
        </is>
      </c>
      <c r="B141" s="1" t="n">
        <v>44463</v>
      </c>
      <c r="C141" s="1" t="n">
        <v>46079</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68909-2021</t>
        </is>
      </c>
      <c r="B142" s="1" t="n">
        <v>44530.46730324074</v>
      </c>
      <c r="C142" s="1" t="n">
        <v>46079</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6414-2022</t>
        </is>
      </c>
      <c r="B143" s="1" t="n">
        <v>44600</v>
      </c>
      <c r="C143" s="1" t="n">
        <v>46079</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34679-2021</t>
        </is>
      </c>
      <c r="B144" s="1" t="n">
        <v>44382</v>
      </c>
      <c r="C144" s="1" t="n">
        <v>46079</v>
      </c>
      <c r="D144" t="inlineStr">
        <is>
          <t>SKÅNE LÄN</t>
        </is>
      </c>
      <c r="E144" t="inlineStr">
        <is>
          <t>HÄSSLEHOLM</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25469-2022</t>
        </is>
      </c>
      <c r="B145" s="1" t="n">
        <v>44732</v>
      </c>
      <c r="C145" s="1" t="n">
        <v>46079</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4161-2022</t>
        </is>
      </c>
      <c r="B146" s="1" t="n">
        <v>44588</v>
      </c>
      <c r="C146" s="1" t="n">
        <v>46079</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1535-2022</t>
        </is>
      </c>
      <c r="B147" s="1" t="n">
        <v>44573</v>
      </c>
      <c r="C147" s="1" t="n">
        <v>46079</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73513-2021</t>
        </is>
      </c>
      <c r="B148" s="1" t="n">
        <v>44551.69012731482</v>
      </c>
      <c r="C148" s="1" t="n">
        <v>46079</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46079</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40702-2021</t>
        </is>
      </c>
      <c r="B150" s="1" t="n">
        <v>44420.61719907408</v>
      </c>
      <c r="C150" s="1" t="n">
        <v>46079</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21029-2021</t>
        </is>
      </c>
      <c r="B151" s="1" t="n">
        <v>44319.63366898148</v>
      </c>
      <c r="C151" s="1" t="n">
        <v>46079</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64607-2021</t>
        </is>
      </c>
      <c r="B152" s="1" t="n">
        <v>44511</v>
      </c>
      <c r="C152" s="1" t="n">
        <v>46079</v>
      </c>
      <c r="D152" t="inlineStr">
        <is>
          <t>SKÅNE LÄN</t>
        </is>
      </c>
      <c r="E152" t="inlineStr">
        <is>
          <t>HÄSSLEHOLM</t>
        </is>
      </c>
      <c r="G152" t="n">
        <v>1.5</v>
      </c>
      <c r="H152" t="n">
        <v>0</v>
      </c>
      <c r="I152" t="n">
        <v>0</v>
      </c>
      <c r="J152" t="n">
        <v>0</v>
      </c>
      <c r="K152" t="n">
        <v>0</v>
      </c>
      <c r="L152" t="n">
        <v>0</v>
      </c>
      <c r="M152" t="n">
        <v>0</v>
      </c>
      <c r="N152" t="n">
        <v>0</v>
      </c>
      <c r="O152" t="n">
        <v>0</v>
      </c>
      <c r="P152" t="n">
        <v>0</v>
      </c>
      <c r="Q152" t="n">
        <v>0</v>
      </c>
      <c r="R152" s="2" t="inlineStr"/>
    </row>
    <row r="153" ht="15" customHeight="1">
      <c r="A153" t="inlineStr">
        <is>
          <t>A 13811-2021</t>
        </is>
      </c>
      <c r="B153" s="1" t="n">
        <v>44276</v>
      </c>
      <c r="C153" s="1" t="n">
        <v>46079</v>
      </c>
      <c r="D153" t="inlineStr">
        <is>
          <t>SKÅNE LÄN</t>
        </is>
      </c>
      <c r="E153" t="inlineStr">
        <is>
          <t>HÄSSLEHOLM</t>
        </is>
      </c>
      <c r="G153" t="n">
        <v>8</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46079</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27959-2022</t>
        </is>
      </c>
      <c r="B155" s="1" t="n">
        <v>44744</v>
      </c>
      <c r="C155" s="1" t="n">
        <v>46079</v>
      </c>
      <c r="D155" t="inlineStr">
        <is>
          <t>SKÅNE LÄN</t>
        </is>
      </c>
      <c r="E155" t="inlineStr">
        <is>
          <t>HÄSSLEHOLM</t>
        </is>
      </c>
      <c r="G155" t="n">
        <v>3</v>
      </c>
      <c r="H155" t="n">
        <v>0</v>
      </c>
      <c r="I155" t="n">
        <v>0</v>
      </c>
      <c r="J155" t="n">
        <v>0</v>
      </c>
      <c r="K155" t="n">
        <v>0</v>
      </c>
      <c r="L155" t="n">
        <v>0</v>
      </c>
      <c r="M155" t="n">
        <v>0</v>
      </c>
      <c r="N155" t="n">
        <v>0</v>
      </c>
      <c r="O155" t="n">
        <v>0</v>
      </c>
      <c r="P155" t="n">
        <v>0</v>
      </c>
      <c r="Q155" t="n">
        <v>0</v>
      </c>
      <c r="R155" s="2" t="inlineStr"/>
    </row>
    <row r="156" ht="15" customHeight="1">
      <c r="A156" t="inlineStr">
        <is>
          <t>A 23830-2021</t>
        </is>
      </c>
      <c r="B156" s="1" t="n">
        <v>44335</v>
      </c>
      <c r="C156" s="1" t="n">
        <v>46079</v>
      </c>
      <c r="D156" t="inlineStr">
        <is>
          <t>SKÅNE LÄN</t>
        </is>
      </c>
      <c r="E156" t="inlineStr">
        <is>
          <t>HÄSSLEHOLM</t>
        </is>
      </c>
      <c r="G156" t="n">
        <v>18.7</v>
      </c>
      <c r="H156" t="n">
        <v>0</v>
      </c>
      <c r="I156" t="n">
        <v>0</v>
      </c>
      <c r="J156" t="n">
        <v>0</v>
      </c>
      <c r="K156" t="n">
        <v>0</v>
      </c>
      <c r="L156" t="n">
        <v>0</v>
      </c>
      <c r="M156" t="n">
        <v>0</v>
      </c>
      <c r="N156" t="n">
        <v>0</v>
      </c>
      <c r="O156" t="n">
        <v>0</v>
      </c>
      <c r="P156" t="n">
        <v>0</v>
      </c>
      <c r="Q156" t="n">
        <v>0</v>
      </c>
      <c r="R156" s="2" t="inlineStr"/>
    </row>
    <row r="157" ht="15" customHeight="1">
      <c r="A157" t="inlineStr">
        <is>
          <t>A 11616-2021</t>
        </is>
      </c>
      <c r="B157" s="1" t="n">
        <v>44264.63064814815</v>
      </c>
      <c r="C157" s="1" t="n">
        <v>46079</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51893-2021</t>
        </is>
      </c>
      <c r="B158" s="1" t="n">
        <v>44462</v>
      </c>
      <c r="C158" s="1" t="n">
        <v>46079</v>
      </c>
      <c r="D158" t="inlineStr">
        <is>
          <t>SKÅNE LÄN</t>
        </is>
      </c>
      <c r="E158" t="inlineStr">
        <is>
          <t>HÄSSLEHOLM</t>
        </is>
      </c>
      <c r="G158" t="n">
        <v>1</v>
      </c>
      <c r="H158" t="n">
        <v>0</v>
      </c>
      <c r="I158" t="n">
        <v>0</v>
      </c>
      <c r="J158" t="n">
        <v>0</v>
      </c>
      <c r="K158" t="n">
        <v>0</v>
      </c>
      <c r="L158" t="n">
        <v>0</v>
      </c>
      <c r="M158" t="n">
        <v>0</v>
      </c>
      <c r="N158" t="n">
        <v>0</v>
      </c>
      <c r="O158" t="n">
        <v>0</v>
      </c>
      <c r="P158" t="n">
        <v>0</v>
      </c>
      <c r="Q158" t="n">
        <v>0</v>
      </c>
      <c r="R158" s="2" t="inlineStr"/>
    </row>
    <row r="159" ht="15" customHeight="1">
      <c r="A159" t="inlineStr">
        <is>
          <t>A 55394-2022</t>
        </is>
      </c>
      <c r="B159" s="1" t="n">
        <v>44887.57112268519</v>
      </c>
      <c r="C159" s="1" t="n">
        <v>46079</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44844.61952546296</v>
      </c>
      <c r="C160" s="1" t="n">
        <v>46079</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46079</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45989-2021</t>
        </is>
      </c>
      <c r="B162" s="1" t="n">
        <v>44441.74627314815</v>
      </c>
      <c r="C162" s="1" t="n">
        <v>46079</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7904-2022</t>
        </is>
      </c>
      <c r="B163" s="1" t="n">
        <v>44607</v>
      </c>
      <c r="C163" s="1" t="n">
        <v>46079</v>
      </c>
      <c r="D163" t="inlineStr">
        <is>
          <t>SKÅNE LÄN</t>
        </is>
      </c>
      <c r="E163" t="inlineStr">
        <is>
          <t>HÄSSLEHOLM</t>
        </is>
      </c>
      <c r="F163" t="inlineStr">
        <is>
          <t>Kyrkan</t>
        </is>
      </c>
      <c r="G163" t="n">
        <v>3.9</v>
      </c>
      <c r="H163" t="n">
        <v>0</v>
      </c>
      <c r="I163" t="n">
        <v>0</v>
      </c>
      <c r="J163" t="n">
        <v>0</v>
      </c>
      <c r="K163" t="n">
        <v>0</v>
      </c>
      <c r="L163" t="n">
        <v>0</v>
      </c>
      <c r="M163" t="n">
        <v>0</v>
      </c>
      <c r="N163" t="n">
        <v>0</v>
      </c>
      <c r="O163" t="n">
        <v>0</v>
      </c>
      <c r="P163" t="n">
        <v>0</v>
      </c>
      <c r="Q163" t="n">
        <v>0</v>
      </c>
      <c r="R163" s="2" t="inlineStr"/>
    </row>
    <row r="164" ht="15" customHeight="1">
      <c r="A164" t="inlineStr">
        <is>
          <t>A 7250-2022</t>
        </is>
      </c>
      <c r="B164" s="1" t="n">
        <v>44606</v>
      </c>
      <c r="C164" s="1" t="n">
        <v>46079</v>
      </c>
      <c r="D164" t="inlineStr">
        <is>
          <t>SKÅNE LÄN</t>
        </is>
      </c>
      <c r="E164" t="inlineStr">
        <is>
          <t>HÄSSLEHOLM</t>
        </is>
      </c>
      <c r="F164" t="inlineStr">
        <is>
          <t>Övriga Aktiebolag</t>
        </is>
      </c>
      <c r="G164" t="n">
        <v>2.6</v>
      </c>
      <c r="H164" t="n">
        <v>0</v>
      </c>
      <c r="I164" t="n">
        <v>0</v>
      </c>
      <c r="J164" t="n">
        <v>0</v>
      </c>
      <c r="K164" t="n">
        <v>0</v>
      </c>
      <c r="L164" t="n">
        <v>0</v>
      </c>
      <c r="M164" t="n">
        <v>0</v>
      </c>
      <c r="N164" t="n">
        <v>0</v>
      </c>
      <c r="O164" t="n">
        <v>0</v>
      </c>
      <c r="P164" t="n">
        <v>0</v>
      </c>
      <c r="Q164" t="n">
        <v>0</v>
      </c>
      <c r="R164" s="2" t="inlineStr"/>
    </row>
    <row r="165" ht="15" customHeight="1">
      <c r="A165" t="inlineStr">
        <is>
          <t>A 51895-2021</t>
        </is>
      </c>
      <c r="B165" s="1" t="n">
        <v>44462</v>
      </c>
      <c r="C165" s="1" t="n">
        <v>46079</v>
      </c>
      <c r="D165" t="inlineStr">
        <is>
          <t>SKÅNE LÄN</t>
        </is>
      </c>
      <c r="E165" t="inlineStr">
        <is>
          <t>HÄSSLEHOLM</t>
        </is>
      </c>
      <c r="G165" t="n">
        <v>5.7</v>
      </c>
      <c r="H165" t="n">
        <v>0</v>
      </c>
      <c r="I165" t="n">
        <v>0</v>
      </c>
      <c r="J165" t="n">
        <v>0</v>
      </c>
      <c r="K165" t="n">
        <v>0</v>
      </c>
      <c r="L165" t="n">
        <v>0</v>
      </c>
      <c r="M165" t="n">
        <v>0</v>
      </c>
      <c r="N165" t="n">
        <v>0</v>
      </c>
      <c r="O165" t="n">
        <v>0</v>
      </c>
      <c r="P165" t="n">
        <v>0</v>
      </c>
      <c r="Q165" t="n">
        <v>0</v>
      </c>
      <c r="R165" s="2" t="inlineStr"/>
    </row>
    <row r="166" ht="15" customHeight="1">
      <c r="A166" t="inlineStr">
        <is>
          <t>A 219-2022</t>
        </is>
      </c>
      <c r="B166" s="1" t="n">
        <v>44564</v>
      </c>
      <c r="C166" s="1" t="n">
        <v>46079</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6048-2022</t>
        </is>
      </c>
      <c r="B167" s="1" t="n">
        <v>44599.5174537037</v>
      </c>
      <c r="C167" s="1" t="n">
        <v>46079</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25955-2022</t>
        </is>
      </c>
      <c r="B168" s="1" t="n">
        <v>44734</v>
      </c>
      <c r="C168" s="1" t="n">
        <v>46079</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55412-2022</t>
        </is>
      </c>
      <c r="B169" s="1" t="n">
        <v>44882</v>
      </c>
      <c r="C169" s="1" t="n">
        <v>46079</v>
      </c>
      <c r="D169" t="inlineStr">
        <is>
          <t>SKÅNE LÄN</t>
        </is>
      </c>
      <c r="E169" t="inlineStr">
        <is>
          <t>HÄSSLEHOLM</t>
        </is>
      </c>
      <c r="F169" t="inlineStr">
        <is>
          <t>Övriga Aktiebolag</t>
        </is>
      </c>
      <c r="G169" t="n">
        <v>4</v>
      </c>
      <c r="H169" t="n">
        <v>0</v>
      </c>
      <c r="I169" t="n">
        <v>0</v>
      </c>
      <c r="J169" t="n">
        <v>0</v>
      </c>
      <c r="K169" t="n">
        <v>0</v>
      </c>
      <c r="L169" t="n">
        <v>0</v>
      </c>
      <c r="M169" t="n">
        <v>0</v>
      </c>
      <c r="N169" t="n">
        <v>0</v>
      </c>
      <c r="O169" t="n">
        <v>0</v>
      </c>
      <c r="P169" t="n">
        <v>0</v>
      </c>
      <c r="Q169" t="n">
        <v>0</v>
      </c>
      <c r="R169" s="2" t="inlineStr"/>
    </row>
    <row r="170" ht="15" customHeight="1">
      <c r="A170" t="inlineStr">
        <is>
          <t>A 53576-2022</t>
        </is>
      </c>
      <c r="B170" s="1" t="n">
        <v>44875</v>
      </c>
      <c r="C170" s="1" t="n">
        <v>46079</v>
      </c>
      <c r="D170" t="inlineStr">
        <is>
          <t>SKÅNE LÄN</t>
        </is>
      </c>
      <c r="E170" t="inlineStr">
        <is>
          <t>HÄSSLEHOLM</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20657-2022</t>
        </is>
      </c>
      <c r="B171" s="1" t="n">
        <v>44700</v>
      </c>
      <c r="C171" s="1" t="n">
        <v>46079</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7262-2022</t>
        </is>
      </c>
      <c r="B172" s="1" t="n">
        <v>44606</v>
      </c>
      <c r="C172" s="1" t="n">
        <v>46079</v>
      </c>
      <c r="D172" t="inlineStr">
        <is>
          <t>SKÅNE LÄN</t>
        </is>
      </c>
      <c r="E172" t="inlineStr">
        <is>
          <t>HÄSSLEHOLM</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6253-2022</t>
        </is>
      </c>
      <c r="B173" s="1" t="n">
        <v>44600</v>
      </c>
      <c r="C173" s="1" t="n">
        <v>46079</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23003-2021</t>
        </is>
      </c>
      <c r="B174" s="1" t="n">
        <v>44328</v>
      </c>
      <c r="C174" s="1" t="n">
        <v>46079</v>
      </c>
      <c r="D174" t="inlineStr">
        <is>
          <t>SKÅNE LÄN</t>
        </is>
      </c>
      <c r="E174" t="inlineStr">
        <is>
          <t>HÄSSLEHOLM</t>
        </is>
      </c>
      <c r="G174" t="n">
        <v>4.4</v>
      </c>
      <c r="H174" t="n">
        <v>0</v>
      </c>
      <c r="I174" t="n">
        <v>0</v>
      </c>
      <c r="J174" t="n">
        <v>0</v>
      </c>
      <c r="K174" t="n">
        <v>0</v>
      </c>
      <c r="L174" t="n">
        <v>0</v>
      </c>
      <c r="M174" t="n">
        <v>0</v>
      </c>
      <c r="N174" t="n">
        <v>0</v>
      </c>
      <c r="O174" t="n">
        <v>0</v>
      </c>
      <c r="P174" t="n">
        <v>0</v>
      </c>
      <c r="Q174" t="n">
        <v>0</v>
      </c>
      <c r="R174" s="2" t="inlineStr"/>
    </row>
    <row r="175" ht="15" customHeight="1">
      <c r="A175" t="inlineStr">
        <is>
          <t>A 5091-2022</t>
        </is>
      </c>
      <c r="B175" s="1" t="n">
        <v>44593.85114583333</v>
      </c>
      <c r="C175" s="1" t="n">
        <v>46079</v>
      </c>
      <c r="D175" t="inlineStr">
        <is>
          <t>SKÅNE LÄN</t>
        </is>
      </c>
      <c r="E175" t="inlineStr">
        <is>
          <t>HÄSSLEHOLM</t>
        </is>
      </c>
      <c r="G175" t="n">
        <v>2.5</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46079</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7306-2025</t>
        </is>
      </c>
      <c r="B177" s="1" t="n">
        <v>45702</v>
      </c>
      <c r="C177" s="1" t="n">
        <v>46079</v>
      </c>
      <c r="D177" t="inlineStr">
        <is>
          <t>SKÅNE LÄN</t>
        </is>
      </c>
      <c r="E177" t="inlineStr">
        <is>
          <t>HÄSSLEHOLM</t>
        </is>
      </c>
      <c r="F177" t="inlineStr">
        <is>
          <t>Övriga Aktiebolag</t>
        </is>
      </c>
      <c r="G177" t="n">
        <v>3.3</v>
      </c>
      <c r="H177" t="n">
        <v>0</v>
      </c>
      <c r="I177" t="n">
        <v>0</v>
      </c>
      <c r="J177" t="n">
        <v>0</v>
      </c>
      <c r="K177" t="n">
        <v>0</v>
      </c>
      <c r="L177" t="n">
        <v>0</v>
      </c>
      <c r="M177" t="n">
        <v>0</v>
      </c>
      <c r="N177" t="n">
        <v>0</v>
      </c>
      <c r="O177" t="n">
        <v>0</v>
      </c>
      <c r="P177" t="n">
        <v>0</v>
      </c>
      <c r="Q177" t="n">
        <v>0</v>
      </c>
      <c r="R177" s="2" t="inlineStr"/>
    </row>
    <row r="178" ht="15" customHeight="1">
      <c r="A178" t="inlineStr">
        <is>
          <t>A 7308-2025</t>
        </is>
      </c>
      <c r="B178" s="1" t="n">
        <v>45702</v>
      </c>
      <c r="C178" s="1" t="n">
        <v>46079</v>
      </c>
      <c r="D178" t="inlineStr">
        <is>
          <t>SKÅNE LÄN</t>
        </is>
      </c>
      <c r="E178" t="inlineStr">
        <is>
          <t>HÄSSLEHOLM</t>
        </is>
      </c>
      <c r="F178" t="inlineStr">
        <is>
          <t>Övriga Aktiebolag</t>
        </is>
      </c>
      <c r="G178" t="n">
        <v>4.8</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46079</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15986-2022</t>
        </is>
      </c>
      <c r="B180" s="1" t="n">
        <v>44664</v>
      </c>
      <c r="C180" s="1" t="n">
        <v>46079</v>
      </c>
      <c r="D180" t="inlineStr">
        <is>
          <t>SKÅNE LÄN</t>
        </is>
      </c>
      <c r="E180" t="inlineStr">
        <is>
          <t>HÄSSLEHOLM</t>
        </is>
      </c>
      <c r="F180" t="inlineStr">
        <is>
          <t>Kyrkan</t>
        </is>
      </c>
      <c r="G180" t="n">
        <v>6</v>
      </c>
      <c r="H180" t="n">
        <v>0</v>
      </c>
      <c r="I180" t="n">
        <v>0</v>
      </c>
      <c r="J180" t="n">
        <v>0</v>
      </c>
      <c r="K180" t="n">
        <v>0</v>
      </c>
      <c r="L180" t="n">
        <v>0</v>
      </c>
      <c r="M180" t="n">
        <v>0</v>
      </c>
      <c r="N180" t="n">
        <v>0</v>
      </c>
      <c r="O180" t="n">
        <v>0</v>
      </c>
      <c r="P180" t="n">
        <v>0</v>
      </c>
      <c r="Q180" t="n">
        <v>0</v>
      </c>
      <c r="R180" s="2" t="inlineStr"/>
    </row>
    <row r="181" ht="15" customHeight="1">
      <c r="A181" t="inlineStr">
        <is>
          <t>A 26642-2023</t>
        </is>
      </c>
      <c r="B181" s="1" t="n">
        <v>45092.8975</v>
      </c>
      <c r="C181" s="1" t="n">
        <v>46079</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23967-2022</t>
        </is>
      </c>
      <c r="B182" s="1" t="n">
        <v>44722.74079861111</v>
      </c>
      <c r="C182" s="1" t="n">
        <v>46079</v>
      </c>
      <c r="D182" t="inlineStr">
        <is>
          <t>SKÅNE LÄN</t>
        </is>
      </c>
      <c r="E182" t="inlineStr">
        <is>
          <t>HÄSSLEHOLM</t>
        </is>
      </c>
      <c r="F182" t="inlineStr">
        <is>
          <t>Kyrkan</t>
        </is>
      </c>
      <c r="G182" t="n">
        <v>12.4</v>
      </c>
      <c r="H182" t="n">
        <v>0</v>
      </c>
      <c r="I182" t="n">
        <v>0</v>
      </c>
      <c r="J182" t="n">
        <v>0</v>
      </c>
      <c r="K182" t="n">
        <v>0</v>
      </c>
      <c r="L182" t="n">
        <v>0</v>
      </c>
      <c r="M182" t="n">
        <v>0</v>
      </c>
      <c r="N182" t="n">
        <v>0</v>
      </c>
      <c r="O182" t="n">
        <v>0</v>
      </c>
      <c r="P182" t="n">
        <v>0</v>
      </c>
      <c r="Q182" t="n">
        <v>0</v>
      </c>
      <c r="R182" s="2" t="inlineStr"/>
    </row>
    <row r="183" ht="15" customHeight="1">
      <c r="A183" t="inlineStr">
        <is>
          <t>A 12507-2022</t>
        </is>
      </c>
      <c r="B183" s="1" t="n">
        <v>44638</v>
      </c>
      <c r="C183" s="1" t="n">
        <v>46079</v>
      </c>
      <c r="D183" t="inlineStr">
        <is>
          <t>SKÅNE LÄN</t>
        </is>
      </c>
      <c r="E183" t="inlineStr">
        <is>
          <t>HÄSSLEHOLM</t>
        </is>
      </c>
      <c r="G183" t="n">
        <v>2.7</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46079</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8177-2022</t>
        </is>
      </c>
      <c r="B185" s="1" t="n">
        <v>44607</v>
      </c>
      <c r="C185" s="1" t="n">
        <v>46079</v>
      </c>
      <c r="D185" t="inlineStr">
        <is>
          <t>SKÅNE LÄN</t>
        </is>
      </c>
      <c r="E185" t="inlineStr">
        <is>
          <t>HÄSSLEHOLM</t>
        </is>
      </c>
      <c r="F185" t="inlineStr">
        <is>
          <t>Kyrkan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25464-2022</t>
        </is>
      </c>
      <c r="B186" s="1" t="n">
        <v>44729</v>
      </c>
      <c r="C186" s="1" t="n">
        <v>46079</v>
      </c>
      <c r="D186" t="inlineStr">
        <is>
          <t>SKÅNE LÄN</t>
        </is>
      </c>
      <c r="E186" t="inlineStr">
        <is>
          <t>HÄSSLEHOLM</t>
        </is>
      </c>
      <c r="G186" t="n">
        <v>21</v>
      </c>
      <c r="H186" t="n">
        <v>0</v>
      </c>
      <c r="I186" t="n">
        <v>0</v>
      </c>
      <c r="J186" t="n">
        <v>0</v>
      </c>
      <c r="K186" t="n">
        <v>0</v>
      </c>
      <c r="L186" t="n">
        <v>0</v>
      </c>
      <c r="M186" t="n">
        <v>0</v>
      </c>
      <c r="N186" t="n">
        <v>0</v>
      </c>
      <c r="O186" t="n">
        <v>0</v>
      </c>
      <c r="P186" t="n">
        <v>0</v>
      </c>
      <c r="Q186" t="n">
        <v>0</v>
      </c>
      <c r="R186" s="2" t="inlineStr"/>
    </row>
    <row r="187" ht="15" customHeight="1">
      <c r="A187" t="inlineStr">
        <is>
          <t>A 22690-2022</t>
        </is>
      </c>
      <c r="B187" s="1" t="n">
        <v>44714.5421875</v>
      </c>
      <c r="C187" s="1" t="n">
        <v>46079</v>
      </c>
      <c r="D187" t="inlineStr">
        <is>
          <t>SKÅNE LÄN</t>
        </is>
      </c>
      <c r="E187" t="inlineStr">
        <is>
          <t>HÄSSLEHOLM</t>
        </is>
      </c>
      <c r="G187" t="n">
        <v>1.7</v>
      </c>
      <c r="H187" t="n">
        <v>0</v>
      </c>
      <c r="I187" t="n">
        <v>0</v>
      </c>
      <c r="J187" t="n">
        <v>0</v>
      </c>
      <c r="K187" t="n">
        <v>0</v>
      </c>
      <c r="L187" t="n">
        <v>0</v>
      </c>
      <c r="M187" t="n">
        <v>0</v>
      </c>
      <c r="N187" t="n">
        <v>0</v>
      </c>
      <c r="O187" t="n">
        <v>0</v>
      </c>
      <c r="P187" t="n">
        <v>0</v>
      </c>
      <c r="Q187" t="n">
        <v>0</v>
      </c>
      <c r="R187" s="2" t="inlineStr"/>
    </row>
    <row r="188" ht="15" customHeight="1">
      <c r="A188" t="inlineStr">
        <is>
          <t>A 30344-2022</t>
        </is>
      </c>
      <c r="B188" s="1" t="n">
        <v>44760.50783564815</v>
      </c>
      <c r="C188" s="1" t="n">
        <v>46079</v>
      </c>
      <c r="D188" t="inlineStr">
        <is>
          <t>SKÅNE LÄN</t>
        </is>
      </c>
      <c r="E188" t="inlineStr">
        <is>
          <t>HÄSSLEHOLM</t>
        </is>
      </c>
      <c r="G188" t="n">
        <v>0.6</v>
      </c>
      <c r="H188" t="n">
        <v>0</v>
      </c>
      <c r="I188" t="n">
        <v>0</v>
      </c>
      <c r="J188" t="n">
        <v>0</v>
      </c>
      <c r="K188" t="n">
        <v>0</v>
      </c>
      <c r="L188" t="n">
        <v>0</v>
      </c>
      <c r="M188" t="n">
        <v>0</v>
      </c>
      <c r="N188" t="n">
        <v>0</v>
      </c>
      <c r="O188" t="n">
        <v>0</v>
      </c>
      <c r="P188" t="n">
        <v>0</v>
      </c>
      <c r="Q188" t="n">
        <v>0</v>
      </c>
      <c r="R188" s="2" t="inlineStr"/>
    </row>
    <row r="189" ht="15" customHeight="1">
      <c r="A189" t="inlineStr">
        <is>
          <t>A 11715-2023</t>
        </is>
      </c>
      <c r="B189" s="1" t="n">
        <v>44992</v>
      </c>
      <c r="C189" s="1" t="n">
        <v>46079</v>
      </c>
      <c r="D189" t="inlineStr">
        <is>
          <t>SKÅNE LÄN</t>
        </is>
      </c>
      <c r="E189" t="inlineStr">
        <is>
          <t>HÄSSLEHOLM</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25606-2024</t>
        </is>
      </c>
      <c r="B190" s="1" t="n">
        <v>45463.63179398148</v>
      </c>
      <c r="C190" s="1" t="n">
        <v>46079</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57079-2022</t>
        </is>
      </c>
      <c r="B191" s="1" t="n">
        <v>44895</v>
      </c>
      <c r="C191" s="1" t="n">
        <v>46079</v>
      </c>
      <c r="D191" t="inlineStr">
        <is>
          <t>SKÅNE LÄN</t>
        </is>
      </c>
      <c r="E191" t="inlineStr">
        <is>
          <t>HÄSSLEHOLM</t>
        </is>
      </c>
      <c r="G191" t="n">
        <v>2.6</v>
      </c>
      <c r="H191" t="n">
        <v>0</v>
      </c>
      <c r="I191" t="n">
        <v>0</v>
      </c>
      <c r="J191" t="n">
        <v>0</v>
      </c>
      <c r="K191" t="n">
        <v>0</v>
      </c>
      <c r="L191" t="n">
        <v>0</v>
      </c>
      <c r="M191" t="n">
        <v>0</v>
      </c>
      <c r="N191" t="n">
        <v>0</v>
      </c>
      <c r="O191" t="n">
        <v>0</v>
      </c>
      <c r="P191" t="n">
        <v>0</v>
      </c>
      <c r="Q191" t="n">
        <v>0</v>
      </c>
      <c r="R191" s="2" t="inlineStr"/>
    </row>
    <row r="192" ht="15" customHeight="1">
      <c r="A192" t="inlineStr">
        <is>
          <t>A 5016-2024</t>
        </is>
      </c>
      <c r="B192" s="1" t="n">
        <v>45329</v>
      </c>
      <c r="C192" s="1" t="n">
        <v>46079</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25788-2021</t>
        </is>
      </c>
      <c r="B193" s="1" t="n">
        <v>44343</v>
      </c>
      <c r="C193" s="1" t="n">
        <v>46079</v>
      </c>
      <c r="D193" t="inlineStr">
        <is>
          <t>SKÅNE LÄN</t>
        </is>
      </c>
      <c r="E193" t="inlineStr">
        <is>
          <t>HÄSSLEHOLM</t>
        </is>
      </c>
      <c r="G193" t="n">
        <v>4.8</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46079</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61498-2022</t>
        </is>
      </c>
      <c r="B195" s="1" t="n">
        <v>44910</v>
      </c>
      <c r="C195" s="1" t="n">
        <v>46079</v>
      </c>
      <c r="D195" t="inlineStr">
        <is>
          <t>SKÅNE LÄN</t>
        </is>
      </c>
      <c r="E195" t="inlineStr">
        <is>
          <t>HÄSSLEHOLM</t>
        </is>
      </c>
      <c r="F195" t="inlineStr">
        <is>
          <t>Kyrkan</t>
        </is>
      </c>
      <c r="G195" t="n">
        <v>3.2</v>
      </c>
      <c r="H195" t="n">
        <v>0</v>
      </c>
      <c r="I195" t="n">
        <v>0</v>
      </c>
      <c r="J195" t="n">
        <v>0</v>
      </c>
      <c r="K195" t="n">
        <v>0</v>
      </c>
      <c r="L195" t="n">
        <v>0</v>
      </c>
      <c r="M195" t="n">
        <v>0</v>
      </c>
      <c r="N195" t="n">
        <v>0</v>
      </c>
      <c r="O195" t="n">
        <v>0</v>
      </c>
      <c r="P195" t="n">
        <v>0</v>
      </c>
      <c r="Q195" t="n">
        <v>0</v>
      </c>
      <c r="R195" s="2" t="inlineStr"/>
    </row>
    <row r="196" ht="15" customHeight="1">
      <c r="A196" t="inlineStr">
        <is>
          <t>A 3992-2022</t>
        </is>
      </c>
      <c r="B196" s="1" t="n">
        <v>44587</v>
      </c>
      <c r="C196" s="1" t="n">
        <v>46079</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15417-2022</t>
        </is>
      </c>
      <c r="B197" s="1" t="n">
        <v>44659</v>
      </c>
      <c r="C197" s="1" t="n">
        <v>46079</v>
      </c>
      <c r="D197" t="inlineStr">
        <is>
          <t>SKÅNE LÄN</t>
        </is>
      </c>
      <c r="E197" t="inlineStr">
        <is>
          <t>HÄSSLEHOLM</t>
        </is>
      </c>
      <c r="F197" t="inlineStr">
        <is>
          <t>Kyrkan</t>
        </is>
      </c>
      <c r="G197" t="n">
        <v>2.9</v>
      </c>
      <c r="H197" t="n">
        <v>0</v>
      </c>
      <c r="I197" t="n">
        <v>0</v>
      </c>
      <c r="J197" t="n">
        <v>0</v>
      </c>
      <c r="K197" t="n">
        <v>0</v>
      </c>
      <c r="L197" t="n">
        <v>0</v>
      </c>
      <c r="M197" t="n">
        <v>0</v>
      </c>
      <c r="N197" t="n">
        <v>0</v>
      </c>
      <c r="O197" t="n">
        <v>0</v>
      </c>
      <c r="P197" t="n">
        <v>0</v>
      </c>
      <c r="Q197" t="n">
        <v>0</v>
      </c>
      <c r="R197" s="2" t="inlineStr"/>
    </row>
    <row r="198" ht="15" customHeight="1">
      <c r="A198" t="inlineStr">
        <is>
          <t>A 33873-2021</t>
        </is>
      </c>
      <c r="B198" s="1" t="n">
        <v>44378</v>
      </c>
      <c r="C198" s="1" t="n">
        <v>46079</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4512-2024</t>
        </is>
      </c>
      <c r="B199" s="1" t="n">
        <v>45327.6312962963</v>
      </c>
      <c r="C199" s="1" t="n">
        <v>46079</v>
      </c>
      <c r="D199" t="inlineStr">
        <is>
          <t>SKÅNE LÄN</t>
        </is>
      </c>
      <c r="E199" t="inlineStr">
        <is>
          <t>HÄSSLEHOLM</t>
        </is>
      </c>
      <c r="G199" t="n">
        <v>2</v>
      </c>
      <c r="H199" t="n">
        <v>0</v>
      </c>
      <c r="I199" t="n">
        <v>0</v>
      </c>
      <c r="J199" t="n">
        <v>0</v>
      </c>
      <c r="K199" t="n">
        <v>0</v>
      </c>
      <c r="L199" t="n">
        <v>0</v>
      </c>
      <c r="M199" t="n">
        <v>0</v>
      </c>
      <c r="N199" t="n">
        <v>0</v>
      </c>
      <c r="O199" t="n">
        <v>0</v>
      </c>
      <c r="P199" t="n">
        <v>0</v>
      </c>
      <c r="Q199" t="n">
        <v>0</v>
      </c>
      <c r="R199" s="2" t="inlineStr"/>
    </row>
    <row r="200" ht="15" customHeight="1">
      <c r="A200" t="inlineStr">
        <is>
          <t>A 36240-2023</t>
        </is>
      </c>
      <c r="B200" s="1" t="n">
        <v>45150.89295138889</v>
      </c>
      <c r="C200" s="1" t="n">
        <v>46079</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34348-2022</t>
        </is>
      </c>
      <c r="B201" s="1" t="n">
        <v>44792</v>
      </c>
      <c r="C201" s="1" t="n">
        <v>46079</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4916-2024</t>
        </is>
      </c>
      <c r="B202" s="1" t="n">
        <v>45329</v>
      </c>
      <c r="C202" s="1" t="n">
        <v>46079</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20564-2023</t>
        </is>
      </c>
      <c r="B203" s="1" t="n">
        <v>45057</v>
      </c>
      <c r="C203" s="1" t="n">
        <v>46079</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6836-2023</t>
        </is>
      </c>
      <c r="B204" s="1" t="n">
        <v>44967</v>
      </c>
      <c r="C204" s="1" t="n">
        <v>46079</v>
      </c>
      <c r="D204" t="inlineStr">
        <is>
          <t>SKÅNE LÄN</t>
        </is>
      </c>
      <c r="E204" t="inlineStr">
        <is>
          <t>HÄSSLEHOLM</t>
        </is>
      </c>
      <c r="G204" t="n">
        <v>3.5</v>
      </c>
      <c r="H204" t="n">
        <v>0</v>
      </c>
      <c r="I204" t="n">
        <v>0</v>
      </c>
      <c r="J204" t="n">
        <v>0</v>
      </c>
      <c r="K204" t="n">
        <v>0</v>
      </c>
      <c r="L204" t="n">
        <v>0</v>
      </c>
      <c r="M204" t="n">
        <v>0</v>
      </c>
      <c r="N204" t="n">
        <v>0</v>
      </c>
      <c r="O204" t="n">
        <v>0</v>
      </c>
      <c r="P204" t="n">
        <v>0</v>
      </c>
      <c r="Q204" t="n">
        <v>0</v>
      </c>
      <c r="R204" s="2" t="inlineStr"/>
    </row>
    <row r="205" ht="15" customHeight="1">
      <c r="A205" t="inlineStr">
        <is>
          <t>A 31931-2024</t>
        </is>
      </c>
      <c r="B205" s="1" t="n">
        <v>45510.40878472223</v>
      </c>
      <c r="C205" s="1" t="n">
        <v>46079</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8803-2023</t>
        </is>
      </c>
      <c r="B206" s="1" t="n">
        <v>44978.61712962963</v>
      </c>
      <c r="C206" s="1" t="n">
        <v>46079</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41694-2024</t>
        </is>
      </c>
      <c r="B207" s="1" t="n">
        <v>45560.68341435185</v>
      </c>
      <c r="C207" s="1" t="n">
        <v>46079</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28236-2022</t>
        </is>
      </c>
      <c r="B208" s="1" t="n">
        <v>44746</v>
      </c>
      <c r="C208" s="1" t="n">
        <v>46079</v>
      </c>
      <c r="D208" t="inlineStr">
        <is>
          <t>SKÅNE LÄN</t>
        </is>
      </c>
      <c r="E208" t="inlineStr">
        <is>
          <t>HÄSSLEHOLM</t>
        </is>
      </c>
      <c r="G208" t="n">
        <v>3.5</v>
      </c>
      <c r="H208" t="n">
        <v>0</v>
      </c>
      <c r="I208" t="n">
        <v>0</v>
      </c>
      <c r="J208" t="n">
        <v>0</v>
      </c>
      <c r="K208" t="n">
        <v>0</v>
      </c>
      <c r="L208" t="n">
        <v>0</v>
      </c>
      <c r="M208" t="n">
        <v>0</v>
      </c>
      <c r="N208" t="n">
        <v>0</v>
      </c>
      <c r="O208" t="n">
        <v>0</v>
      </c>
      <c r="P208" t="n">
        <v>0</v>
      </c>
      <c r="Q208" t="n">
        <v>0</v>
      </c>
      <c r="R208" s="2" t="inlineStr"/>
    </row>
    <row r="209" ht="15" customHeight="1">
      <c r="A209" t="inlineStr">
        <is>
          <t>A 11681-2023</t>
        </is>
      </c>
      <c r="B209" s="1" t="n">
        <v>44992</v>
      </c>
      <c r="C209" s="1" t="n">
        <v>46079</v>
      </c>
      <c r="D209" t="inlineStr">
        <is>
          <t>SKÅNE LÄN</t>
        </is>
      </c>
      <c r="E209" t="inlineStr">
        <is>
          <t>HÄSSLEHOLM</t>
        </is>
      </c>
      <c r="F209" t="inlineStr">
        <is>
          <t>Övriga Aktiebolag</t>
        </is>
      </c>
      <c r="G209" t="n">
        <v>1.6</v>
      </c>
      <c r="H209" t="n">
        <v>0</v>
      </c>
      <c r="I209" t="n">
        <v>0</v>
      </c>
      <c r="J209" t="n">
        <v>0</v>
      </c>
      <c r="K209" t="n">
        <v>0</v>
      </c>
      <c r="L209" t="n">
        <v>0</v>
      </c>
      <c r="M209" t="n">
        <v>0</v>
      </c>
      <c r="N209" t="n">
        <v>0</v>
      </c>
      <c r="O209" t="n">
        <v>0</v>
      </c>
      <c r="P209" t="n">
        <v>0</v>
      </c>
      <c r="Q209" t="n">
        <v>0</v>
      </c>
      <c r="R209" s="2" t="inlineStr"/>
    </row>
    <row r="210" ht="15" customHeight="1">
      <c r="A210" t="inlineStr">
        <is>
          <t>A 46222-2022</t>
        </is>
      </c>
      <c r="B210" s="1" t="n">
        <v>44847.58725694445</v>
      </c>
      <c r="C210" s="1" t="n">
        <v>46079</v>
      </c>
      <c r="D210" t="inlineStr">
        <is>
          <t>SKÅNE LÄN</t>
        </is>
      </c>
      <c r="E210" t="inlineStr">
        <is>
          <t>HÄSSLEHOLM</t>
        </is>
      </c>
      <c r="G210" t="n">
        <v>6.3</v>
      </c>
      <c r="H210" t="n">
        <v>0</v>
      </c>
      <c r="I210" t="n">
        <v>0</v>
      </c>
      <c r="J210" t="n">
        <v>0</v>
      </c>
      <c r="K210" t="n">
        <v>0</v>
      </c>
      <c r="L210" t="n">
        <v>0</v>
      </c>
      <c r="M210" t="n">
        <v>0</v>
      </c>
      <c r="N210" t="n">
        <v>0</v>
      </c>
      <c r="O210" t="n">
        <v>0</v>
      </c>
      <c r="P210" t="n">
        <v>0</v>
      </c>
      <c r="Q210" t="n">
        <v>0</v>
      </c>
      <c r="R210" s="2" t="inlineStr"/>
    </row>
    <row r="211" ht="15" customHeight="1">
      <c r="A211" t="inlineStr">
        <is>
          <t>A 47757-2024</t>
        </is>
      </c>
      <c r="B211" s="1" t="n">
        <v>45588.55075231481</v>
      </c>
      <c r="C211" s="1" t="n">
        <v>46079</v>
      </c>
      <c r="D211" t="inlineStr">
        <is>
          <t>SKÅNE LÄN</t>
        </is>
      </c>
      <c r="E211" t="inlineStr">
        <is>
          <t>HÄSSLEHOLM</t>
        </is>
      </c>
      <c r="G211" t="n">
        <v>5.5</v>
      </c>
      <c r="H211" t="n">
        <v>0</v>
      </c>
      <c r="I211" t="n">
        <v>0</v>
      </c>
      <c r="J211" t="n">
        <v>0</v>
      </c>
      <c r="K211" t="n">
        <v>0</v>
      </c>
      <c r="L211" t="n">
        <v>0</v>
      </c>
      <c r="M211" t="n">
        <v>0</v>
      </c>
      <c r="N211" t="n">
        <v>0</v>
      </c>
      <c r="O211" t="n">
        <v>0</v>
      </c>
      <c r="P211" t="n">
        <v>0</v>
      </c>
      <c r="Q211" t="n">
        <v>0</v>
      </c>
      <c r="R211" s="2" t="inlineStr"/>
    </row>
    <row r="212" ht="15" customHeight="1">
      <c r="A212" t="inlineStr">
        <is>
          <t>A 2663-2023</t>
        </is>
      </c>
      <c r="B212" s="1" t="n">
        <v>44942</v>
      </c>
      <c r="C212" s="1" t="n">
        <v>46079</v>
      </c>
      <c r="D212" t="inlineStr">
        <is>
          <t>SKÅNE LÄN</t>
        </is>
      </c>
      <c r="E212" t="inlineStr">
        <is>
          <t>HÄSSLEHOLM</t>
        </is>
      </c>
      <c r="F212" t="inlineStr">
        <is>
          <t>Kyrkan</t>
        </is>
      </c>
      <c r="G212" t="n">
        <v>0.8</v>
      </c>
      <c r="H212" t="n">
        <v>0</v>
      </c>
      <c r="I212" t="n">
        <v>0</v>
      </c>
      <c r="J212" t="n">
        <v>0</v>
      </c>
      <c r="K212" t="n">
        <v>0</v>
      </c>
      <c r="L212" t="n">
        <v>0</v>
      </c>
      <c r="M212" t="n">
        <v>0</v>
      </c>
      <c r="N212" t="n">
        <v>0</v>
      </c>
      <c r="O212" t="n">
        <v>0</v>
      </c>
      <c r="P212" t="n">
        <v>0</v>
      </c>
      <c r="Q212" t="n">
        <v>0</v>
      </c>
      <c r="R212" s="2" t="inlineStr"/>
    </row>
    <row r="213" ht="15" customHeight="1">
      <c r="A213" t="inlineStr">
        <is>
          <t>A 1538-2024</t>
        </is>
      </c>
      <c r="B213" s="1" t="n">
        <v>45306</v>
      </c>
      <c r="C213" s="1" t="n">
        <v>46079</v>
      </c>
      <c r="D213" t="inlineStr">
        <is>
          <t>SKÅNE LÄN</t>
        </is>
      </c>
      <c r="E213" t="inlineStr">
        <is>
          <t>HÄSSLEHOLM</t>
        </is>
      </c>
      <c r="G213" t="n">
        <v>4.8</v>
      </c>
      <c r="H213" t="n">
        <v>0</v>
      </c>
      <c r="I213" t="n">
        <v>0</v>
      </c>
      <c r="J213" t="n">
        <v>0</v>
      </c>
      <c r="K213" t="n">
        <v>0</v>
      </c>
      <c r="L213" t="n">
        <v>0</v>
      </c>
      <c r="M213" t="n">
        <v>0</v>
      </c>
      <c r="N213" t="n">
        <v>0</v>
      </c>
      <c r="O213" t="n">
        <v>0</v>
      </c>
      <c r="P213" t="n">
        <v>0</v>
      </c>
      <c r="Q213" t="n">
        <v>0</v>
      </c>
      <c r="R213" s="2" t="inlineStr"/>
    </row>
    <row r="214" ht="15" customHeight="1">
      <c r="A214" t="inlineStr">
        <is>
          <t>A 20279-2025</t>
        </is>
      </c>
      <c r="B214" s="1" t="n">
        <v>45774.38643518519</v>
      </c>
      <c r="C214" s="1" t="n">
        <v>46079</v>
      </c>
      <c r="D214" t="inlineStr">
        <is>
          <t>SKÅNE LÄN</t>
        </is>
      </c>
      <c r="E214" t="inlineStr">
        <is>
          <t>HÄSSLEHOLM</t>
        </is>
      </c>
      <c r="G214" t="n">
        <v>0.8</v>
      </c>
      <c r="H214" t="n">
        <v>0</v>
      </c>
      <c r="I214" t="n">
        <v>0</v>
      </c>
      <c r="J214" t="n">
        <v>0</v>
      </c>
      <c r="K214" t="n">
        <v>0</v>
      </c>
      <c r="L214" t="n">
        <v>0</v>
      </c>
      <c r="M214" t="n">
        <v>0</v>
      </c>
      <c r="N214" t="n">
        <v>0</v>
      </c>
      <c r="O214" t="n">
        <v>0</v>
      </c>
      <c r="P214" t="n">
        <v>0</v>
      </c>
      <c r="Q214" t="n">
        <v>0</v>
      </c>
      <c r="R214" s="2" t="inlineStr"/>
    </row>
    <row r="215" ht="15" customHeight="1">
      <c r="A215" t="inlineStr">
        <is>
          <t>A 7192-2025</t>
        </is>
      </c>
      <c r="B215" s="1" t="n">
        <v>45702.44746527778</v>
      </c>
      <c r="C215" s="1" t="n">
        <v>46079</v>
      </c>
      <c r="D215" t="inlineStr">
        <is>
          <t>SKÅNE LÄN</t>
        </is>
      </c>
      <c r="E215" t="inlineStr">
        <is>
          <t>HÄSSLEHOLM</t>
        </is>
      </c>
      <c r="G215" t="n">
        <v>1.2</v>
      </c>
      <c r="H215" t="n">
        <v>0</v>
      </c>
      <c r="I215" t="n">
        <v>0</v>
      </c>
      <c r="J215" t="n">
        <v>0</v>
      </c>
      <c r="K215" t="n">
        <v>0</v>
      </c>
      <c r="L215" t="n">
        <v>0</v>
      </c>
      <c r="M215" t="n">
        <v>0</v>
      </c>
      <c r="N215" t="n">
        <v>0</v>
      </c>
      <c r="O215" t="n">
        <v>0</v>
      </c>
      <c r="P215" t="n">
        <v>0</v>
      </c>
      <c r="Q215" t="n">
        <v>0</v>
      </c>
      <c r="R215" s="2" t="inlineStr"/>
    </row>
    <row r="216" ht="15" customHeight="1">
      <c r="A216" t="inlineStr">
        <is>
          <t>A 50249-2024</t>
        </is>
      </c>
      <c r="B216" s="1" t="n">
        <v>45600.56866898148</v>
      </c>
      <c r="C216" s="1" t="n">
        <v>46079</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27954-2022</t>
        </is>
      </c>
      <c r="B217" s="1" t="n">
        <v>44743</v>
      </c>
      <c r="C217" s="1" t="n">
        <v>46079</v>
      </c>
      <c r="D217" t="inlineStr">
        <is>
          <t>SKÅNE LÄN</t>
        </is>
      </c>
      <c r="E217" t="inlineStr">
        <is>
          <t>HÄSSLEHOLM</t>
        </is>
      </c>
      <c r="G217" t="n">
        <v>9.4</v>
      </c>
      <c r="H217" t="n">
        <v>0</v>
      </c>
      <c r="I217" t="n">
        <v>0</v>
      </c>
      <c r="J217" t="n">
        <v>0</v>
      </c>
      <c r="K217" t="n">
        <v>0</v>
      </c>
      <c r="L217" t="n">
        <v>0</v>
      </c>
      <c r="M217" t="n">
        <v>0</v>
      </c>
      <c r="N217" t="n">
        <v>0</v>
      </c>
      <c r="O217" t="n">
        <v>0</v>
      </c>
      <c r="P217" t="n">
        <v>0</v>
      </c>
      <c r="Q217" t="n">
        <v>0</v>
      </c>
      <c r="R217" s="2" t="inlineStr"/>
    </row>
    <row r="218" ht="15" customHeight="1">
      <c r="A218" t="inlineStr">
        <is>
          <t>A 60843-2022</t>
        </is>
      </c>
      <c r="B218" s="1" t="n">
        <v>44914</v>
      </c>
      <c r="C218" s="1" t="n">
        <v>46079</v>
      </c>
      <c r="D218" t="inlineStr">
        <is>
          <t>SKÅNE LÄN</t>
        </is>
      </c>
      <c r="E218" t="inlineStr">
        <is>
          <t>HÄSSLEHOLM</t>
        </is>
      </c>
      <c r="G218" t="n">
        <v>2.2</v>
      </c>
      <c r="H218" t="n">
        <v>0</v>
      </c>
      <c r="I218" t="n">
        <v>0</v>
      </c>
      <c r="J218" t="n">
        <v>0</v>
      </c>
      <c r="K218" t="n">
        <v>0</v>
      </c>
      <c r="L218" t="n">
        <v>0</v>
      </c>
      <c r="M218" t="n">
        <v>0</v>
      </c>
      <c r="N218" t="n">
        <v>0</v>
      </c>
      <c r="O218" t="n">
        <v>0</v>
      </c>
      <c r="P218" t="n">
        <v>0</v>
      </c>
      <c r="Q218" t="n">
        <v>0</v>
      </c>
      <c r="R218" s="2" t="inlineStr"/>
    </row>
    <row r="219" ht="15" customHeight="1">
      <c r="A219" t="inlineStr">
        <is>
          <t>A 51040-2024</t>
        </is>
      </c>
      <c r="B219" s="1" t="n">
        <v>45603.43222222223</v>
      </c>
      <c r="C219" s="1" t="n">
        <v>46079</v>
      </c>
      <c r="D219" t="inlineStr">
        <is>
          <t>SKÅNE LÄN</t>
        </is>
      </c>
      <c r="E219" t="inlineStr">
        <is>
          <t>HÄSSLEHOLM</t>
        </is>
      </c>
      <c r="G219" t="n">
        <v>2.7</v>
      </c>
      <c r="H219" t="n">
        <v>0</v>
      </c>
      <c r="I219" t="n">
        <v>0</v>
      </c>
      <c r="J219" t="n">
        <v>0</v>
      </c>
      <c r="K219" t="n">
        <v>0</v>
      </c>
      <c r="L219" t="n">
        <v>0</v>
      </c>
      <c r="M219" t="n">
        <v>0</v>
      </c>
      <c r="N219" t="n">
        <v>0</v>
      </c>
      <c r="O219" t="n">
        <v>0</v>
      </c>
      <c r="P219" t="n">
        <v>0</v>
      </c>
      <c r="Q219" t="n">
        <v>0</v>
      </c>
      <c r="R219" s="2" t="inlineStr"/>
    </row>
    <row r="220" ht="15" customHeight="1">
      <c r="A220" t="inlineStr">
        <is>
          <t>A 56881-2021</t>
        </is>
      </c>
      <c r="B220" s="1" t="n">
        <v>44481</v>
      </c>
      <c r="C220" s="1" t="n">
        <v>46079</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62199-2022</t>
        </is>
      </c>
      <c r="B221" s="1" t="n">
        <v>44915</v>
      </c>
      <c r="C221" s="1" t="n">
        <v>46079</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45653-2024</t>
        </is>
      </c>
      <c r="B222" s="1" t="n">
        <v>45579.48872685185</v>
      </c>
      <c r="C222" s="1" t="n">
        <v>46079</v>
      </c>
      <c r="D222" t="inlineStr">
        <is>
          <t>SKÅNE LÄN</t>
        </is>
      </c>
      <c r="E222" t="inlineStr">
        <is>
          <t>HÄSSLEHOLM</t>
        </is>
      </c>
      <c r="G222" t="n">
        <v>2.6</v>
      </c>
      <c r="H222" t="n">
        <v>0</v>
      </c>
      <c r="I222" t="n">
        <v>0</v>
      </c>
      <c r="J222" t="n">
        <v>0</v>
      </c>
      <c r="K222" t="n">
        <v>0</v>
      </c>
      <c r="L222" t="n">
        <v>0</v>
      </c>
      <c r="M222" t="n">
        <v>0</v>
      </c>
      <c r="N222" t="n">
        <v>0</v>
      </c>
      <c r="O222" t="n">
        <v>0</v>
      </c>
      <c r="P222" t="n">
        <v>0</v>
      </c>
      <c r="Q222" t="n">
        <v>0</v>
      </c>
      <c r="R222" s="2" t="inlineStr"/>
    </row>
    <row r="223" ht="15" customHeight="1">
      <c r="A223" t="inlineStr">
        <is>
          <t>A 14157-2021</t>
        </is>
      </c>
      <c r="B223" s="1" t="n">
        <v>44278.43246527778</v>
      </c>
      <c r="C223" s="1" t="n">
        <v>46079</v>
      </c>
      <c r="D223" t="inlineStr">
        <is>
          <t>SKÅNE LÄN</t>
        </is>
      </c>
      <c r="E223" t="inlineStr">
        <is>
          <t>HÄSSLEHOLM</t>
        </is>
      </c>
      <c r="G223" t="n">
        <v>10.5</v>
      </c>
      <c r="H223" t="n">
        <v>0</v>
      </c>
      <c r="I223" t="n">
        <v>0</v>
      </c>
      <c r="J223" t="n">
        <v>0</v>
      </c>
      <c r="K223" t="n">
        <v>0</v>
      </c>
      <c r="L223" t="n">
        <v>0</v>
      </c>
      <c r="M223" t="n">
        <v>0</v>
      </c>
      <c r="N223" t="n">
        <v>0</v>
      </c>
      <c r="O223" t="n">
        <v>0</v>
      </c>
      <c r="P223" t="n">
        <v>0</v>
      </c>
      <c r="Q223" t="n">
        <v>0</v>
      </c>
      <c r="R223" s="2" t="inlineStr"/>
    </row>
    <row r="224" ht="15" customHeight="1">
      <c r="A224" t="inlineStr">
        <is>
          <t>A 56956-2024</t>
        </is>
      </c>
      <c r="B224" s="1" t="n">
        <v>45626</v>
      </c>
      <c r="C224" s="1" t="n">
        <v>46079</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677-2024</t>
        </is>
      </c>
      <c r="B225" s="1" t="n">
        <v>45300</v>
      </c>
      <c r="C225" s="1" t="n">
        <v>46079</v>
      </c>
      <c r="D225" t="inlineStr">
        <is>
          <t>SKÅNE LÄN</t>
        </is>
      </c>
      <c r="E225" t="inlineStr">
        <is>
          <t>HÄSSLEHOLM</t>
        </is>
      </c>
      <c r="G225" t="n">
        <v>6.8</v>
      </c>
      <c r="H225" t="n">
        <v>0</v>
      </c>
      <c r="I225" t="n">
        <v>0</v>
      </c>
      <c r="J225" t="n">
        <v>0</v>
      </c>
      <c r="K225" t="n">
        <v>0</v>
      </c>
      <c r="L225" t="n">
        <v>0</v>
      </c>
      <c r="M225" t="n">
        <v>0</v>
      </c>
      <c r="N225" t="n">
        <v>0</v>
      </c>
      <c r="O225" t="n">
        <v>0</v>
      </c>
      <c r="P225" t="n">
        <v>0</v>
      </c>
      <c r="Q225" t="n">
        <v>0</v>
      </c>
      <c r="R225" s="2" t="inlineStr"/>
    </row>
    <row r="226" ht="15" customHeight="1">
      <c r="A226" t="inlineStr">
        <is>
          <t>A 45984-2021</t>
        </is>
      </c>
      <c r="B226" s="1" t="n">
        <v>44441</v>
      </c>
      <c r="C226" s="1" t="n">
        <v>46079</v>
      </c>
      <c r="D226" t="inlineStr">
        <is>
          <t>SKÅNE LÄN</t>
        </is>
      </c>
      <c r="E226" t="inlineStr">
        <is>
          <t>HÄSSLEHOLM</t>
        </is>
      </c>
      <c r="G226" t="n">
        <v>2.1</v>
      </c>
      <c r="H226" t="n">
        <v>0</v>
      </c>
      <c r="I226" t="n">
        <v>0</v>
      </c>
      <c r="J226" t="n">
        <v>0</v>
      </c>
      <c r="K226" t="n">
        <v>0</v>
      </c>
      <c r="L226" t="n">
        <v>0</v>
      </c>
      <c r="M226" t="n">
        <v>0</v>
      </c>
      <c r="N226" t="n">
        <v>0</v>
      </c>
      <c r="O226" t="n">
        <v>0</v>
      </c>
      <c r="P226" t="n">
        <v>0</v>
      </c>
      <c r="Q226" t="n">
        <v>0</v>
      </c>
      <c r="R226" s="2" t="inlineStr"/>
    </row>
    <row r="227" ht="15" customHeight="1">
      <c r="A227" t="inlineStr">
        <is>
          <t>A 45392-2024</t>
        </is>
      </c>
      <c r="B227" s="1" t="n">
        <v>45576.55008101852</v>
      </c>
      <c r="C227" s="1" t="n">
        <v>46079</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20187-2023</t>
        </is>
      </c>
      <c r="B228" s="1" t="n">
        <v>45055.57027777778</v>
      </c>
      <c r="C228" s="1" t="n">
        <v>46079</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1543-2024</t>
        </is>
      </c>
      <c r="B229" s="1" t="n">
        <v>45306</v>
      </c>
      <c r="C229" s="1" t="n">
        <v>46079</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61170-2022</t>
        </is>
      </c>
      <c r="B230" s="1" t="n">
        <v>44915.48543981482</v>
      </c>
      <c r="C230" s="1" t="n">
        <v>46079</v>
      </c>
      <c r="D230" t="inlineStr">
        <is>
          <t>SKÅNE LÄN</t>
        </is>
      </c>
      <c r="E230" t="inlineStr">
        <is>
          <t>HÄSSLEHOLM</t>
        </is>
      </c>
      <c r="G230" t="n">
        <v>1.2</v>
      </c>
      <c r="H230" t="n">
        <v>0</v>
      </c>
      <c r="I230" t="n">
        <v>0</v>
      </c>
      <c r="J230" t="n">
        <v>0</v>
      </c>
      <c r="K230" t="n">
        <v>0</v>
      </c>
      <c r="L230" t="n">
        <v>0</v>
      </c>
      <c r="M230" t="n">
        <v>0</v>
      </c>
      <c r="N230" t="n">
        <v>0</v>
      </c>
      <c r="O230" t="n">
        <v>0</v>
      </c>
      <c r="P230" t="n">
        <v>0</v>
      </c>
      <c r="Q230" t="n">
        <v>0</v>
      </c>
      <c r="R230" s="2" t="inlineStr"/>
    </row>
    <row r="231" ht="15" customHeight="1">
      <c r="A231" t="inlineStr">
        <is>
          <t>A 15562-2024</t>
        </is>
      </c>
      <c r="B231" s="1" t="n">
        <v>45401.64975694445</v>
      </c>
      <c r="C231" s="1" t="n">
        <v>46079</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37038-2022</t>
        </is>
      </c>
      <c r="B232" s="1" t="n">
        <v>44806.44232638889</v>
      </c>
      <c r="C232" s="1" t="n">
        <v>46079</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18580-2023</t>
        </is>
      </c>
      <c r="B233" s="1" t="n">
        <v>45043.37037037037</v>
      </c>
      <c r="C233" s="1" t="n">
        <v>46079</v>
      </c>
      <c r="D233" t="inlineStr">
        <is>
          <t>SKÅNE LÄN</t>
        </is>
      </c>
      <c r="E233" t="inlineStr">
        <is>
          <t>HÄSSLEHOLM</t>
        </is>
      </c>
      <c r="G233" t="n">
        <v>1.5</v>
      </c>
      <c r="H233" t="n">
        <v>0</v>
      </c>
      <c r="I233" t="n">
        <v>0</v>
      </c>
      <c r="J233" t="n">
        <v>0</v>
      </c>
      <c r="K233" t="n">
        <v>0</v>
      </c>
      <c r="L233" t="n">
        <v>0</v>
      </c>
      <c r="M233" t="n">
        <v>0</v>
      </c>
      <c r="N233" t="n">
        <v>0</v>
      </c>
      <c r="O233" t="n">
        <v>0</v>
      </c>
      <c r="P233" t="n">
        <v>0</v>
      </c>
      <c r="Q233" t="n">
        <v>0</v>
      </c>
      <c r="R233" s="2" t="inlineStr"/>
    </row>
    <row r="234" ht="15" customHeight="1">
      <c r="A234" t="inlineStr">
        <is>
          <t>A 6835-2023</t>
        </is>
      </c>
      <c r="B234" s="1" t="n">
        <v>44967</v>
      </c>
      <c r="C234" s="1" t="n">
        <v>46079</v>
      </c>
      <c r="D234" t="inlineStr">
        <is>
          <t>SKÅNE LÄN</t>
        </is>
      </c>
      <c r="E234" t="inlineStr">
        <is>
          <t>HÄSSLEHOLM</t>
        </is>
      </c>
      <c r="G234" t="n">
        <v>4.8</v>
      </c>
      <c r="H234" t="n">
        <v>0</v>
      </c>
      <c r="I234" t="n">
        <v>0</v>
      </c>
      <c r="J234" t="n">
        <v>0</v>
      </c>
      <c r="K234" t="n">
        <v>0</v>
      </c>
      <c r="L234" t="n">
        <v>0</v>
      </c>
      <c r="M234" t="n">
        <v>0</v>
      </c>
      <c r="N234" t="n">
        <v>0</v>
      </c>
      <c r="O234" t="n">
        <v>0</v>
      </c>
      <c r="P234" t="n">
        <v>0</v>
      </c>
      <c r="Q234" t="n">
        <v>0</v>
      </c>
      <c r="R234" s="2" t="inlineStr"/>
    </row>
    <row r="235" ht="15" customHeight="1">
      <c r="A235" t="inlineStr">
        <is>
          <t>A 17335-2024</t>
        </is>
      </c>
      <c r="B235" s="1" t="n">
        <v>45414.5687962963</v>
      </c>
      <c r="C235" s="1" t="n">
        <v>46079</v>
      </c>
      <c r="D235" t="inlineStr">
        <is>
          <t>SKÅNE LÄN</t>
        </is>
      </c>
      <c r="E235" t="inlineStr">
        <is>
          <t>HÄSSLEHOLM</t>
        </is>
      </c>
      <c r="G235" t="n">
        <v>1.5</v>
      </c>
      <c r="H235" t="n">
        <v>0</v>
      </c>
      <c r="I235" t="n">
        <v>0</v>
      </c>
      <c r="J235" t="n">
        <v>0</v>
      </c>
      <c r="K235" t="n">
        <v>0</v>
      </c>
      <c r="L235" t="n">
        <v>0</v>
      </c>
      <c r="M235" t="n">
        <v>0</v>
      </c>
      <c r="N235" t="n">
        <v>0</v>
      </c>
      <c r="O235" t="n">
        <v>0</v>
      </c>
      <c r="P235" t="n">
        <v>0</v>
      </c>
      <c r="Q235" t="n">
        <v>0</v>
      </c>
      <c r="R235" s="2" t="inlineStr"/>
    </row>
    <row r="236" ht="15" customHeight="1">
      <c r="A236" t="inlineStr">
        <is>
          <t>A 50000-2023</t>
        </is>
      </c>
      <c r="B236" s="1" t="n">
        <v>45215.4434837963</v>
      </c>
      <c r="C236" s="1" t="n">
        <v>46079</v>
      </c>
      <c r="D236" t="inlineStr">
        <is>
          <t>SKÅNE LÄN</t>
        </is>
      </c>
      <c r="E236" t="inlineStr">
        <is>
          <t>HÄSSLEHOLM</t>
        </is>
      </c>
      <c r="G236" t="n">
        <v>1.6</v>
      </c>
      <c r="H236" t="n">
        <v>0</v>
      </c>
      <c r="I236" t="n">
        <v>0</v>
      </c>
      <c r="J236" t="n">
        <v>0</v>
      </c>
      <c r="K236" t="n">
        <v>0</v>
      </c>
      <c r="L236" t="n">
        <v>0</v>
      </c>
      <c r="M236" t="n">
        <v>0</v>
      </c>
      <c r="N236" t="n">
        <v>0</v>
      </c>
      <c r="O236" t="n">
        <v>0</v>
      </c>
      <c r="P236" t="n">
        <v>0</v>
      </c>
      <c r="Q236" t="n">
        <v>0</v>
      </c>
      <c r="R236" s="2" t="inlineStr"/>
    </row>
    <row r="237" ht="15" customHeight="1">
      <c r="A237" t="inlineStr">
        <is>
          <t>A 9885-2021</t>
        </is>
      </c>
      <c r="B237" s="1" t="n">
        <v>44253</v>
      </c>
      <c r="C237" s="1" t="n">
        <v>46079</v>
      </c>
      <c r="D237" t="inlineStr">
        <is>
          <t>SKÅNE LÄN</t>
        </is>
      </c>
      <c r="E237" t="inlineStr">
        <is>
          <t>HÄSSLEHOLM</t>
        </is>
      </c>
      <c r="G237" t="n">
        <v>2.4</v>
      </c>
      <c r="H237" t="n">
        <v>0</v>
      </c>
      <c r="I237" t="n">
        <v>0</v>
      </c>
      <c r="J237" t="n">
        <v>0</v>
      </c>
      <c r="K237" t="n">
        <v>0</v>
      </c>
      <c r="L237" t="n">
        <v>0</v>
      </c>
      <c r="M237" t="n">
        <v>0</v>
      </c>
      <c r="N237" t="n">
        <v>0</v>
      </c>
      <c r="O237" t="n">
        <v>0</v>
      </c>
      <c r="P237" t="n">
        <v>0</v>
      </c>
      <c r="Q237" t="n">
        <v>0</v>
      </c>
      <c r="R237" s="2" t="inlineStr"/>
    </row>
    <row r="238" ht="15" customHeight="1">
      <c r="A238" t="inlineStr">
        <is>
          <t>A 50607-2023</t>
        </is>
      </c>
      <c r="B238" s="1" t="n">
        <v>45210</v>
      </c>
      <c r="C238" s="1" t="n">
        <v>46079</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50616-2023</t>
        </is>
      </c>
      <c r="B239" s="1" t="n">
        <v>45210</v>
      </c>
      <c r="C239" s="1" t="n">
        <v>46079</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31933-2024</t>
        </is>
      </c>
      <c r="B240" s="1" t="n">
        <v>45510.41123842593</v>
      </c>
      <c r="C240" s="1" t="n">
        <v>46079</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9323-2025</t>
        </is>
      </c>
      <c r="B241" s="1" t="n">
        <v>45714.73532407408</v>
      </c>
      <c r="C241" s="1" t="n">
        <v>46079</v>
      </c>
      <c r="D241" t="inlineStr">
        <is>
          <t>SKÅNE LÄN</t>
        </is>
      </c>
      <c r="E241" t="inlineStr">
        <is>
          <t>HÄSSLEHOLM</t>
        </is>
      </c>
      <c r="G241" t="n">
        <v>5.2</v>
      </c>
      <c r="H241" t="n">
        <v>0</v>
      </c>
      <c r="I241" t="n">
        <v>0</v>
      </c>
      <c r="J241" t="n">
        <v>0</v>
      </c>
      <c r="K241" t="n">
        <v>0</v>
      </c>
      <c r="L241" t="n">
        <v>0</v>
      </c>
      <c r="M241" t="n">
        <v>0</v>
      </c>
      <c r="N241" t="n">
        <v>0</v>
      </c>
      <c r="O241" t="n">
        <v>0</v>
      </c>
      <c r="P241" t="n">
        <v>0</v>
      </c>
      <c r="Q241" t="n">
        <v>0</v>
      </c>
      <c r="R241" s="2" t="inlineStr"/>
    </row>
    <row r="242" ht="15" customHeight="1">
      <c r="A242" t="inlineStr">
        <is>
          <t>A 9098-2022</t>
        </is>
      </c>
      <c r="B242" s="1" t="n">
        <v>44615</v>
      </c>
      <c r="C242" s="1" t="n">
        <v>46079</v>
      </c>
      <c r="D242" t="inlineStr">
        <is>
          <t>SKÅNE LÄN</t>
        </is>
      </c>
      <c r="E242" t="inlineStr">
        <is>
          <t>HÄSSLEHOLM</t>
        </is>
      </c>
      <c r="G242" t="n">
        <v>2.1</v>
      </c>
      <c r="H242" t="n">
        <v>0</v>
      </c>
      <c r="I242" t="n">
        <v>0</v>
      </c>
      <c r="J242" t="n">
        <v>0</v>
      </c>
      <c r="K242" t="n">
        <v>0</v>
      </c>
      <c r="L242" t="n">
        <v>0</v>
      </c>
      <c r="M242" t="n">
        <v>0</v>
      </c>
      <c r="N242" t="n">
        <v>0</v>
      </c>
      <c r="O242" t="n">
        <v>0</v>
      </c>
      <c r="P242" t="n">
        <v>0</v>
      </c>
      <c r="Q242" t="n">
        <v>0</v>
      </c>
      <c r="R242" s="2" t="inlineStr"/>
    </row>
    <row r="243" ht="15" customHeight="1">
      <c r="A243" t="inlineStr">
        <is>
          <t>A 12338-2024</t>
        </is>
      </c>
      <c r="B243" s="1" t="n">
        <v>45378.72869212963</v>
      </c>
      <c r="C243" s="1" t="n">
        <v>46079</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16454-2023</t>
        </is>
      </c>
      <c r="B244" s="1" t="n">
        <v>45029.48425925926</v>
      </c>
      <c r="C244" s="1" t="n">
        <v>46079</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31572-2022</t>
        </is>
      </c>
      <c r="B245" s="1" t="n">
        <v>44775</v>
      </c>
      <c r="C245" s="1" t="n">
        <v>46079</v>
      </c>
      <c r="D245" t="inlineStr">
        <is>
          <t>SKÅNE LÄN</t>
        </is>
      </c>
      <c r="E245" t="inlineStr">
        <is>
          <t>HÄSSLEHOLM</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34883-2023</t>
        </is>
      </c>
      <c r="B246" s="1" t="n">
        <v>45142.37902777778</v>
      </c>
      <c r="C246" s="1" t="n">
        <v>46079</v>
      </c>
      <c r="D246" t="inlineStr">
        <is>
          <t>SKÅNE LÄN</t>
        </is>
      </c>
      <c r="E246" t="inlineStr">
        <is>
          <t>HÄSSLEHOLM</t>
        </is>
      </c>
      <c r="G246" t="n">
        <v>2.5</v>
      </c>
      <c r="H246" t="n">
        <v>0</v>
      </c>
      <c r="I246" t="n">
        <v>0</v>
      </c>
      <c r="J246" t="n">
        <v>0</v>
      </c>
      <c r="K246" t="n">
        <v>0</v>
      </c>
      <c r="L246" t="n">
        <v>0</v>
      </c>
      <c r="M246" t="n">
        <v>0</v>
      </c>
      <c r="N246" t="n">
        <v>0</v>
      </c>
      <c r="O246" t="n">
        <v>0</v>
      </c>
      <c r="P246" t="n">
        <v>0</v>
      </c>
      <c r="Q246" t="n">
        <v>0</v>
      </c>
      <c r="R246" s="2" t="inlineStr"/>
    </row>
    <row r="247" ht="15" customHeight="1">
      <c r="A247" t="inlineStr">
        <is>
          <t>A 34886-2023</t>
        </is>
      </c>
      <c r="B247" s="1" t="n">
        <v>45142.38450231482</v>
      </c>
      <c r="C247" s="1" t="n">
        <v>46079</v>
      </c>
      <c r="D247" t="inlineStr">
        <is>
          <t>SKÅNE LÄN</t>
        </is>
      </c>
      <c r="E247" t="inlineStr">
        <is>
          <t>HÄSSLEHOLM</t>
        </is>
      </c>
      <c r="G247" t="n">
        <v>1.3</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46079</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7476-2025</t>
        </is>
      </c>
      <c r="B249" s="1" t="n">
        <v>45702</v>
      </c>
      <c r="C249" s="1" t="n">
        <v>46079</v>
      </c>
      <c r="D249" t="inlineStr">
        <is>
          <t>SKÅNE LÄN</t>
        </is>
      </c>
      <c r="E249" t="inlineStr">
        <is>
          <t>HÄSSLEHOLM</t>
        </is>
      </c>
      <c r="F249" t="inlineStr">
        <is>
          <t>Övriga Aktiebolag</t>
        </is>
      </c>
      <c r="G249" t="n">
        <v>2.1</v>
      </c>
      <c r="H249" t="n">
        <v>0</v>
      </c>
      <c r="I249" t="n">
        <v>0</v>
      </c>
      <c r="J249" t="n">
        <v>0</v>
      </c>
      <c r="K249" t="n">
        <v>0</v>
      </c>
      <c r="L249" t="n">
        <v>0</v>
      </c>
      <c r="M249" t="n">
        <v>0</v>
      </c>
      <c r="N249" t="n">
        <v>0</v>
      </c>
      <c r="O249" t="n">
        <v>0</v>
      </c>
      <c r="P249" t="n">
        <v>0</v>
      </c>
      <c r="Q249" t="n">
        <v>0</v>
      </c>
      <c r="R249" s="2" t="inlineStr"/>
    </row>
    <row r="250" ht="15" customHeight="1">
      <c r="A250" t="inlineStr">
        <is>
          <t>A 54659-2023</t>
        </is>
      </c>
      <c r="B250" s="1" t="n">
        <v>45235</v>
      </c>
      <c r="C250" s="1" t="n">
        <v>46079</v>
      </c>
      <c r="D250" t="inlineStr">
        <is>
          <t>SKÅNE LÄN</t>
        </is>
      </c>
      <c r="E250" t="inlineStr">
        <is>
          <t>HÄSSLEHOLM</t>
        </is>
      </c>
      <c r="G250" t="n">
        <v>5</v>
      </c>
      <c r="H250" t="n">
        <v>0</v>
      </c>
      <c r="I250" t="n">
        <v>0</v>
      </c>
      <c r="J250" t="n">
        <v>0</v>
      </c>
      <c r="K250" t="n">
        <v>0</v>
      </c>
      <c r="L250" t="n">
        <v>0</v>
      </c>
      <c r="M250" t="n">
        <v>0</v>
      </c>
      <c r="N250" t="n">
        <v>0</v>
      </c>
      <c r="O250" t="n">
        <v>0</v>
      </c>
      <c r="P250" t="n">
        <v>0</v>
      </c>
      <c r="Q250" t="n">
        <v>0</v>
      </c>
      <c r="R250" s="2" t="inlineStr"/>
    </row>
    <row r="251" ht="15" customHeight="1">
      <c r="A251" t="inlineStr">
        <is>
          <t>A 23946-2023</t>
        </is>
      </c>
      <c r="B251" s="1" t="n">
        <v>45078.61601851852</v>
      </c>
      <c r="C251" s="1" t="n">
        <v>46079</v>
      </c>
      <c r="D251" t="inlineStr">
        <is>
          <t>SKÅNE LÄN</t>
        </is>
      </c>
      <c r="E251" t="inlineStr">
        <is>
          <t>HÄSSLEHOLM</t>
        </is>
      </c>
      <c r="G251" t="n">
        <v>0.2</v>
      </c>
      <c r="H251" t="n">
        <v>0</v>
      </c>
      <c r="I251" t="n">
        <v>0</v>
      </c>
      <c r="J251" t="n">
        <v>0</v>
      </c>
      <c r="K251" t="n">
        <v>0</v>
      </c>
      <c r="L251" t="n">
        <v>0</v>
      </c>
      <c r="M251" t="n">
        <v>0</v>
      </c>
      <c r="N251" t="n">
        <v>0</v>
      </c>
      <c r="O251" t="n">
        <v>0</v>
      </c>
      <c r="P251" t="n">
        <v>0</v>
      </c>
      <c r="Q251" t="n">
        <v>0</v>
      </c>
      <c r="R251" s="2" t="inlineStr"/>
    </row>
    <row r="252" ht="15" customHeight="1">
      <c r="A252" t="inlineStr">
        <is>
          <t>A 9375-2023</t>
        </is>
      </c>
      <c r="B252" s="1" t="n">
        <v>44981</v>
      </c>
      <c r="C252" s="1" t="n">
        <v>46079</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25533-2024</t>
        </is>
      </c>
      <c r="B253" s="1" t="n">
        <v>45463</v>
      </c>
      <c r="C253" s="1" t="n">
        <v>46079</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49250-2022</t>
        </is>
      </c>
      <c r="B254" s="1" t="n">
        <v>44858</v>
      </c>
      <c r="C254" s="1" t="n">
        <v>46079</v>
      </c>
      <c r="D254" t="inlineStr">
        <is>
          <t>SKÅNE LÄN</t>
        </is>
      </c>
      <c r="E254" t="inlineStr">
        <is>
          <t>HÄSSLEHOLM</t>
        </is>
      </c>
      <c r="F254" t="inlineStr">
        <is>
          <t>Kyrkan</t>
        </is>
      </c>
      <c r="G254" t="n">
        <v>1.5</v>
      </c>
      <c r="H254" t="n">
        <v>0</v>
      </c>
      <c r="I254" t="n">
        <v>0</v>
      </c>
      <c r="J254" t="n">
        <v>0</v>
      </c>
      <c r="K254" t="n">
        <v>0</v>
      </c>
      <c r="L254" t="n">
        <v>0</v>
      </c>
      <c r="M254" t="n">
        <v>0</v>
      </c>
      <c r="N254" t="n">
        <v>0</v>
      </c>
      <c r="O254" t="n">
        <v>0</v>
      </c>
      <c r="P254" t="n">
        <v>0</v>
      </c>
      <c r="Q254" t="n">
        <v>0</v>
      </c>
      <c r="R254" s="2" t="inlineStr"/>
    </row>
    <row r="255" ht="15" customHeight="1">
      <c r="A255" t="inlineStr">
        <is>
          <t>A 12558-2023</t>
        </is>
      </c>
      <c r="B255" s="1" t="n">
        <v>45000.36103009259</v>
      </c>
      <c r="C255" s="1" t="n">
        <v>46079</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13673-2023</t>
        </is>
      </c>
      <c r="B256" s="1" t="n">
        <v>45006.87957175926</v>
      </c>
      <c r="C256" s="1" t="n">
        <v>46079</v>
      </c>
      <c r="D256" t="inlineStr">
        <is>
          <t>SKÅNE LÄN</t>
        </is>
      </c>
      <c r="E256" t="inlineStr">
        <is>
          <t>HÄSSLEHOLM</t>
        </is>
      </c>
      <c r="G256" t="n">
        <v>3.2</v>
      </c>
      <c r="H256" t="n">
        <v>0</v>
      </c>
      <c r="I256" t="n">
        <v>0</v>
      </c>
      <c r="J256" t="n">
        <v>0</v>
      </c>
      <c r="K256" t="n">
        <v>0</v>
      </c>
      <c r="L256" t="n">
        <v>0</v>
      </c>
      <c r="M256" t="n">
        <v>0</v>
      </c>
      <c r="N256" t="n">
        <v>0</v>
      </c>
      <c r="O256" t="n">
        <v>0</v>
      </c>
      <c r="P256" t="n">
        <v>0</v>
      </c>
      <c r="Q256" t="n">
        <v>0</v>
      </c>
      <c r="R256" s="2" t="inlineStr"/>
    </row>
    <row r="257" ht="15" customHeight="1">
      <c r="A257" t="inlineStr">
        <is>
          <t>A 29287-2023</t>
        </is>
      </c>
      <c r="B257" s="1" t="n">
        <v>45098</v>
      </c>
      <c r="C257" s="1" t="n">
        <v>46079</v>
      </c>
      <c r="D257" t="inlineStr">
        <is>
          <t>SKÅNE LÄN</t>
        </is>
      </c>
      <c r="E257" t="inlineStr">
        <is>
          <t>HÄSSLEHOLM</t>
        </is>
      </c>
      <c r="G257" t="n">
        <v>5.7</v>
      </c>
      <c r="H257" t="n">
        <v>0</v>
      </c>
      <c r="I257" t="n">
        <v>0</v>
      </c>
      <c r="J257" t="n">
        <v>0</v>
      </c>
      <c r="K257" t="n">
        <v>0</v>
      </c>
      <c r="L257" t="n">
        <v>0</v>
      </c>
      <c r="M257" t="n">
        <v>0</v>
      </c>
      <c r="N257" t="n">
        <v>0</v>
      </c>
      <c r="O257" t="n">
        <v>0</v>
      </c>
      <c r="P257" t="n">
        <v>0</v>
      </c>
      <c r="Q257" t="n">
        <v>0</v>
      </c>
      <c r="R257" s="2" t="inlineStr"/>
    </row>
    <row r="258" ht="15" customHeight="1">
      <c r="A258" t="inlineStr">
        <is>
          <t>A 48844-2023</t>
        </is>
      </c>
      <c r="B258" s="1" t="n">
        <v>45209</v>
      </c>
      <c r="C258" s="1" t="n">
        <v>46079</v>
      </c>
      <c r="D258" t="inlineStr">
        <is>
          <t>SKÅNE LÄN</t>
        </is>
      </c>
      <c r="E258" t="inlineStr">
        <is>
          <t>HÄSSLEHOLM</t>
        </is>
      </c>
      <c r="G258" t="n">
        <v>4</v>
      </c>
      <c r="H258" t="n">
        <v>0</v>
      </c>
      <c r="I258" t="n">
        <v>0</v>
      </c>
      <c r="J258" t="n">
        <v>0</v>
      </c>
      <c r="K258" t="n">
        <v>0</v>
      </c>
      <c r="L258" t="n">
        <v>0</v>
      </c>
      <c r="M258" t="n">
        <v>0</v>
      </c>
      <c r="N258" t="n">
        <v>0</v>
      </c>
      <c r="O258" t="n">
        <v>0</v>
      </c>
      <c r="P258" t="n">
        <v>0</v>
      </c>
      <c r="Q258" t="n">
        <v>0</v>
      </c>
      <c r="R258" s="2" t="inlineStr"/>
    </row>
    <row r="259" ht="15" customHeight="1">
      <c r="A259" t="inlineStr">
        <is>
          <t>A 8759-2024</t>
        </is>
      </c>
      <c r="B259" s="1" t="n">
        <v>45356.52271990741</v>
      </c>
      <c r="C259" s="1" t="n">
        <v>46079</v>
      </c>
      <c r="D259" t="inlineStr">
        <is>
          <t>SKÅNE LÄN</t>
        </is>
      </c>
      <c r="E259" t="inlineStr">
        <is>
          <t>HÄSSLEHOLM</t>
        </is>
      </c>
      <c r="G259" t="n">
        <v>5.7</v>
      </c>
      <c r="H259" t="n">
        <v>0</v>
      </c>
      <c r="I259" t="n">
        <v>0</v>
      </c>
      <c r="J259" t="n">
        <v>0</v>
      </c>
      <c r="K259" t="n">
        <v>0</v>
      </c>
      <c r="L259" t="n">
        <v>0</v>
      </c>
      <c r="M259" t="n">
        <v>0</v>
      </c>
      <c r="N259" t="n">
        <v>0</v>
      </c>
      <c r="O259" t="n">
        <v>0</v>
      </c>
      <c r="P259" t="n">
        <v>0</v>
      </c>
      <c r="Q259" t="n">
        <v>0</v>
      </c>
      <c r="R259" s="2" t="inlineStr"/>
    </row>
    <row r="260" ht="15" customHeight="1">
      <c r="A260" t="inlineStr">
        <is>
          <t>A 10020-2024</t>
        </is>
      </c>
      <c r="B260" s="1" t="n">
        <v>45363.96944444445</v>
      </c>
      <c r="C260" s="1" t="n">
        <v>46079</v>
      </c>
      <c r="D260" t="inlineStr">
        <is>
          <t>SKÅNE LÄN</t>
        </is>
      </c>
      <c r="E260" t="inlineStr">
        <is>
          <t>HÄSSLEHOLM</t>
        </is>
      </c>
      <c r="G260" t="n">
        <v>5.3</v>
      </c>
      <c r="H260" t="n">
        <v>0</v>
      </c>
      <c r="I260" t="n">
        <v>0</v>
      </c>
      <c r="J260" t="n">
        <v>0</v>
      </c>
      <c r="K260" t="n">
        <v>0</v>
      </c>
      <c r="L260" t="n">
        <v>0</v>
      </c>
      <c r="M260" t="n">
        <v>0</v>
      </c>
      <c r="N260" t="n">
        <v>0</v>
      </c>
      <c r="O260" t="n">
        <v>0</v>
      </c>
      <c r="P260" t="n">
        <v>0</v>
      </c>
      <c r="Q260" t="n">
        <v>0</v>
      </c>
      <c r="R260" s="2" t="inlineStr"/>
    </row>
    <row r="261" ht="15" customHeight="1">
      <c r="A261" t="inlineStr">
        <is>
          <t>A 55416-2021</t>
        </is>
      </c>
      <c r="B261" s="1" t="n">
        <v>44475</v>
      </c>
      <c r="C261" s="1" t="n">
        <v>46079</v>
      </c>
      <c r="D261" t="inlineStr">
        <is>
          <t>SKÅNE LÄN</t>
        </is>
      </c>
      <c r="E261" t="inlineStr">
        <is>
          <t>HÄSSLEHOLM</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12936-2025</t>
        </is>
      </c>
      <c r="B262" s="1" t="n">
        <v>45734</v>
      </c>
      <c r="C262" s="1" t="n">
        <v>46079</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60509-2023</t>
        </is>
      </c>
      <c r="B263" s="1" t="n">
        <v>45259</v>
      </c>
      <c r="C263" s="1" t="n">
        <v>46079</v>
      </c>
      <c r="D263" t="inlineStr">
        <is>
          <t>SKÅNE LÄN</t>
        </is>
      </c>
      <c r="E263" t="inlineStr">
        <is>
          <t>HÄSSLEHOLM</t>
        </is>
      </c>
      <c r="F263" t="inlineStr">
        <is>
          <t>Övriga Aktiebolag</t>
        </is>
      </c>
      <c r="G263" t="n">
        <v>0.5</v>
      </c>
      <c r="H263" t="n">
        <v>0</v>
      </c>
      <c r="I263" t="n">
        <v>0</v>
      </c>
      <c r="J263" t="n">
        <v>0</v>
      </c>
      <c r="K263" t="n">
        <v>0</v>
      </c>
      <c r="L263" t="n">
        <v>0</v>
      </c>
      <c r="M263" t="n">
        <v>0</v>
      </c>
      <c r="N263" t="n">
        <v>0</v>
      </c>
      <c r="O263" t="n">
        <v>0</v>
      </c>
      <c r="P263" t="n">
        <v>0</v>
      </c>
      <c r="Q263" t="n">
        <v>0</v>
      </c>
      <c r="R263" s="2" t="inlineStr"/>
    </row>
    <row r="264" ht="15" customHeight="1">
      <c r="A264" t="inlineStr">
        <is>
          <t>A 21310-2022</t>
        </is>
      </c>
      <c r="B264" s="1" t="n">
        <v>44705</v>
      </c>
      <c r="C264" s="1" t="n">
        <v>46079</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21329-2023</t>
        </is>
      </c>
      <c r="B265" s="1" t="n">
        <v>45062</v>
      </c>
      <c r="C265" s="1" t="n">
        <v>46079</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45222-2023</t>
        </is>
      </c>
      <c r="B266" s="1" t="n">
        <v>45191</v>
      </c>
      <c r="C266" s="1" t="n">
        <v>46079</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13310-2025</t>
        </is>
      </c>
      <c r="B267" s="1" t="n">
        <v>45735.58814814815</v>
      </c>
      <c r="C267" s="1" t="n">
        <v>46079</v>
      </c>
      <c r="D267" t="inlineStr">
        <is>
          <t>SKÅNE LÄN</t>
        </is>
      </c>
      <c r="E267" t="inlineStr">
        <is>
          <t>HÄSSLEHOLM</t>
        </is>
      </c>
      <c r="G267" t="n">
        <v>2</v>
      </c>
      <c r="H267" t="n">
        <v>0</v>
      </c>
      <c r="I267" t="n">
        <v>0</v>
      </c>
      <c r="J267" t="n">
        <v>0</v>
      </c>
      <c r="K267" t="n">
        <v>0</v>
      </c>
      <c r="L267" t="n">
        <v>0</v>
      </c>
      <c r="M267" t="n">
        <v>0</v>
      </c>
      <c r="N267" t="n">
        <v>0</v>
      </c>
      <c r="O267" t="n">
        <v>0</v>
      </c>
      <c r="P267" t="n">
        <v>0</v>
      </c>
      <c r="Q267" t="n">
        <v>0</v>
      </c>
      <c r="R267" s="2" t="inlineStr"/>
    </row>
    <row r="268" ht="15" customHeight="1">
      <c r="A268" t="inlineStr">
        <is>
          <t>A 8749-2024</t>
        </is>
      </c>
      <c r="B268" s="1" t="n">
        <v>45356.50387731481</v>
      </c>
      <c r="C268" s="1" t="n">
        <v>46079</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8752-2024</t>
        </is>
      </c>
      <c r="B269" s="1" t="n">
        <v>45356</v>
      </c>
      <c r="C269" s="1" t="n">
        <v>46079</v>
      </c>
      <c r="D269" t="inlineStr">
        <is>
          <t>SKÅNE LÄN</t>
        </is>
      </c>
      <c r="E269" t="inlineStr">
        <is>
          <t>HÄSSLEHOLM</t>
        </is>
      </c>
      <c r="G269" t="n">
        <v>3.4</v>
      </c>
      <c r="H269" t="n">
        <v>0</v>
      </c>
      <c r="I269" t="n">
        <v>0</v>
      </c>
      <c r="J269" t="n">
        <v>0</v>
      </c>
      <c r="K269" t="n">
        <v>0</v>
      </c>
      <c r="L269" t="n">
        <v>0</v>
      </c>
      <c r="M269" t="n">
        <v>0</v>
      </c>
      <c r="N269" t="n">
        <v>0</v>
      </c>
      <c r="O269" t="n">
        <v>0</v>
      </c>
      <c r="P269" t="n">
        <v>0</v>
      </c>
      <c r="Q269" t="n">
        <v>0</v>
      </c>
      <c r="R269" s="2" t="inlineStr"/>
    </row>
    <row r="270" ht="15" customHeight="1">
      <c r="A270" t="inlineStr">
        <is>
          <t>A 42906-2022</t>
        </is>
      </c>
      <c r="B270" s="1" t="n">
        <v>44833</v>
      </c>
      <c r="C270" s="1" t="n">
        <v>46079</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9485-2023</t>
        </is>
      </c>
      <c r="B271" s="1" t="n">
        <v>44981.60901620371</v>
      </c>
      <c r="C271" s="1" t="n">
        <v>46079</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9502-2023</t>
        </is>
      </c>
      <c r="B272" s="1" t="n">
        <v>44981.63278935185</v>
      </c>
      <c r="C272" s="1" t="n">
        <v>46079</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15036-2024</t>
        </is>
      </c>
      <c r="B273" s="1" t="n">
        <v>45399.48100694444</v>
      </c>
      <c r="C273" s="1" t="n">
        <v>46079</v>
      </c>
      <c r="D273" t="inlineStr">
        <is>
          <t>SKÅNE LÄN</t>
        </is>
      </c>
      <c r="E273" t="inlineStr">
        <is>
          <t>HÄSSLEHOLM</t>
        </is>
      </c>
      <c r="G273" t="n">
        <v>1.6</v>
      </c>
      <c r="H273" t="n">
        <v>0</v>
      </c>
      <c r="I273" t="n">
        <v>0</v>
      </c>
      <c r="J273" t="n">
        <v>0</v>
      </c>
      <c r="K273" t="n">
        <v>0</v>
      </c>
      <c r="L273" t="n">
        <v>0</v>
      </c>
      <c r="M273" t="n">
        <v>0</v>
      </c>
      <c r="N273" t="n">
        <v>0</v>
      </c>
      <c r="O273" t="n">
        <v>0</v>
      </c>
      <c r="P273" t="n">
        <v>0</v>
      </c>
      <c r="Q273" t="n">
        <v>0</v>
      </c>
      <c r="R273" s="2" t="inlineStr"/>
    </row>
    <row r="274" ht="15" customHeight="1">
      <c r="A274" t="inlineStr">
        <is>
          <t>A 25538-2024</t>
        </is>
      </c>
      <c r="B274" s="1" t="n">
        <v>45463</v>
      </c>
      <c r="C274" s="1" t="n">
        <v>46079</v>
      </c>
      <c r="D274" t="inlineStr">
        <is>
          <t>SKÅNE LÄN</t>
        </is>
      </c>
      <c r="E274" t="inlineStr">
        <is>
          <t>HÄSSLEHOLM</t>
        </is>
      </c>
      <c r="G274" t="n">
        <v>1.6</v>
      </c>
      <c r="H274" t="n">
        <v>0</v>
      </c>
      <c r="I274" t="n">
        <v>0</v>
      </c>
      <c r="J274" t="n">
        <v>0</v>
      </c>
      <c r="K274" t="n">
        <v>0</v>
      </c>
      <c r="L274" t="n">
        <v>0</v>
      </c>
      <c r="M274" t="n">
        <v>0</v>
      </c>
      <c r="N274" t="n">
        <v>0</v>
      </c>
      <c r="O274" t="n">
        <v>0</v>
      </c>
      <c r="P274" t="n">
        <v>0</v>
      </c>
      <c r="Q274" t="n">
        <v>0</v>
      </c>
      <c r="R274" s="2" t="inlineStr"/>
    </row>
    <row r="275" ht="15" customHeight="1">
      <c r="A275" t="inlineStr">
        <is>
          <t>A 10928-2024</t>
        </is>
      </c>
      <c r="B275" s="1" t="n">
        <v>45370</v>
      </c>
      <c r="C275" s="1" t="n">
        <v>46079</v>
      </c>
      <c r="D275" t="inlineStr">
        <is>
          <t>SKÅNE LÄN</t>
        </is>
      </c>
      <c r="E275" t="inlineStr">
        <is>
          <t>HÄSSLEHOLM</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5890-2023</t>
        </is>
      </c>
      <c r="B276" s="1" t="n">
        <v>44963.64527777778</v>
      </c>
      <c r="C276" s="1" t="n">
        <v>46079</v>
      </c>
      <c r="D276" t="inlineStr">
        <is>
          <t>SKÅNE LÄN</t>
        </is>
      </c>
      <c r="E276" t="inlineStr">
        <is>
          <t>HÄSSLEHOLM</t>
        </is>
      </c>
      <c r="G276" t="n">
        <v>1.6</v>
      </c>
      <c r="H276" t="n">
        <v>0</v>
      </c>
      <c r="I276" t="n">
        <v>0</v>
      </c>
      <c r="J276" t="n">
        <v>0</v>
      </c>
      <c r="K276" t="n">
        <v>0</v>
      </c>
      <c r="L276" t="n">
        <v>0</v>
      </c>
      <c r="M276" t="n">
        <v>0</v>
      </c>
      <c r="N276" t="n">
        <v>0</v>
      </c>
      <c r="O276" t="n">
        <v>0</v>
      </c>
      <c r="P276" t="n">
        <v>0</v>
      </c>
      <c r="Q276" t="n">
        <v>0</v>
      </c>
      <c r="R276" s="2" t="inlineStr"/>
    </row>
    <row r="277" ht="15" customHeight="1">
      <c r="A277" t="inlineStr">
        <is>
          <t>A 5894-2023</t>
        </is>
      </c>
      <c r="B277" s="1" t="n">
        <v>44963.65148148148</v>
      </c>
      <c r="C277" s="1" t="n">
        <v>46079</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12843-2023</t>
        </is>
      </c>
      <c r="B278" s="1" t="n">
        <v>45001.48423611111</v>
      </c>
      <c r="C278" s="1" t="n">
        <v>46079</v>
      </c>
      <c r="D278" t="inlineStr">
        <is>
          <t>SKÅNE LÄN</t>
        </is>
      </c>
      <c r="E278" t="inlineStr">
        <is>
          <t>HÄSSLEHOLM</t>
        </is>
      </c>
      <c r="G278" t="n">
        <v>3.9</v>
      </c>
      <c r="H278" t="n">
        <v>0</v>
      </c>
      <c r="I278" t="n">
        <v>0</v>
      </c>
      <c r="J278" t="n">
        <v>0</v>
      </c>
      <c r="K278" t="n">
        <v>0</v>
      </c>
      <c r="L278" t="n">
        <v>0</v>
      </c>
      <c r="M278" t="n">
        <v>0</v>
      </c>
      <c r="N278" t="n">
        <v>0</v>
      </c>
      <c r="O278" t="n">
        <v>0</v>
      </c>
      <c r="P278" t="n">
        <v>0</v>
      </c>
      <c r="Q278" t="n">
        <v>0</v>
      </c>
      <c r="R278" s="2" t="inlineStr"/>
    </row>
    <row r="279" ht="15" customHeight="1">
      <c r="A279" t="inlineStr">
        <is>
          <t>A 10944-2024</t>
        </is>
      </c>
      <c r="B279" s="1" t="n">
        <v>45370</v>
      </c>
      <c r="C279" s="1" t="n">
        <v>46079</v>
      </c>
      <c r="D279" t="inlineStr">
        <is>
          <t>SKÅNE LÄN</t>
        </is>
      </c>
      <c r="E279" t="inlineStr">
        <is>
          <t>HÄSSLEHOLM</t>
        </is>
      </c>
      <c r="F279" t="inlineStr">
        <is>
          <t>Övriga Aktiebolag</t>
        </is>
      </c>
      <c r="G279" t="n">
        <v>2.6</v>
      </c>
      <c r="H279" t="n">
        <v>0</v>
      </c>
      <c r="I279" t="n">
        <v>0</v>
      </c>
      <c r="J279" t="n">
        <v>0</v>
      </c>
      <c r="K279" t="n">
        <v>0</v>
      </c>
      <c r="L279" t="n">
        <v>0</v>
      </c>
      <c r="M279" t="n">
        <v>0</v>
      </c>
      <c r="N279" t="n">
        <v>0</v>
      </c>
      <c r="O279" t="n">
        <v>0</v>
      </c>
      <c r="P279" t="n">
        <v>0</v>
      </c>
      <c r="Q279" t="n">
        <v>0</v>
      </c>
      <c r="R279" s="2" t="inlineStr"/>
    </row>
    <row r="280" ht="15" customHeight="1">
      <c r="A280" t="inlineStr">
        <is>
          <t>A 13309-2025</t>
        </is>
      </c>
      <c r="B280" s="1" t="n">
        <v>45735.58512731481</v>
      </c>
      <c r="C280" s="1" t="n">
        <v>46079</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5980-2024</t>
        </is>
      </c>
      <c r="B281" s="1" t="n">
        <v>45335</v>
      </c>
      <c r="C281" s="1" t="n">
        <v>46079</v>
      </c>
      <c r="D281" t="inlineStr">
        <is>
          <t>SKÅNE LÄN</t>
        </is>
      </c>
      <c r="E281" t="inlineStr">
        <is>
          <t>HÄSSLEHOLM</t>
        </is>
      </c>
      <c r="G281" t="n">
        <v>1.2</v>
      </c>
      <c r="H281" t="n">
        <v>0</v>
      </c>
      <c r="I281" t="n">
        <v>0</v>
      </c>
      <c r="J281" t="n">
        <v>0</v>
      </c>
      <c r="K281" t="n">
        <v>0</v>
      </c>
      <c r="L281" t="n">
        <v>0</v>
      </c>
      <c r="M281" t="n">
        <v>0</v>
      </c>
      <c r="N281" t="n">
        <v>0</v>
      </c>
      <c r="O281" t="n">
        <v>0</v>
      </c>
      <c r="P281" t="n">
        <v>0</v>
      </c>
      <c r="Q281" t="n">
        <v>0</v>
      </c>
      <c r="R281" s="2" t="inlineStr"/>
    </row>
    <row r="282" ht="15" customHeight="1">
      <c r="A282" t="inlineStr">
        <is>
          <t>A 15055-2023</t>
        </is>
      </c>
      <c r="B282" s="1" t="n">
        <v>45015</v>
      </c>
      <c r="C282" s="1" t="n">
        <v>46079</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58915-2023</t>
        </is>
      </c>
      <c r="B283" s="1" t="n">
        <v>45250</v>
      </c>
      <c r="C283" s="1" t="n">
        <v>46079</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18648-2021</t>
        </is>
      </c>
      <c r="B284" s="1" t="n">
        <v>44306.70583333333</v>
      </c>
      <c r="C284" s="1" t="n">
        <v>46079</v>
      </c>
      <c r="D284" t="inlineStr">
        <is>
          <t>SKÅNE LÄN</t>
        </is>
      </c>
      <c r="E284" t="inlineStr">
        <is>
          <t>HÄSSLEHOLM</t>
        </is>
      </c>
      <c r="G284" t="n">
        <v>2.5</v>
      </c>
      <c r="H284" t="n">
        <v>0</v>
      </c>
      <c r="I284" t="n">
        <v>0</v>
      </c>
      <c r="J284" t="n">
        <v>0</v>
      </c>
      <c r="K284" t="n">
        <v>0</v>
      </c>
      <c r="L284" t="n">
        <v>0</v>
      </c>
      <c r="M284" t="n">
        <v>0</v>
      </c>
      <c r="N284" t="n">
        <v>0</v>
      </c>
      <c r="O284" t="n">
        <v>0</v>
      </c>
      <c r="P284" t="n">
        <v>0</v>
      </c>
      <c r="Q284" t="n">
        <v>0</v>
      </c>
      <c r="R284" s="2" t="inlineStr"/>
    </row>
    <row r="285" ht="15" customHeight="1">
      <c r="A285" t="inlineStr">
        <is>
          <t>A 20494-2024</t>
        </is>
      </c>
      <c r="B285" s="1" t="n">
        <v>45435</v>
      </c>
      <c r="C285" s="1" t="n">
        <v>46079</v>
      </c>
      <c r="D285" t="inlineStr">
        <is>
          <t>SKÅNE LÄN</t>
        </is>
      </c>
      <c r="E285" t="inlineStr">
        <is>
          <t>HÄSSLEHOLM</t>
        </is>
      </c>
      <c r="G285" t="n">
        <v>1.4</v>
      </c>
      <c r="H285" t="n">
        <v>0</v>
      </c>
      <c r="I285" t="n">
        <v>0</v>
      </c>
      <c r="J285" t="n">
        <v>0</v>
      </c>
      <c r="K285" t="n">
        <v>0</v>
      </c>
      <c r="L285" t="n">
        <v>0</v>
      </c>
      <c r="M285" t="n">
        <v>0</v>
      </c>
      <c r="N285" t="n">
        <v>0</v>
      </c>
      <c r="O285" t="n">
        <v>0</v>
      </c>
      <c r="P285" t="n">
        <v>0</v>
      </c>
      <c r="Q285" t="n">
        <v>0</v>
      </c>
      <c r="R285" s="2" t="inlineStr"/>
    </row>
    <row r="286" ht="15" customHeight="1">
      <c r="A286" t="inlineStr">
        <is>
          <t>A 31934-2024</t>
        </is>
      </c>
      <c r="B286" s="1" t="n">
        <v>45510.41177083334</v>
      </c>
      <c r="C286" s="1" t="n">
        <v>46079</v>
      </c>
      <c r="D286" t="inlineStr">
        <is>
          <t>SKÅNE LÄN</t>
        </is>
      </c>
      <c r="E286" t="inlineStr">
        <is>
          <t>HÄSSLEHOLM</t>
        </is>
      </c>
      <c r="G286" t="n">
        <v>1.9</v>
      </c>
      <c r="H286" t="n">
        <v>0</v>
      </c>
      <c r="I286" t="n">
        <v>0</v>
      </c>
      <c r="J286" t="n">
        <v>0</v>
      </c>
      <c r="K286" t="n">
        <v>0</v>
      </c>
      <c r="L286" t="n">
        <v>0</v>
      </c>
      <c r="M286" t="n">
        <v>0</v>
      </c>
      <c r="N286" t="n">
        <v>0</v>
      </c>
      <c r="O286" t="n">
        <v>0</v>
      </c>
      <c r="P286" t="n">
        <v>0</v>
      </c>
      <c r="Q286" t="n">
        <v>0</v>
      </c>
      <c r="R286" s="2" t="inlineStr"/>
    </row>
    <row r="287" ht="15" customHeight="1">
      <c r="A287" t="inlineStr">
        <is>
          <t>A 57033-2022</t>
        </is>
      </c>
      <c r="B287" s="1" t="n">
        <v>44895.31270833333</v>
      </c>
      <c r="C287" s="1" t="n">
        <v>46079</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42372-2024</t>
        </is>
      </c>
      <c r="B288" s="1" t="n">
        <v>45564.5127199074</v>
      </c>
      <c r="C288" s="1" t="n">
        <v>46079</v>
      </c>
      <c r="D288" t="inlineStr">
        <is>
          <t>SKÅNE LÄN</t>
        </is>
      </c>
      <c r="E288" t="inlineStr">
        <is>
          <t>HÄSSLEHOLM</t>
        </is>
      </c>
      <c r="G288" t="n">
        <v>0.5</v>
      </c>
      <c r="H288" t="n">
        <v>0</v>
      </c>
      <c r="I288" t="n">
        <v>0</v>
      </c>
      <c r="J288" t="n">
        <v>0</v>
      </c>
      <c r="K288" t="n">
        <v>0</v>
      </c>
      <c r="L288" t="n">
        <v>0</v>
      </c>
      <c r="M288" t="n">
        <v>0</v>
      </c>
      <c r="N288" t="n">
        <v>0</v>
      </c>
      <c r="O288" t="n">
        <v>0</v>
      </c>
      <c r="P288" t="n">
        <v>0</v>
      </c>
      <c r="Q288" t="n">
        <v>0</v>
      </c>
      <c r="R288" s="2" t="inlineStr"/>
    </row>
    <row r="289" ht="15" customHeight="1">
      <c r="A289" t="inlineStr">
        <is>
          <t>A 29847-2024</t>
        </is>
      </c>
      <c r="B289" s="1" t="n">
        <v>45485.6278587963</v>
      </c>
      <c r="C289" s="1" t="n">
        <v>46079</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44697-2021</t>
        </is>
      </c>
      <c r="B290" s="1" t="n">
        <v>44438</v>
      </c>
      <c r="C290" s="1" t="n">
        <v>46079</v>
      </c>
      <c r="D290" t="inlineStr">
        <is>
          <t>SKÅNE LÄN</t>
        </is>
      </c>
      <c r="E290" t="inlineStr">
        <is>
          <t>HÄSSLEHOLM</t>
        </is>
      </c>
      <c r="G290" t="n">
        <v>4.8</v>
      </c>
      <c r="H290" t="n">
        <v>0</v>
      </c>
      <c r="I290" t="n">
        <v>0</v>
      </c>
      <c r="J290" t="n">
        <v>0</v>
      </c>
      <c r="K290" t="n">
        <v>0</v>
      </c>
      <c r="L290" t="n">
        <v>0</v>
      </c>
      <c r="M290" t="n">
        <v>0</v>
      </c>
      <c r="N290" t="n">
        <v>0</v>
      </c>
      <c r="O290" t="n">
        <v>0</v>
      </c>
      <c r="P290" t="n">
        <v>0</v>
      </c>
      <c r="Q290" t="n">
        <v>0</v>
      </c>
      <c r="R290" s="2" t="inlineStr"/>
    </row>
    <row r="291" ht="15" customHeight="1">
      <c r="A291" t="inlineStr">
        <is>
          <t>A 25324-2024</t>
        </is>
      </c>
      <c r="B291" s="1" t="n">
        <v>45462.804375</v>
      </c>
      <c r="C291" s="1" t="n">
        <v>46079</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53067-2022</t>
        </is>
      </c>
      <c r="B292" s="1" t="n">
        <v>44873</v>
      </c>
      <c r="C292" s="1" t="n">
        <v>46079</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61929-2023</t>
        </is>
      </c>
      <c r="B293" s="1" t="n">
        <v>45266</v>
      </c>
      <c r="C293" s="1" t="n">
        <v>46079</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1120-2024</t>
        </is>
      </c>
      <c r="B294" s="1" t="n">
        <v>45302.4452662037</v>
      </c>
      <c r="C294" s="1" t="n">
        <v>46079</v>
      </c>
      <c r="D294" t="inlineStr">
        <is>
          <t>SKÅNE LÄN</t>
        </is>
      </c>
      <c r="E294" t="inlineStr">
        <is>
          <t>HÄSSLEHOLM</t>
        </is>
      </c>
      <c r="G294" t="n">
        <v>2.7</v>
      </c>
      <c r="H294" t="n">
        <v>0</v>
      </c>
      <c r="I294" t="n">
        <v>0</v>
      </c>
      <c r="J294" t="n">
        <v>0</v>
      </c>
      <c r="K294" t="n">
        <v>0</v>
      </c>
      <c r="L294" t="n">
        <v>0</v>
      </c>
      <c r="M294" t="n">
        <v>0</v>
      </c>
      <c r="N294" t="n">
        <v>0</v>
      </c>
      <c r="O294" t="n">
        <v>0</v>
      </c>
      <c r="P294" t="n">
        <v>0</v>
      </c>
      <c r="Q294" t="n">
        <v>0</v>
      </c>
      <c r="R294" s="2" t="inlineStr"/>
    </row>
    <row r="295" ht="15" customHeight="1">
      <c r="A295" t="inlineStr">
        <is>
          <t>A 27177-2024</t>
        </is>
      </c>
      <c r="B295" s="1" t="n">
        <v>45471.57201388889</v>
      </c>
      <c r="C295" s="1" t="n">
        <v>46079</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42428-2022</t>
        </is>
      </c>
      <c r="B296" s="1" t="n">
        <v>44831</v>
      </c>
      <c r="C296" s="1" t="n">
        <v>46079</v>
      </c>
      <c r="D296" t="inlineStr">
        <is>
          <t>SKÅNE LÄN</t>
        </is>
      </c>
      <c r="E296" t="inlineStr">
        <is>
          <t>HÄSSLEHOLM</t>
        </is>
      </c>
      <c r="G296" t="n">
        <v>2.8</v>
      </c>
      <c r="H296" t="n">
        <v>0</v>
      </c>
      <c r="I296" t="n">
        <v>0</v>
      </c>
      <c r="J296" t="n">
        <v>0</v>
      </c>
      <c r="K296" t="n">
        <v>0</v>
      </c>
      <c r="L296" t="n">
        <v>0</v>
      </c>
      <c r="M296" t="n">
        <v>0</v>
      </c>
      <c r="N296" t="n">
        <v>0</v>
      </c>
      <c r="O296" t="n">
        <v>0</v>
      </c>
      <c r="P296" t="n">
        <v>0</v>
      </c>
      <c r="Q296" t="n">
        <v>0</v>
      </c>
      <c r="R296" s="2" t="inlineStr"/>
    </row>
    <row r="297" ht="15" customHeight="1">
      <c r="A297" t="inlineStr">
        <is>
          <t>A 17699-2024</t>
        </is>
      </c>
      <c r="B297" s="1" t="n">
        <v>45418.46094907408</v>
      </c>
      <c r="C297" s="1" t="n">
        <v>46079</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17702-2024</t>
        </is>
      </c>
      <c r="B298" s="1" t="n">
        <v>45418.46534722222</v>
      </c>
      <c r="C298" s="1" t="n">
        <v>46079</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22595-2024</t>
        </is>
      </c>
      <c r="B299" s="1" t="n">
        <v>45447.61053240741</v>
      </c>
      <c r="C299" s="1" t="n">
        <v>46079</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20566-2023</t>
        </is>
      </c>
      <c r="B300" s="1" t="n">
        <v>45057</v>
      </c>
      <c r="C300" s="1" t="n">
        <v>46079</v>
      </c>
      <c r="D300" t="inlineStr">
        <is>
          <t>SKÅNE LÄN</t>
        </is>
      </c>
      <c r="E300" t="inlineStr">
        <is>
          <t>HÄSSLEHOLM</t>
        </is>
      </c>
      <c r="G300" t="n">
        <v>5.2</v>
      </c>
      <c r="H300" t="n">
        <v>0</v>
      </c>
      <c r="I300" t="n">
        <v>0</v>
      </c>
      <c r="J300" t="n">
        <v>0</v>
      </c>
      <c r="K300" t="n">
        <v>0</v>
      </c>
      <c r="L300" t="n">
        <v>0</v>
      </c>
      <c r="M300" t="n">
        <v>0</v>
      </c>
      <c r="N300" t="n">
        <v>0</v>
      </c>
      <c r="O300" t="n">
        <v>0</v>
      </c>
      <c r="P300" t="n">
        <v>0</v>
      </c>
      <c r="Q300" t="n">
        <v>0</v>
      </c>
      <c r="R300" s="2" t="inlineStr"/>
    </row>
    <row r="301" ht="15" customHeight="1">
      <c r="A301" t="inlineStr">
        <is>
          <t>A 2290-2024</t>
        </is>
      </c>
      <c r="B301" s="1" t="n">
        <v>45310</v>
      </c>
      <c r="C301" s="1" t="n">
        <v>46079</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7653-2024</t>
        </is>
      </c>
      <c r="B302" s="1" t="n">
        <v>45348.69043981482</v>
      </c>
      <c r="C302" s="1" t="n">
        <v>46079</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38148-2022</t>
        </is>
      </c>
      <c r="B303" s="1" t="n">
        <v>44811</v>
      </c>
      <c r="C303" s="1" t="n">
        <v>46079</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32967-2023</t>
        </is>
      </c>
      <c r="B304" s="1" t="n">
        <v>45125</v>
      </c>
      <c r="C304" s="1" t="n">
        <v>46079</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32968-2023</t>
        </is>
      </c>
      <c r="B305" s="1" t="n">
        <v>45125</v>
      </c>
      <c r="C305" s="1" t="n">
        <v>46079</v>
      </c>
      <c r="D305" t="inlineStr">
        <is>
          <t>SKÅNE LÄN</t>
        </is>
      </c>
      <c r="E305" t="inlineStr">
        <is>
          <t>HÄSSLEHOLM</t>
        </is>
      </c>
      <c r="G305" t="n">
        <v>1.7</v>
      </c>
      <c r="H305" t="n">
        <v>0</v>
      </c>
      <c r="I305" t="n">
        <v>0</v>
      </c>
      <c r="J305" t="n">
        <v>0</v>
      </c>
      <c r="K305" t="n">
        <v>0</v>
      </c>
      <c r="L305" t="n">
        <v>0</v>
      </c>
      <c r="M305" t="n">
        <v>0</v>
      </c>
      <c r="N305" t="n">
        <v>0</v>
      </c>
      <c r="O305" t="n">
        <v>0</v>
      </c>
      <c r="P305" t="n">
        <v>0</v>
      </c>
      <c r="Q305" t="n">
        <v>0</v>
      </c>
      <c r="R305" s="2" t="inlineStr"/>
    </row>
    <row r="306" ht="15" customHeight="1">
      <c r="A306" t="inlineStr">
        <is>
          <t>A 42231-2022</t>
        </is>
      </c>
      <c r="B306" s="1" t="n">
        <v>44830.77003472222</v>
      </c>
      <c r="C306" s="1" t="n">
        <v>46079</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13316-2023</t>
        </is>
      </c>
      <c r="B307" s="1" t="n">
        <v>45005.39013888889</v>
      </c>
      <c r="C307" s="1" t="n">
        <v>46079</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61186-2022</t>
        </is>
      </c>
      <c r="B308" s="1" t="n">
        <v>44915.50745370371</v>
      </c>
      <c r="C308" s="1" t="n">
        <v>46079</v>
      </c>
      <c r="D308" t="inlineStr">
        <is>
          <t>SKÅNE LÄN</t>
        </is>
      </c>
      <c r="E308" t="inlineStr">
        <is>
          <t>HÄSSLEHOLM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65235-2021</t>
        </is>
      </c>
      <c r="B309" s="1" t="n">
        <v>44515</v>
      </c>
      <c r="C309" s="1" t="n">
        <v>46079</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13358-2023</t>
        </is>
      </c>
      <c r="B310" s="1" t="n">
        <v>45005</v>
      </c>
      <c r="C310" s="1" t="n">
        <v>46079</v>
      </c>
      <c r="D310" t="inlineStr">
        <is>
          <t>SKÅNE LÄN</t>
        </is>
      </c>
      <c r="E310" t="inlineStr">
        <is>
          <t>HÄSSLEHOLM</t>
        </is>
      </c>
      <c r="F310" t="inlineStr">
        <is>
          <t>Övriga Aktiebolag</t>
        </is>
      </c>
      <c r="G310" t="n">
        <v>0.5</v>
      </c>
      <c r="H310" t="n">
        <v>0</v>
      </c>
      <c r="I310" t="n">
        <v>0</v>
      </c>
      <c r="J310" t="n">
        <v>0</v>
      </c>
      <c r="K310" t="n">
        <v>0</v>
      </c>
      <c r="L310" t="n">
        <v>0</v>
      </c>
      <c r="M310" t="n">
        <v>0</v>
      </c>
      <c r="N310" t="n">
        <v>0</v>
      </c>
      <c r="O310" t="n">
        <v>0</v>
      </c>
      <c r="P310" t="n">
        <v>0</v>
      </c>
      <c r="Q310" t="n">
        <v>0</v>
      </c>
      <c r="R310" s="2" t="inlineStr"/>
    </row>
    <row r="311" ht="15" customHeight="1">
      <c r="A311" t="inlineStr">
        <is>
          <t>A 5316-2023</t>
        </is>
      </c>
      <c r="B311" s="1" t="n">
        <v>44959</v>
      </c>
      <c r="C311" s="1" t="n">
        <v>46079</v>
      </c>
      <c r="D311" t="inlineStr">
        <is>
          <t>SKÅNE LÄN</t>
        </is>
      </c>
      <c r="E311" t="inlineStr">
        <is>
          <t>HÄSSLEHOLM</t>
        </is>
      </c>
      <c r="G311" t="n">
        <v>2.1</v>
      </c>
      <c r="H311" t="n">
        <v>0</v>
      </c>
      <c r="I311" t="n">
        <v>0</v>
      </c>
      <c r="J311" t="n">
        <v>0</v>
      </c>
      <c r="K311" t="n">
        <v>0</v>
      </c>
      <c r="L311" t="n">
        <v>0</v>
      </c>
      <c r="M311" t="n">
        <v>0</v>
      </c>
      <c r="N311" t="n">
        <v>0</v>
      </c>
      <c r="O311" t="n">
        <v>0</v>
      </c>
      <c r="P311" t="n">
        <v>0</v>
      </c>
      <c r="Q311" t="n">
        <v>0</v>
      </c>
      <c r="R311" s="2" t="inlineStr"/>
    </row>
    <row r="312" ht="15" customHeight="1">
      <c r="A312" t="inlineStr">
        <is>
          <t>A 13018-2024</t>
        </is>
      </c>
      <c r="B312" s="1" t="n">
        <v>45385.58274305556</v>
      </c>
      <c r="C312" s="1" t="n">
        <v>46079</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34342-2021</t>
        </is>
      </c>
      <c r="B313" s="1" t="n">
        <v>44379</v>
      </c>
      <c r="C313" s="1" t="n">
        <v>46079</v>
      </c>
      <c r="D313" t="inlineStr">
        <is>
          <t>SKÅNE LÄN</t>
        </is>
      </c>
      <c r="E313" t="inlineStr">
        <is>
          <t>HÄSSLEHOLM</t>
        </is>
      </c>
      <c r="G313" t="n">
        <v>7</v>
      </c>
      <c r="H313" t="n">
        <v>0</v>
      </c>
      <c r="I313" t="n">
        <v>0</v>
      </c>
      <c r="J313" t="n">
        <v>0</v>
      </c>
      <c r="K313" t="n">
        <v>0</v>
      </c>
      <c r="L313" t="n">
        <v>0</v>
      </c>
      <c r="M313" t="n">
        <v>0</v>
      </c>
      <c r="N313" t="n">
        <v>0</v>
      </c>
      <c r="O313" t="n">
        <v>0</v>
      </c>
      <c r="P313" t="n">
        <v>0</v>
      </c>
      <c r="Q313" t="n">
        <v>0</v>
      </c>
      <c r="R313" s="2" t="inlineStr"/>
    </row>
    <row r="314" ht="15" customHeight="1">
      <c r="A314" t="inlineStr">
        <is>
          <t>A 32794-2023</t>
        </is>
      </c>
      <c r="B314" s="1" t="n">
        <v>45124.40446759259</v>
      </c>
      <c r="C314" s="1" t="n">
        <v>46079</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54982-2024</t>
        </is>
      </c>
      <c r="B315" s="1" t="n">
        <v>45620.7580787037</v>
      </c>
      <c r="C315" s="1" t="n">
        <v>46079</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28211-2022</t>
        </is>
      </c>
      <c r="B316" s="1" t="n">
        <v>44746</v>
      </c>
      <c r="C316" s="1" t="n">
        <v>46079</v>
      </c>
      <c r="D316" t="inlineStr">
        <is>
          <t>SKÅNE LÄN</t>
        </is>
      </c>
      <c r="E316" t="inlineStr">
        <is>
          <t>HÄSSLEHOLM</t>
        </is>
      </c>
      <c r="G316" t="n">
        <v>2.8</v>
      </c>
      <c r="H316" t="n">
        <v>0</v>
      </c>
      <c r="I316" t="n">
        <v>0</v>
      </c>
      <c r="J316" t="n">
        <v>0</v>
      </c>
      <c r="K316" t="n">
        <v>0</v>
      </c>
      <c r="L316" t="n">
        <v>0</v>
      </c>
      <c r="M316" t="n">
        <v>0</v>
      </c>
      <c r="N316" t="n">
        <v>0</v>
      </c>
      <c r="O316" t="n">
        <v>0</v>
      </c>
      <c r="P316" t="n">
        <v>0</v>
      </c>
      <c r="Q316" t="n">
        <v>0</v>
      </c>
      <c r="R316" s="2" t="inlineStr"/>
    </row>
    <row r="317" ht="15" customHeight="1">
      <c r="A317" t="inlineStr">
        <is>
          <t>A 12162-2023</t>
        </is>
      </c>
      <c r="B317" s="1" t="n">
        <v>44998.49619212963</v>
      </c>
      <c r="C317" s="1" t="n">
        <v>46079</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42776-2021</t>
        </is>
      </c>
      <c r="B318" s="1" t="n">
        <v>44428</v>
      </c>
      <c r="C318" s="1" t="n">
        <v>46079</v>
      </c>
      <c r="D318" t="inlineStr">
        <is>
          <t>SKÅNE LÄN</t>
        </is>
      </c>
      <c r="E318" t="inlineStr">
        <is>
          <t>HÄSSLEHOLM</t>
        </is>
      </c>
      <c r="G318" t="n">
        <v>3.2</v>
      </c>
      <c r="H318" t="n">
        <v>0</v>
      </c>
      <c r="I318" t="n">
        <v>0</v>
      </c>
      <c r="J318" t="n">
        <v>0</v>
      </c>
      <c r="K318" t="n">
        <v>0</v>
      </c>
      <c r="L318" t="n">
        <v>0</v>
      </c>
      <c r="M318" t="n">
        <v>0</v>
      </c>
      <c r="N318" t="n">
        <v>0</v>
      </c>
      <c r="O318" t="n">
        <v>0</v>
      </c>
      <c r="P318" t="n">
        <v>0</v>
      </c>
      <c r="Q318" t="n">
        <v>0</v>
      </c>
      <c r="R318" s="2" t="inlineStr"/>
    </row>
    <row r="319" ht="15" customHeight="1">
      <c r="A319" t="inlineStr">
        <is>
          <t>A 36795-2023</t>
        </is>
      </c>
      <c r="B319" s="1" t="n">
        <v>45154.38245370371</v>
      </c>
      <c r="C319" s="1" t="n">
        <v>46079</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12780-2024</t>
        </is>
      </c>
      <c r="B320" s="1" t="n">
        <v>45384.59726851852</v>
      </c>
      <c r="C320" s="1" t="n">
        <v>46079</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15698-2023</t>
        </is>
      </c>
      <c r="B321" s="1" t="n">
        <v>45021</v>
      </c>
      <c r="C321" s="1" t="n">
        <v>46079</v>
      </c>
      <c r="D321" t="inlineStr">
        <is>
          <t>SKÅNE LÄN</t>
        </is>
      </c>
      <c r="E321" t="inlineStr">
        <is>
          <t>HÄSSLEHOLM</t>
        </is>
      </c>
      <c r="F321" t="inlineStr">
        <is>
          <t>Kommuner</t>
        </is>
      </c>
      <c r="G321" t="n">
        <v>5.5</v>
      </c>
      <c r="H321" t="n">
        <v>0</v>
      </c>
      <c r="I321" t="n">
        <v>0</v>
      </c>
      <c r="J321" t="n">
        <v>0</v>
      </c>
      <c r="K321" t="n">
        <v>0</v>
      </c>
      <c r="L321" t="n">
        <v>0</v>
      </c>
      <c r="M321" t="n">
        <v>0</v>
      </c>
      <c r="N321" t="n">
        <v>0</v>
      </c>
      <c r="O321" t="n">
        <v>0</v>
      </c>
      <c r="P321" t="n">
        <v>0</v>
      </c>
      <c r="Q321" t="n">
        <v>0</v>
      </c>
      <c r="R321" s="2" t="inlineStr"/>
    </row>
    <row r="322" ht="15" customHeight="1">
      <c r="A322" t="inlineStr">
        <is>
          <t>A 14702-2025</t>
        </is>
      </c>
      <c r="B322" s="1" t="n">
        <v>45742.60403935185</v>
      </c>
      <c r="C322" s="1" t="n">
        <v>46079</v>
      </c>
      <c r="D322" t="inlineStr">
        <is>
          <t>SKÅNE LÄN</t>
        </is>
      </c>
      <c r="E322" t="inlineStr">
        <is>
          <t>HÄSSLEHOLM</t>
        </is>
      </c>
      <c r="G322" t="n">
        <v>1.8</v>
      </c>
      <c r="H322" t="n">
        <v>0</v>
      </c>
      <c r="I322" t="n">
        <v>0</v>
      </c>
      <c r="J322" t="n">
        <v>0</v>
      </c>
      <c r="K322" t="n">
        <v>0</v>
      </c>
      <c r="L322" t="n">
        <v>0</v>
      </c>
      <c r="M322" t="n">
        <v>0</v>
      </c>
      <c r="N322" t="n">
        <v>0</v>
      </c>
      <c r="O322" t="n">
        <v>0</v>
      </c>
      <c r="P322" t="n">
        <v>0</v>
      </c>
      <c r="Q322" t="n">
        <v>0</v>
      </c>
      <c r="R322" s="2" t="inlineStr"/>
    </row>
    <row r="323" ht="15" customHeight="1">
      <c r="A323" t="inlineStr">
        <is>
          <t>A 28457-2024</t>
        </is>
      </c>
      <c r="B323" s="1" t="n">
        <v>45477.68884259259</v>
      </c>
      <c r="C323" s="1" t="n">
        <v>46079</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9669-2025</t>
        </is>
      </c>
      <c r="B324" s="1" t="n">
        <v>45716.32921296296</v>
      </c>
      <c r="C324" s="1" t="n">
        <v>46079</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12584-2025</t>
        </is>
      </c>
      <c r="B325" s="1" t="n">
        <v>45732</v>
      </c>
      <c r="C325" s="1" t="n">
        <v>46079</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59109-2023</t>
        </is>
      </c>
      <c r="B326" s="1" t="n">
        <v>45253.30819444444</v>
      </c>
      <c r="C326" s="1" t="n">
        <v>46079</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22594-2024</t>
        </is>
      </c>
      <c r="B327" s="1" t="n">
        <v>45447.60892361111</v>
      </c>
      <c r="C327" s="1" t="n">
        <v>46079</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55056-2021</t>
        </is>
      </c>
      <c r="B328" s="1" t="n">
        <v>44474.62072916667</v>
      </c>
      <c r="C328" s="1" t="n">
        <v>46079</v>
      </c>
      <c r="D328" t="inlineStr">
        <is>
          <t>SKÅNE LÄN</t>
        </is>
      </c>
      <c r="E328" t="inlineStr">
        <is>
          <t>HÄSSLEHOLM</t>
        </is>
      </c>
      <c r="G328" t="n">
        <v>2.5</v>
      </c>
      <c r="H328" t="n">
        <v>0</v>
      </c>
      <c r="I328" t="n">
        <v>0</v>
      </c>
      <c r="J328" t="n">
        <v>0</v>
      </c>
      <c r="K328" t="n">
        <v>0</v>
      </c>
      <c r="L328" t="n">
        <v>0</v>
      </c>
      <c r="M328" t="n">
        <v>0</v>
      </c>
      <c r="N328" t="n">
        <v>0</v>
      </c>
      <c r="O328" t="n">
        <v>0</v>
      </c>
      <c r="P328" t="n">
        <v>0</v>
      </c>
      <c r="Q328" t="n">
        <v>0</v>
      </c>
      <c r="R328" s="2" t="inlineStr"/>
    </row>
    <row r="329" ht="15" customHeight="1">
      <c r="A329" t="inlineStr">
        <is>
          <t>A 4042-2023</t>
        </is>
      </c>
      <c r="B329" s="1" t="n">
        <v>44952.59950231481</v>
      </c>
      <c r="C329" s="1" t="n">
        <v>46079</v>
      </c>
      <c r="D329" t="inlineStr">
        <is>
          <t>SKÅNE LÄN</t>
        </is>
      </c>
      <c r="E329" t="inlineStr">
        <is>
          <t>HÄSSLEHOLM</t>
        </is>
      </c>
      <c r="G329" t="n">
        <v>2.7</v>
      </c>
      <c r="H329" t="n">
        <v>0</v>
      </c>
      <c r="I329" t="n">
        <v>0</v>
      </c>
      <c r="J329" t="n">
        <v>0</v>
      </c>
      <c r="K329" t="n">
        <v>0</v>
      </c>
      <c r="L329" t="n">
        <v>0</v>
      </c>
      <c r="M329" t="n">
        <v>0</v>
      </c>
      <c r="N329" t="n">
        <v>0</v>
      </c>
      <c r="O329" t="n">
        <v>0</v>
      </c>
      <c r="P329" t="n">
        <v>0</v>
      </c>
      <c r="Q329" t="n">
        <v>0</v>
      </c>
      <c r="R329" s="2" t="inlineStr"/>
    </row>
    <row r="330" ht="15" customHeight="1">
      <c r="A330" t="inlineStr">
        <is>
          <t>A 3123-2023</t>
        </is>
      </c>
      <c r="B330" s="1" t="n">
        <v>44946.4925</v>
      </c>
      <c r="C330" s="1" t="n">
        <v>46079</v>
      </c>
      <c r="D330" t="inlineStr">
        <is>
          <t>SKÅNE LÄN</t>
        </is>
      </c>
      <c r="E330" t="inlineStr">
        <is>
          <t>HÄSSLEHOLM</t>
        </is>
      </c>
      <c r="G330" t="n">
        <v>3.5</v>
      </c>
      <c r="H330" t="n">
        <v>0</v>
      </c>
      <c r="I330" t="n">
        <v>0</v>
      </c>
      <c r="J330" t="n">
        <v>0</v>
      </c>
      <c r="K330" t="n">
        <v>0</v>
      </c>
      <c r="L330" t="n">
        <v>0</v>
      </c>
      <c r="M330" t="n">
        <v>0</v>
      </c>
      <c r="N330" t="n">
        <v>0</v>
      </c>
      <c r="O330" t="n">
        <v>0</v>
      </c>
      <c r="P330" t="n">
        <v>0</v>
      </c>
      <c r="Q330" t="n">
        <v>0</v>
      </c>
      <c r="R330" s="2" t="inlineStr"/>
    </row>
    <row r="331" ht="15" customHeight="1">
      <c r="A331" t="inlineStr">
        <is>
          <t>A 3126-2023</t>
        </is>
      </c>
      <c r="B331" s="1" t="n">
        <v>44946.49570601852</v>
      </c>
      <c r="C331" s="1" t="n">
        <v>46079</v>
      </c>
      <c r="D331" t="inlineStr">
        <is>
          <t>SKÅNE LÄN</t>
        </is>
      </c>
      <c r="E331" t="inlineStr">
        <is>
          <t>HÄSSLEHOLM</t>
        </is>
      </c>
      <c r="G331" t="n">
        <v>2.2</v>
      </c>
      <c r="H331" t="n">
        <v>0</v>
      </c>
      <c r="I331" t="n">
        <v>0</v>
      </c>
      <c r="J331" t="n">
        <v>0</v>
      </c>
      <c r="K331" t="n">
        <v>0</v>
      </c>
      <c r="L331" t="n">
        <v>0</v>
      </c>
      <c r="M331" t="n">
        <v>0</v>
      </c>
      <c r="N331" t="n">
        <v>0</v>
      </c>
      <c r="O331" t="n">
        <v>0</v>
      </c>
      <c r="P331" t="n">
        <v>0</v>
      </c>
      <c r="Q331" t="n">
        <v>0</v>
      </c>
      <c r="R331" s="2" t="inlineStr"/>
    </row>
    <row r="332" ht="15" customHeight="1">
      <c r="A332" t="inlineStr">
        <is>
          <t>A 12570-2023</t>
        </is>
      </c>
      <c r="B332" s="1" t="n">
        <v>44999</v>
      </c>
      <c r="C332" s="1" t="n">
        <v>46079</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25213-2023</t>
        </is>
      </c>
      <c r="B333" s="1" t="n">
        <v>45086.60010416667</v>
      </c>
      <c r="C333" s="1" t="n">
        <v>46079</v>
      </c>
      <c r="D333" t="inlineStr">
        <is>
          <t>SKÅNE LÄN</t>
        </is>
      </c>
      <c r="E333" t="inlineStr">
        <is>
          <t>HÄSSLEHOLM</t>
        </is>
      </c>
      <c r="G333" t="n">
        <v>7.2</v>
      </c>
      <c r="H333" t="n">
        <v>0</v>
      </c>
      <c r="I333" t="n">
        <v>0</v>
      </c>
      <c r="J333" t="n">
        <v>0</v>
      </c>
      <c r="K333" t="n">
        <v>0</v>
      </c>
      <c r="L333" t="n">
        <v>0</v>
      </c>
      <c r="M333" t="n">
        <v>0</v>
      </c>
      <c r="N333" t="n">
        <v>0</v>
      </c>
      <c r="O333" t="n">
        <v>0</v>
      </c>
      <c r="P333" t="n">
        <v>0</v>
      </c>
      <c r="Q333" t="n">
        <v>0</v>
      </c>
      <c r="R333" s="2" t="inlineStr"/>
    </row>
    <row r="334" ht="15" customHeight="1">
      <c r="A334" t="inlineStr">
        <is>
          <t>A 51287-2022</t>
        </is>
      </c>
      <c r="B334" s="1" t="n">
        <v>44868.83146990741</v>
      </c>
      <c r="C334" s="1" t="n">
        <v>46079</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58888-2024</t>
        </is>
      </c>
      <c r="B335" s="1" t="n">
        <v>45636.45962962963</v>
      </c>
      <c r="C335" s="1" t="n">
        <v>46079</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14926-2024</t>
        </is>
      </c>
      <c r="B336" s="1" t="n">
        <v>45398</v>
      </c>
      <c r="C336" s="1" t="n">
        <v>46079</v>
      </c>
      <c r="D336" t="inlineStr">
        <is>
          <t>SKÅNE LÄN</t>
        </is>
      </c>
      <c r="E336" t="inlineStr">
        <is>
          <t>HÄSSLEHOLM</t>
        </is>
      </c>
      <c r="G336" t="n">
        <v>3.4</v>
      </c>
      <c r="H336" t="n">
        <v>0</v>
      </c>
      <c r="I336" t="n">
        <v>0</v>
      </c>
      <c r="J336" t="n">
        <v>0</v>
      </c>
      <c r="K336" t="n">
        <v>0</v>
      </c>
      <c r="L336" t="n">
        <v>0</v>
      </c>
      <c r="M336" t="n">
        <v>0</v>
      </c>
      <c r="N336" t="n">
        <v>0</v>
      </c>
      <c r="O336" t="n">
        <v>0</v>
      </c>
      <c r="P336" t="n">
        <v>0</v>
      </c>
      <c r="Q336" t="n">
        <v>0</v>
      </c>
      <c r="R336" s="2" t="inlineStr"/>
    </row>
    <row r="337" ht="15" customHeight="1">
      <c r="A337" t="inlineStr">
        <is>
          <t>A 21028-2021</t>
        </is>
      </c>
      <c r="B337" s="1" t="n">
        <v>44319</v>
      </c>
      <c r="C337" s="1" t="n">
        <v>46079</v>
      </c>
      <c r="D337" t="inlineStr">
        <is>
          <t>SKÅNE LÄN</t>
        </is>
      </c>
      <c r="E337" t="inlineStr">
        <is>
          <t>HÄSSLEHOLM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2688-2024</t>
        </is>
      </c>
      <c r="B338" s="1" t="n">
        <v>45314</v>
      </c>
      <c r="C338" s="1" t="n">
        <v>46079</v>
      </c>
      <c r="D338" t="inlineStr">
        <is>
          <t>SKÅNE LÄN</t>
        </is>
      </c>
      <c r="E338" t="inlineStr">
        <is>
          <t>HÄSSLEHOLM</t>
        </is>
      </c>
      <c r="F338" t="inlineStr">
        <is>
          <t>Övriga Aktiebolag</t>
        </is>
      </c>
      <c r="G338" t="n">
        <v>2.8</v>
      </c>
      <c r="H338" t="n">
        <v>0</v>
      </c>
      <c r="I338" t="n">
        <v>0</v>
      </c>
      <c r="J338" t="n">
        <v>0</v>
      </c>
      <c r="K338" t="n">
        <v>0</v>
      </c>
      <c r="L338" t="n">
        <v>0</v>
      </c>
      <c r="M338" t="n">
        <v>0</v>
      </c>
      <c r="N338" t="n">
        <v>0</v>
      </c>
      <c r="O338" t="n">
        <v>0</v>
      </c>
      <c r="P338" t="n">
        <v>0</v>
      </c>
      <c r="Q338" t="n">
        <v>0</v>
      </c>
      <c r="R338" s="2" t="inlineStr"/>
    </row>
    <row r="339" ht="15" customHeight="1">
      <c r="A339" t="inlineStr">
        <is>
          <t>A 31998-2023</t>
        </is>
      </c>
      <c r="B339" s="1" t="n">
        <v>45119</v>
      </c>
      <c r="C339" s="1" t="n">
        <v>46079</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24865-2024</t>
        </is>
      </c>
      <c r="B340" s="1" t="n">
        <v>45461.48974537037</v>
      </c>
      <c r="C340" s="1" t="n">
        <v>46079</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36733-2023</t>
        </is>
      </c>
      <c r="B341" s="1" t="n">
        <v>45153.69989583334</v>
      </c>
      <c r="C341" s="1" t="n">
        <v>46079</v>
      </c>
      <c r="D341" t="inlineStr">
        <is>
          <t>SKÅNE LÄN</t>
        </is>
      </c>
      <c r="E341" t="inlineStr">
        <is>
          <t>HÄSSLEHOLM</t>
        </is>
      </c>
      <c r="G341" t="n">
        <v>4.8</v>
      </c>
      <c r="H341" t="n">
        <v>0</v>
      </c>
      <c r="I341" t="n">
        <v>0</v>
      </c>
      <c r="J341" t="n">
        <v>0</v>
      </c>
      <c r="K341" t="n">
        <v>0</v>
      </c>
      <c r="L341" t="n">
        <v>0</v>
      </c>
      <c r="M341" t="n">
        <v>0</v>
      </c>
      <c r="N341" t="n">
        <v>0</v>
      </c>
      <c r="O341" t="n">
        <v>0</v>
      </c>
      <c r="P341" t="n">
        <v>0</v>
      </c>
      <c r="Q341" t="n">
        <v>0</v>
      </c>
      <c r="R341" s="2" t="inlineStr"/>
    </row>
    <row r="342" ht="15" customHeight="1">
      <c r="A342" t="inlineStr">
        <is>
          <t>A 4140-2023</t>
        </is>
      </c>
      <c r="B342" s="1" t="n">
        <v>44953</v>
      </c>
      <c r="C342" s="1" t="n">
        <v>46079</v>
      </c>
      <c r="D342" t="inlineStr">
        <is>
          <t>SKÅNE LÄN</t>
        </is>
      </c>
      <c r="E342" t="inlineStr">
        <is>
          <t>HÄSSLEHOLM</t>
        </is>
      </c>
      <c r="G342" t="n">
        <v>10.6</v>
      </c>
      <c r="H342" t="n">
        <v>0</v>
      </c>
      <c r="I342" t="n">
        <v>0</v>
      </c>
      <c r="J342" t="n">
        <v>0</v>
      </c>
      <c r="K342" t="n">
        <v>0</v>
      </c>
      <c r="L342" t="n">
        <v>0</v>
      </c>
      <c r="M342" t="n">
        <v>0</v>
      </c>
      <c r="N342" t="n">
        <v>0</v>
      </c>
      <c r="O342" t="n">
        <v>0</v>
      </c>
      <c r="P342" t="n">
        <v>0</v>
      </c>
      <c r="Q342" t="n">
        <v>0</v>
      </c>
      <c r="R342" s="2" t="inlineStr"/>
    </row>
    <row r="343" ht="15" customHeight="1">
      <c r="A343" t="inlineStr">
        <is>
          <t>A 33927-2021</t>
        </is>
      </c>
      <c r="B343" s="1" t="n">
        <v>44378</v>
      </c>
      <c r="C343" s="1" t="n">
        <v>46079</v>
      </c>
      <c r="D343" t="inlineStr">
        <is>
          <t>SKÅNE LÄN</t>
        </is>
      </c>
      <c r="E343" t="inlineStr">
        <is>
          <t>HÄSSLEHOLM</t>
        </is>
      </c>
      <c r="G343" t="n">
        <v>16.7</v>
      </c>
      <c r="H343" t="n">
        <v>0</v>
      </c>
      <c r="I343" t="n">
        <v>0</v>
      </c>
      <c r="J343" t="n">
        <v>0</v>
      </c>
      <c r="K343" t="n">
        <v>0</v>
      </c>
      <c r="L343" t="n">
        <v>0</v>
      </c>
      <c r="M343" t="n">
        <v>0</v>
      </c>
      <c r="N343" t="n">
        <v>0</v>
      </c>
      <c r="O343" t="n">
        <v>0</v>
      </c>
      <c r="P343" t="n">
        <v>0</v>
      </c>
      <c r="Q343" t="n">
        <v>0</v>
      </c>
      <c r="R343" s="2" t="inlineStr"/>
    </row>
    <row r="344" ht="15" customHeight="1">
      <c r="A344" t="inlineStr">
        <is>
          <t>A 6165-2023</t>
        </is>
      </c>
      <c r="B344" s="1" t="n">
        <v>44964.67114583333</v>
      </c>
      <c r="C344" s="1" t="n">
        <v>46079</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25077-2024</t>
        </is>
      </c>
      <c r="B345" s="1" t="n">
        <v>45462</v>
      </c>
      <c r="C345" s="1" t="n">
        <v>46079</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25057-2024</t>
        </is>
      </c>
      <c r="B346" s="1" t="n">
        <v>45462</v>
      </c>
      <c r="C346" s="1" t="n">
        <v>46079</v>
      </c>
      <c r="D346" t="inlineStr">
        <is>
          <t>SKÅNE LÄN</t>
        </is>
      </c>
      <c r="E346" t="inlineStr">
        <is>
          <t>HÄSSLEHOLM</t>
        </is>
      </c>
      <c r="G346" t="n">
        <v>4.3</v>
      </c>
      <c r="H346" t="n">
        <v>0</v>
      </c>
      <c r="I346" t="n">
        <v>0</v>
      </c>
      <c r="J346" t="n">
        <v>0</v>
      </c>
      <c r="K346" t="n">
        <v>0</v>
      </c>
      <c r="L346" t="n">
        <v>0</v>
      </c>
      <c r="M346" t="n">
        <v>0</v>
      </c>
      <c r="N346" t="n">
        <v>0</v>
      </c>
      <c r="O346" t="n">
        <v>0</v>
      </c>
      <c r="P346" t="n">
        <v>0</v>
      </c>
      <c r="Q346" t="n">
        <v>0</v>
      </c>
      <c r="R346" s="2" t="inlineStr"/>
    </row>
    <row r="347" ht="15" customHeight="1">
      <c r="A347" t="inlineStr">
        <is>
          <t>A 10028-2024</t>
        </is>
      </c>
      <c r="B347" s="1" t="n">
        <v>45363.97292824074</v>
      </c>
      <c r="C347" s="1" t="n">
        <v>46079</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16017-2023</t>
        </is>
      </c>
      <c r="B348" s="1" t="n">
        <v>45026</v>
      </c>
      <c r="C348" s="1" t="n">
        <v>46079</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31989-2024</t>
        </is>
      </c>
      <c r="B349" s="1" t="n">
        <v>45510.58085648148</v>
      </c>
      <c r="C349" s="1" t="n">
        <v>46079</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35640-2023</t>
        </is>
      </c>
      <c r="B350" s="1" t="n">
        <v>45147</v>
      </c>
      <c r="C350" s="1" t="n">
        <v>46079</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61158-2022</t>
        </is>
      </c>
      <c r="B351" s="1" t="n">
        <v>44915.47112268519</v>
      </c>
      <c r="C351" s="1" t="n">
        <v>46079</v>
      </c>
      <c r="D351" t="inlineStr">
        <is>
          <t>SKÅNE LÄN</t>
        </is>
      </c>
      <c r="E351" t="inlineStr">
        <is>
          <t>HÄSSLEHOLM</t>
        </is>
      </c>
      <c r="G351" t="n">
        <v>8.4</v>
      </c>
      <c r="H351" t="n">
        <v>0</v>
      </c>
      <c r="I351" t="n">
        <v>0</v>
      </c>
      <c r="J351" t="n">
        <v>0</v>
      </c>
      <c r="K351" t="n">
        <v>0</v>
      </c>
      <c r="L351" t="n">
        <v>0</v>
      </c>
      <c r="M351" t="n">
        <v>0</v>
      </c>
      <c r="N351" t="n">
        <v>0</v>
      </c>
      <c r="O351" t="n">
        <v>0</v>
      </c>
      <c r="P351" t="n">
        <v>0</v>
      </c>
      <c r="Q351" t="n">
        <v>0</v>
      </c>
      <c r="R351" s="2" t="inlineStr"/>
    </row>
    <row r="352" ht="15" customHeight="1">
      <c r="A352" t="inlineStr">
        <is>
          <t>A 12468-2024</t>
        </is>
      </c>
      <c r="B352" s="1" t="n">
        <v>45379</v>
      </c>
      <c r="C352" s="1" t="n">
        <v>46079</v>
      </c>
      <c r="D352" t="inlineStr">
        <is>
          <t>SKÅNE LÄN</t>
        </is>
      </c>
      <c r="E352" t="inlineStr">
        <is>
          <t>HÄSSLEHOLM</t>
        </is>
      </c>
      <c r="G352" t="n">
        <v>15.5</v>
      </c>
      <c r="H352" t="n">
        <v>0</v>
      </c>
      <c r="I352" t="n">
        <v>0</v>
      </c>
      <c r="J352" t="n">
        <v>0</v>
      </c>
      <c r="K352" t="n">
        <v>0</v>
      </c>
      <c r="L352" t="n">
        <v>0</v>
      </c>
      <c r="M352" t="n">
        <v>0</v>
      </c>
      <c r="N352" t="n">
        <v>0</v>
      </c>
      <c r="O352" t="n">
        <v>0</v>
      </c>
      <c r="P352" t="n">
        <v>0</v>
      </c>
      <c r="Q352" t="n">
        <v>0</v>
      </c>
      <c r="R352" s="2" t="inlineStr"/>
    </row>
    <row r="353" ht="15" customHeight="1">
      <c r="A353" t="inlineStr">
        <is>
          <t>A 46942-2024</t>
        </is>
      </c>
      <c r="B353" s="1" t="n">
        <v>45585.6684375</v>
      </c>
      <c r="C353" s="1" t="n">
        <v>46079</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48771-2024</t>
        </is>
      </c>
      <c r="B354" s="1" t="n">
        <v>45593.61284722222</v>
      </c>
      <c r="C354" s="1" t="n">
        <v>46079</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24241-2023</t>
        </is>
      </c>
      <c r="B355" s="1" t="n">
        <v>45079.61476851852</v>
      </c>
      <c r="C355" s="1" t="n">
        <v>46079</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23987-2024</t>
        </is>
      </c>
      <c r="B356" s="1" t="n">
        <v>45456</v>
      </c>
      <c r="C356" s="1" t="n">
        <v>46079</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4009-2024</t>
        </is>
      </c>
      <c r="B357" s="1" t="n">
        <v>45323</v>
      </c>
      <c r="C357" s="1" t="n">
        <v>46079</v>
      </c>
      <c r="D357" t="inlineStr">
        <is>
          <t>SKÅNE LÄN</t>
        </is>
      </c>
      <c r="E357" t="inlineStr">
        <is>
          <t>HÄSSLEHOLM</t>
        </is>
      </c>
      <c r="G357" t="n">
        <v>2.4</v>
      </c>
      <c r="H357" t="n">
        <v>0</v>
      </c>
      <c r="I357" t="n">
        <v>0</v>
      </c>
      <c r="J357" t="n">
        <v>0</v>
      </c>
      <c r="K357" t="n">
        <v>0</v>
      </c>
      <c r="L357" t="n">
        <v>0</v>
      </c>
      <c r="M357" t="n">
        <v>0</v>
      </c>
      <c r="N357" t="n">
        <v>0</v>
      </c>
      <c r="O357" t="n">
        <v>0</v>
      </c>
      <c r="P357" t="n">
        <v>0</v>
      </c>
      <c r="Q357" t="n">
        <v>0</v>
      </c>
      <c r="R357" s="2" t="inlineStr"/>
    </row>
    <row r="358" ht="15" customHeight="1">
      <c r="A358" t="inlineStr">
        <is>
          <t>A 19739-2023</t>
        </is>
      </c>
      <c r="B358" s="1" t="n">
        <v>45051</v>
      </c>
      <c r="C358" s="1" t="n">
        <v>46079</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60848-2022</t>
        </is>
      </c>
      <c r="B359" s="1" t="n">
        <v>44914</v>
      </c>
      <c r="C359" s="1" t="n">
        <v>46079</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59246-2024</t>
        </is>
      </c>
      <c r="B360" s="1" t="n">
        <v>45636</v>
      </c>
      <c r="C360" s="1" t="n">
        <v>46079</v>
      </c>
      <c r="D360" t="inlineStr">
        <is>
          <t>SKÅNE LÄN</t>
        </is>
      </c>
      <c r="E360" t="inlineStr">
        <is>
          <t>HÄSSLEHOLM</t>
        </is>
      </c>
      <c r="G360" t="n">
        <v>2.6</v>
      </c>
      <c r="H360" t="n">
        <v>0</v>
      </c>
      <c r="I360" t="n">
        <v>0</v>
      </c>
      <c r="J360" t="n">
        <v>0</v>
      </c>
      <c r="K360" t="n">
        <v>0</v>
      </c>
      <c r="L360" t="n">
        <v>0</v>
      </c>
      <c r="M360" t="n">
        <v>0</v>
      </c>
      <c r="N360" t="n">
        <v>0</v>
      </c>
      <c r="O360" t="n">
        <v>0</v>
      </c>
      <c r="P360" t="n">
        <v>0</v>
      </c>
      <c r="Q360" t="n">
        <v>0</v>
      </c>
      <c r="R360" s="2" t="inlineStr"/>
    </row>
    <row r="361" ht="15" customHeight="1">
      <c r="A361" t="inlineStr">
        <is>
          <t>A 23666-2023</t>
        </is>
      </c>
      <c r="B361" s="1" t="n">
        <v>45077</v>
      </c>
      <c r="C361" s="1" t="n">
        <v>46079</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57649-2022</t>
        </is>
      </c>
      <c r="B362" s="1" t="n">
        <v>44897.42755787037</v>
      </c>
      <c r="C362" s="1" t="n">
        <v>46079</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57665-2022</t>
        </is>
      </c>
      <c r="B363" s="1" t="n">
        <v>44897.4494212963</v>
      </c>
      <c r="C363" s="1" t="n">
        <v>46079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57676-2022</t>
        </is>
      </c>
      <c r="B364" s="1" t="n">
        <v>44897</v>
      </c>
      <c r="C364" s="1" t="n">
        <v>46079</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33257-2024</t>
        </is>
      </c>
      <c r="B365" s="1" t="n">
        <v>45518</v>
      </c>
      <c r="C365" s="1" t="n">
        <v>46079</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35237-2023</t>
        </is>
      </c>
      <c r="B366" s="1" t="n">
        <v>45145.74532407407</v>
      </c>
      <c r="C366" s="1" t="n">
        <v>46079</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54671-2022</t>
        </is>
      </c>
      <c r="B367" s="1" t="n">
        <v>44883</v>
      </c>
      <c r="C367" s="1" t="n">
        <v>46079</v>
      </c>
      <c r="D367" t="inlineStr">
        <is>
          <t>SKÅNE LÄN</t>
        </is>
      </c>
      <c r="E367" t="inlineStr">
        <is>
          <t>HÄSSLEHOLM</t>
        </is>
      </c>
      <c r="G367" t="n">
        <v>1.4</v>
      </c>
      <c r="H367" t="n">
        <v>0</v>
      </c>
      <c r="I367" t="n">
        <v>0</v>
      </c>
      <c r="J367" t="n">
        <v>0</v>
      </c>
      <c r="K367" t="n">
        <v>0</v>
      </c>
      <c r="L367" t="n">
        <v>0</v>
      </c>
      <c r="M367" t="n">
        <v>0</v>
      </c>
      <c r="N367" t="n">
        <v>0</v>
      </c>
      <c r="O367" t="n">
        <v>0</v>
      </c>
      <c r="P367" t="n">
        <v>0</v>
      </c>
      <c r="Q367" t="n">
        <v>0</v>
      </c>
      <c r="R367" s="2" t="inlineStr"/>
    </row>
    <row r="368" ht="15" customHeight="1">
      <c r="A368" t="inlineStr">
        <is>
          <t>A 17492-2025</t>
        </is>
      </c>
      <c r="B368" s="1" t="n">
        <v>45747</v>
      </c>
      <c r="C368" s="1" t="n">
        <v>46079</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260-2024</t>
        </is>
      </c>
      <c r="B369" s="1" t="n">
        <v>45294</v>
      </c>
      <c r="C369" s="1" t="n">
        <v>46079</v>
      </c>
      <c r="D369" t="inlineStr">
        <is>
          <t>SKÅNE LÄN</t>
        </is>
      </c>
      <c r="E369" t="inlineStr">
        <is>
          <t>HÄSSLEHOLM</t>
        </is>
      </c>
      <c r="G369" t="n">
        <v>0.2</v>
      </c>
      <c r="H369" t="n">
        <v>0</v>
      </c>
      <c r="I369" t="n">
        <v>0</v>
      </c>
      <c r="J369" t="n">
        <v>0</v>
      </c>
      <c r="K369" t="n">
        <v>0</v>
      </c>
      <c r="L369" t="n">
        <v>0</v>
      </c>
      <c r="M369" t="n">
        <v>0</v>
      </c>
      <c r="N369" t="n">
        <v>0</v>
      </c>
      <c r="O369" t="n">
        <v>0</v>
      </c>
      <c r="P369" t="n">
        <v>0</v>
      </c>
      <c r="Q369" t="n">
        <v>0</v>
      </c>
      <c r="R369" s="2" t="inlineStr"/>
    </row>
    <row r="370" ht="15" customHeight="1">
      <c r="A370" t="inlineStr">
        <is>
          <t>A 53887-2023</t>
        </is>
      </c>
      <c r="B370" s="1" t="n">
        <v>45231.52675925926</v>
      </c>
      <c r="C370" s="1" t="n">
        <v>46079</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57275-2023</t>
        </is>
      </c>
      <c r="B371" s="1" t="n">
        <v>45245.58886574074</v>
      </c>
      <c r="C371" s="1" t="n">
        <v>46079</v>
      </c>
      <c r="D371" t="inlineStr">
        <is>
          <t>SKÅNE LÄN</t>
        </is>
      </c>
      <c r="E371" t="inlineStr">
        <is>
          <t>HÄSSLEHOLM</t>
        </is>
      </c>
      <c r="G371" t="n">
        <v>1.7</v>
      </c>
      <c r="H371" t="n">
        <v>0</v>
      </c>
      <c r="I371" t="n">
        <v>0</v>
      </c>
      <c r="J371" t="n">
        <v>0</v>
      </c>
      <c r="K371" t="n">
        <v>0</v>
      </c>
      <c r="L371" t="n">
        <v>0</v>
      </c>
      <c r="M371" t="n">
        <v>0</v>
      </c>
      <c r="N371" t="n">
        <v>0</v>
      </c>
      <c r="O371" t="n">
        <v>0</v>
      </c>
      <c r="P371" t="n">
        <v>0</v>
      </c>
      <c r="Q371" t="n">
        <v>0</v>
      </c>
      <c r="R371" s="2" t="inlineStr"/>
    </row>
    <row r="372" ht="15" customHeight="1">
      <c r="A372" t="inlineStr">
        <is>
          <t>A 49167-2022</t>
        </is>
      </c>
      <c r="B372" s="1" t="n">
        <v>44860</v>
      </c>
      <c r="C372" s="1" t="n">
        <v>46079</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28071-2023</t>
        </is>
      </c>
      <c r="B373" s="1" t="n">
        <v>45099.37755787037</v>
      </c>
      <c r="C373" s="1" t="n">
        <v>46079</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3507-2024</t>
        </is>
      </c>
      <c r="B374" s="1" t="n">
        <v>45320.4906712963</v>
      </c>
      <c r="C374" s="1" t="n">
        <v>46079</v>
      </c>
      <c r="D374" t="inlineStr">
        <is>
          <t>SKÅNE LÄN</t>
        </is>
      </c>
      <c r="E374" t="inlineStr">
        <is>
          <t>HÄSSLEHOLM</t>
        </is>
      </c>
      <c r="G374" t="n">
        <v>6.4</v>
      </c>
      <c r="H374" t="n">
        <v>0</v>
      </c>
      <c r="I374" t="n">
        <v>0</v>
      </c>
      <c r="J374" t="n">
        <v>0</v>
      </c>
      <c r="K374" t="n">
        <v>0</v>
      </c>
      <c r="L374" t="n">
        <v>0</v>
      </c>
      <c r="M374" t="n">
        <v>0</v>
      </c>
      <c r="N374" t="n">
        <v>0</v>
      </c>
      <c r="O374" t="n">
        <v>0</v>
      </c>
      <c r="P374" t="n">
        <v>0</v>
      </c>
      <c r="Q374" t="n">
        <v>0</v>
      </c>
      <c r="R374" s="2" t="inlineStr"/>
    </row>
    <row r="375" ht="15" customHeight="1">
      <c r="A375" t="inlineStr">
        <is>
          <t>A 4119-2024</t>
        </is>
      </c>
      <c r="B375" s="1" t="n">
        <v>45323.67920138889</v>
      </c>
      <c r="C375" s="1" t="n">
        <v>46079</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48877-2024</t>
        </is>
      </c>
      <c r="B376" s="1" t="n">
        <v>45594.31729166667</v>
      </c>
      <c r="C376" s="1" t="n">
        <v>46079</v>
      </c>
      <c r="D376" t="inlineStr">
        <is>
          <t>SKÅNE LÄN</t>
        </is>
      </c>
      <c r="E376" t="inlineStr">
        <is>
          <t>HÄSSLEHOLM</t>
        </is>
      </c>
      <c r="G376" t="n">
        <v>1.8</v>
      </c>
      <c r="H376" t="n">
        <v>0</v>
      </c>
      <c r="I376" t="n">
        <v>0</v>
      </c>
      <c r="J376" t="n">
        <v>0</v>
      </c>
      <c r="K376" t="n">
        <v>0</v>
      </c>
      <c r="L376" t="n">
        <v>0</v>
      </c>
      <c r="M376" t="n">
        <v>0</v>
      </c>
      <c r="N376" t="n">
        <v>0</v>
      </c>
      <c r="O376" t="n">
        <v>0</v>
      </c>
      <c r="P376" t="n">
        <v>0</v>
      </c>
      <c r="Q376" t="n">
        <v>0</v>
      </c>
      <c r="R376" s="2" t="inlineStr"/>
    </row>
    <row r="377" ht="15" customHeight="1">
      <c r="A377" t="inlineStr">
        <is>
          <t>A 47647-2024</t>
        </is>
      </c>
      <c r="B377" s="1" t="n">
        <v>45588</v>
      </c>
      <c r="C377" s="1" t="n">
        <v>46079</v>
      </c>
      <c r="D377" t="inlineStr">
        <is>
          <t>SKÅNE LÄN</t>
        </is>
      </c>
      <c r="E377" t="inlineStr">
        <is>
          <t>HÄSSLEHOLM</t>
        </is>
      </c>
      <c r="G377" t="n">
        <v>6.5</v>
      </c>
      <c r="H377" t="n">
        <v>0</v>
      </c>
      <c r="I377" t="n">
        <v>0</v>
      </c>
      <c r="J377" t="n">
        <v>0</v>
      </c>
      <c r="K377" t="n">
        <v>0</v>
      </c>
      <c r="L377" t="n">
        <v>0</v>
      </c>
      <c r="M377" t="n">
        <v>0</v>
      </c>
      <c r="N377" t="n">
        <v>0</v>
      </c>
      <c r="O377" t="n">
        <v>0</v>
      </c>
      <c r="P377" t="n">
        <v>0</v>
      </c>
      <c r="Q377" t="n">
        <v>0</v>
      </c>
      <c r="R377" s="2" t="inlineStr"/>
    </row>
    <row r="378" ht="15" customHeight="1">
      <c r="A378" t="inlineStr">
        <is>
          <t>A 1619-2022</t>
        </is>
      </c>
      <c r="B378" s="1" t="n">
        <v>44573</v>
      </c>
      <c r="C378" s="1" t="n">
        <v>46079</v>
      </c>
      <c r="D378" t="inlineStr">
        <is>
          <t>SKÅNE LÄN</t>
        </is>
      </c>
      <c r="E378" t="inlineStr">
        <is>
          <t>HÄSSLEHOLM</t>
        </is>
      </c>
      <c r="G378" t="n">
        <v>1.8</v>
      </c>
      <c r="H378" t="n">
        <v>0</v>
      </c>
      <c r="I378" t="n">
        <v>0</v>
      </c>
      <c r="J378" t="n">
        <v>0</v>
      </c>
      <c r="K378" t="n">
        <v>0</v>
      </c>
      <c r="L378" t="n">
        <v>0</v>
      </c>
      <c r="M378" t="n">
        <v>0</v>
      </c>
      <c r="N378" t="n">
        <v>0</v>
      </c>
      <c r="O378" t="n">
        <v>0</v>
      </c>
      <c r="P378" t="n">
        <v>0</v>
      </c>
      <c r="Q378" t="n">
        <v>0</v>
      </c>
      <c r="R378" s="2" t="inlineStr"/>
    </row>
    <row r="379" ht="15" customHeight="1">
      <c r="A379" t="inlineStr">
        <is>
          <t>A 27304-2023</t>
        </is>
      </c>
      <c r="B379" s="1" t="n">
        <v>45096.65199074074</v>
      </c>
      <c r="C379" s="1" t="n">
        <v>46079</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51618-2024</t>
        </is>
      </c>
      <c r="B380" s="1" t="n">
        <v>45604.82615740741</v>
      </c>
      <c r="C380" s="1" t="n">
        <v>46079</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10409-2024</t>
        </is>
      </c>
      <c r="B381" s="1" t="n">
        <v>45365.6978125</v>
      </c>
      <c r="C381" s="1" t="n">
        <v>46079</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48191-2021</t>
        </is>
      </c>
      <c r="B382" s="1" t="n">
        <v>44449</v>
      </c>
      <c r="C382" s="1" t="n">
        <v>46079</v>
      </c>
      <c r="D382" t="inlineStr">
        <is>
          <t>SKÅNE LÄN</t>
        </is>
      </c>
      <c r="E382" t="inlineStr">
        <is>
          <t>HÄSSLEHOLM</t>
        </is>
      </c>
      <c r="G382" t="n">
        <v>6</v>
      </c>
      <c r="H382" t="n">
        <v>0</v>
      </c>
      <c r="I382" t="n">
        <v>0</v>
      </c>
      <c r="J382" t="n">
        <v>0</v>
      </c>
      <c r="K382" t="n">
        <v>0</v>
      </c>
      <c r="L382" t="n">
        <v>0</v>
      </c>
      <c r="M382" t="n">
        <v>0</v>
      </c>
      <c r="N382" t="n">
        <v>0</v>
      </c>
      <c r="O382" t="n">
        <v>0</v>
      </c>
      <c r="P382" t="n">
        <v>0</v>
      </c>
      <c r="Q382" t="n">
        <v>0</v>
      </c>
      <c r="R382" s="2" t="inlineStr"/>
    </row>
    <row r="383" ht="15" customHeight="1">
      <c r="A383" t="inlineStr">
        <is>
          <t>A 31995-2023</t>
        </is>
      </c>
      <c r="B383" s="1" t="n">
        <v>45107</v>
      </c>
      <c r="C383" s="1" t="n">
        <v>46079</v>
      </c>
      <c r="D383" t="inlineStr">
        <is>
          <t>SKÅNE LÄN</t>
        </is>
      </c>
      <c r="E383" t="inlineStr">
        <is>
          <t>HÄSSLEHOLM</t>
        </is>
      </c>
      <c r="G383" t="n">
        <v>7.3</v>
      </c>
      <c r="H383" t="n">
        <v>0</v>
      </c>
      <c r="I383" t="n">
        <v>0</v>
      </c>
      <c r="J383" t="n">
        <v>0</v>
      </c>
      <c r="K383" t="n">
        <v>0</v>
      </c>
      <c r="L383" t="n">
        <v>0</v>
      </c>
      <c r="M383" t="n">
        <v>0</v>
      </c>
      <c r="N383" t="n">
        <v>0</v>
      </c>
      <c r="O383" t="n">
        <v>0</v>
      </c>
      <c r="P383" t="n">
        <v>0</v>
      </c>
      <c r="Q383" t="n">
        <v>0</v>
      </c>
      <c r="R383" s="2" t="inlineStr"/>
    </row>
    <row r="384" ht="15" customHeight="1">
      <c r="A384" t="inlineStr">
        <is>
          <t>A 6845-2023</t>
        </is>
      </c>
      <c r="B384" s="1" t="n">
        <v>44967</v>
      </c>
      <c r="C384" s="1" t="n">
        <v>46079</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8244-2023</t>
        </is>
      </c>
      <c r="B385" s="1" t="n">
        <v>44974</v>
      </c>
      <c r="C385" s="1" t="n">
        <v>46079</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8246-2023</t>
        </is>
      </c>
      <c r="B386" s="1" t="n">
        <v>44974</v>
      </c>
      <c r="C386" s="1" t="n">
        <v>46079</v>
      </c>
      <c r="D386" t="inlineStr">
        <is>
          <t>SKÅNE LÄN</t>
        </is>
      </c>
      <c r="E386" t="inlineStr">
        <is>
          <t>HÄSSLEHOLM</t>
        </is>
      </c>
      <c r="G386" t="n">
        <v>1.6</v>
      </c>
      <c r="H386" t="n">
        <v>0</v>
      </c>
      <c r="I386" t="n">
        <v>0</v>
      </c>
      <c r="J386" t="n">
        <v>0</v>
      </c>
      <c r="K386" t="n">
        <v>0</v>
      </c>
      <c r="L386" t="n">
        <v>0</v>
      </c>
      <c r="M386" t="n">
        <v>0</v>
      </c>
      <c r="N386" t="n">
        <v>0</v>
      </c>
      <c r="O386" t="n">
        <v>0</v>
      </c>
      <c r="P386" t="n">
        <v>0</v>
      </c>
      <c r="Q386" t="n">
        <v>0</v>
      </c>
      <c r="R386" s="2" t="inlineStr"/>
    </row>
    <row r="387" ht="15" customHeight="1">
      <c r="A387" t="inlineStr">
        <is>
          <t>A 4356-2024</t>
        </is>
      </c>
      <c r="B387" s="1" t="n">
        <v>45325.36195601852</v>
      </c>
      <c r="C387" s="1" t="n">
        <v>46079</v>
      </c>
      <c r="D387" t="inlineStr">
        <is>
          <t>SKÅNE LÄN</t>
        </is>
      </c>
      <c r="E387" t="inlineStr">
        <is>
          <t>HÄSSLEHOLM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32834-2024</t>
        </is>
      </c>
      <c r="B388" s="1" t="n">
        <v>45516.6025</v>
      </c>
      <c r="C388" s="1" t="n">
        <v>46079</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47840-2023</t>
        </is>
      </c>
      <c r="B389" s="1" t="n">
        <v>45204</v>
      </c>
      <c r="C389" s="1" t="n">
        <v>46079</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22132-2024</t>
        </is>
      </c>
      <c r="B390" s="1" t="n">
        <v>45444.37234953704</v>
      </c>
      <c r="C390" s="1" t="n">
        <v>46079</v>
      </c>
      <c r="D390" t="inlineStr">
        <is>
          <t>SKÅNE LÄN</t>
        </is>
      </c>
      <c r="E390" t="inlineStr">
        <is>
          <t>HÄSSLEHOLM</t>
        </is>
      </c>
      <c r="G390" t="n">
        <v>3.1</v>
      </c>
      <c r="H390" t="n">
        <v>0</v>
      </c>
      <c r="I390" t="n">
        <v>0</v>
      </c>
      <c r="J390" t="n">
        <v>0</v>
      </c>
      <c r="K390" t="n">
        <v>0</v>
      </c>
      <c r="L390" t="n">
        <v>0</v>
      </c>
      <c r="M390" t="n">
        <v>0</v>
      </c>
      <c r="N390" t="n">
        <v>0</v>
      </c>
      <c r="O390" t="n">
        <v>0</v>
      </c>
      <c r="P390" t="n">
        <v>0</v>
      </c>
      <c r="Q390" t="n">
        <v>0</v>
      </c>
      <c r="R390" s="2" t="inlineStr"/>
    </row>
    <row r="391" ht="15" customHeight="1">
      <c r="A391" t="inlineStr">
        <is>
          <t>A 54171-2022</t>
        </is>
      </c>
      <c r="B391" s="1" t="n">
        <v>44881</v>
      </c>
      <c r="C391" s="1" t="n">
        <v>46079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49199-2024</t>
        </is>
      </c>
      <c r="B392" s="1" t="n">
        <v>45595</v>
      </c>
      <c r="C392" s="1" t="n">
        <v>46079</v>
      </c>
      <c r="D392" t="inlineStr">
        <is>
          <t>SKÅNE LÄN</t>
        </is>
      </c>
      <c r="E392" t="inlineStr">
        <is>
          <t>HÄSSLEHOLM</t>
        </is>
      </c>
      <c r="G392" t="n">
        <v>5.2</v>
      </c>
      <c r="H392" t="n">
        <v>0</v>
      </c>
      <c r="I392" t="n">
        <v>0</v>
      </c>
      <c r="J392" t="n">
        <v>0</v>
      </c>
      <c r="K392" t="n">
        <v>0</v>
      </c>
      <c r="L392" t="n">
        <v>0</v>
      </c>
      <c r="M392" t="n">
        <v>0</v>
      </c>
      <c r="N392" t="n">
        <v>0</v>
      </c>
      <c r="O392" t="n">
        <v>0</v>
      </c>
      <c r="P392" t="n">
        <v>0</v>
      </c>
      <c r="Q392" t="n">
        <v>0</v>
      </c>
      <c r="R392" s="2" t="inlineStr"/>
    </row>
    <row r="393" ht="15" customHeight="1">
      <c r="A393" t="inlineStr">
        <is>
          <t>A 34888-2023</t>
        </is>
      </c>
      <c r="B393" s="1" t="n">
        <v>45142.388125</v>
      </c>
      <c r="C393" s="1" t="n">
        <v>46079</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58886-2024</t>
        </is>
      </c>
      <c r="B394" s="1" t="n">
        <v>45636.45380787037</v>
      </c>
      <c r="C394" s="1" t="n">
        <v>46079</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20435-2021</t>
        </is>
      </c>
      <c r="B395" s="1" t="n">
        <v>44315.5793287037</v>
      </c>
      <c r="C395" s="1" t="n">
        <v>46079</v>
      </c>
      <c r="D395" t="inlineStr">
        <is>
          <t>SKÅNE LÄN</t>
        </is>
      </c>
      <c r="E395" t="inlineStr">
        <is>
          <t>HÄSSLEHOLM</t>
        </is>
      </c>
      <c r="G395" t="n">
        <v>4.8</v>
      </c>
      <c r="H395" t="n">
        <v>0</v>
      </c>
      <c r="I395" t="n">
        <v>0</v>
      </c>
      <c r="J395" t="n">
        <v>0</v>
      </c>
      <c r="K395" t="n">
        <v>0</v>
      </c>
      <c r="L395" t="n">
        <v>0</v>
      </c>
      <c r="M395" t="n">
        <v>0</v>
      </c>
      <c r="N395" t="n">
        <v>0</v>
      </c>
      <c r="O395" t="n">
        <v>0</v>
      </c>
      <c r="P395" t="n">
        <v>0</v>
      </c>
      <c r="Q395" t="n">
        <v>0</v>
      </c>
      <c r="R395" s="2" t="inlineStr"/>
    </row>
    <row r="396" ht="15" customHeight="1">
      <c r="A396" t="inlineStr">
        <is>
          <t>A 3245-2022</t>
        </is>
      </c>
      <c r="B396" s="1" t="n">
        <v>44583.39136574074</v>
      </c>
      <c r="C396" s="1" t="n">
        <v>46079</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13345-2025</t>
        </is>
      </c>
      <c r="B397" s="1" t="n">
        <v>45735.63017361111</v>
      </c>
      <c r="C397" s="1" t="n">
        <v>46079</v>
      </c>
      <c r="D397" t="inlineStr">
        <is>
          <t>SKÅNE LÄN</t>
        </is>
      </c>
      <c r="E397" t="inlineStr">
        <is>
          <t>HÄSSLEHOLM</t>
        </is>
      </c>
      <c r="G397" t="n">
        <v>1.3</v>
      </c>
      <c r="H397" t="n">
        <v>0</v>
      </c>
      <c r="I397" t="n">
        <v>0</v>
      </c>
      <c r="J397" t="n">
        <v>0</v>
      </c>
      <c r="K397" t="n">
        <v>0</v>
      </c>
      <c r="L397" t="n">
        <v>0</v>
      </c>
      <c r="M397" t="n">
        <v>0</v>
      </c>
      <c r="N397" t="n">
        <v>0</v>
      </c>
      <c r="O397" t="n">
        <v>0</v>
      </c>
      <c r="P397" t="n">
        <v>0</v>
      </c>
      <c r="Q397" t="n">
        <v>0</v>
      </c>
      <c r="R397" s="2" t="inlineStr"/>
    </row>
    <row r="398" ht="15" customHeight="1">
      <c r="A398" t="inlineStr">
        <is>
          <t>A 31255-2024</t>
        </is>
      </c>
      <c r="B398" s="1" t="n">
        <v>45503.69114583333</v>
      </c>
      <c r="C398" s="1" t="n">
        <v>46079</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34834-2023</t>
        </is>
      </c>
      <c r="B399" s="1" t="n">
        <v>45141.7199537037</v>
      </c>
      <c r="C399" s="1" t="n">
        <v>46079</v>
      </c>
      <c r="D399" t="inlineStr">
        <is>
          <t>SKÅNE LÄN</t>
        </is>
      </c>
      <c r="E399" t="inlineStr">
        <is>
          <t>HÄSSLEHOLM</t>
        </is>
      </c>
      <c r="G399" t="n">
        <v>1</v>
      </c>
      <c r="H399" t="n">
        <v>0</v>
      </c>
      <c r="I399" t="n">
        <v>0</v>
      </c>
      <c r="J399" t="n">
        <v>0</v>
      </c>
      <c r="K399" t="n">
        <v>0</v>
      </c>
      <c r="L399" t="n">
        <v>0</v>
      </c>
      <c r="M399" t="n">
        <v>0</v>
      </c>
      <c r="N399" t="n">
        <v>0</v>
      </c>
      <c r="O399" t="n">
        <v>0</v>
      </c>
      <c r="P399" t="n">
        <v>0</v>
      </c>
      <c r="Q399" t="n">
        <v>0</v>
      </c>
      <c r="R399" s="2" t="inlineStr"/>
    </row>
    <row r="400" ht="15" customHeight="1">
      <c r="A400" t="inlineStr">
        <is>
          <t>A 53085-2022</t>
        </is>
      </c>
      <c r="B400" s="1" t="n">
        <v>44873</v>
      </c>
      <c r="C400" s="1" t="n">
        <v>46079</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12469-2023</t>
        </is>
      </c>
      <c r="B401" s="1" t="n">
        <v>44999.62109953703</v>
      </c>
      <c r="C401" s="1" t="n">
        <v>46079</v>
      </c>
      <c r="D401" t="inlineStr">
        <is>
          <t>SKÅNE LÄN</t>
        </is>
      </c>
      <c r="E401" t="inlineStr">
        <is>
          <t>HÄSSLEHOLM</t>
        </is>
      </c>
      <c r="G401" t="n">
        <v>2.6</v>
      </c>
      <c r="H401" t="n">
        <v>0</v>
      </c>
      <c r="I401" t="n">
        <v>0</v>
      </c>
      <c r="J401" t="n">
        <v>0</v>
      </c>
      <c r="K401" t="n">
        <v>0</v>
      </c>
      <c r="L401" t="n">
        <v>0</v>
      </c>
      <c r="M401" t="n">
        <v>0</v>
      </c>
      <c r="N401" t="n">
        <v>0</v>
      </c>
      <c r="O401" t="n">
        <v>0</v>
      </c>
      <c r="P401" t="n">
        <v>0</v>
      </c>
      <c r="Q401" t="n">
        <v>0</v>
      </c>
      <c r="R401" s="2" t="inlineStr"/>
    </row>
    <row r="402" ht="15" customHeight="1">
      <c r="A402" t="inlineStr">
        <is>
          <t>A 4787-2023</t>
        </is>
      </c>
      <c r="B402" s="1" t="n">
        <v>44957.60079861111</v>
      </c>
      <c r="C402" s="1" t="n">
        <v>46079</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4788-2023</t>
        </is>
      </c>
      <c r="B403" s="1" t="n">
        <v>44957.60130787037</v>
      </c>
      <c r="C403" s="1" t="n">
        <v>46079</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48663-2024</t>
        </is>
      </c>
      <c r="B404" s="1" t="n">
        <v>45593.48892361111</v>
      </c>
      <c r="C404" s="1" t="n">
        <v>46079</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32210-2024</t>
        </is>
      </c>
      <c r="B405" s="1" t="n">
        <v>45511.67777777778</v>
      </c>
      <c r="C405" s="1" t="n">
        <v>46079</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50659-2023</t>
        </is>
      </c>
      <c r="B406" s="1" t="n">
        <v>45217</v>
      </c>
      <c r="C406" s="1" t="n">
        <v>46079</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16388-2025</t>
        </is>
      </c>
      <c r="B407" s="1" t="n">
        <v>45751.42787037037</v>
      </c>
      <c r="C407" s="1" t="n">
        <v>46079</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16668-2025</t>
        </is>
      </c>
      <c r="B408" s="1" t="n">
        <v>45754.43009259259</v>
      </c>
      <c r="C408" s="1" t="n">
        <v>46079</v>
      </c>
      <c r="D408" t="inlineStr">
        <is>
          <t>SKÅNE LÄN</t>
        </is>
      </c>
      <c r="E408" t="inlineStr">
        <is>
          <t>HÄSSLEHOLM</t>
        </is>
      </c>
      <c r="G408" t="n">
        <v>4</v>
      </c>
      <c r="H408" t="n">
        <v>0</v>
      </c>
      <c r="I408" t="n">
        <v>0</v>
      </c>
      <c r="J408" t="n">
        <v>0</v>
      </c>
      <c r="K408" t="n">
        <v>0</v>
      </c>
      <c r="L408" t="n">
        <v>0</v>
      </c>
      <c r="M408" t="n">
        <v>0</v>
      </c>
      <c r="N408" t="n">
        <v>0</v>
      </c>
      <c r="O408" t="n">
        <v>0</v>
      </c>
      <c r="P408" t="n">
        <v>0</v>
      </c>
      <c r="Q408" t="n">
        <v>0</v>
      </c>
      <c r="R408" s="2" t="inlineStr"/>
    </row>
    <row r="409" ht="15" customHeight="1">
      <c r="A409" t="inlineStr">
        <is>
          <t>A 59431-2023</t>
        </is>
      </c>
      <c r="B409" s="1" t="n">
        <v>45254.29207175926</v>
      </c>
      <c r="C409" s="1" t="n">
        <v>46079</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59433-2023</t>
        </is>
      </c>
      <c r="B410" s="1" t="n">
        <v>45254.29768518519</v>
      </c>
      <c r="C410" s="1" t="n">
        <v>46079</v>
      </c>
      <c r="D410" t="inlineStr">
        <is>
          <t>SKÅNE LÄN</t>
        </is>
      </c>
      <c r="E410" t="inlineStr">
        <is>
          <t>HÄSSLEHOLM</t>
        </is>
      </c>
      <c r="G410" t="n">
        <v>3.1</v>
      </c>
      <c r="H410" t="n">
        <v>0</v>
      </c>
      <c r="I410" t="n">
        <v>0</v>
      </c>
      <c r="J410" t="n">
        <v>0</v>
      </c>
      <c r="K410" t="n">
        <v>0</v>
      </c>
      <c r="L410" t="n">
        <v>0</v>
      </c>
      <c r="M410" t="n">
        <v>0</v>
      </c>
      <c r="N410" t="n">
        <v>0</v>
      </c>
      <c r="O410" t="n">
        <v>0</v>
      </c>
      <c r="P410" t="n">
        <v>0</v>
      </c>
      <c r="Q410" t="n">
        <v>0</v>
      </c>
      <c r="R410" s="2" t="inlineStr"/>
    </row>
    <row r="411" ht="15" customHeight="1">
      <c r="A411" t="inlineStr">
        <is>
          <t>A 9709-2023</t>
        </is>
      </c>
      <c r="B411" s="1" t="n">
        <v>44984.48376157408</v>
      </c>
      <c r="C411" s="1" t="n">
        <v>46079</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24679-2023</t>
        </is>
      </c>
      <c r="B412" s="1" t="n">
        <v>45084</v>
      </c>
      <c r="C412" s="1" t="n">
        <v>46079</v>
      </c>
      <c r="D412" t="inlineStr">
        <is>
          <t>SKÅNE LÄN</t>
        </is>
      </c>
      <c r="E412" t="inlineStr">
        <is>
          <t>HÄSSLEHOLM</t>
        </is>
      </c>
      <c r="G412" t="n">
        <v>7.1</v>
      </c>
      <c r="H412" t="n">
        <v>0</v>
      </c>
      <c r="I412" t="n">
        <v>0</v>
      </c>
      <c r="J412" t="n">
        <v>0</v>
      </c>
      <c r="K412" t="n">
        <v>0</v>
      </c>
      <c r="L412" t="n">
        <v>0</v>
      </c>
      <c r="M412" t="n">
        <v>0</v>
      </c>
      <c r="N412" t="n">
        <v>0</v>
      </c>
      <c r="O412" t="n">
        <v>0</v>
      </c>
      <c r="P412" t="n">
        <v>0</v>
      </c>
      <c r="Q412" t="n">
        <v>0</v>
      </c>
      <c r="R412" s="2" t="inlineStr"/>
    </row>
    <row r="413" ht="15" customHeight="1">
      <c r="A413" t="inlineStr">
        <is>
          <t>A 23864-2024</t>
        </is>
      </c>
      <c r="B413" s="1" t="n">
        <v>45455</v>
      </c>
      <c r="C413" s="1" t="n">
        <v>46079</v>
      </c>
      <c r="D413" t="inlineStr">
        <is>
          <t>SKÅNE LÄN</t>
        </is>
      </c>
      <c r="E413" t="inlineStr">
        <is>
          <t>HÄSSLEHOLM</t>
        </is>
      </c>
      <c r="G413" t="n">
        <v>6.2</v>
      </c>
      <c r="H413" t="n">
        <v>0</v>
      </c>
      <c r="I413" t="n">
        <v>0</v>
      </c>
      <c r="J413" t="n">
        <v>0</v>
      </c>
      <c r="K413" t="n">
        <v>0</v>
      </c>
      <c r="L413" t="n">
        <v>0</v>
      </c>
      <c r="M413" t="n">
        <v>0</v>
      </c>
      <c r="N413" t="n">
        <v>0</v>
      </c>
      <c r="O413" t="n">
        <v>0</v>
      </c>
      <c r="P413" t="n">
        <v>0</v>
      </c>
      <c r="Q413" t="n">
        <v>0</v>
      </c>
      <c r="R413" s="2" t="inlineStr"/>
    </row>
    <row r="414" ht="15" customHeight="1">
      <c r="A414" t="inlineStr">
        <is>
          <t>A 27464-2022</t>
        </is>
      </c>
      <c r="B414" s="1" t="n">
        <v>44742.58704861111</v>
      </c>
      <c r="C414" s="1" t="n">
        <v>46079</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50525-2024</t>
        </is>
      </c>
      <c r="B415" s="1" t="n">
        <v>45601</v>
      </c>
      <c r="C415" s="1" t="n">
        <v>46079</v>
      </c>
      <c r="D415" t="inlineStr">
        <is>
          <t>SKÅNE LÄN</t>
        </is>
      </c>
      <c r="E415" t="inlineStr">
        <is>
          <t>HÄSSLEHOLM</t>
        </is>
      </c>
      <c r="G415" t="n">
        <v>2.6</v>
      </c>
      <c r="H415" t="n">
        <v>0</v>
      </c>
      <c r="I415" t="n">
        <v>0</v>
      </c>
      <c r="J415" t="n">
        <v>0</v>
      </c>
      <c r="K415" t="n">
        <v>0</v>
      </c>
      <c r="L415" t="n">
        <v>0</v>
      </c>
      <c r="M415" t="n">
        <v>0</v>
      </c>
      <c r="N415" t="n">
        <v>0</v>
      </c>
      <c r="O415" t="n">
        <v>0</v>
      </c>
      <c r="P415" t="n">
        <v>0</v>
      </c>
      <c r="Q415" t="n">
        <v>0</v>
      </c>
      <c r="R415" s="2" t="inlineStr"/>
    </row>
    <row r="416" ht="15" customHeight="1">
      <c r="A416" t="inlineStr">
        <is>
          <t>A 13646-2024</t>
        </is>
      </c>
      <c r="B416" s="1" t="n">
        <v>45387</v>
      </c>
      <c r="C416" s="1" t="n">
        <v>46079</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54174-2022</t>
        </is>
      </c>
      <c r="B417" s="1" t="n">
        <v>44881</v>
      </c>
      <c r="C417" s="1" t="n">
        <v>46079</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52235-2021</t>
        </is>
      </c>
      <c r="B418" s="1" t="n">
        <v>44463.60085648148</v>
      </c>
      <c r="C418" s="1" t="n">
        <v>46079</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21867-2023</t>
        </is>
      </c>
      <c r="B419" s="1" t="n">
        <v>45063</v>
      </c>
      <c r="C419" s="1" t="n">
        <v>46079</v>
      </c>
      <c r="D419" t="inlineStr">
        <is>
          <t>SKÅNE LÄN</t>
        </is>
      </c>
      <c r="E419" t="inlineStr">
        <is>
          <t>HÄSSLEHOLM</t>
        </is>
      </c>
      <c r="G419" t="n">
        <v>7.6</v>
      </c>
      <c r="H419" t="n">
        <v>0</v>
      </c>
      <c r="I419" t="n">
        <v>0</v>
      </c>
      <c r="J419" t="n">
        <v>0</v>
      </c>
      <c r="K419" t="n">
        <v>0</v>
      </c>
      <c r="L419" t="n">
        <v>0</v>
      </c>
      <c r="M419" t="n">
        <v>0</v>
      </c>
      <c r="N419" t="n">
        <v>0</v>
      </c>
      <c r="O419" t="n">
        <v>0</v>
      </c>
      <c r="P419" t="n">
        <v>0</v>
      </c>
      <c r="Q419" t="n">
        <v>0</v>
      </c>
      <c r="R419" s="2" t="inlineStr"/>
    </row>
    <row r="420" ht="15" customHeight="1">
      <c r="A420" t="inlineStr">
        <is>
          <t>A 27242-2022</t>
        </is>
      </c>
      <c r="B420" s="1" t="n">
        <v>44741</v>
      </c>
      <c r="C420" s="1" t="n">
        <v>46079</v>
      </c>
      <c r="D420" t="inlineStr">
        <is>
          <t>SKÅNE LÄN</t>
        </is>
      </c>
      <c r="E420" t="inlineStr">
        <is>
          <t>HÄSSLEHOLM</t>
        </is>
      </c>
      <c r="G420" t="n">
        <v>1.9</v>
      </c>
      <c r="H420" t="n">
        <v>0</v>
      </c>
      <c r="I420" t="n">
        <v>0</v>
      </c>
      <c r="J420" t="n">
        <v>0</v>
      </c>
      <c r="K420" t="n">
        <v>0</v>
      </c>
      <c r="L420" t="n">
        <v>0</v>
      </c>
      <c r="M420" t="n">
        <v>0</v>
      </c>
      <c r="N420" t="n">
        <v>0</v>
      </c>
      <c r="O420" t="n">
        <v>0</v>
      </c>
      <c r="P420" t="n">
        <v>0</v>
      </c>
      <c r="Q420" t="n">
        <v>0</v>
      </c>
      <c r="R420" s="2" t="inlineStr"/>
    </row>
    <row r="421" ht="15" customHeight="1">
      <c r="A421" t="inlineStr">
        <is>
          <t>A 53302-2022</t>
        </is>
      </c>
      <c r="B421" s="1" t="n">
        <v>44877</v>
      </c>
      <c r="C421" s="1" t="n">
        <v>46079</v>
      </c>
      <c r="D421" t="inlineStr">
        <is>
          <t>SKÅNE LÄN</t>
        </is>
      </c>
      <c r="E421" t="inlineStr">
        <is>
          <t>HÄSSLEHOLM</t>
        </is>
      </c>
      <c r="G421" t="n">
        <v>0.1</v>
      </c>
      <c r="H421" t="n">
        <v>0</v>
      </c>
      <c r="I421" t="n">
        <v>0</v>
      </c>
      <c r="J421" t="n">
        <v>0</v>
      </c>
      <c r="K421" t="n">
        <v>0</v>
      </c>
      <c r="L421" t="n">
        <v>0</v>
      </c>
      <c r="M421" t="n">
        <v>0</v>
      </c>
      <c r="N421" t="n">
        <v>0</v>
      </c>
      <c r="O421" t="n">
        <v>0</v>
      </c>
      <c r="P421" t="n">
        <v>0</v>
      </c>
      <c r="Q421" t="n">
        <v>0</v>
      </c>
      <c r="R421" s="2" t="inlineStr"/>
    </row>
    <row r="422" ht="15" customHeight="1">
      <c r="A422" t="inlineStr">
        <is>
          <t>A 52642-2021</t>
        </is>
      </c>
      <c r="B422" s="1" t="n">
        <v>44466.64298611111</v>
      </c>
      <c r="C422" s="1" t="n">
        <v>46079</v>
      </c>
      <c r="D422" t="inlineStr">
        <is>
          <t>SKÅNE LÄN</t>
        </is>
      </c>
      <c r="E422" t="inlineStr">
        <is>
          <t>HÄSSLEHOLM</t>
        </is>
      </c>
      <c r="G422" t="n">
        <v>3.7</v>
      </c>
      <c r="H422" t="n">
        <v>0</v>
      </c>
      <c r="I422" t="n">
        <v>0</v>
      </c>
      <c r="J422" t="n">
        <v>0</v>
      </c>
      <c r="K422" t="n">
        <v>0</v>
      </c>
      <c r="L422" t="n">
        <v>0</v>
      </c>
      <c r="M422" t="n">
        <v>0</v>
      </c>
      <c r="N422" t="n">
        <v>0</v>
      </c>
      <c r="O422" t="n">
        <v>0</v>
      </c>
      <c r="P422" t="n">
        <v>0</v>
      </c>
      <c r="Q422" t="n">
        <v>0</v>
      </c>
      <c r="R422" s="2" t="inlineStr"/>
    </row>
    <row r="423" ht="15" customHeight="1">
      <c r="A423" t="inlineStr">
        <is>
          <t>A 29850-2024</t>
        </is>
      </c>
      <c r="B423" s="1" t="n">
        <v>45485.64620370371</v>
      </c>
      <c r="C423" s="1" t="n">
        <v>46079</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27197-2021</t>
        </is>
      </c>
      <c r="B424" s="1" t="n">
        <v>44350</v>
      </c>
      <c r="C424" s="1" t="n">
        <v>46079</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35711-2024</t>
        </is>
      </c>
      <c r="B425" s="1" t="n">
        <v>45532</v>
      </c>
      <c r="C425" s="1" t="n">
        <v>46079</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13087-2023</t>
        </is>
      </c>
      <c r="B426" s="1" t="n">
        <v>45001</v>
      </c>
      <c r="C426" s="1" t="n">
        <v>46079</v>
      </c>
      <c r="D426" t="inlineStr">
        <is>
          <t>SKÅNE LÄN</t>
        </is>
      </c>
      <c r="E426" t="inlineStr">
        <is>
          <t>HÄSSLEHOLM</t>
        </is>
      </c>
      <c r="G426" t="n">
        <v>3.8</v>
      </c>
      <c r="H426" t="n">
        <v>0</v>
      </c>
      <c r="I426" t="n">
        <v>0</v>
      </c>
      <c r="J426" t="n">
        <v>0</v>
      </c>
      <c r="K426" t="n">
        <v>0</v>
      </c>
      <c r="L426" t="n">
        <v>0</v>
      </c>
      <c r="M426" t="n">
        <v>0</v>
      </c>
      <c r="N426" t="n">
        <v>0</v>
      </c>
      <c r="O426" t="n">
        <v>0</v>
      </c>
      <c r="P426" t="n">
        <v>0</v>
      </c>
      <c r="Q426" t="n">
        <v>0</v>
      </c>
      <c r="R426" s="2" t="inlineStr"/>
    </row>
    <row r="427" ht="15" customHeight="1">
      <c r="A427" t="inlineStr">
        <is>
          <t>A 62041-2022</t>
        </is>
      </c>
      <c r="B427" s="1" t="n">
        <v>44918.55743055556</v>
      </c>
      <c r="C427" s="1" t="n">
        <v>46079</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52968-2022</t>
        </is>
      </c>
      <c r="B428" s="1" t="n">
        <v>44875</v>
      </c>
      <c r="C428" s="1" t="n">
        <v>46079</v>
      </c>
      <c r="D428" t="inlineStr">
        <is>
          <t>SKÅNE LÄN</t>
        </is>
      </c>
      <c r="E428" t="inlineStr">
        <is>
          <t>HÄSSLEHOLM</t>
        </is>
      </c>
      <c r="G428" t="n">
        <v>2.6</v>
      </c>
      <c r="H428" t="n">
        <v>0</v>
      </c>
      <c r="I428" t="n">
        <v>0</v>
      </c>
      <c r="J428" t="n">
        <v>0</v>
      </c>
      <c r="K428" t="n">
        <v>0</v>
      </c>
      <c r="L428" t="n">
        <v>0</v>
      </c>
      <c r="M428" t="n">
        <v>0</v>
      </c>
      <c r="N428" t="n">
        <v>0</v>
      </c>
      <c r="O428" t="n">
        <v>0</v>
      </c>
      <c r="P428" t="n">
        <v>0</v>
      </c>
      <c r="Q428" t="n">
        <v>0</v>
      </c>
      <c r="R428" s="2" t="inlineStr"/>
    </row>
    <row r="429" ht="15" customHeight="1">
      <c r="A429" t="inlineStr">
        <is>
          <t>A 33465-2024</t>
        </is>
      </c>
      <c r="B429" s="1" t="n">
        <v>45519.59619212963</v>
      </c>
      <c r="C429" s="1" t="n">
        <v>46079</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40734-2024</t>
        </is>
      </c>
      <c r="B430" s="1" t="n">
        <v>45558</v>
      </c>
      <c r="C430" s="1" t="n">
        <v>46079</v>
      </c>
      <c r="D430" t="inlineStr">
        <is>
          <t>SKÅNE LÄN</t>
        </is>
      </c>
      <c r="E430" t="inlineStr">
        <is>
          <t>HÄSSLEHOLM</t>
        </is>
      </c>
      <c r="G430" t="n">
        <v>1.4</v>
      </c>
      <c r="H430" t="n">
        <v>0</v>
      </c>
      <c r="I430" t="n">
        <v>0</v>
      </c>
      <c r="J430" t="n">
        <v>0</v>
      </c>
      <c r="K430" t="n">
        <v>0</v>
      </c>
      <c r="L430" t="n">
        <v>0</v>
      </c>
      <c r="M430" t="n">
        <v>0</v>
      </c>
      <c r="N430" t="n">
        <v>0</v>
      </c>
      <c r="O430" t="n">
        <v>0</v>
      </c>
      <c r="P430" t="n">
        <v>0</v>
      </c>
      <c r="Q430" t="n">
        <v>0</v>
      </c>
      <c r="R430" s="2" t="inlineStr"/>
    </row>
    <row r="431" ht="15" customHeight="1">
      <c r="A431" t="inlineStr">
        <is>
          <t>A 40738-2024</t>
        </is>
      </c>
      <c r="B431" s="1" t="n">
        <v>45558</v>
      </c>
      <c r="C431" s="1" t="n">
        <v>46079</v>
      </c>
      <c r="D431" t="inlineStr">
        <is>
          <t>SKÅNE LÄN</t>
        </is>
      </c>
      <c r="E431" t="inlineStr">
        <is>
          <t>HÄSSLEHOLM</t>
        </is>
      </c>
      <c r="G431" t="n">
        <v>2.6</v>
      </c>
      <c r="H431" t="n">
        <v>0</v>
      </c>
      <c r="I431" t="n">
        <v>0</v>
      </c>
      <c r="J431" t="n">
        <v>0</v>
      </c>
      <c r="K431" t="n">
        <v>0</v>
      </c>
      <c r="L431" t="n">
        <v>0</v>
      </c>
      <c r="M431" t="n">
        <v>0</v>
      </c>
      <c r="N431" t="n">
        <v>0</v>
      </c>
      <c r="O431" t="n">
        <v>0</v>
      </c>
      <c r="P431" t="n">
        <v>0</v>
      </c>
      <c r="Q431" t="n">
        <v>0</v>
      </c>
      <c r="R431" s="2" t="inlineStr"/>
    </row>
    <row r="432" ht="15" customHeight="1">
      <c r="A432" t="inlineStr">
        <is>
          <t>A 31986-2023</t>
        </is>
      </c>
      <c r="B432" s="1" t="n">
        <v>45119</v>
      </c>
      <c r="C432" s="1" t="n">
        <v>46079</v>
      </c>
      <c r="D432" t="inlineStr">
        <is>
          <t>SKÅNE LÄN</t>
        </is>
      </c>
      <c r="E432" t="inlineStr">
        <is>
          <t>HÄSSLEHOLM</t>
        </is>
      </c>
      <c r="G432" t="n">
        <v>1.7</v>
      </c>
      <c r="H432" t="n">
        <v>0</v>
      </c>
      <c r="I432" t="n">
        <v>0</v>
      </c>
      <c r="J432" t="n">
        <v>0</v>
      </c>
      <c r="K432" t="n">
        <v>0</v>
      </c>
      <c r="L432" t="n">
        <v>0</v>
      </c>
      <c r="M432" t="n">
        <v>0</v>
      </c>
      <c r="N432" t="n">
        <v>0</v>
      </c>
      <c r="O432" t="n">
        <v>0</v>
      </c>
      <c r="P432" t="n">
        <v>0</v>
      </c>
      <c r="Q432" t="n">
        <v>0</v>
      </c>
      <c r="R432" s="2" t="inlineStr"/>
    </row>
    <row r="433" ht="15" customHeight="1">
      <c r="A433" t="inlineStr">
        <is>
          <t>A 62167-2022</t>
        </is>
      </c>
      <c r="B433" s="1" t="n">
        <v>44915</v>
      </c>
      <c r="C433" s="1" t="n">
        <v>46079</v>
      </c>
      <c r="D433" t="inlineStr">
        <is>
          <t>SKÅNE LÄN</t>
        </is>
      </c>
      <c r="E433" t="inlineStr">
        <is>
          <t>HÄSSLEHOLM</t>
        </is>
      </c>
      <c r="F433" t="inlineStr">
        <is>
          <t>Kyrkan</t>
        </is>
      </c>
      <c r="G433" t="n">
        <v>3.1</v>
      </c>
      <c r="H433" t="n">
        <v>0</v>
      </c>
      <c r="I433" t="n">
        <v>0</v>
      </c>
      <c r="J433" t="n">
        <v>0</v>
      </c>
      <c r="K433" t="n">
        <v>0</v>
      </c>
      <c r="L433" t="n">
        <v>0</v>
      </c>
      <c r="M433" t="n">
        <v>0</v>
      </c>
      <c r="N433" t="n">
        <v>0</v>
      </c>
      <c r="O433" t="n">
        <v>0</v>
      </c>
      <c r="P433" t="n">
        <v>0</v>
      </c>
      <c r="Q433" t="n">
        <v>0</v>
      </c>
      <c r="R433" s="2" t="inlineStr"/>
    </row>
    <row r="434" ht="15" customHeight="1">
      <c r="A434" t="inlineStr">
        <is>
          <t>A 62234-2022</t>
        </is>
      </c>
      <c r="B434" s="1" t="n">
        <v>44922</v>
      </c>
      <c r="C434" s="1" t="n">
        <v>46079</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44741-2023</t>
        </is>
      </c>
      <c r="B435" s="1" t="n">
        <v>45190.38804398148</v>
      </c>
      <c r="C435" s="1" t="n">
        <v>46079</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37141-2021</t>
        </is>
      </c>
      <c r="B436" s="1" t="n">
        <v>44396</v>
      </c>
      <c r="C436" s="1" t="n">
        <v>46079</v>
      </c>
      <c r="D436" t="inlineStr">
        <is>
          <t>SKÅNE LÄN</t>
        </is>
      </c>
      <c r="E436" t="inlineStr">
        <is>
          <t>HÄSSLEHOLM</t>
        </is>
      </c>
      <c r="G436" t="n">
        <v>12.8</v>
      </c>
      <c r="H436" t="n">
        <v>0</v>
      </c>
      <c r="I436" t="n">
        <v>0</v>
      </c>
      <c r="J436" t="n">
        <v>0</v>
      </c>
      <c r="K436" t="n">
        <v>0</v>
      </c>
      <c r="L436" t="n">
        <v>0</v>
      </c>
      <c r="M436" t="n">
        <v>0</v>
      </c>
      <c r="N436" t="n">
        <v>0</v>
      </c>
      <c r="O436" t="n">
        <v>0</v>
      </c>
      <c r="P436" t="n">
        <v>0</v>
      </c>
      <c r="Q436" t="n">
        <v>0</v>
      </c>
      <c r="R436" s="2" t="inlineStr"/>
    </row>
    <row r="437" ht="15" customHeight="1">
      <c r="A437" t="inlineStr">
        <is>
          <t>A 41209-2023</t>
        </is>
      </c>
      <c r="B437" s="1" t="n">
        <v>45174.43481481481</v>
      </c>
      <c r="C437" s="1" t="n">
        <v>46079</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61197-2024</t>
        </is>
      </c>
      <c r="B438" s="1" t="n">
        <v>45645.63184027778</v>
      </c>
      <c r="C438" s="1" t="n">
        <v>46079</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9397-2025</t>
        </is>
      </c>
      <c r="B439" s="1" t="n">
        <v>45715.37361111111</v>
      </c>
      <c r="C439" s="1" t="n">
        <v>46079</v>
      </c>
      <c r="D439" t="inlineStr">
        <is>
          <t>SKÅNE LÄN</t>
        </is>
      </c>
      <c r="E439" t="inlineStr">
        <is>
          <t>HÄSSLEHOLM</t>
        </is>
      </c>
      <c r="G439" t="n">
        <v>1.2</v>
      </c>
      <c r="H439" t="n">
        <v>0</v>
      </c>
      <c r="I439" t="n">
        <v>0</v>
      </c>
      <c r="J439" t="n">
        <v>0</v>
      </c>
      <c r="K439" t="n">
        <v>0</v>
      </c>
      <c r="L439" t="n">
        <v>0</v>
      </c>
      <c r="M439" t="n">
        <v>0</v>
      </c>
      <c r="N439" t="n">
        <v>0</v>
      </c>
      <c r="O439" t="n">
        <v>0</v>
      </c>
      <c r="P439" t="n">
        <v>0</v>
      </c>
      <c r="Q439" t="n">
        <v>0</v>
      </c>
      <c r="R439" s="2" t="inlineStr"/>
    </row>
    <row r="440" ht="15" customHeight="1">
      <c r="A440" t="inlineStr">
        <is>
          <t>A 13549-2025</t>
        </is>
      </c>
      <c r="B440" s="1" t="n">
        <v>45736</v>
      </c>
      <c r="C440" s="1" t="n">
        <v>46079</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45399-2022</t>
        </is>
      </c>
      <c r="B441" s="1" t="n">
        <v>44844.70513888889</v>
      </c>
      <c r="C441" s="1" t="n">
        <v>46079</v>
      </c>
      <c r="D441" t="inlineStr">
        <is>
          <t>SKÅNE LÄN</t>
        </is>
      </c>
      <c r="E441" t="inlineStr">
        <is>
          <t>HÄSSLEHOLM</t>
        </is>
      </c>
      <c r="G441" t="n">
        <v>0</v>
      </c>
      <c r="H441" t="n">
        <v>0</v>
      </c>
      <c r="I441" t="n">
        <v>0</v>
      </c>
      <c r="J441" t="n">
        <v>0</v>
      </c>
      <c r="K441" t="n">
        <v>0</v>
      </c>
      <c r="L441" t="n">
        <v>0</v>
      </c>
      <c r="M441" t="n">
        <v>0</v>
      </c>
      <c r="N441" t="n">
        <v>0</v>
      </c>
      <c r="O441" t="n">
        <v>0</v>
      </c>
      <c r="P441" t="n">
        <v>0</v>
      </c>
      <c r="Q441" t="n">
        <v>0</v>
      </c>
      <c r="R441" s="2" t="inlineStr"/>
    </row>
    <row r="442" ht="15" customHeight="1">
      <c r="A442" t="inlineStr">
        <is>
          <t>A 35833-2023</t>
        </is>
      </c>
      <c r="B442" s="1" t="n">
        <v>45148</v>
      </c>
      <c r="C442" s="1" t="n">
        <v>46079</v>
      </c>
      <c r="D442" t="inlineStr">
        <is>
          <t>SKÅNE LÄN</t>
        </is>
      </c>
      <c r="E442" t="inlineStr">
        <is>
          <t>HÄSSLEHOLM</t>
        </is>
      </c>
      <c r="F442" t="inlineStr">
        <is>
          <t>Kommuner</t>
        </is>
      </c>
      <c r="G442" t="n">
        <v>2</v>
      </c>
      <c r="H442" t="n">
        <v>0</v>
      </c>
      <c r="I442" t="n">
        <v>0</v>
      </c>
      <c r="J442" t="n">
        <v>0</v>
      </c>
      <c r="K442" t="n">
        <v>0</v>
      </c>
      <c r="L442" t="n">
        <v>0</v>
      </c>
      <c r="M442" t="n">
        <v>0</v>
      </c>
      <c r="N442" t="n">
        <v>0</v>
      </c>
      <c r="O442" t="n">
        <v>0</v>
      </c>
      <c r="P442" t="n">
        <v>0</v>
      </c>
      <c r="Q442" t="n">
        <v>0</v>
      </c>
      <c r="R442" s="2" t="inlineStr"/>
    </row>
    <row r="443" ht="15" customHeight="1">
      <c r="A443" t="inlineStr">
        <is>
          <t>A 50899-2024</t>
        </is>
      </c>
      <c r="B443" s="1" t="n">
        <v>45602.68584490741</v>
      </c>
      <c r="C443" s="1" t="n">
        <v>46079</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49379-2021</t>
        </is>
      </c>
      <c r="B444" s="1" t="n">
        <v>44454</v>
      </c>
      <c r="C444" s="1" t="n">
        <v>46079</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32881-2024</t>
        </is>
      </c>
      <c r="B445" s="1" t="n">
        <v>45516</v>
      </c>
      <c r="C445" s="1" t="n">
        <v>46079</v>
      </c>
      <c r="D445" t="inlineStr">
        <is>
          <t>SKÅNE LÄN</t>
        </is>
      </c>
      <c r="E445" t="inlineStr">
        <is>
          <t>HÄSSLEHOLM</t>
        </is>
      </c>
      <c r="G445" t="n">
        <v>6.3</v>
      </c>
      <c r="H445" t="n">
        <v>0</v>
      </c>
      <c r="I445" t="n">
        <v>0</v>
      </c>
      <c r="J445" t="n">
        <v>0</v>
      </c>
      <c r="K445" t="n">
        <v>0</v>
      </c>
      <c r="L445" t="n">
        <v>0</v>
      </c>
      <c r="M445" t="n">
        <v>0</v>
      </c>
      <c r="N445" t="n">
        <v>0</v>
      </c>
      <c r="O445" t="n">
        <v>0</v>
      </c>
      <c r="P445" t="n">
        <v>0</v>
      </c>
      <c r="Q445" t="n">
        <v>0</v>
      </c>
      <c r="R445" s="2" t="inlineStr"/>
    </row>
    <row r="446" ht="15" customHeight="1">
      <c r="A446" t="inlineStr">
        <is>
          <t>A 2743-2023</t>
        </is>
      </c>
      <c r="B446" s="1" t="n">
        <v>44944</v>
      </c>
      <c r="C446" s="1" t="n">
        <v>46079</v>
      </c>
      <c r="D446" t="inlineStr">
        <is>
          <t>SKÅNE LÄN</t>
        </is>
      </c>
      <c r="E446" t="inlineStr">
        <is>
          <t>HÄSSLEHOLM</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48624-2021</t>
        </is>
      </c>
      <c r="B447" s="1" t="n">
        <v>44452</v>
      </c>
      <c r="C447" s="1" t="n">
        <v>46079</v>
      </c>
      <c r="D447" t="inlineStr">
        <is>
          <t>SKÅNE LÄN</t>
        </is>
      </c>
      <c r="E447" t="inlineStr">
        <is>
          <t>HÄSSLEHOLM</t>
        </is>
      </c>
      <c r="G447" t="n">
        <v>2.2</v>
      </c>
      <c r="H447" t="n">
        <v>0</v>
      </c>
      <c r="I447" t="n">
        <v>0</v>
      </c>
      <c r="J447" t="n">
        <v>0</v>
      </c>
      <c r="K447" t="n">
        <v>0</v>
      </c>
      <c r="L447" t="n">
        <v>0</v>
      </c>
      <c r="M447" t="n">
        <v>0</v>
      </c>
      <c r="N447" t="n">
        <v>0</v>
      </c>
      <c r="O447" t="n">
        <v>0</v>
      </c>
      <c r="P447" t="n">
        <v>0</v>
      </c>
      <c r="Q447" t="n">
        <v>0</v>
      </c>
      <c r="R447" s="2" t="inlineStr"/>
    </row>
    <row r="448" ht="15" customHeight="1">
      <c r="A448" t="inlineStr">
        <is>
          <t>A 57491-2024</t>
        </is>
      </c>
      <c r="B448" s="1" t="n">
        <v>45629</v>
      </c>
      <c r="C448" s="1" t="n">
        <v>46079</v>
      </c>
      <c r="D448" t="inlineStr">
        <is>
          <t>SKÅNE LÄN</t>
        </is>
      </c>
      <c r="E448" t="inlineStr">
        <is>
          <t>HÄSSLEHOLM</t>
        </is>
      </c>
      <c r="G448" t="n">
        <v>3.2</v>
      </c>
      <c r="H448" t="n">
        <v>0</v>
      </c>
      <c r="I448" t="n">
        <v>0</v>
      </c>
      <c r="J448" t="n">
        <v>0</v>
      </c>
      <c r="K448" t="n">
        <v>0</v>
      </c>
      <c r="L448" t="n">
        <v>0</v>
      </c>
      <c r="M448" t="n">
        <v>0</v>
      </c>
      <c r="N448" t="n">
        <v>0</v>
      </c>
      <c r="O448" t="n">
        <v>0</v>
      </c>
      <c r="P448" t="n">
        <v>0</v>
      </c>
      <c r="Q448" t="n">
        <v>0</v>
      </c>
      <c r="R448" s="2" t="inlineStr"/>
    </row>
    <row r="449" ht="15" customHeight="1">
      <c r="A449" t="inlineStr">
        <is>
          <t>A 58250-2024</t>
        </is>
      </c>
      <c r="B449" s="1" t="n">
        <v>45632.55643518519</v>
      </c>
      <c r="C449" s="1" t="n">
        <v>46079</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26207-2021</t>
        </is>
      </c>
      <c r="B450" s="1" t="n">
        <v>44347</v>
      </c>
      <c r="C450" s="1" t="n">
        <v>46079</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10802-2024</t>
        </is>
      </c>
      <c r="B451" s="1" t="n">
        <v>45369</v>
      </c>
      <c r="C451" s="1" t="n">
        <v>46079</v>
      </c>
      <c r="D451" t="inlineStr">
        <is>
          <t>SKÅNE LÄN</t>
        </is>
      </c>
      <c r="E451" t="inlineStr">
        <is>
          <t>HÄSSLEHOLM</t>
        </is>
      </c>
      <c r="G451" t="n">
        <v>3.4</v>
      </c>
      <c r="H451" t="n">
        <v>0</v>
      </c>
      <c r="I451" t="n">
        <v>0</v>
      </c>
      <c r="J451" t="n">
        <v>0</v>
      </c>
      <c r="K451" t="n">
        <v>0</v>
      </c>
      <c r="L451" t="n">
        <v>0</v>
      </c>
      <c r="M451" t="n">
        <v>0</v>
      </c>
      <c r="N451" t="n">
        <v>0</v>
      </c>
      <c r="O451" t="n">
        <v>0</v>
      </c>
      <c r="P451" t="n">
        <v>0</v>
      </c>
      <c r="Q451" t="n">
        <v>0</v>
      </c>
      <c r="R451" s="2" t="inlineStr"/>
    </row>
    <row r="452" ht="15" customHeight="1">
      <c r="A452" t="inlineStr">
        <is>
          <t>A 62044-2022</t>
        </is>
      </c>
      <c r="B452" s="1" t="n">
        <v>44918.55976851852</v>
      </c>
      <c r="C452" s="1" t="n">
        <v>46079</v>
      </c>
      <c r="D452" t="inlineStr">
        <is>
          <t>SKÅNE LÄN</t>
        </is>
      </c>
      <c r="E452" t="inlineStr">
        <is>
          <t>HÄSSLEHOLM</t>
        </is>
      </c>
      <c r="G452" t="n">
        <v>2.1</v>
      </c>
      <c r="H452" t="n">
        <v>0</v>
      </c>
      <c r="I452" t="n">
        <v>0</v>
      </c>
      <c r="J452" t="n">
        <v>0</v>
      </c>
      <c r="K452" t="n">
        <v>0</v>
      </c>
      <c r="L452" t="n">
        <v>0</v>
      </c>
      <c r="M452" t="n">
        <v>0</v>
      </c>
      <c r="N452" t="n">
        <v>0</v>
      </c>
      <c r="O452" t="n">
        <v>0</v>
      </c>
      <c r="P452" t="n">
        <v>0</v>
      </c>
      <c r="Q452" t="n">
        <v>0</v>
      </c>
      <c r="R452" s="2" t="inlineStr"/>
    </row>
    <row r="453" ht="15" customHeight="1">
      <c r="A453" t="inlineStr">
        <is>
          <t>A 6164-2023</t>
        </is>
      </c>
      <c r="B453" s="1" t="n">
        <v>44964.66871527778</v>
      </c>
      <c r="C453" s="1" t="n">
        <v>46079</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48046-2023</t>
        </is>
      </c>
      <c r="B454" s="1" t="n">
        <v>45204.85201388889</v>
      </c>
      <c r="C454" s="1" t="n">
        <v>46079</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11607-2025</t>
        </is>
      </c>
      <c r="B455" s="1" t="n">
        <v>45727</v>
      </c>
      <c r="C455" s="1" t="n">
        <v>46079</v>
      </c>
      <c r="D455" t="inlineStr">
        <is>
          <t>SKÅNE LÄN</t>
        </is>
      </c>
      <c r="E455" t="inlineStr">
        <is>
          <t>HÄSSLEHOLM</t>
        </is>
      </c>
      <c r="G455" t="n">
        <v>4.1</v>
      </c>
      <c r="H455" t="n">
        <v>0</v>
      </c>
      <c r="I455" t="n">
        <v>0</v>
      </c>
      <c r="J455" t="n">
        <v>0</v>
      </c>
      <c r="K455" t="n">
        <v>0</v>
      </c>
      <c r="L455" t="n">
        <v>0</v>
      </c>
      <c r="M455" t="n">
        <v>0</v>
      </c>
      <c r="N455" t="n">
        <v>0</v>
      </c>
      <c r="O455" t="n">
        <v>0</v>
      </c>
      <c r="P455" t="n">
        <v>0</v>
      </c>
      <c r="Q455" t="n">
        <v>0</v>
      </c>
      <c r="R455" s="2" t="inlineStr"/>
    </row>
    <row r="456" ht="15" customHeight="1">
      <c r="A456" t="inlineStr">
        <is>
          <t>A 6798-2025</t>
        </is>
      </c>
      <c r="B456" s="1" t="n">
        <v>45700.668125</v>
      </c>
      <c r="C456" s="1" t="n">
        <v>46079</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15508-2023</t>
        </is>
      </c>
      <c r="B457" s="1" t="n">
        <v>45020.50045138889</v>
      </c>
      <c r="C457" s="1" t="n">
        <v>46079</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69357-2021</t>
        </is>
      </c>
      <c r="B458" s="1" t="n">
        <v>44531</v>
      </c>
      <c r="C458" s="1" t="n">
        <v>46079</v>
      </c>
      <c r="D458" t="inlineStr">
        <is>
          <t>SKÅNE LÄN</t>
        </is>
      </c>
      <c r="E458" t="inlineStr">
        <is>
          <t>HÄSSLEHOLM</t>
        </is>
      </c>
      <c r="G458" t="n">
        <v>1.6</v>
      </c>
      <c r="H458" t="n">
        <v>0</v>
      </c>
      <c r="I458" t="n">
        <v>0</v>
      </c>
      <c r="J458" t="n">
        <v>0</v>
      </c>
      <c r="K458" t="n">
        <v>0</v>
      </c>
      <c r="L458" t="n">
        <v>0</v>
      </c>
      <c r="M458" t="n">
        <v>0</v>
      </c>
      <c r="N458" t="n">
        <v>0</v>
      </c>
      <c r="O458" t="n">
        <v>0</v>
      </c>
      <c r="P458" t="n">
        <v>0</v>
      </c>
      <c r="Q458" t="n">
        <v>0</v>
      </c>
      <c r="R458" s="2" t="inlineStr"/>
    </row>
    <row r="459" ht="15" customHeight="1">
      <c r="A459" t="inlineStr">
        <is>
          <t>A 13808-2021</t>
        </is>
      </c>
      <c r="B459" s="1" t="n">
        <v>44276</v>
      </c>
      <c r="C459" s="1" t="n">
        <v>46079</v>
      </c>
      <c r="D459" t="inlineStr">
        <is>
          <t>SKÅNE LÄN</t>
        </is>
      </c>
      <c r="E459" t="inlineStr">
        <is>
          <t>HÄSSLEHOLM</t>
        </is>
      </c>
      <c r="G459" t="n">
        <v>10.3</v>
      </c>
      <c r="H459" t="n">
        <v>0</v>
      </c>
      <c r="I459" t="n">
        <v>0</v>
      </c>
      <c r="J459" t="n">
        <v>0</v>
      </c>
      <c r="K459" t="n">
        <v>0</v>
      </c>
      <c r="L459" t="n">
        <v>0</v>
      </c>
      <c r="M459" t="n">
        <v>0</v>
      </c>
      <c r="N459" t="n">
        <v>0</v>
      </c>
      <c r="O459" t="n">
        <v>0</v>
      </c>
      <c r="P459" t="n">
        <v>0</v>
      </c>
      <c r="Q459" t="n">
        <v>0</v>
      </c>
      <c r="R459" s="2" t="inlineStr"/>
    </row>
    <row r="460" ht="15" customHeight="1">
      <c r="A460" t="inlineStr">
        <is>
          <t>A 49106-2023</t>
        </is>
      </c>
      <c r="B460" s="1" t="n">
        <v>45210</v>
      </c>
      <c r="C460" s="1" t="n">
        <v>46079</v>
      </c>
      <c r="D460" t="inlineStr">
        <is>
          <t>SKÅNE LÄN</t>
        </is>
      </c>
      <c r="E460" t="inlineStr">
        <is>
          <t>HÄSSLEHOLM</t>
        </is>
      </c>
      <c r="G460" t="n">
        <v>0.3</v>
      </c>
      <c r="H460" t="n">
        <v>0</v>
      </c>
      <c r="I460" t="n">
        <v>0</v>
      </c>
      <c r="J460" t="n">
        <v>0</v>
      </c>
      <c r="K460" t="n">
        <v>0</v>
      </c>
      <c r="L460" t="n">
        <v>0</v>
      </c>
      <c r="M460" t="n">
        <v>0</v>
      </c>
      <c r="N460" t="n">
        <v>0</v>
      </c>
      <c r="O460" t="n">
        <v>0</v>
      </c>
      <c r="P460" t="n">
        <v>0</v>
      </c>
      <c r="Q460" t="n">
        <v>0</v>
      </c>
      <c r="R460" s="2" t="inlineStr"/>
    </row>
    <row r="461" ht="15" customHeight="1">
      <c r="A461" t="inlineStr">
        <is>
          <t>A 58815-2023</t>
        </is>
      </c>
      <c r="B461" s="1" t="n">
        <v>45247</v>
      </c>
      <c r="C461" s="1" t="n">
        <v>46079</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37318-2024</t>
        </is>
      </c>
      <c r="B462" s="1" t="n">
        <v>45540</v>
      </c>
      <c r="C462" s="1" t="n">
        <v>46079</v>
      </c>
      <c r="D462" t="inlineStr">
        <is>
          <t>SKÅNE LÄN</t>
        </is>
      </c>
      <c r="E462" t="inlineStr">
        <is>
          <t>HÄSSLEHOLM</t>
        </is>
      </c>
      <c r="G462" t="n">
        <v>3.9</v>
      </c>
      <c r="H462" t="n">
        <v>0</v>
      </c>
      <c r="I462" t="n">
        <v>0</v>
      </c>
      <c r="J462" t="n">
        <v>0</v>
      </c>
      <c r="K462" t="n">
        <v>0</v>
      </c>
      <c r="L462" t="n">
        <v>0</v>
      </c>
      <c r="M462" t="n">
        <v>0</v>
      </c>
      <c r="N462" t="n">
        <v>0</v>
      </c>
      <c r="O462" t="n">
        <v>0</v>
      </c>
      <c r="P462" t="n">
        <v>0</v>
      </c>
      <c r="Q462" t="n">
        <v>0</v>
      </c>
      <c r="R462" s="2" t="inlineStr"/>
    </row>
    <row r="463" ht="15" customHeight="1">
      <c r="A463" t="inlineStr">
        <is>
          <t>A 58891-2022</t>
        </is>
      </c>
      <c r="B463" s="1" t="n">
        <v>44896</v>
      </c>
      <c r="C463" s="1" t="n">
        <v>46079</v>
      </c>
      <c r="D463" t="inlineStr">
        <is>
          <t>SKÅNE LÄN</t>
        </is>
      </c>
      <c r="E463" t="inlineStr">
        <is>
          <t>HÄSSLEHOLM</t>
        </is>
      </c>
      <c r="F463" t="inlineStr">
        <is>
          <t>Kyrkan</t>
        </is>
      </c>
      <c r="G463" t="n">
        <v>1.6</v>
      </c>
      <c r="H463" t="n">
        <v>0</v>
      </c>
      <c r="I463" t="n">
        <v>0</v>
      </c>
      <c r="J463" t="n">
        <v>0</v>
      </c>
      <c r="K463" t="n">
        <v>0</v>
      </c>
      <c r="L463" t="n">
        <v>0</v>
      </c>
      <c r="M463" t="n">
        <v>0</v>
      </c>
      <c r="N463" t="n">
        <v>0</v>
      </c>
      <c r="O463" t="n">
        <v>0</v>
      </c>
      <c r="P463" t="n">
        <v>0</v>
      </c>
      <c r="Q463" t="n">
        <v>0</v>
      </c>
      <c r="R463" s="2" t="inlineStr"/>
    </row>
    <row r="464" ht="15" customHeight="1">
      <c r="A464" t="inlineStr">
        <is>
          <t>A 37324-2024</t>
        </is>
      </c>
      <c r="B464" s="1" t="n">
        <v>45540.50104166667</v>
      </c>
      <c r="C464" s="1" t="n">
        <v>46079</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25176-2024</t>
        </is>
      </c>
      <c r="B465" s="1" t="n">
        <v>45462.54582175926</v>
      </c>
      <c r="C465" s="1" t="n">
        <v>46079</v>
      </c>
      <c r="D465" t="inlineStr">
        <is>
          <t>SKÅNE LÄN</t>
        </is>
      </c>
      <c r="E465" t="inlineStr">
        <is>
          <t>HÄSSLEHOLM</t>
        </is>
      </c>
      <c r="G465" t="n">
        <v>3.8</v>
      </c>
      <c r="H465" t="n">
        <v>0</v>
      </c>
      <c r="I465" t="n">
        <v>0</v>
      </c>
      <c r="J465" t="n">
        <v>0</v>
      </c>
      <c r="K465" t="n">
        <v>0</v>
      </c>
      <c r="L465" t="n">
        <v>0</v>
      </c>
      <c r="M465" t="n">
        <v>0</v>
      </c>
      <c r="N465" t="n">
        <v>0</v>
      </c>
      <c r="O465" t="n">
        <v>0</v>
      </c>
      <c r="P465" t="n">
        <v>0</v>
      </c>
      <c r="Q465" t="n">
        <v>0</v>
      </c>
      <c r="R465" s="2" t="inlineStr"/>
    </row>
    <row r="466" ht="15" customHeight="1">
      <c r="A466" t="inlineStr">
        <is>
          <t>A 9697-2023</t>
        </is>
      </c>
      <c r="B466" s="1" t="n">
        <v>44984</v>
      </c>
      <c r="C466" s="1" t="n">
        <v>46079</v>
      </c>
      <c r="D466" t="inlineStr">
        <is>
          <t>SKÅNE LÄN</t>
        </is>
      </c>
      <c r="E466" t="inlineStr">
        <is>
          <t>HÄSSLEHOLM</t>
        </is>
      </c>
      <c r="G466" t="n">
        <v>0.3</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46079</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35810-2023</t>
        </is>
      </c>
      <c r="B468" s="1" t="n">
        <v>45148.44046296296</v>
      </c>
      <c r="C468" s="1" t="n">
        <v>46079</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27478-2023</t>
        </is>
      </c>
      <c r="B469" s="1" t="n">
        <v>45092</v>
      </c>
      <c r="C469" s="1" t="n">
        <v>46079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1170-2025</t>
        </is>
      </c>
      <c r="B470" s="1" t="n">
        <v>45667.29226851852</v>
      </c>
      <c r="C470" s="1" t="n">
        <v>46079</v>
      </c>
      <c r="D470" t="inlineStr">
        <is>
          <t>SKÅNE LÄN</t>
        </is>
      </c>
      <c r="E470" t="inlineStr">
        <is>
          <t>HÄSSLEHOLM</t>
        </is>
      </c>
      <c r="G470" t="n">
        <v>4.3</v>
      </c>
      <c r="H470" t="n">
        <v>0</v>
      </c>
      <c r="I470" t="n">
        <v>0</v>
      </c>
      <c r="J470" t="n">
        <v>0</v>
      </c>
      <c r="K470" t="n">
        <v>0</v>
      </c>
      <c r="L470" t="n">
        <v>0</v>
      </c>
      <c r="M470" t="n">
        <v>0</v>
      </c>
      <c r="N470" t="n">
        <v>0</v>
      </c>
      <c r="O470" t="n">
        <v>0</v>
      </c>
      <c r="P470" t="n">
        <v>0</v>
      </c>
      <c r="Q470" t="n">
        <v>0</v>
      </c>
      <c r="R470" s="2" t="inlineStr"/>
    </row>
    <row r="471" ht="15" customHeight="1">
      <c r="A471" t="inlineStr">
        <is>
          <t>A 57749-2023</t>
        </is>
      </c>
      <c r="B471" s="1" t="n">
        <v>45246</v>
      </c>
      <c r="C471" s="1" t="n">
        <v>46079</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44940-2023</t>
        </is>
      </c>
      <c r="B472" s="1" t="n">
        <v>45190.68653935185</v>
      </c>
      <c r="C472" s="1" t="n">
        <v>46079</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23172-2022</t>
        </is>
      </c>
      <c r="B473" s="1" t="n">
        <v>44719</v>
      </c>
      <c r="C473" s="1" t="n">
        <v>46079</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23173-2022</t>
        </is>
      </c>
      <c r="B474" s="1" t="n">
        <v>44719.72155092593</v>
      </c>
      <c r="C474" s="1" t="n">
        <v>46079</v>
      </c>
      <c r="D474" t="inlineStr">
        <is>
          <t>SKÅNE LÄN</t>
        </is>
      </c>
      <c r="E474" t="inlineStr">
        <is>
          <t>HÄSSLEHOLM</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18800-2023</t>
        </is>
      </c>
      <c r="B475" s="1" t="n">
        <v>45044</v>
      </c>
      <c r="C475" s="1" t="n">
        <v>46079</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25206-2023</t>
        </is>
      </c>
      <c r="B476" s="1" t="n">
        <v>45086.59318287037</v>
      </c>
      <c r="C476" s="1" t="n">
        <v>46079</v>
      </c>
      <c r="D476" t="inlineStr">
        <is>
          <t>SKÅNE LÄN</t>
        </is>
      </c>
      <c r="E476" t="inlineStr">
        <is>
          <t>HÄSSLEHOLM</t>
        </is>
      </c>
      <c r="G476" t="n">
        <v>2.9</v>
      </c>
      <c r="H476" t="n">
        <v>0</v>
      </c>
      <c r="I476" t="n">
        <v>0</v>
      </c>
      <c r="J476" t="n">
        <v>0</v>
      </c>
      <c r="K476" t="n">
        <v>0</v>
      </c>
      <c r="L476" t="n">
        <v>0</v>
      </c>
      <c r="M476" t="n">
        <v>0</v>
      </c>
      <c r="N476" t="n">
        <v>0</v>
      </c>
      <c r="O476" t="n">
        <v>0</v>
      </c>
      <c r="P476" t="n">
        <v>0</v>
      </c>
      <c r="Q476" t="n">
        <v>0</v>
      </c>
      <c r="R476" s="2" t="inlineStr"/>
    </row>
    <row r="477" ht="15" customHeight="1">
      <c r="A477" t="inlineStr">
        <is>
          <t>A 34187-2023</t>
        </is>
      </c>
      <c r="B477" s="1" t="n">
        <v>45138</v>
      </c>
      <c r="C477" s="1" t="n">
        <v>46079</v>
      </c>
      <c r="D477" t="inlineStr">
        <is>
          <t>SKÅNE LÄN</t>
        </is>
      </c>
      <c r="E477" t="inlineStr">
        <is>
          <t>HÄSSLEHOLM</t>
        </is>
      </c>
      <c r="G477" t="n">
        <v>0.4</v>
      </c>
      <c r="H477" t="n">
        <v>0</v>
      </c>
      <c r="I477" t="n">
        <v>0</v>
      </c>
      <c r="J477" t="n">
        <v>0</v>
      </c>
      <c r="K477" t="n">
        <v>0</v>
      </c>
      <c r="L477" t="n">
        <v>0</v>
      </c>
      <c r="M477" t="n">
        <v>0</v>
      </c>
      <c r="N477" t="n">
        <v>0</v>
      </c>
      <c r="O477" t="n">
        <v>0</v>
      </c>
      <c r="P477" t="n">
        <v>0</v>
      </c>
      <c r="Q477" t="n">
        <v>0</v>
      </c>
      <c r="R477" s="2" t="inlineStr"/>
    </row>
    <row r="478" ht="15" customHeight="1">
      <c r="A478" t="inlineStr">
        <is>
          <t>A 5116-2023</t>
        </is>
      </c>
      <c r="B478" s="1" t="n">
        <v>44958.67546296296</v>
      </c>
      <c r="C478" s="1" t="n">
        <v>46079</v>
      </c>
      <c r="D478" t="inlineStr">
        <is>
          <t>SKÅNE LÄN</t>
        </is>
      </c>
      <c r="E478" t="inlineStr">
        <is>
          <t>HÄSSLEHOLM</t>
        </is>
      </c>
      <c r="G478" t="n">
        <v>1.7</v>
      </c>
      <c r="H478" t="n">
        <v>0</v>
      </c>
      <c r="I478" t="n">
        <v>0</v>
      </c>
      <c r="J478" t="n">
        <v>0</v>
      </c>
      <c r="K478" t="n">
        <v>0</v>
      </c>
      <c r="L478" t="n">
        <v>0</v>
      </c>
      <c r="M478" t="n">
        <v>0</v>
      </c>
      <c r="N478" t="n">
        <v>0</v>
      </c>
      <c r="O478" t="n">
        <v>0</v>
      </c>
      <c r="P478" t="n">
        <v>0</v>
      </c>
      <c r="Q478" t="n">
        <v>0</v>
      </c>
      <c r="R478" s="2" t="inlineStr"/>
    </row>
    <row r="479" ht="15" customHeight="1">
      <c r="A479" t="inlineStr">
        <is>
          <t>A 52608-2023</t>
        </is>
      </c>
      <c r="B479" s="1" t="n">
        <v>45219</v>
      </c>
      <c r="C479" s="1" t="n">
        <v>46079</v>
      </c>
      <c r="D479" t="inlineStr">
        <is>
          <t>SKÅNE LÄN</t>
        </is>
      </c>
      <c r="E479" t="inlineStr">
        <is>
          <t>HÄSSLEHOLM</t>
        </is>
      </c>
      <c r="F479" t="inlineStr">
        <is>
          <t>Övriga Aktiebolag</t>
        </is>
      </c>
      <c r="G479" t="n">
        <v>2.1</v>
      </c>
      <c r="H479" t="n">
        <v>0</v>
      </c>
      <c r="I479" t="n">
        <v>0</v>
      </c>
      <c r="J479" t="n">
        <v>0</v>
      </c>
      <c r="K479" t="n">
        <v>0</v>
      </c>
      <c r="L479" t="n">
        <v>0</v>
      </c>
      <c r="M479" t="n">
        <v>0</v>
      </c>
      <c r="N479" t="n">
        <v>0</v>
      </c>
      <c r="O479" t="n">
        <v>0</v>
      </c>
      <c r="P479" t="n">
        <v>0</v>
      </c>
      <c r="Q479" t="n">
        <v>0</v>
      </c>
      <c r="R479" s="2" t="inlineStr"/>
    </row>
    <row r="480" ht="15" customHeight="1">
      <c r="A480" t="inlineStr">
        <is>
          <t>A 8239-2025</t>
        </is>
      </c>
      <c r="B480" s="1" t="n">
        <v>45708.47984953703</v>
      </c>
      <c r="C480" s="1" t="n">
        <v>46079</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3726-2024</t>
        </is>
      </c>
      <c r="B481" s="1" t="n">
        <v>45321</v>
      </c>
      <c r="C481" s="1" t="n">
        <v>46079</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56355-2023</t>
        </is>
      </c>
      <c r="B482" s="1" t="n">
        <v>45243.3702662037</v>
      </c>
      <c r="C482" s="1" t="n">
        <v>46079</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39044-2024</t>
        </is>
      </c>
      <c r="B483" s="1" t="n">
        <v>45548.47707175926</v>
      </c>
      <c r="C483" s="1" t="n">
        <v>46079</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10220-2023</t>
        </is>
      </c>
      <c r="B484" s="1" t="n">
        <v>44986.60916666667</v>
      </c>
      <c r="C484" s="1" t="n">
        <v>46079</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9394-2025</t>
        </is>
      </c>
      <c r="B485" s="1" t="n">
        <v>45715.36387731481</v>
      </c>
      <c r="C485" s="1" t="n">
        <v>46079</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11019-2025</t>
        </is>
      </c>
      <c r="B486" s="1" t="n">
        <v>45723</v>
      </c>
      <c r="C486" s="1" t="n">
        <v>46079</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7305-2025</t>
        </is>
      </c>
      <c r="B487" s="1" t="n">
        <v>45702</v>
      </c>
      <c r="C487" s="1" t="n">
        <v>46079</v>
      </c>
      <c r="D487" t="inlineStr">
        <is>
          <t>SKÅNE LÄN</t>
        </is>
      </c>
      <c r="E487" t="inlineStr">
        <is>
          <t>HÄSSLEHOLM</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56062-2024</t>
        </is>
      </c>
      <c r="B488" s="1" t="n">
        <v>45624.37105324074</v>
      </c>
      <c r="C488" s="1" t="n">
        <v>46079</v>
      </c>
      <c r="D488" t="inlineStr">
        <is>
          <t>SKÅNE LÄN</t>
        </is>
      </c>
      <c r="E488" t="inlineStr">
        <is>
          <t>HÄSSLEHOLM</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45299-2024</t>
        </is>
      </c>
      <c r="B489" s="1" t="n">
        <v>45576.40599537037</v>
      </c>
      <c r="C489" s="1" t="n">
        <v>46079</v>
      </c>
      <c r="D489" t="inlineStr">
        <is>
          <t>SKÅNE LÄN</t>
        </is>
      </c>
      <c r="E489" t="inlineStr">
        <is>
          <t>HÄSSLEHOLM</t>
        </is>
      </c>
      <c r="G489" t="n">
        <v>1.3</v>
      </c>
      <c r="H489" t="n">
        <v>0</v>
      </c>
      <c r="I489" t="n">
        <v>0</v>
      </c>
      <c r="J489" t="n">
        <v>0</v>
      </c>
      <c r="K489" t="n">
        <v>0</v>
      </c>
      <c r="L489" t="n">
        <v>0</v>
      </c>
      <c r="M489" t="n">
        <v>0</v>
      </c>
      <c r="N489" t="n">
        <v>0</v>
      </c>
      <c r="O489" t="n">
        <v>0</v>
      </c>
      <c r="P489" t="n">
        <v>0</v>
      </c>
      <c r="Q489" t="n">
        <v>0</v>
      </c>
      <c r="R489" s="2" t="inlineStr"/>
    </row>
    <row r="490" ht="15" customHeight="1">
      <c r="A490" t="inlineStr">
        <is>
          <t>A 52341-2023</t>
        </is>
      </c>
      <c r="B490" s="1" t="n">
        <v>45224.67006944444</v>
      </c>
      <c r="C490" s="1" t="n">
        <v>46079</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34369-2023</t>
        </is>
      </c>
      <c r="B491" s="1" t="n">
        <v>45139.47817129629</v>
      </c>
      <c r="C491" s="1" t="n">
        <v>46079</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14255-2024</t>
        </is>
      </c>
      <c r="B492" s="1" t="n">
        <v>45393</v>
      </c>
      <c r="C492" s="1" t="n">
        <v>46079</v>
      </c>
      <c r="D492" t="inlineStr">
        <is>
          <t>SKÅNE LÄN</t>
        </is>
      </c>
      <c r="E492" t="inlineStr">
        <is>
          <t>HÄSSLEHOLM</t>
        </is>
      </c>
      <c r="G492" t="n">
        <v>11.9</v>
      </c>
      <c r="H492" t="n">
        <v>0</v>
      </c>
      <c r="I492" t="n">
        <v>0</v>
      </c>
      <c r="J492" t="n">
        <v>0</v>
      </c>
      <c r="K492" t="n">
        <v>0</v>
      </c>
      <c r="L492" t="n">
        <v>0</v>
      </c>
      <c r="M492" t="n">
        <v>0</v>
      </c>
      <c r="N492" t="n">
        <v>0</v>
      </c>
      <c r="O492" t="n">
        <v>0</v>
      </c>
      <c r="P492" t="n">
        <v>0</v>
      </c>
      <c r="Q492" t="n">
        <v>0</v>
      </c>
      <c r="R492" s="2" t="inlineStr"/>
    </row>
    <row r="493" ht="15" customHeight="1">
      <c r="A493" t="inlineStr">
        <is>
          <t>A 20058-2023</t>
        </is>
      </c>
      <c r="B493" s="1" t="n">
        <v>45054.68476851852</v>
      </c>
      <c r="C493" s="1" t="n">
        <v>46079</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10897-2023</t>
        </is>
      </c>
      <c r="B494" s="1" t="n">
        <v>44985</v>
      </c>
      <c r="C494" s="1" t="n">
        <v>46079</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25611-2024</t>
        </is>
      </c>
      <c r="B495" s="1" t="n">
        <v>45463</v>
      </c>
      <c r="C495" s="1" t="n">
        <v>46079</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27173-2024</t>
        </is>
      </c>
      <c r="B496" s="1" t="n">
        <v>45471.57048611111</v>
      </c>
      <c r="C496" s="1" t="n">
        <v>46079</v>
      </c>
      <c r="D496" t="inlineStr">
        <is>
          <t>SKÅNE LÄN</t>
        </is>
      </c>
      <c r="E496" t="inlineStr">
        <is>
          <t>HÄSSLEHOLM</t>
        </is>
      </c>
      <c r="G496" t="n">
        <v>1.8</v>
      </c>
      <c r="H496" t="n">
        <v>0</v>
      </c>
      <c r="I496" t="n">
        <v>0</v>
      </c>
      <c r="J496" t="n">
        <v>0</v>
      </c>
      <c r="K496" t="n">
        <v>0</v>
      </c>
      <c r="L496" t="n">
        <v>0</v>
      </c>
      <c r="M496" t="n">
        <v>0</v>
      </c>
      <c r="N496" t="n">
        <v>0</v>
      </c>
      <c r="O496" t="n">
        <v>0</v>
      </c>
      <c r="P496" t="n">
        <v>0</v>
      </c>
      <c r="Q496" t="n">
        <v>0</v>
      </c>
      <c r="R496" s="2" t="inlineStr"/>
    </row>
    <row r="497" ht="15" customHeight="1">
      <c r="A497" t="inlineStr">
        <is>
          <t>A 16108-2025</t>
        </is>
      </c>
      <c r="B497" s="1" t="n">
        <v>45750.34667824074</v>
      </c>
      <c r="C497" s="1" t="n">
        <v>46079</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26536-2022</t>
        </is>
      </c>
      <c r="B498" s="1" t="n">
        <v>44739.45496527778</v>
      </c>
      <c r="C498" s="1" t="n">
        <v>46079</v>
      </c>
      <c r="D498" t="inlineStr">
        <is>
          <t>SKÅNE LÄN</t>
        </is>
      </c>
      <c r="E498" t="inlineStr">
        <is>
          <t>HÄSSLEHOLM</t>
        </is>
      </c>
      <c r="G498" t="n">
        <v>3.1</v>
      </c>
      <c r="H498" t="n">
        <v>0</v>
      </c>
      <c r="I498" t="n">
        <v>0</v>
      </c>
      <c r="J498" t="n">
        <v>0</v>
      </c>
      <c r="K498" t="n">
        <v>0</v>
      </c>
      <c r="L498" t="n">
        <v>0</v>
      </c>
      <c r="M498" t="n">
        <v>0</v>
      </c>
      <c r="N498" t="n">
        <v>0</v>
      </c>
      <c r="O498" t="n">
        <v>0</v>
      </c>
      <c r="P498" t="n">
        <v>0</v>
      </c>
      <c r="Q498" t="n">
        <v>0</v>
      </c>
      <c r="R498" s="2" t="inlineStr"/>
    </row>
    <row r="499" ht="15" customHeight="1">
      <c r="A499" t="inlineStr">
        <is>
          <t>A 16334-2024</t>
        </is>
      </c>
      <c r="B499" s="1" t="n">
        <v>45407.54856481482</v>
      </c>
      <c r="C499" s="1" t="n">
        <v>46079</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15800-2025</t>
        </is>
      </c>
      <c r="B500" s="1" t="n">
        <v>45748.64831018518</v>
      </c>
      <c r="C500" s="1" t="n">
        <v>46079</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40780-2022</t>
        </is>
      </c>
      <c r="B501" s="1" t="n">
        <v>44820</v>
      </c>
      <c r="C501" s="1" t="n">
        <v>46079</v>
      </c>
      <c r="D501" t="inlineStr">
        <is>
          <t>SKÅNE LÄN</t>
        </is>
      </c>
      <c r="E501" t="inlineStr">
        <is>
          <t>HÄSSLEHOLM</t>
        </is>
      </c>
      <c r="G501" t="n">
        <v>7.4</v>
      </c>
      <c r="H501" t="n">
        <v>0</v>
      </c>
      <c r="I501" t="n">
        <v>0</v>
      </c>
      <c r="J501" t="n">
        <v>0</v>
      </c>
      <c r="K501" t="n">
        <v>0</v>
      </c>
      <c r="L501" t="n">
        <v>0</v>
      </c>
      <c r="M501" t="n">
        <v>0</v>
      </c>
      <c r="N501" t="n">
        <v>0</v>
      </c>
      <c r="O501" t="n">
        <v>0</v>
      </c>
      <c r="P501" t="n">
        <v>0</v>
      </c>
      <c r="Q501" t="n">
        <v>0</v>
      </c>
      <c r="R501" s="2" t="inlineStr"/>
    </row>
    <row r="502" ht="15" customHeight="1">
      <c r="A502" t="inlineStr">
        <is>
          <t>A 51245-2023</t>
        </is>
      </c>
      <c r="B502" s="1" t="n">
        <v>45212</v>
      </c>
      <c r="C502" s="1" t="n">
        <v>46079</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56986-2024</t>
        </is>
      </c>
      <c r="B503" s="1" t="n">
        <v>45626</v>
      </c>
      <c r="C503" s="1" t="n">
        <v>46079</v>
      </c>
      <c r="D503" t="inlineStr">
        <is>
          <t>SKÅNE LÄN</t>
        </is>
      </c>
      <c r="E503" t="inlineStr">
        <is>
          <t>HÄSSLEHOLM</t>
        </is>
      </c>
      <c r="G503" t="n">
        <v>0.5</v>
      </c>
      <c r="H503" t="n">
        <v>0</v>
      </c>
      <c r="I503" t="n">
        <v>0</v>
      </c>
      <c r="J503" t="n">
        <v>0</v>
      </c>
      <c r="K503" t="n">
        <v>0</v>
      </c>
      <c r="L503" t="n">
        <v>0</v>
      </c>
      <c r="M503" t="n">
        <v>0</v>
      </c>
      <c r="N503" t="n">
        <v>0</v>
      </c>
      <c r="O503" t="n">
        <v>0</v>
      </c>
      <c r="P503" t="n">
        <v>0</v>
      </c>
      <c r="Q503" t="n">
        <v>0</v>
      </c>
      <c r="R503" s="2" t="inlineStr"/>
    </row>
    <row r="504" ht="15" customHeight="1">
      <c r="A504" t="inlineStr">
        <is>
          <t>A 41873-2023</t>
        </is>
      </c>
      <c r="B504" s="1" t="n">
        <v>45176</v>
      </c>
      <c r="C504" s="1" t="n">
        <v>46079</v>
      </c>
      <c r="D504" t="inlineStr">
        <is>
          <t>SKÅNE LÄN</t>
        </is>
      </c>
      <c r="E504" t="inlineStr">
        <is>
          <t>HÄSSLEHOLM</t>
        </is>
      </c>
      <c r="G504" t="n">
        <v>2.8</v>
      </c>
      <c r="H504" t="n">
        <v>0</v>
      </c>
      <c r="I504" t="n">
        <v>0</v>
      </c>
      <c r="J504" t="n">
        <v>0</v>
      </c>
      <c r="K504" t="n">
        <v>0</v>
      </c>
      <c r="L504" t="n">
        <v>0</v>
      </c>
      <c r="M504" t="n">
        <v>0</v>
      </c>
      <c r="N504" t="n">
        <v>0</v>
      </c>
      <c r="O504" t="n">
        <v>0</v>
      </c>
      <c r="P504" t="n">
        <v>0</v>
      </c>
      <c r="Q504" t="n">
        <v>0</v>
      </c>
      <c r="R504" s="2" t="inlineStr"/>
    </row>
    <row r="505" ht="15" customHeight="1">
      <c r="A505" t="inlineStr">
        <is>
          <t>A 49111-2023</t>
        </is>
      </c>
      <c r="B505" s="1" t="n">
        <v>45210.44464120371</v>
      </c>
      <c r="C505" s="1" t="n">
        <v>46079</v>
      </c>
      <c r="D505" t="inlineStr">
        <is>
          <t>SKÅNE LÄN</t>
        </is>
      </c>
      <c r="E505" t="inlineStr">
        <is>
          <t>HÄSSLEHOLM</t>
        </is>
      </c>
      <c r="G505" t="n">
        <v>0.2</v>
      </c>
      <c r="H505" t="n">
        <v>0</v>
      </c>
      <c r="I505" t="n">
        <v>0</v>
      </c>
      <c r="J505" t="n">
        <v>0</v>
      </c>
      <c r="K505" t="n">
        <v>0</v>
      </c>
      <c r="L505" t="n">
        <v>0</v>
      </c>
      <c r="M505" t="n">
        <v>0</v>
      </c>
      <c r="N505" t="n">
        <v>0</v>
      </c>
      <c r="O505" t="n">
        <v>0</v>
      </c>
      <c r="P505" t="n">
        <v>0</v>
      </c>
      <c r="Q505" t="n">
        <v>0</v>
      </c>
      <c r="R505" s="2" t="inlineStr"/>
    </row>
    <row r="506" ht="15" customHeight="1">
      <c r="A506" t="inlineStr">
        <is>
          <t>A 60973-2024</t>
        </is>
      </c>
      <c r="B506" s="1" t="n">
        <v>45644</v>
      </c>
      <c r="C506" s="1" t="n">
        <v>46079</v>
      </c>
      <c r="D506" t="inlineStr">
        <is>
          <t>SKÅNE LÄN</t>
        </is>
      </c>
      <c r="E506" t="inlineStr">
        <is>
          <t>HÄSSLEHOLM</t>
        </is>
      </c>
      <c r="G506" t="n">
        <v>3.6</v>
      </c>
      <c r="H506" t="n">
        <v>0</v>
      </c>
      <c r="I506" t="n">
        <v>0</v>
      </c>
      <c r="J506" t="n">
        <v>0</v>
      </c>
      <c r="K506" t="n">
        <v>0</v>
      </c>
      <c r="L506" t="n">
        <v>0</v>
      </c>
      <c r="M506" t="n">
        <v>0</v>
      </c>
      <c r="N506" t="n">
        <v>0</v>
      </c>
      <c r="O506" t="n">
        <v>0</v>
      </c>
      <c r="P506" t="n">
        <v>0</v>
      </c>
      <c r="Q506" t="n">
        <v>0</v>
      </c>
      <c r="R506" s="2" t="inlineStr"/>
    </row>
    <row r="507" ht="15" customHeight="1">
      <c r="A507" t="inlineStr">
        <is>
          <t>A 38228-2021</t>
        </is>
      </c>
      <c r="B507" s="1" t="n">
        <v>44405</v>
      </c>
      <c r="C507" s="1" t="n">
        <v>46079</v>
      </c>
      <c r="D507" t="inlineStr">
        <is>
          <t>SKÅNE LÄN</t>
        </is>
      </c>
      <c r="E507" t="inlineStr">
        <is>
          <t>HÄSSLEHOLM</t>
        </is>
      </c>
      <c r="G507" t="n">
        <v>2.8</v>
      </c>
      <c r="H507" t="n">
        <v>0</v>
      </c>
      <c r="I507" t="n">
        <v>0</v>
      </c>
      <c r="J507" t="n">
        <v>0</v>
      </c>
      <c r="K507" t="n">
        <v>0</v>
      </c>
      <c r="L507" t="n">
        <v>0</v>
      </c>
      <c r="M507" t="n">
        <v>0</v>
      </c>
      <c r="N507" t="n">
        <v>0</v>
      </c>
      <c r="O507" t="n">
        <v>0</v>
      </c>
      <c r="P507" t="n">
        <v>0</v>
      </c>
      <c r="Q507" t="n">
        <v>0</v>
      </c>
      <c r="R507" s="2" t="inlineStr"/>
    </row>
    <row r="508" ht="15" customHeight="1">
      <c r="A508" t="inlineStr">
        <is>
          <t>A 14655-2025</t>
        </is>
      </c>
      <c r="B508" s="1" t="n">
        <v>45742.5072337963</v>
      </c>
      <c r="C508" s="1" t="n">
        <v>46079</v>
      </c>
      <c r="D508" t="inlineStr">
        <is>
          <t>SKÅNE LÄN</t>
        </is>
      </c>
      <c r="E508" t="inlineStr">
        <is>
          <t>HÄSSLEHOLM</t>
        </is>
      </c>
      <c r="G508" t="n">
        <v>4.5</v>
      </c>
      <c r="H508" t="n">
        <v>0</v>
      </c>
      <c r="I508" t="n">
        <v>0</v>
      </c>
      <c r="J508" t="n">
        <v>0</v>
      </c>
      <c r="K508" t="n">
        <v>0</v>
      </c>
      <c r="L508" t="n">
        <v>0</v>
      </c>
      <c r="M508" t="n">
        <v>0</v>
      </c>
      <c r="N508" t="n">
        <v>0</v>
      </c>
      <c r="O508" t="n">
        <v>0</v>
      </c>
      <c r="P508" t="n">
        <v>0</v>
      </c>
      <c r="Q508" t="n">
        <v>0</v>
      </c>
      <c r="R508" s="2" t="inlineStr"/>
    </row>
    <row r="509" ht="15" customHeight="1">
      <c r="A509" t="inlineStr">
        <is>
          <t>A 59763-2022</t>
        </is>
      </c>
      <c r="B509" s="1" t="n">
        <v>44900</v>
      </c>
      <c r="C509" s="1" t="n">
        <v>46079</v>
      </c>
      <c r="D509" t="inlineStr">
        <is>
          <t>SKÅNE LÄN</t>
        </is>
      </c>
      <c r="E509" t="inlineStr">
        <is>
          <t>HÄSSLEHOLM</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34299-2024</t>
        </is>
      </c>
      <c r="B510" s="1" t="n">
        <v>45524</v>
      </c>
      <c r="C510" s="1" t="n">
        <v>46079</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60846-2022</t>
        </is>
      </c>
      <c r="B511" s="1" t="n">
        <v>44914</v>
      </c>
      <c r="C511" s="1" t="n">
        <v>46079</v>
      </c>
      <c r="D511" t="inlineStr">
        <is>
          <t>SKÅNE LÄN</t>
        </is>
      </c>
      <c r="E511" t="inlineStr">
        <is>
          <t>HÄSSLEHOLM</t>
        </is>
      </c>
      <c r="G511" t="n">
        <v>2.1</v>
      </c>
      <c r="H511" t="n">
        <v>0</v>
      </c>
      <c r="I511" t="n">
        <v>0</v>
      </c>
      <c r="J511" t="n">
        <v>0</v>
      </c>
      <c r="K511" t="n">
        <v>0</v>
      </c>
      <c r="L511" t="n">
        <v>0</v>
      </c>
      <c r="M511" t="n">
        <v>0</v>
      </c>
      <c r="N511" t="n">
        <v>0</v>
      </c>
      <c r="O511" t="n">
        <v>0</v>
      </c>
      <c r="P511" t="n">
        <v>0</v>
      </c>
      <c r="Q511" t="n">
        <v>0</v>
      </c>
      <c r="R511" s="2" t="inlineStr"/>
    </row>
    <row r="512" ht="15" customHeight="1">
      <c r="A512" t="inlineStr">
        <is>
          <t>A 43061-2024</t>
        </is>
      </c>
      <c r="B512" s="1" t="n">
        <v>45567</v>
      </c>
      <c r="C512" s="1" t="n">
        <v>46079</v>
      </c>
      <c r="D512" t="inlineStr">
        <is>
          <t>SKÅNE LÄN</t>
        </is>
      </c>
      <c r="E512" t="inlineStr">
        <is>
          <t>HÄSSLEHOLM</t>
        </is>
      </c>
      <c r="G512" t="n">
        <v>4.5</v>
      </c>
      <c r="H512" t="n">
        <v>0</v>
      </c>
      <c r="I512" t="n">
        <v>0</v>
      </c>
      <c r="J512" t="n">
        <v>0</v>
      </c>
      <c r="K512" t="n">
        <v>0</v>
      </c>
      <c r="L512" t="n">
        <v>0</v>
      </c>
      <c r="M512" t="n">
        <v>0</v>
      </c>
      <c r="N512" t="n">
        <v>0</v>
      </c>
      <c r="O512" t="n">
        <v>0</v>
      </c>
      <c r="P512" t="n">
        <v>0</v>
      </c>
      <c r="Q512" t="n">
        <v>0</v>
      </c>
      <c r="R512" s="2" t="inlineStr"/>
    </row>
    <row r="513" ht="15" customHeight="1">
      <c r="A513" t="inlineStr">
        <is>
          <t>A 21328-2023</t>
        </is>
      </c>
      <c r="B513" s="1" t="n">
        <v>45062</v>
      </c>
      <c r="C513" s="1" t="n">
        <v>46079</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48747-2022</t>
        </is>
      </c>
      <c r="B514" s="1" t="n">
        <v>44859</v>
      </c>
      <c r="C514" s="1" t="n">
        <v>46079</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7153-2025</t>
        </is>
      </c>
      <c r="B515" s="1" t="n">
        <v>45702.38512731482</v>
      </c>
      <c r="C515" s="1" t="n">
        <v>46079</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10277-2023</t>
        </is>
      </c>
      <c r="B516" s="1" t="n">
        <v>44986</v>
      </c>
      <c r="C516" s="1" t="n">
        <v>46079</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10290-2023</t>
        </is>
      </c>
      <c r="B517" s="1" t="n">
        <v>44986</v>
      </c>
      <c r="C517" s="1" t="n">
        <v>46079</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54408-2024</t>
        </is>
      </c>
      <c r="B518" s="1" t="n">
        <v>45617.47263888889</v>
      </c>
      <c r="C518" s="1" t="n">
        <v>46079</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6619-2024</t>
        </is>
      </c>
      <c r="B519" s="1" t="n">
        <v>45341.6021412037</v>
      </c>
      <c r="C519" s="1" t="n">
        <v>46079</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14008-2023</t>
        </is>
      </c>
      <c r="B520" s="1" t="n">
        <v>45008.56725694444</v>
      </c>
      <c r="C520" s="1" t="n">
        <v>46079</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20493-2024</t>
        </is>
      </c>
      <c r="B521" s="1" t="n">
        <v>45435</v>
      </c>
      <c r="C521" s="1" t="n">
        <v>46079</v>
      </c>
      <c r="D521" t="inlineStr">
        <is>
          <t>SKÅNE LÄN</t>
        </is>
      </c>
      <c r="E521" t="inlineStr">
        <is>
          <t>HÄSSLEHOLM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13851-2025</t>
        </is>
      </c>
      <c r="B522" s="1" t="n">
        <v>45737.56777777777</v>
      </c>
      <c r="C522" s="1" t="n">
        <v>46079</v>
      </c>
      <c r="D522" t="inlineStr">
        <is>
          <t>SKÅNE LÄN</t>
        </is>
      </c>
      <c r="E522" t="inlineStr">
        <is>
          <t>HÄSSLEHOLM</t>
        </is>
      </c>
      <c r="G522" t="n">
        <v>3</v>
      </c>
      <c r="H522" t="n">
        <v>0</v>
      </c>
      <c r="I522" t="n">
        <v>0</v>
      </c>
      <c r="J522" t="n">
        <v>0</v>
      </c>
      <c r="K522" t="n">
        <v>0</v>
      </c>
      <c r="L522" t="n">
        <v>0</v>
      </c>
      <c r="M522" t="n">
        <v>0</v>
      </c>
      <c r="N522" t="n">
        <v>0</v>
      </c>
      <c r="O522" t="n">
        <v>0</v>
      </c>
      <c r="P522" t="n">
        <v>0</v>
      </c>
      <c r="Q522" t="n">
        <v>0</v>
      </c>
      <c r="R522" s="2" t="inlineStr"/>
    </row>
    <row r="523" ht="15" customHeight="1">
      <c r="A523" t="inlineStr">
        <is>
          <t>A 20666-2023</t>
        </is>
      </c>
      <c r="B523" s="1" t="n">
        <v>45058.35664351852</v>
      </c>
      <c r="C523" s="1" t="n">
        <v>46079</v>
      </c>
      <c r="D523" t="inlineStr">
        <is>
          <t>SKÅNE LÄN</t>
        </is>
      </c>
      <c r="E523" t="inlineStr">
        <is>
          <t>HÄSSLEHOLM</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7581-2023</t>
        </is>
      </c>
      <c r="B524" s="1" t="n">
        <v>44972.39556712963</v>
      </c>
      <c r="C524" s="1" t="n">
        <v>46079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19593-2023</t>
        </is>
      </c>
      <c r="B525" s="1" t="n">
        <v>45050.75895833333</v>
      </c>
      <c r="C525" s="1" t="n">
        <v>46079</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21141-2024</t>
        </is>
      </c>
      <c r="B526" s="1" t="n">
        <v>45440.39012731481</v>
      </c>
      <c r="C526" s="1" t="n">
        <v>46079</v>
      </c>
      <c r="D526" t="inlineStr">
        <is>
          <t>SKÅNE LÄN</t>
        </is>
      </c>
      <c r="E526" t="inlineStr">
        <is>
          <t>HÄSSLEHOLM</t>
        </is>
      </c>
      <c r="G526" t="n">
        <v>1.3</v>
      </c>
      <c r="H526" t="n">
        <v>0</v>
      </c>
      <c r="I526" t="n">
        <v>0</v>
      </c>
      <c r="J526" t="n">
        <v>0</v>
      </c>
      <c r="K526" t="n">
        <v>0</v>
      </c>
      <c r="L526" t="n">
        <v>0</v>
      </c>
      <c r="M526" t="n">
        <v>0</v>
      </c>
      <c r="N526" t="n">
        <v>0</v>
      </c>
      <c r="O526" t="n">
        <v>0</v>
      </c>
      <c r="P526" t="n">
        <v>0</v>
      </c>
      <c r="Q526" t="n">
        <v>0</v>
      </c>
      <c r="R526" s="2" t="inlineStr"/>
    </row>
    <row r="527" ht="15" customHeight="1">
      <c r="A527" t="inlineStr">
        <is>
          <t>A 7494-2023</t>
        </is>
      </c>
      <c r="B527" s="1" t="n">
        <v>44971.70835648148</v>
      </c>
      <c r="C527" s="1" t="n">
        <v>46079</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41874-2024</t>
        </is>
      </c>
      <c r="B528" s="1" t="n">
        <v>45561</v>
      </c>
      <c r="C528" s="1" t="n">
        <v>46079</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6087-2025</t>
        </is>
      </c>
      <c r="B529" s="1" t="n">
        <v>45697.69782407407</v>
      </c>
      <c r="C529" s="1" t="n">
        <v>46079</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11798-2022</t>
        </is>
      </c>
      <c r="B530" s="1" t="n">
        <v>44634.64900462963</v>
      </c>
      <c r="C530" s="1" t="n">
        <v>46079</v>
      </c>
      <c r="D530" t="inlineStr">
        <is>
          <t>SKÅNE LÄN</t>
        </is>
      </c>
      <c r="E530" t="inlineStr">
        <is>
          <t>HÄSSLEHOLM</t>
        </is>
      </c>
      <c r="G530" t="n">
        <v>2.8</v>
      </c>
      <c r="H530" t="n">
        <v>0</v>
      </c>
      <c r="I530" t="n">
        <v>0</v>
      </c>
      <c r="J530" t="n">
        <v>0</v>
      </c>
      <c r="K530" t="n">
        <v>0</v>
      </c>
      <c r="L530" t="n">
        <v>0</v>
      </c>
      <c r="M530" t="n">
        <v>0</v>
      </c>
      <c r="N530" t="n">
        <v>0</v>
      </c>
      <c r="O530" t="n">
        <v>0</v>
      </c>
      <c r="P530" t="n">
        <v>0</v>
      </c>
      <c r="Q530" t="n">
        <v>0</v>
      </c>
      <c r="R530" s="2" t="inlineStr"/>
    </row>
    <row r="531" ht="15" customHeight="1">
      <c r="A531" t="inlineStr">
        <is>
          <t>A 11603-2025</t>
        </is>
      </c>
      <c r="B531" s="1" t="n">
        <v>45727</v>
      </c>
      <c r="C531" s="1" t="n">
        <v>46079</v>
      </c>
      <c r="D531" t="inlineStr">
        <is>
          <t>SKÅNE LÄN</t>
        </is>
      </c>
      <c r="E531" t="inlineStr">
        <is>
          <t>HÄSSLEHOLM</t>
        </is>
      </c>
      <c r="G531" t="n">
        <v>5.6</v>
      </c>
      <c r="H531" t="n">
        <v>0</v>
      </c>
      <c r="I531" t="n">
        <v>0</v>
      </c>
      <c r="J531" t="n">
        <v>0</v>
      </c>
      <c r="K531" t="n">
        <v>0</v>
      </c>
      <c r="L531" t="n">
        <v>0</v>
      </c>
      <c r="M531" t="n">
        <v>0</v>
      </c>
      <c r="N531" t="n">
        <v>0</v>
      </c>
      <c r="O531" t="n">
        <v>0</v>
      </c>
      <c r="P531" t="n">
        <v>0</v>
      </c>
      <c r="Q531" t="n">
        <v>0</v>
      </c>
      <c r="R531" s="2" t="inlineStr"/>
    </row>
    <row r="532" ht="15" customHeight="1">
      <c r="A532" t="inlineStr">
        <is>
          <t>A 13712-2025</t>
        </is>
      </c>
      <c r="B532" s="1" t="n">
        <v>45737</v>
      </c>
      <c r="C532" s="1" t="n">
        <v>46079</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50571-2023</t>
        </is>
      </c>
      <c r="B533" s="1" t="n">
        <v>45217.38359953704</v>
      </c>
      <c r="C533" s="1" t="n">
        <v>46079</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46288-2023</t>
        </is>
      </c>
      <c r="B534" s="1" t="n">
        <v>45197.30221064815</v>
      </c>
      <c r="C534" s="1" t="n">
        <v>46079</v>
      </c>
      <c r="D534" t="inlineStr">
        <is>
          <t>SKÅNE LÄN</t>
        </is>
      </c>
      <c r="E534" t="inlineStr">
        <is>
          <t>HÄSSLEHOLM</t>
        </is>
      </c>
      <c r="G534" t="n">
        <v>3</v>
      </c>
      <c r="H534" t="n">
        <v>0</v>
      </c>
      <c r="I534" t="n">
        <v>0</v>
      </c>
      <c r="J534" t="n">
        <v>0</v>
      </c>
      <c r="K534" t="n">
        <v>0</v>
      </c>
      <c r="L534" t="n">
        <v>0</v>
      </c>
      <c r="M534" t="n">
        <v>0</v>
      </c>
      <c r="N534" t="n">
        <v>0</v>
      </c>
      <c r="O534" t="n">
        <v>0</v>
      </c>
      <c r="P534" t="n">
        <v>0</v>
      </c>
      <c r="Q534" t="n">
        <v>0</v>
      </c>
      <c r="R534" s="2" t="inlineStr"/>
    </row>
    <row r="535" ht="15" customHeight="1">
      <c r="A535" t="inlineStr">
        <is>
          <t>A 13890-2024</t>
        </is>
      </c>
      <c r="B535" s="1" t="n">
        <v>45391</v>
      </c>
      <c r="C535" s="1" t="n">
        <v>46079</v>
      </c>
      <c r="D535" t="inlineStr">
        <is>
          <t>SKÅNE LÄN</t>
        </is>
      </c>
      <c r="E535" t="inlineStr">
        <is>
          <t>HÄSSLEHOLM</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39223-2024</t>
        </is>
      </c>
      <c r="B536" s="1" t="n">
        <v>45550</v>
      </c>
      <c r="C536" s="1" t="n">
        <v>46079</v>
      </c>
      <c r="D536" t="inlineStr">
        <is>
          <t>SKÅNE LÄN</t>
        </is>
      </c>
      <c r="E536" t="inlineStr">
        <is>
          <t>HÄSSLEHOLM</t>
        </is>
      </c>
      <c r="G536" t="n">
        <v>3.1</v>
      </c>
      <c r="H536" t="n">
        <v>0</v>
      </c>
      <c r="I536" t="n">
        <v>0</v>
      </c>
      <c r="J536" t="n">
        <v>0</v>
      </c>
      <c r="K536" t="n">
        <v>0</v>
      </c>
      <c r="L536" t="n">
        <v>0</v>
      </c>
      <c r="M536" t="n">
        <v>0</v>
      </c>
      <c r="N536" t="n">
        <v>0</v>
      </c>
      <c r="O536" t="n">
        <v>0</v>
      </c>
      <c r="P536" t="n">
        <v>0</v>
      </c>
      <c r="Q536" t="n">
        <v>0</v>
      </c>
      <c r="R536" s="2" t="inlineStr"/>
    </row>
    <row r="537" ht="15" customHeight="1">
      <c r="A537" t="inlineStr">
        <is>
          <t>A 8378-2023</t>
        </is>
      </c>
      <c r="B537" s="1" t="n">
        <v>44971</v>
      </c>
      <c r="C537" s="1" t="n">
        <v>46079</v>
      </c>
      <c r="D537" t="inlineStr">
        <is>
          <t>SKÅNE LÄN</t>
        </is>
      </c>
      <c r="E537" t="inlineStr">
        <is>
          <t>HÄSSLEHOLM</t>
        </is>
      </c>
      <c r="G537" t="n">
        <v>1.2</v>
      </c>
      <c r="H537" t="n">
        <v>0</v>
      </c>
      <c r="I537" t="n">
        <v>0</v>
      </c>
      <c r="J537" t="n">
        <v>0</v>
      </c>
      <c r="K537" t="n">
        <v>0</v>
      </c>
      <c r="L537" t="n">
        <v>0</v>
      </c>
      <c r="M537" t="n">
        <v>0</v>
      </c>
      <c r="N537" t="n">
        <v>0</v>
      </c>
      <c r="O537" t="n">
        <v>0</v>
      </c>
      <c r="P537" t="n">
        <v>0</v>
      </c>
      <c r="Q537" t="n">
        <v>0</v>
      </c>
      <c r="R537" s="2" t="inlineStr"/>
    </row>
    <row r="538" ht="15" customHeight="1">
      <c r="A538" t="inlineStr">
        <is>
          <t>A 18041-2023</t>
        </is>
      </c>
      <c r="B538" s="1" t="n">
        <v>45040</v>
      </c>
      <c r="C538" s="1" t="n">
        <v>46079</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57967-2023</t>
        </is>
      </c>
      <c r="B539" s="1" t="n">
        <v>45247.57984953704</v>
      </c>
      <c r="C539" s="1" t="n">
        <v>46079</v>
      </c>
      <c r="D539" t="inlineStr">
        <is>
          <t>SKÅNE LÄN</t>
        </is>
      </c>
      <c r="E539" t="inlineStr">
        <is>
          <t>HÄSSLEHOLM</t>
        </is>
      </c>
      <c r="G539" t="n">
        <v>8.6</v>
      </c>
      <c r="H539" t="n">
        <v>0</v>
      </c>
      <c r="I539" t="n">
        <v>0</v>
      </c>
      <c r="J539" t="n">
        <v>0</v>
      </c>
      <c r="K539" t="n">
        <v>0</v>
      </c>
      <c r="L539" t="n">
        <v>0</v>
      </c>
      <c r="M539" t="n">
        <v>0</v>
      </c>
      <c r="N539" t="n">
        <v>0</v>
      </c>
      <c r="O539" t="n">
        <v>0</v>
      </c>
      <c r="P539" t="n">
        <v>0</v>
      </c>
      <c r="Q539" t="n">
        <v>0</v>
      </c>
      <c r="R539" s="2" t="inlineStr"/>
    </row>
    <row r="540" ht="15" customHeight="1">
      <c r="A540" t="inlineStr">
        <is>
          <t>A 13932-2023</t>
        </is>
      </c>
      <c r="B540" s="1" t="n">
        <v>45008.43935185186</v>
      </c>
      <c r="C540" s="1" t="n">
        <v>46079</v>
      </c>
      <c r="D540" t="inlineStr">
        <is>
          <t>SKÅNE LÄN</t>
        </is>
      </c>
      <c r="E540" t="inlineStr">
        <is>
          <t>HÄSSLEHOLM</t>
        </is>
      </c>
      <c r="G540" t="n">
        <v>3.3</v>
      </c>
      <c r="H540" t="n">
        <v>0</v>
      </c>
      <c r="I540" t="n">
        <v>0</v>
      </c>
      <c r="J540" t="n">
        <v>0</v>
      </c>
      <c r="K540" t="n">
        <v>0</v>
      </c>
      <c r="L540" t="n">
        <v>0</v>
      </c>
      <c r="M540" t="n">
        <v>0</v>
      </c>
      <c r="N540" t="n">
        <v>0</v>
      </c>
      <c r="O540" t="n">
        <v>0</v>
      </c>
      <c r="P540" t="n">
        <v>0</v>
      </c>
      <c r="Q540" t="n">
        <v>0</v>
      </c>
      <c r="R540" s="2" t="inlineStr"/>
    </row>
    <row r="541" ht="15" customHeight="1">
      <c r="A541" t="inlineStr">
        <is>
          <t>A 16950-2025</t>
        </is>
      </c>
      <c r="B541" s="1" t="n">
        <v>45755</v>
      </c>
      <c r="C541" s="1" t="n">
        <v>46079</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58618-2024</t>
        </is>
      </c>
      <c r="B542" s="1" t="n">
        <v>45635.56150462963</v>
      </c>
      <c r="C542" s="1" t="n">
        <v>46079</v>
      </c>
      <c r="D542" t="inlineStr">
        <is>
          <t>SKÅNE LÄN</t>
        </is>
      </c>
      <c r="E542" t="inlineStr">
        <is>
          <t>HÄSSLEHOLM</t>
        </is>
      </c>
      <c r="G542" t="n">
        <v>2.3</v>
      </c>
      <c r="H542" t="n">
        <v>0</v>
      </c>
      <c r="I542" t="n">
        <v>0</v>
      </c>
      <c r="J542" t="n">
        <v>0</v>
      </c>
      <c r="K542" t="n">
        <v>0</v>
      </c>
      <c r="L542" t="n">
        <v>0</v>
      </c>
      <c r="M542" t="n">
        <v>0</v>
      </c>
      <c r="N542" t="n">
        <v>0</v>
      </c>
      <c r="O542" t="n">
        <v>0</v>
      </c>
      <c r="P542" t="n">
        <v>0</v>
      </c>
      <c r="Q542" t="n">
        <v>0</v>
      </c>
      <c r="R542" s="2" t="inlineStr"/>
    </row>
    <row r="543" ht="15" customHeight="1">
      <c r="A543" t="inlineStr">
        <is>
          <t>A 19744-2023</t>
        </is>
      </c>
      <c r="B543" s="1" t="n">
        <v>45051</v>
      </c>
      <c r="C543" s="1" t="n">
        <v>46079</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17138-2025</t>
        </is>
      </c>
      <c r="B544" s="1" t="n">
        <v>45755.80378472222</v>
      </c>
      <c r="C544" s="1" t="n">
        <v>46079</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52337-2023</t>
        </is>
      </c>
      <c r="B545" s="1" t="n">
        <v>45224.66359953704</v>
      </c>
      <c r="C545" s="1" t="n">
        <v>46079</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15512-2025</t>
        </is>
      </c>
      <c r="B546" s="1" t="n">
        <v>45747</v>
      </c>
      <c r="C546" s="1" t="n">
        <v>46079</v>
      </c>
      <c r="D546" t="inlineStr">
        <is>
          <t>SKÅNE LÄN</t>
        </is>
      </c>
      <c r="E546" t="inlineStr">
        <is>
          <t>HÄSSLEHOLM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15990-2023</t>
        </is>
      </c>
      <c r="B547" s="1" t="n">
        <v>45023.39584490741</v>
      </c>
      <c r="C547" s="1" t="n">
        <v>46079</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60704-2023</t>
        </is>
      </c>
      <c r="B548" s="1" t="n">
        <v>45260.51340277777</v>
      </c>
      <c r="C548" s="1" t="n">
        <v>46079</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61569-2023</t>
        </is>
      </c>
      <c r="B549" s="1" t="n">
        <v>45265</v>
      </c>
      <c r="C549" s="1" t="n">
        <v>46079</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47907-2021</t>
        </is>
      </c>
      <c r="B550" s="1" t="n">
        <v>44448</v>
      </c>
      <c r="C550" s="1" t="n">
        <v>46079</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7513-2025</t>
        </is>
      </c>
      <c r="B551" s="1" t="n">
        <v>45702</v>
      </c>
      <c r="C551" s="1" t="n">
        <v>46079</v>
      </c>
      <c r="D551" t="inlineStr">
        <is>
          <t>SKÅNE LÄN</t>
        </is>
      </c>
      <c r="E551" t="inlineStr">
        <is>
          <t>HÄSSLEHOLM</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13084-2025</t>
        </is>
      </c>
      <c r="B552" s="1" t="n">
        <v>45734</v>
      </c>
      <c r="C552" s="1" t="n">
        <v>46079</v>
      </c>
      <c r="D552" t="inlineStr">
        <is>
          <t>SKÅNE LÄN</t>
        </is>
      </c>
      <c r="E552" t="inlineStr">
        <is>
          <t>HÄSSLEHOLM</t>
        </is>
      </c>
      <c r="G552" t="n">
        <v>2.3</v>
      </c>
      <c r="H552" t="n">
        <v>0</v>
      </c>
      <c r="I552" t="n">
        <v>0</v>
      </c>
      <c r="J552" t="n">
        <v>0</v>
      </c>
      <c r="K552" t="n">
        <v>0</v>
      </c>
      <c r="L552" t="n">
        <v>0</v>
      </c>
      <c r="M552" t="n">
        <v>0</v>
      </c>
      <c r="N552" t="n">
        <v>0</v>
      </c>
      <c r="O552" t="n">
        <v>0</v>
      </c>
      <c r="P552" t="n">
        <v>0</v>
      </c>
      <c r="Q552" t="n">
        <v>0</v>
      </c>
      <c r="R552" s="2" t="inlineStr"/>
    </row>
    <row r="553" ht="15" customHeight="1">
      <c r="A553" t="inlineStr">
        <is>
          <t>A 45400-2022</t>
        </is>
      </c>
      <c r="B553" s="1" t="n">
        <v>44844.713125</v>
      </c>
      <c r="C553" s="1" t="n">
        <v>46079</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14700-2023</t>
        </is>
      </c>
      <c r="B554" s="1" t="n">
        <v>45014.38376157408</v>
      </c>
      <c r="C554" s="1" t="n">
        <v>46079</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3531-2023</t>
        </is>
      </c>
      <c r="B555" s="1" t="n">
        <v>44950</v>
      </c>
      <c r="C555" s="1" t="n">
        <v>46079</v>
      </c>
      <c r="D555" t="inlineStr">
        <is>
          <t>SKÅNE LÄN</t>
        </is>
      </c>
      <c r="E555" t="inlineStr">
        <is>
          <t>HÄSSLEHOLM</t>
        </is>
      </c>
      <c r="G555" t="n">
        <v>10.1</v>
      </c>
      <c r="H555" t="n">
        <v>0</v>
      </c>
      <c r="I555" t="n">
        <v>0</v>
      </c>
      <c r="J555" t="n">
        <v>0</v>
      </c>
      <c r="K555" t="n">
        <v>0</v>
      </c>
      <c r="L555" t="n">
        <v>0</v>
      </c>
      <c r="M555" t="n">
        <v>0</v>
      </c>
      <c r="N555" t="n">
        <v>0</v>
      </c>
      <c r="O555" t="n">
        <v>0</v>
      </c>
      <c r="P555" t="n">
        <v>0</v>
      </c>
      <c r="Q555" t="n">
        <v>0</v>
      </c>
      <c r="R555" s="2" t="inlineStr"/>
    </row>
    <row r="556" ht="15" customHeight="1">
      <c r="A556" t="inlineStr">
        <is>
          <t>A 4579-2025</t>
        </is>
      </c>
      <c r="B556" s="1" t="n">
        <v>45687.5009375</v>
      </c>
      <c r="C556" s="1" t="n">
        <v>46079</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18623-2023</t>
        </is>
      </c>
      <c r="B557" s="1" t="n">
        <v>45043</v>
      </c>
      <c r="C557" s="1" t="n">
        <v>46079</v>
      </c>
      <c r="D557" t="inlineStr">
        <is>
          <t>SKÅNE LÄN</t>
        </is>
      </c>
      <c r="E557" t="inlineStr">
        <is>
          <t>HÄSSLEHOLM</t>
        </is>
      </c>
      <c r="G557" t="n">
        <v>3.2</v>
      </c>
      <c r="H557" t="n">
        <v>0</v>
      </c>
      <c r="I557" t="n">
        <v>0</v>
      </c>
      <c r="J557" t="n">
        <v>0</v>
      </c>
      <c r="K557" t="n">
        <v>0</v>
      </c>
      <c r="L557" t="n">
        <v>0</v>
      </c>
      <c r="M557" t="n">
        <v>0</v>
      </c>
      <c r="N557" t="n">
        <v>0</v>
      </c>
      <c r="O557" t="n">
        <v>0</v>
      </c>
      <c r="P557" t="n">
        <v>0</v>
      </c>
      <c r="Q557" t="n">
        <v>0</v>
      </c>
      <c r="R557" s="2" t="inlineStr"/>
    </row>
    <row r="558" ht="15" customHeight="1">
      <c r="A558" t="inlineStr">
        <is>
          <t>A 10115-2024</t>
        </is>
      </c>
      <c r="B558" s="1" t="n">
        <v>45364.55339120371</v>
      </c>
      <c r="C558" s="1" t="n">
        <v>46079</v>
      </c>
      <c r="D558" t="inlineStr">
        <is>
          <t>SKÅNE LÄN</t>
        </is>
      </c>
      <c r="E558" t="inlineStr">
        <is>
          <t>HÄSSLEHOLM</t>
        </is>
      </c>
      <c r="G558" t="n">
        <v>7</v>
      </c>
      <c r="H558" t="n">
        <v>0</v>
      </c>
      <c r="I558" t="n">
        <v>0</v>
      </c>
      <c r="J558" t="n">
        <v>0</v>
      </c>
      <c r="K558" t="n">
        <v>0</v>
      </c>
      <c r="L558" t="n">
        <v>0</v>
      </c>
      <c r="M558" t="n">
        <v>0</v>
      </c>
      <c r="N558" t="n">
        <v>0</v>
      </c>
      <c r="O558" t="n">
        <v>0</v>
      </c>
      <c r="P558" t="n">
        <v>0</v>
      </c>
      <c r="Q558" t="n">
        <v>0</v>
      </c>
      <c r="R558" s="2" t="inlineStr"/>
    </row>
    <row r="559" ht="15" customHeight="1">
      <c r="A559" t="inlineStr">
        <is>
          <t>A 54874-2022</t>
        </is>
      </c>
      <c r="B559" s="1" t="n">
        <v>44881</v>
      </c>
      <c r="C559" s="1" t="n">
        <v>46079</v>
      </c>
      <c r="D559" t="inlineStr">
        <is>
          <t>SKÅNE LÄN</t>
        </is>
      </c>
      <c r="E559" t="inlineStr">
        <is>
          <t>HÄSSLEHOLM</t>
        </is>
      </c>
      <c r="G559" t="n">
        <v>8.1</v>
      </c>
      <c r="H559" t="n">
        <v>0</v>
      </c>
      <c r="I559" t="n">
        <v>0</v>
      </c>
      <c r="J559" t="n">
        <v>0</v>
      </c>
      <c r="K559" t="n">
        <v>0</v>
      </c>
      <c r="L559" t="n">
        <v>0</v>
      </c>
      <c r="M559" t="n">
        <v>0</v>
      </c>
      <c r="N559" t="n">
        <v>0</v>
      </c>
      <c r="O559" t="n">
        <v>0</v>
      </c>
      <c r="P559" t="n">
        <v>0</v>
      </c>
      <c r="Q559" t="n">
        <v>0</v>
      </c>
      <c r="R559" s="2" t="inlineStr"/>
    </row>
    <row r="560" ht="15" customHeight="1">
      <c r="A560" t="inlineStr">
        <is>
          <t>A 3663-2024</t>
        </is>
      </c>
      <c r="B560" s="1" t="n">
        <v>45321.34775462963</v>
      </c>
      <c r="C560" s="1" t="n">
        <v>46079</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1706-2025</t>
        </is>
      </c>
      <c r="B561" s="1" t="n">
        <v>45670</v>
      </c>
      <c r="C561" s="1" t="n">
        <v>46079</v>
      </c>
      <c r="D561" t="inlineStr">
        <is>
          <t>SKÅNE LÄN</t>
        </is>
      </c>
      <c r="E561" t="inlineStr">
        <is>
          <t>HÄSSLEHOLM</t>
        </is>
      </c>
      <c r="G561" t="n">
        <v>5</v>
      </c>
      <c r="H561" t="n">
        <v>0</v>
      </c>
      <c r="I561" t="n">
        <v>0</v>
      </c>
      <c r="J561" t="n">
        <v>0</v>
      </c>
      <c r="K561" t="n">
        <v>0</v>
      </c>
      <c r="L561" t="n">
        <v>0</v>
      </c>
      <c r="M561" t="n">
        <v>0</v>
      </c>
      <c r="N561" t="n">
        <v>0</v>
      </c>
      <c r="O561" t="n">
        <v>0</v>
      </c>
      <c r="P561" t="n">
        <v>0</v>
      </c>
      <c r="Q561" t="n">
        <v>0</v>
      </c>
      <c r="R561" s="2" t="inlineStr"/>
    </row>
    <row r="562" ht="15" customHeight="1">
      <c r="A562" t="inlineStr">
        <is>
          <t>A 61625-2022</t>
        </is>
      </c>
      <c r="B562" s="1" t="n">
        <v>44916</v>
      </c>
      <c r="C562" s="1" t="n">
        <v>46079</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44565.55630787037</v>
      </c>
      <c r="C563" s="1" t="n">
        <v>46079</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27991-2024</t>
        </is>
      </c>
      <c r="B564" s="1" t="n">
        <v>45476</v>
      </c>
      <c r="C564" s="1" t="n">
        <v>46079</v>
      </c>
      <c r="D564" t="inlineStr">
        <is>
          <t>SKÅNE LÄN</t>
        </is>
      </c>
      <c r="E564" t="inlineStr">
        <is>
          <t>HÄSSLEHOLM</t>
        </is>
      </c>
      <c r="G564" t="n">
        <v>5.8</v>
      </c>
      <c r="H564" t="n">
        <v>0</v>
      </c>
      <c r="I564" t="n">
        <v>0</v>
      </c>
      <c r="J564" t="n">
        <v>0</v>
      </c>
      <c r="K564" t="n">
        <v>0</v>
      </c>
      <c r="L564" t="n">
        <v>0</v>
      </c>
      <c r="M564" t="n">
        <v>0</v>
      </c>
      <c r="N564" t="n">
        <v>0</v>
      </c>
      <c r="O564" t="n">
        <v>0</v>
      </c>
      <c r="P564" t="n">
        <v>0</v>
      </c>
      <c r="Q564" t="n">
        <v>0</v>
      </c>
      <c r="R564" s="2" t="inlineStr"/>
    </row>
    <row r="565" ht="15" customHeight="1">
      <c r="A565" t="inlineStr">
        <is>
          <t>A 67801-2021</t>
        </is>
      </c>
      <c r="B565" s="1" t="n">
        <v>44525</v>
      </c>
      <c r="C565" s="1" t="n">
        <v>46079</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6612-2024</t>
        </is>
      </c>
      <c r="B566" s="1" t="n">
        <v>45341.58859953703</v>
      </c>
      <c r="C566" s="1" t="n">
        <v>46079</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5887-2025</t>
        </is>
      </c>
      <c r="B567" s="1" t="n">
        <v>45695.37925925926</v>
      </c>
      <c r="C567" s="1" t="n">
        <v>46079</v>
      </c>
      <c r="D567" t="inlineStr">
        <is>
          <t>SKÅNE LÄN</t>
        </is>
      </c>
      <c r="E567" t="inlineStr">
        <is>
          <t>HÄSSLEHOLM</t>
        </is>
      </c>
      <c r="G567" t="n">
        <v>4.8</v>
      </c>
      <c r="H567" t="n">
        <v>0</v>
      </c>
      <c r="I567" t="n">
        <v>0</v>
      </c>
      <c r="J567" t="n">
        <v>0</v>
      </c>
      <c r="K567" t="n">
        <v>0</v>
      </c>
      <c r="L567" t="n">
        <v>0</v>
      </c>
      <c r="M567" t="n">
        <v>0</v>
      </c>
      <c r="N567" t="n">
        <v>0</v>
      </c>
      <c r="O567" t="n">
        <v>0</v>
      </c>
      <c r="P567" t="n">
        <v>0</v>
      </c>
      <c r="Q567" t="n">
        <v>0</v>
      </c>
      <c r="R567" s="2" t="inlineStr"/>
    </row>
    <row r="568" ht="15" customHeight="1">
      <c r="A568" t="inlineStr">
        <is>
          <t>A 31268-2024</t>
        </is>
      </c>
      <c r="B568" s="1" t="n">
        <v>45504</v>
      </c>
      <c r="C568" s="1" t="n">
        <v>46079</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45398-2024</t>
        </is>
      </c>
      <c r="B569" s="1" t="n">
        <v>45576.56260416667</v>
      </c>
      <c r="C569" s="1" t="n">
        <v>46079</v>
      </c>
      <c r="D569" t="inlineStr">
        <is>
          <t>SKÅNE LÄN</t>
        </is>
      </c>
      <c r="E569" t="inlineStr">
        <is>
          <t>HÄSSLEHOLM</t>
        </is>
      </c>
      <c r="G569" t="n">
        <v>4.2</v>
      </c>
      <c r="H569" t="n">
        <v>0</v>
      </c>
      <c r="I569" t="n">
        <v>0</v>
      </c>
      <c r="J569" t="n">
        <v>0</v>
      </c>
      <c r="K569" t="n">
        <v>0</v>
      </c>
      <c r="L569" t="n">
        <v>0</v>
      </c>
      <c r="M569" t="n">
        <v>0</v>
      </c>
      <c r="N569" t="n">
        <v>0</v>
      </c>
      <c r="O569" t="n">
        <v>0</v>
      </c>
      <c r="P569" t="n">
        <v>0</v>
      </c>
      <c r="Q569" t="n">
        <v>0</v>
      </c>
      <c r="R569" s="2" t="inlineStr"/>
    </row>
    <row r="570" ht="15" customHeight="1">
      <c r="A570" t="inlineStr">
        <is>
          <t>A 13856-2025</t>
        </is>
      </c>
      <c r="B570" s="1" t="n">
        <v>45737.57289351852</v>
      </c>
      <c r="C570" s="1" t="n">
        <v>46079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4809-2025</t>
        </is>
      </c>
      <c r="B571" s="1" t="n">
        <v>45688.60148148148</v>
      </c>
      <c r="C571" s="1" t="n">
        <v>46079</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36568-2024</t>
        </is>
      </c>
      <c r="B572" s="1" t="n">
        <v>45537</v>
      </c>
      <c r="C572" s="1" t="n">
        <v>46079</v>
      </c>
      <c r="D572" t="inlineStr">
        <is>
          <t>SKÅNE LÄN</t>
        </is>
      </c>
      <c r="E572" t="inlineStr">
        <is>
          <t>HÄSSLEHOLM</t>
        </is>
      </c>
      <c r="G572" t="n">
        <v>4.3</v>
      </c>
      <c r="H572" t="n">
        <v>0</v>
      </c>
      <c r="I572" t="n">
        <v>0</v>
      </c>
      <c r="J572" t="n">
        <v>0</v>
      </c>
      <c r="K572" t="n">
        <v>0</v>
      </c>
      <c r="L572" t="n">
        <v>0</v>
      </c>
      <c r="M572" t="n">
        <v>0</v>
      </c>
      <c r="N572" t="n">
        <v>0</v>
      </c>
      <c r="O572" t="n">
        <v>0</v>
      </c>
      <c r="P572" t="n">
        <v>0</v>
      </c>
      <c r="Q572" t="n">
        <v>0</v>
      </c>
      <c r="R572" s="2" t="inlineStr"/>
    </row>
    <row r="573" ht="15" customHeight="1">
      <c r="A573" t="inlineStr">
        <is>
          <t>A 59030-2024</t>
        </is>
      </c>
      <c r="B573" s="1" t="n">
        <v>45636.68916666666</v>
      </c>
      <c r="C573" s="1" t="n">
        <v>46079</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32794-2021</t>
        </is>
      </c>
      <c r="B574" s="1" t="n">
        <v>44375</v>
      </c>
      <c r="C574" s="1" t="n">
        <v>46079</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8760-2024</t>
        </is>
      </c>
      <c r="B575" s="1" t="n">
        <v>45356.53420138889</v>
      </c>
      <c r="C575" s="1" t="n">
        <v>46079</v>
      </c>
      <c r="D575" t="inlineStr">
        <is>
          <t>SKÅNE LÄN</t>
        </is>
      </c>
      <c r="E575" t="inlineStr">
        <is>
          <t>HÄSSLEHOLM</t>
        </is>
      </c>
      <c r="G575" t="n">
        <v>6.1</v>
      </c>
      <c r="H575" t="n">
        <v>0</v>
      </c>
      <c r="I575" t="n">
        <v>0</v>
      </c>
      <c r="J575" t="n">
        <v>0</v>
      </c>
      <c r="K575" t="n">
        <v>0</v>
      </c>
      <c r="L575" t="n">
        <v>0</v>
      </c>
      <c r="M575" t="n">
        <v>0</v>
      </c>
      <c r="N575" t="n">
        <v>0</v>
      </c>
      <c r="O575" t="n">
        <v>0</v>
      </c>
      <c r="P575" t="n">
        <v>0</v>
      </c>
      <c r="Q575" t="n">
        <v>0</v>
      </c>
      <c r="R575" s="2" t="inlineStr"/>
    </row>
    <row r="576" ht="15" customHeight="1">
      <c r="A576" t="inlineStr">
        <is>
          <t>A 31161-2024</t>
        </is>
      </c>
      <c r="B576" s="1" t="n">
        <v>45503</v>
      </c>
      <c r="C576" s="1" t="n">
        <v>46079</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33067-2024</t>
        </is>
      </c>
      <c r="B577" s="1" t="n">
        <v>45517.6520949074</v>
      </c>
      <c r="C577" s="1" t="n">
        <v>46079</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48889-2024</t>
        </is>
      </c>
      <c r="B578" s="1" t="n">
        <v>45594.33754629629</v>
      </c>
      <c r="C578" s="1" t="n">
        <v>46079</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13961-2023</t>
        </is>
      </c>
      <c r="B579" s="1" t="n">
        <v>45008</v>
      </c>
      <c r="C579" s="1" t="n">
        <v>46079</v>
      </c>
      <c r="D579" t="inlineStr">
        <is>
          <t>SKÅNE LÄN</t>
        </is>
      </c>
      <c r="E579" t="inlineStr">
        <is>
          <t>HÄSSLEHOLM</t>
        </is>
      </c>
      <c r="G579" t="n">
        <v>3.8</v>
      </c>
      <c r="H579" t="n">
        <v>0</v>
      </c>
      <c r="I579" t="n">
        <v>0</v>
      </c>
      <c r="J579" t="n">
        <v>0</v>
      </c>
      <c r="K579" t="n">
        <v>0</v>
      </c>
      <c r="L579" t="n">
        <v>0</v>
      </c>
      <c r="M579" t="n">
        <v>0</v>
      </c>
      <c r="N579" t="n">
        <v>0</v>
      </c>
      <c r="O579" t="n">
        <v>0</v>
      </c>
      <c r="P579" t="n">
        <v>0</v>
      </c>
      <c r="Q579" t="n">
        <v>0</v>
      </c>
      <c r="R579" s="2" t="inlineStr"/>
    </row>
    <row r="580" ht="15" customHeight="1">
      <c r="A580" t="inlineStr">
        <is>
          <t>A 7481-2023</t>
        </is>
      </c>
      <c r="B580" s="1" t="n">
        <v>44971</v>
      </c>
      <c r="C580" s="1" t="n">
        <v>46079</v>
      </c>
      <c r="D580" t="inlineStr">
        <is>
          <t>SKÅNE LÄN</t>
        </is>
      </c>
      <c r="E580" t="inlineStr">
        <is>
          <t>HÄSSLEHOLM</t>
        </is>
      </c>
      <c r="G580" t="n">
        <v>1.4</v>
      </c>
      <c r="H580" t="n">
        <v>0</v>
      </c>
      <c r="I580" t="n">
        <v>0</v>
      </c>
      <c r="J580" t="n">
        <v>0</v>
      </c>
      <c r="K580" t="n">
        <v>0</v>
      </c>
      <c r="L580" t="n">
        <v>0</v>
      </c>
      <c r="M580" t="n">
        <v>0</v>
      </c>
      <c r="N580" t="n">
        <v>0</v>
      </c>
      <c r="O580" t="n">
        <v>0</v>
      </c>
      <c r="P580" t="n">
        <v>0</v>
      </c>
      <c r="Q580" t="n">
        <v>0</v>
      </c>
      <c r="R580" s="2" t="inlineStr"/>
    </row>
    <row r="581" ht="15" customHeight="1">
      <c r="A581" t="inlineStr">
        <is>
          <t>A 38888-2023</t>
        </is>
      </c>
      <c r="B581" s="1" t="n">
        <v>45161</v>
      </c>
      <c r="C581" s="1" t="n">
        <v>46079</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2567-2024</t>
        </is>
      </c>
      <c r="B582" s="1" t="n">
        <v>45313.62460648148</v>
      </c>
      <c r="C582" s="1" t="n">
        <v>46079</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3855-2023</t>
        </is>
      </c>
      <c r="B583" s="1" t="n">
        <v>44951.69708333333</v>
      </c>
      <c r="C583" s="1" t="n">
        <v>46079</v>
      </c>
      <c r="D583" t="inlineStr">
        <is>
          <t>SKÅNE LÄN</t>
        </is>
      </c>
      <c r="E583" t="inlineStr">
        <is>
          <t>HÄSSLEHOLM</t>
        </is>
      </c>
      <c r="G583" t="n">
        <v>2.3</v>
      </c>
      <c r="H583" t="n">
        <v>0</v>
      </c>
      <c r="I583" t="n">
        <v>0</v>
      </c>
      <c r="J583" t="n">
        <v>0</v>
      </c>
      <c r="K583" t="n">
        <v>0</v>
      </c>
      <c r="L583" t="n">
        <v>0</v>
      </c>
      <c r="M583" t="n">
        <v>0</v>
      </c>
      <c r="N583" t="n">
        <v>0</v>
      </c>
      <c r="O583" t="n">
        <v>0</v>
      </c>
      <c r="P583" t="n">
        <v>0</v>
      </c>
      <c r="Q583" t="n">
        <v>0</v>
      </c>
      <c r="R583" s="2" t="inlineStr"/>
    </row>
    <row r="584" ht="15" customHeight="1">
      <c r="A584" t="inlineStr">
        <is>
          <t>A 35150-2023</t>
        </is>
      </c>
      <c r="B584" s="1" t="n">
        <v>45145</v>
      </c>
      <c r="C584" s="1" t="n">
        <v>46079</v>
      </c>
      <c r="D584" t="inlineStr">
        <is>
          <t>SKÅNE LÄN</t>
        </is>
      </c>
      <c r="E584" t="inlineStr">
        <is>
          <t>HÄSSLEHOLM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34301-2024</t>
        </is>
      </c>
      <c r="B585" s="1" t="n">
        <v>45524</v>
      </c>
      <c r="C585" s="1" t="n">
        <v>46079</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15060-2023</t>
        </is>
      </c>
      <c r="B586" s="1" t="n">
        <v>45015.69832175926</v>
      </c>
      <c r="C586" s="1" t="n">
        <v>46079</v>
      </c>
      <c r="D586" t="inlineStr">
        <is>
          <t>SKÅNE LÄN</t>
        </is>
      </c>
      <c r="E586" t="inlineStr">
        <is>
          <t>HÄSSLEHOLM</t>
        </is>
      </c>
      <c r="G586" t="n">
        <v>1.7</v>
      </c>
      <c r="H586" t="n">
        <v>0</v>
      </c>
      <c r="I586" t="n">
        <v>0</v>
      </c>
      <c r="J586" t="n">
        <v>0</v>
      </c>
      <c r="K586" t="n">
        <v>0</v>
      </c>
      <c r="L586" t="n">
        <v>0</v>
      </c>
      <c r="M586" t="n">
        <v>0</v>
      </c>
      <c r="N586" t="n">
        <v>0</v>
      </c>
      <c r="O586" t="n">
        <v>0</v>
      </c>
      <c r="P586" t="n">
        <v>0</v>
      </c>
      <c r="Q586" t="n">
        <v>0</v>
      </c>
      <c r="R586" s="2" t="inlineStr"/>
    </row>
    <row r="587" ht="15" customHeight="1">
      <c r="A587" t="inlineStr">
        <is>
          <t>A 54171-2021</t>
        </is>
      </c>
      <c r="B587" s="1" t="n">
        <v>44470</v>
      </c>
      <c r="C587" s="1" t="n">
        <v>46079</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5992-2022</t>
        </is>
      </c>
      <c r="B588" s="1" t="n">
        <v>44599</v>
      </c>
      <c r="C588" s="1" t="n">
        <v>46079</v>
      </c>
      <c r="D588" t="inlineStr">
        <is>
          <t>SKÅNE LÄN</t>
        </is>
      </c>
      <c r="E588" t="inlineStr">
        <is>
          <t>HÄSSLEHOLM</t>
        </is>
      </c>
      <c r="G588" t="n">
        <v>1</v>
      </c>
      <c r="H588" t="n">
        <v>0</v>
      </c>
      <c r="I588" t="n">
        <v>0</v>
      </c>
      <c r="J588" t="n">
        <v>0</v>
      </c>
      <c r="K588" t="n">
        <v>0</v>
      </c>
      <c r="L588" t="n">
        <v>0</v>
      </c>
      <c r="M588" t="n">
        <v>0</v>
      </c>
      <c r="N588" t="n">
        <v>0</v>
      </c>
      <c r="O588" t="n">
        <v>0</v>
      </c>
      <c r="P588" t="n">
        <v>0</v>
      </c>
      <c r="Q588" t="n">
        <v>0</v>
      </c>
      <c r="R588" s="2" t="inlineStr"/>
    </row>
    <row r="589" ht="15" customHeight="1">
      <c r="A589" t="inlineStr">
        <is>
          <t>A 11240-2023</t>
        </is>
      </c>
      <c r="B589" s="1" t="n">
        <v>44992</v>
      </c>
      <c r="C589" s="1" t="n">
        <v>46079</v>
      </c>
      <c r="D589" t="inlineStr">
        <is>
          <t>SKÅNE LÄN</t>
        </is>
      </c>
      <c r="E589" t="inlineStr">
        <is>
          <t>HÄSSLEHOLM</t>
        </is>
      </c>
      <c r="G589" t="n">
        <v>2.1</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46079</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6310-2025</t>
        </is>
      </c>
      <c r="B591" s="1" t="n">
        <v>45698</v>
      </c>
      <c r="C591" s="1" t="n">
        <v>46079</v>
      </c>
      <c r="D591" t="inlineStr">
        <is>
          <t>SKÅNE LÄN</t>
        </is>
      </c>
      <c r="E591" t="inlineStr">
        <is>
          <t>HÄSSLEHOLM</t>
        </is>
      </c>
      <c r="G591" t="n">
        <v>2.7</v>
      </c>
      <c r="H591" t="n">
        <v>0</v>
      </c>
      <c r="I591" t="n">
        <v>0</v>
      </c>
      <c r="J591" t="n">
        <v>0</v>
      </c>
      <c r="K591" t="n">
        <v>0</v>
      </c>
      <c r="L591" t="n">
        <v>0</v>
      </c>
      <c r="M591" t="n">
        <v>0</v>
      </c>
      <c r="N591" t="n">
        <v>0</v>
      </c>
      <c r="O591" t="n">
        <v>0</v>
      </c>
      <c r="P591" t="n">
        <v>0</v>
      </c>
      <c r="Q591" t="n">
        <v>0</v>
      </c>
      <c r="R591" s="2" t="inlineStr"/>
    </row>
    <row r="592" ht="15" customHeight="1">
      <c r="A592" t="inlineStr">
        <is>
          <t>A 13347-2025</t>
        </is>
      </c>
      <c r="B592" s="1" t="n">
        <v>45735.63175925926</v>
      </c>
      <c r="C592" s="1" t="n">
        <v>46079</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16474-2025</t>
        </is>
      </c>
      <c r="B593" s="1" t="n">
        <v>45751.56834490741</v>
      </c>
      <c r="C593" s="1" t="n">
        <v>46079</v>
      </c>
      <c r="D593" t="inlineStr">
        <is>
          <t>SKÅNE LÄN</t>
        </is>
      </c>
      <c r="E593" t="inlineStr">
        <is>
          <t>HÄSSLEHOLM</t>
        </is>
      </c>
      <c r="G593" t="n">
        <v>5.9</v>
      </c>
      <c r="H593" t="n">
        <v>0</v>
      </c>
      <c r="I593" t="n">
        <v>0</v>
      </c>
      <c r="J593" t="n">
        <v>0</v>
      </c>
      <c r="K593" t="n">
        <v>0</v>
      </c>
      <c r="L593" t="n">
        <v>0</v>
      </c>
      <c r="M593" t="n">
        <v>0</v>
      </c>
      <c r="N593" t="n">
        <v>0</v>
      </c>
      <c r="O593" t="n">
        <v>0</v>
      </c>
      <c r="P593" t="n">
        <v>0</v>
      </c>
      <c r="Q593" t="n">
        <v>0</v>
      </c>
      <c r="R593" s="2" t="inlineStr"/>
    </row>
    <row r="594" ht="15" customHeight="1">
      <c r="A594" t="inlineStr">
        <is>
          <t>A 8524-2024</t>
        </is>
      </c>
      <c r="B594" s="1" t="n">
        <v>45355.48570601852</v>
      </c>
      <c r="C594" s="1" t="n">
        <v>46079</v>
      </c>
      <c r="D594" t="inlineStr">
        <is>
          <t>SKÅNE LÄN</t>
        </is>
      </c>
      <c r="E594" t="inlineStr">
        <is>
          <t>HÄSSLEHOLM</t>
        </is>
      </c>
      <c r="G594" t="n">
        <v>4</v>
      </c>
      <c r="H594" t="n">
        <v>0</v>
      </c>
      <c r="I594" t="n">
        <v>0</v>
      </c>
      <c r="J594" t="n">
        <v>0</v>
      </c>
      <c r="K594" t="n">
        <v>0</v>
      </c>
      <c r="L594" t="n">
        <v>0</v>
      </c>
      <c r="M594" t="n">
        <v>0</v>
      </c>
      <c r="N594" t="n">
        <v>0</v>
      </c>
      <c r="O594" t="n">
        <v>0</v>
      </c>
      <c r="P594" t="n">
        <v>0</v>
      </c>
      <c r="Q594" t="n">
        <v>0</v>
      </c>
      <c r="R594" s="2" t="inlineStr"/>
    </row>
    <row r="595" ht="15" customHeight="1">
      <c r="A595" t="inlineStr">
        <is>
          <t>A 22157-2024</t>
        </is>
      </c>
      <c r="B595" s="1" t="n">
        <v>45445.85290509259</v>
      </c>
      <c r="C595" s="1" t="n">
        <v>46079</v>
      </c>
      <c r="D595" t="inlineStr">
        <is>
          <t>SKÅNE LÄN</t>
        </is>
      </c>
      <c r="E595" t="inlineStr">
        <is>
          <t>HÄSSLEHOLM</t>
        </is>
      </c>
      <c r="G595" t="n">
        <v>1</v>
      </c>
      <c r="H595" t="n">
        <v>0</v>
      </c>
      <c r="I595" t="n">
        <v>0</v>
      </c>
      <c r="J595" t="n">
        <v>0</v>
      </c>
      <c r="K595" t="n">
        <v>0</v>
      </c>
      <c r="L595" t="n">
        <v>0</v>
      </c>
      <c r="M595" t="n">
        <v>0</v>
      </c>
      <c r="N595" t="n">
        <v>0</v>
      </c>
      <c r="O595" t="n">
        <v>0</v>
      </c>
      <c r="P595" t="n">
        <v>0</v>
      </c>
      <c r="Q595" t="n">
        <v>0</v>
      </c>
      <c r="R595" s="2" t="inlineStr"/>
    </row>
    <row r="596" ht="15" customHeight="1">
      <c r="A596" t="inlineStr">
        <is>
          <t>A 14145-2023</t>
        </is>
      </c>
      <c r="B596" s="1" t="n">
        <v>45009</v>
      </c>
      <c r="C596" s="1" t="n">
        <v>46079</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11260-2021</t>
        </is>
      </c>
      <c r="B597" s="1" t="n">
        <v>44263</v>
      </c>
      <c r="C597" s="1" t="n">
        <v>46079</v>
      </c>
      <c r="D597" t="inlineStr">
        <is>
          <t>SKÅNE LÄN</t>
        </is>
      </c>
      <c r="E597" t="inlineStr">
        <is>
          <t>HÄSSLEHOLM</t>
        </is>
      </c>
      <c r="G597" t="n">
        <v>5.4</v>
      </c>
      <c r="H597" t="n">
        <v>0</v>
      </c>
      <c r="I597" t="n">
        <v>0</v>
      </c>
      <c r="J597" t="n">
        <v>0</v>
      </c>
      <c r="K597" t="n">
        <v>0</v>
      </c>
      <c r="L597" t="n">
        <v>0</v>
      </c>
      <c r="M597" t="n">
        <v>0</v>
      </c>
      <c r="N597" t="n">
        <v>0</v>
      </c>
      <c r="O597" t="n">
        <v>0</v>
      </c>
      <c r="P597" t="n">
        <v>0</v>
      </c>
      <c r="Q597" t="n">
        <v>0</v>
      </c>
      <c r="R597" s="2" t="inlineStr"/>
    </row>
    <row r="598" ht="15" customHeight="1">
      <c r="A598" t="inlineStr">
        <is>
          <t>A 13198-2025</t>
        </is>
      </c>
      <c r="B598" s="1" t="n">
        <v>45735</v>
      </c>
      <c r="C598" s="1" t="n">
        <v>46079</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29994-2023</t>
        </is>
      </c>
      <c r="B599" s="1" t="n">
        <v>45109.60038194444</v>
      </c>
      <c r="C599" s="1" t="n">
        <v>46079</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3135-2023</t>
        </is>
      </c>
      <c r="B600" s="1" t="n">
        <v>44946.51672453704</v>
      </c>
      <c r="C600" s="1" t="n">
        <v>46079</v>
      </c>
      <c r="D600" t="inlineStr">
        <is>
          <t>SKÅNE LÄN</t>
        </is>
      </c>
      <c r="E600" t="inlineStr">
        <is>
          <t>HÄSSLEHOLM</t>
        </is>
      </c>
      <c r="G600" t="n">
        <v>7.2</v>
      </c>
      <c r="H600" t="n">
        <v>0</v>
      </c>
      <c r="I600" t="n">
        <v>0</v>
      </c>
      <c r="J600" t="n">
        <v>0</v>
      </c>
      <c r="K600" t="n">
        <v>0</v>
      </c>
      <c r="L600" t="n">
        <v>0</v>
      </c>
      <c r="M600" t="n">
        <v>0</v>
      </c>
      <c r="N600" t="n">
        <v>0</v>
      </c>
      <c r="O600" t="n">
        <v>0</v>
      </c>
      <c r="P600" t="n">
        <v>0</v>
      </c>
      <c r="Q600" t="n">
        <v>0</v>
      </c>
      <c r="R600" s="2" t="inlineStr"/>
    </row>
    <row r="601" ht="15" customHeight="1">
      <c r="A601" t="inlineStr">
        <is>
          <t>A 20872-2025</t>
        </is>
      </c>
      <c r="B601" s="1" t="n">
        <v>45777.34688657407</v>
      </c>
      <c r="C601" s="1" t="n">
        <v>46079</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59429-2023</t>
        </is>
      </c>
      <c r="B602" s="1" t="n">
        <v>45254.2875</v>
      </c>
      <c r="C602" s="1" t="n">
        <v>46079</v>
      </c>
      <c r="D602" t="inlineStr">
        <is>
          <t>SKÅNE LÄN</t>
        </is>
      </c>
      <c r="E602" t="inlineStr">
        <is>
          <t>HÄSSLEHOLM</t>
        </is>
      </c>
      <c r="G602" t="n">
        <v>0</v>
      </c>
      <c r="H602" t="n">
        <v>0</v>
      </c>
      <c r="I602" t="n">
        <v>0</v>
      </c>
      <c r="J602" t="n">
        <v>0</v>
      </c>
      <c r="K602" t="n">
        <v>0</v>
      </c>
      <c r="L602" t="n">
        <v>0</v>
      </c>
      <c r="M602" t="n">
        <v>0</v>
      </c>
      <c r="N602" t="n">
        <v>0</v>
      </c>
      <c r="O602" t="n">
        <v>0</v>
      </c>
      <c r="P602" t="n">
        <v>0</v>
      </c>
      <c r="Q602" t="n">
        <v>0</v>
      </c>
      <c r="R602" s="2" t="inlineStr"/>
    </row>
    <row r="603" ht="15" customHeight="1">
      <c r="A603" t="inlineStr">
        <is>
          <t>A 40202-2022</t>
        </is>
      </c>
      <c r="B603" s="1" t="n">
        <v>44820.60614583334</v>
      </c>
      <c r="C603" s="1" t="n">
        <v>46079</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12344-2023</t>
        </is>
      </c>
      <c r="B604" s="1" t="n">
        <v>44999</v>
      </c>
      <c r="C604" s="1" t="n">
        <v>46079</v>
      </c>
      <c r="D604" t="inlineStr">
        <is>
          <t>SKÅNE LÄN</t>
        </is>
      </c>
      <c r="E604" t="inlineStr">
        <is>
          <t>HÄSSLEHOLM</t>
        </is>
      </c>
      <c r="G604" t="n">
        <v>2.4</v>
      </c>
      <c r="H604" t="n">
        <v>0</v>
      </c>
      <c r="I604" t="n">
        <v>0</v>
      </c>
      <c r="J604" t="n">
        <v>0</v>
      </c>
      <c r="K604" t="n">
        <v>0</v>
      </c>
      <c r="L604" t="n">
        <v>0</v>
      </c>
      <c r="M604" t="n">
        <v>0</v>
      </c>
      <c r="N604" t="n">
        <v>0</v>
      </c>
      <c r="O604" t="n">
        <v>0</v>
      </c>
      <c r="P604" t="n">
        <v>0</v>
      </c>
      <c r="Q604" t="n">
        <v>0</v>
      </c>
      <c r="R604" s="2" t="inlineStr"/>
    </row>
    <row r="605" ht="15" customHeight="1">
      <c r="A605" t="inlineStr">
        <is>
          <t>A 58272-2024</t>
        </is>
      </c>
      <c r="B605" s="1" t="n">
        <v>45632.57025462963</v>
      </c>
      <c r="C605" s="1" t="n">
        <v>46079</v>
      </c>
      <c r="D605" t="inlineStr">
        <is>
          <t>SKÅNE LÄN</t>
        </is>
      </c>
      <c r="E605" t="inlineStr">
        <is>
          <t>HÄSSLEHOLM</t>
        </is>
      </c>
      <c r="G605" t="n">
        <v>2.3</v>
      </c>
      <c r="H605" t="n">
        <v>0</v>
      </c>
      <c r="I605" t="n">
        <v>0</v>
      </c>
      <c r="J605" t="n">
        <v>0</v>
      </c>
      <c r="K605" t="n">
        <v>0</v>
      </c>
      <c r="L605" t="n">
        <v>0</v>
      </c>
      <c r="M605" t="n">
        <v>0</v>
      </c>
      <c r="N605" t="n">
        <v>0</v>
      </c>
      <c r="O605" t="n">
        <v>0</v>
      </c>
      <c r="P605" t="n">
        <v>0</v>
      </c>
      <c r="Q605" t="n">
        <v>0</v>
      </c>
      <c r="R605" s="2" t="inlineStr"/>
    </row>
    <row r="606" ht="15" customHeight="1">
      <c r="A606" t="inlineStr">
        <is>
          <t>A 1560-2023</t>
        </is>
      </c>
      <c r="B606" s="1" t="n">
        <v>44937</v>
      </c>
      <c r="C606" s="1" t="n">
        <v>46079</v>
      </c>
      <c r="D606" t="inlineStr">
        <is>
          <t>SKÅNE LÄN</t>
        </is>
      </c>
      <c r="E606" t="inlineStr">
        <is>
          <t>HÄSSLEHOLM</t>
        </is>
      </c>
      <c r="G606" t="n">
        <v>6.8</v>
      </c>
      <c r="H606" t="n">
        <v>0</v>
      </c>
      <c r="I606" t="n">
        <v>0</v>
      </c>
      <c r="J606" t="n">
        <v>0</v>
      </c>
      <c r="K606" t="n">
        <v>0</v>
      </c>
      <c r="L606" t="n">
        <v>0</v>
      </c>
      <c r="M606" t="n">
        <v>0</v>
      </c>
      <c r="N606" t="n">
        <v>0</v>
      </c>
      <c r="O606" t="n">
        <v>0</v>
      </c>
      <c r="P606" t="n">
        <v>0</v>
      </c>
      <c r="Q606" t="n">
        <v>0</v>
      </c>
      <c r="R606" s="2" t="inlineStr"/>
    </row>
    <row r="607" ht="15" customHeight="1">
      <c r="A607" t="inlineStr">
        <is>
          <t>A 54326-2022</t>
        </is>
      </c>
      <c r="B607" s="1" t="n">
        <v>44882.42965277778</v>
      </c>
      <c r="C607" s="1" t="n">
        <v>46079</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41998-2021</t>
        </is>
      </c>
      <c r="B608" s="1" t="n">
        <v>44425</v>
      </c>
      <c r="C608" s="1" t="n">
        <v>46079</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34342-2021</t>
        </is>
      </c>
      <c r="B609" s="1" t="n">
        <v>44379</v>
      </c>
      <c r="C609" s="1" t="n">
        <v>46079</v>
      </c>
      <c r="D609" t="inlineStr">
        <is>
          <t>SKÅNE LÄN</t>
        </is>
      </c>
      <c r="E609" t="inlineStr">
        <is>
          <t>HÄSSLEHOLM</t>
        </is>
      </c>
      <c r="G609" t="n">
        <v>7</v>
      </c>
      <c r="H609" t="n">
        <v>0</v>
      </c>
      <c r="I609" t="n">
        <v>0</v>
      </c>
      <c r="J609" t="n">
        <v>0</v>
      </c>
      <c r="K609" t="n">
        <v>0</v>
      </c>
      <c r="L609" t="n">
        <v>0</v>
      </c>
      <c r="M609" t="n">
        <v>0</v>
      </c>
      <c r="N609" t="n">
        <v>0</v>
      </c>
      <c r="O609" t="n">
        <v>0</v>
      </c>
      <c r="P609" t="n">
        <v>0</v>
      </c>
      <c r="Q609" t="n">
        <v>0</v>
      </c>
      <c r="R609" s="2" t="inlineStr"/>
    </row>
    <row r="610" ht="15" customHeight="1">
      <c r="A610" t="inlineStr">
        <is>
          <t>A 21091-2025</t>
        </is>
      </c>
      <c r="B610" s="1" t="n">
        <v>45777</v>
      </c>
      <c r="C610" s="1" t="n">
        <v>46079</v>
      </c>
      <c r="D610" t="inlineStr">
        <is>
          <t>SKÅNE LÄN</t>
        </is>
      </c>
      <c r="E610" t="inlineStr">
        <is>
          <t>HÄSSLEHOLM</t>
        </is>
      </c>
      <c r="G610" t="n">
        <v>3.4</v>
      </c>
      <c r="H610" t="n">
        <v>0</v>
      </c>
      <c r="I610" t="n">
        <v>0</v>
      </c>
      <c r="J610" t="n">
        <v>0</v>
      </c>
      <c r="K610" t="n">
        <v>0</v>
      </c>
      <c r="L610" t="n">
        <v>0</v>
      </c>
      <c r="M610" t="n">
        <v>0</v>
      </c>
      <c r="N610" t="n">
        <v>0</v>
      </c>
      <c r="O610" t="n">
        <v>0</v>
      </c>
      <c r="P610" t="n">
        <v>0</v>
      </c>
      <c r="Q610" t="n">
        <v>0</v>
      </c>
      <c r="R610" s="2" t="inlineStr"/>
    </row>
    <row r="611" ht="15" customHeight="1">
      <c r="A611" t="inlineStr">
        <is>
          <t>A 21206-2025</t>
        </is>
      </c>
      <c r="B611" s="1" t="n">
        <v>45779.48318287037</v>
      </c>
      <c r="C611" s="1" t="n">
        <v>46079</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61524-2022</t>
        </is>
      </c>
      <c r="B612" s="1" t="n">
        <v>44910</v>
      </c>
      <c r="C612" s="1" t="n">
        <v>46079</v>
      </c>
      <c r="D612" t="inlineStr">
        <is>
          <t>SKÅNE LÄN</t>
        </is>
      </c>
      <c r="E612" t="inlineStr">
        <is>
          <t>HÄSSLEHOLM</t>
        </is>
      </c>
      <c r="F612" t="inlineStr">
        <is>
          <t>Kyrkan</t>
        </is>
      </c>
      <c r="G612" t="n">
        <v>2.1</v>
      </c>
      <c r="H612" t="n">
        <v>0</v>
      </c>
      <c r="I612" t="n">
        <v>0</v>
      </c>
      <c r="J612" t="n">
        <v>0</v>
      </c>
      <c r="K612" t="n">
        <v>0</v>
      </c>
      <c r="L612" t="n">
        <v>0</v>
      </c>
      <c r="M612" t="n">
        <v>0</v>
      </c>
      <c r="N612" t="n">
        <v>0</v>
      </c>
      <c r="O612" t="n">
        <v>0</v>
      </c>
      <c r="P612" t="n">
        <v>0</v>
      </c>
      <c r="Q612" t="n">
        <v>0</v>
      </c>
      <c r="R612" s="2" t="inlineStr"/>
    </row>
    <row r="613" ht="15" customHeight="1">
      <c r="A613" t="inlineStr">
        <is>
          <t>A 31391-2023</t>
        </is>
      </c>
      <c r="B613" s="1" t="n">
        <v>45114.56143518518</v>
      </c>
      <c r="C613" s="1" t="n">
        <v>46079</v>
      </c>
      <c r="D613" t="inlineStr">
        <is>
          <t>SKÅNE LÄN</t>
        </is>
      </c>
      <c r="E613" t="inlineStr">
        <is>
          <t>HÄSSLEHOLM</t>
        </is>
      </c>
      <c r="G613" t="n">
        <v>3.1</v>
      </c>
      <c r="H613" t="n">
        <v>0</v>
      </c>
      <c r="I613" t="n">
        <v>0</v>
      </c>
      <c r="J613" t="n">
        <v>0</v>
      </c>
      <c r="K613" t="n">
        <v>0</v>
      </c>
      <c r="L613" t="n">
        <v>0</v>
      </c>
      <c r="M613" t="n">
        <v>0</v>
      </c>
      <c r="N613" t="n">
        <v>0</v>
      </c>
      <c r="O613" t="n">
        <v>0</v>
      </c>
      <c r="P613" t="n">
        <v>0</v>
      </c>
      <c r="Q613" t="n">
        <v>0</v>
      </c>
      <c r="R613" s="2" t="inlineStr"/>
    </row>
    <row r="614" ht="15" customHeight="1">
      <c r="A614" t="inlineStr">
        <is>
          <t>A 45361-2023</t>
        </is>
      </c>
      <c r="B614" s="1" t="n">
        <v>45192.49068287037</v>
      </c>
      <c r="C614" s="1" t="n">
        <v>46079</v>
      </c>
      <c r="D614" t="inlineStr">
        <is>
          <t>SKÅNE LÄN</t>
        </is>
      </c>
      <c r="E614" t="inlineStr">
        <is>
          <t>HÄSSLEHOLM</t>
        </is>
      </c>
      <c r="G614" t="n">
        <v>1.9</v>
      </c>
      <c r="H614" t="n">
        <v>0</v>
      </c>
      <c r="I614" t="n">
        <v>0</v>
      </c>
      <c r="J614" t="n">
        <v>0</v>
      </c>
      <c r="K614" t="n">
        <v>0</v>
      </c>
      <c r="L614" t="n">
        <v>0</v>
      </c>
      <c r="M614" t="n">
        <v>0</v>
      </c>
      <c r="N614" t="n">
        <v>0</v>
      </c>
      <c r="O614" t="n">
        <v>0</v>
      </c>
      <c r="P614" t="n">
        <v>0</v>
      </c>
      <c r="Q614" t="n">
        <v>0</v>
      </c>
      <c r="R614" s="2" t="inlineStr"/>
    </row>
    <row r="615" ht="15" customHeight="1">
      <c r="A615" t="inlineStr">
        <is>
          <t>A 61533-2022</t>
        </is>
      </c>
      <c r="B615" s="1" t="n">
        <v>44910</v>
      </c>
      <c r="C615" s="1" t="n">
        <v>46079</v>
      </c>
      <c r="D615" t="inlineStr">
        <is>
          <t>SKÅNE LÄN</t>
        </is>
      </c>
      <c r="E615" t="inlineStr">
        <is>
          <t>HÄSSLEHOLM</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45220-2023</t>
        </is>
      </c>
      <c r="B616" s="1" t="n">
        <v>45191</v>
      </c>
      <c r="C616" s="1" t="n">
        <v>46079</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38712-2024</t>
        </is>
      </c>
      <c r="B617" s="1" t="n">
        <v>45547</v>
      </c>
      <c r="C617" s="1" t="n">
        <v>46079</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57647-2024</t>
        </is>
      </c>
      <c r="B618" s="1" t="n">
        <v>45630</v>
      </c>
      <c r="C618" s="1" t="n">
        <v>46079</v>
      </c>
      <c r="D618" t="inlineStr">
        <is>
          <t>SKÅNE LÄN</t>
        </is>
      </c>
      <c r="E618" t="inlineStr">
        <is>
          <t>HÄSSLEHOLM</t>
        </is>
      </c>
      <c r="G618" t="n">
        <v>2.9</v>
      </c>
      <c r="H618" t="n">
        <v>0</v>
      </c>
      <c r="I618" t="n">
        <v>0</v>
      </c>
      <c r="J618" t="n">
        <v>0</v>
      </c>
      <c r="K618" t="n">
        <v>0</v>
      </c>
      <c r="L618" t="n">
        <v>0</v>
      </c>
      <c r="M618" t="n">
        <v>0</v>
      </c>
      <c r="N618" t="n">
        <v>0</v>
      </c>
      <c r="O618" t="n">
        <v>0</v>
      </c>
      <c r="P618" t="n">
        <v>0</v>
      </c>
      <c r="Q618" t="n">
        <v>0</v>
      </c>
      <c r="R618" s="2" t="inlineStr"/>
    </row>
    <row r="619" ht="15" customHeight="1">
      <c r="A619" t="inlineStr">
        <is>
          <t>A 29845-2024</t>
        </is>
      </c>
      <c r="B619" s="1" t="n">
        <v>45485.6212037037</v>
      </c>
      <c r="C619" s="1" t="n">
        <v>46079</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20006-2025</t>
        </is>
      </c>
      <c r="B620" s="1" t="n">
        <v>45772.05032407407</v>
      </c>
      <c r="C620" s="1" t="n">
        <v>46079</v>
      </c>
      <c r="D620" t="inlineStr">
        <is>
          <t>SKÅNE LÄN</t>
        </is>
      </c>
      <c r="E620" t="inlineStr">
        <is>
          <t>HÄSSLEHOLM</t>
        </is>
      </c>
      <c r="G620" t="n">
        <v>3.9</v>
      </c>
      <c r="H620" t="n">
        <v>0</v>
      </c>
      <c r="I620" t="n">
        <v>0</v>
      </c>
      <c r="J620" t="n">
        <v>0</v>
      </c>
      <c r="K620" t="n">
        <v>0</v>
      </c>
      <c r="L620" t="n">
        <v>0</v>
      </c>
      <c r="M620" t="n">
        <v>0</v>
      </c>
      <c r="N620" t="n">
        <v>0</v>
      </c>
      <c r="O620" t="n">
        <v>0</v>
      </c>
      <c r="P620" t="n">
        <v>0</v>
      </c>
      <c r="Q620" t="n">
        <v>0</v>
      </c>
      <c r="R620" s="2" t="inlineStr"/>
    </row>
    <row r="621" ht="15" customHeight="1">
      <c r="A621" t="inlineStr">
        <is>
          <t>A 61533-2024</t>
        </is>
      </c>
      <c r="B621" s="1" t="n">
        <v>45646</v>
      </c>
      <c r="C621" s="1" t="n">
        <v>46079</v>
      </c>
      <c r="D621" t="inlineStr">
        <is>
          <t>SKÅNE LÄN</t>
        </is>
      </c>
      <c r="E621" t="inlineStr">
        <is>
          <t>HÄSSLEHOLM</t>
        </is>
      </c>
      <c r="G621" t="n">
        <v>4.5</v>
      </c>
      <c r="H621" t="n">
        <v>0</v>
      </c>
      <c r="I621" t="n">
        <v>0</v>
      </c>
      <c r="J621" t="n">
        <v>0</v>
      </c>
      <c r="K621" t="n">
        <v>0</v>
      </c>
      <c r="L621" t="n">
        <v>0</v>
      </c>
      <c r="M621" t="n">
        <v>0</v>
      </c>
      <c r="N621" t="n">
        <v>0</v>
      </c>
      <c r="O621" t="n">
        <v>0</v>
      </c>
      <c r="P621" t="n">
        <v>0</v>
      </c>
      <c r="Q621" t="n">
        <v>0</v>
      </c>
      <c r="R621" s="2" t="inlineStr"/>
    </row>
    <row r="622" ht="15" customHeight="1">
      <c r="A622" t="inlineStr">
        <is>
          <t>A 61537-2024</t>
        </is>
      </c>
      <c r="B622" s="1" t="n">
        <v>45646</v>
      </c>
      <c r="C622" s="1" t="n">
        <v>46079</v>
      </c>
      <c r="D622" t="inlineStr">
        <is>
          <t>SKÅNE LÄN</t>
        </is>
      </c>
      <c r="E622" t="inlineStr">
        <is>
          <t>HÄSSLEHOLM</t>
        </is>
      </c>
      <c r="G622" t="n">
        <v>3.7</v>
      </c>
      <c r="H622" t="n">
        <v>0</v>
      </c>
      <c r="I622" t="n">
        <v>0</v>
      </c>
      <c r="J622" t="n">
        <v>0</v>
      </c>
      <c r="K622" t="n">
        <v>0</v>
      </c>
      <c r="L622" t="n">
        <v>0</v>
      </c>
      <c r="M622" t="n">
        <v>0</v>
      </c>
      <c r="N622" t="n">
        <v>0</v>
      </c>
      <c r="O622" t="n">
        <v>0</v>
      </c>
      <c r="P622" t="n">
        <v>0</v>
      </c>
      <c r="Q622" t="n">
        <v>0</v>
      </c>
      <c r="R622" s="2" t="inlineStr"/>
    </row>
    <row r="623" ht="15" customHeight="1">
      <c r="A623" t="inlineStr">
        <is>
          <t>A 21638-2025</t>
        </is>
      </c>
      <c r="B623" s="1" t="n">
        <v>45783.43087962963</v>
      </c>
      <c r="C623" s="1" t="n">
        <v>46079</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61182-2024</t>
        </is>
      </c>
      <c r="B624" s="1" t="n">
        <v>45645</v>
      </c>
      <c r="C624" s="1" t="n">
        <v>46079</v>
      </c>
      <c r="D624" t="inlineStr">
        <is>
          <t>SKÅNE LÄN</t>
        </is>
      </c>
      <c r="E624" t="inlineStr">
        <is>
          <t>HÄSSLEHOLM</t>
        </is>
      </c>
      <c r="G624" t="n">
        <v>3.2</v>
      </c>
      <c r="H624" t="n">
        <v>0</v>
      </c>
      <c r="I624" t="n">
        <v>0</v>
      </c>
      <c r="J624" t="n">
        <v>0</v>
      </c>
      <c r="K624" t="n">
        <v>0</v>
      </c>
      <c r="L624" t="n">
        <v>0</v>
      </c>
      <c r="M624" t="n">
        <v>0</v>
      </c>
      <c r="N624" t="n">
        <v>0</v>
      </c>
      <c r="O624" t="n">
        <v>0</v>
      </c>
      <c r="P624" t="n">
        <v>0</v>
      </c>
      <c r="Q624" t="n">
        <v>0</v>
      </c>
      <c r="R624" s="2" t="inlineStr"/>
    </row>
    <row r="625" ht="15" customHeight="1">
      <c r="A625" t="inlineStr">
        <is>
          <t>A 7818-2024</t>
        </is>
      </c>
      <c r="B625" s="1" t="n">
        <v>45349.68872685185</v>
      </c>
      <c r="C625" s="1" t="n">
        <v>46079</v>
      </c>
      <c r="D625" t="inlineStr">
        <is>
          <t>SKÅNE LÄN</t>
        </is>
      </c>
      <c r="E625" t="inlineStr">
        <is>
          <t>HÄSSLEHOLM</t>
        </is>
      </c>
      <c r="G625" t="n">
        <v>2.5</v>
      </c>
      <c r="H625" t="n">
        <v>0</v>
      </c>
      <c r="I625" t="n">
        <v>0</v>
      </c>
      <c r="J625" t="n">
        <v>0</v>
      </c>
      <c r="K625" t="n">
        <v>0</v>
      </c>
      <c r="L625" t="n">
        <v>0</v>
      </c>
      <c r="M625" t="n">
        <v>0</v>
      </c>
      <c r="N625" t="n">
        <v>0</v>
      </c>
      <c r="O625" t="n">
        <v>0</v>
      </c>
      <c r="P625" t="n">
        <v>0</v>
      </c>
      <c r="Q625" t="n">
        <v>0</v>
      </c>
      <c r="R625" s="2" t="inlineStr"/>
    </row>
    <row r="626" ht="15" customHeight="1">
      <c r="A626" t="inlineStr">
        <is>
          <t>A 13990-2022</t>
        </is>
      </c>
      <c r="B626" s="1" t="n">
        <v>44650</v>
      </c>
      <c r="C626" s="1" t="n">
        <v>46079</v>
      </c>
      <c r="D626" t="inlineStr">
        <is>
          <t>SKÅNE LÄN</t>
        </is>
      </c>
      <c r="E626" t="inlineStr">
        <is>
          <t>HÄSSLEHOLM</t>
        </is>
      </c>
      <c r="G626" t="n">
        <v>3.6</v>
      </c>
      <c r="H626" t="n">
        <v>0</v>
      </c>
      <c r="I626" t="n">
        <v>0</v>
      </c>
      <c r="J626" t="n">
        <v>0</v>
      </c>
      <c r="K626" t="n">
        <v>0</v>
      </c>
      <c r="L626" t="n">
        <v>0</v>
      </c>
      <c r="M626" t="n">
        <v>0</v>
      </c>
      <c r="N626" t="n">
        <v>0</v>
      </c>
      <c r="O626" t="n">
        <v>0</v>
      </c>
      <c r="P626" t="n">
        <v>0</v>
      </c>
      <c r="Q626" t="n">
        <v>0</v>
      </c>
      <c r="R626" s="2" t="inlineStr"/>
    </row>
    <row r="627" ht="15" customHeight="1">
      <c r="A627" t="inlineStr">
        <is>
          <t>A 8619-2023</t>
        </is>
      </c>
      <c r="B627" s="1" t="n">
        <v>44977.81979166667</v>
      </c>
      <c r="C627" s="1" t="n">
        <v>46079</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49219-2021</t>
        </is>
      </c>
      <c r="B628" s="1" t="n">
        <v>44454</v>
      </c>
      <c r="C628" s="1" t="n">
        <v>46079</v>
      </c>
      <c r="D628" t="inlineStr">
        <is>
          <t>SKÅNE LÄN</t>
        </is>
      </c>
      <c r="E628" t="inlineStr">
        <is>
          <t>HÄSSLEHOLM</t>
        </is>
      </c>
      <c r="G628" t="n">
        <v>7.8</v>
      </c>
      <c r="H628" t="n">
        <v>0</v>
      </c>
      <c r="I628" t="n">
        <v>0</v>
      </c>
      <c r="J628" t="n">
        <v>0</v>
      </c>
      <c r="K628" t="n">
        <v>0</v>
      </c>
      <c r="L628" t="n">
        <v>0</v>
      </c>
      <c r="M628" t="n">
        <v>0</v>
      </c>
      <c r="N628" t="n">
        <v>0</v>
      </c>
      <c r="O628" t="n">
        <v>0</v>
      </c>
      <c r="P628" t="n">
        <v>0</v>
      </c>
      <c r="Q628" t="n">
        <v>0</v>
      </c>
      <c r="R628" s="2" t="inlineStr"/>
    </row>
    <row r="629" ht="15" customHeight="1">
      <c r="A629" t="inlineStr">
        <is>
          <t>A 25219-2023</t>
        </is>
      </c>
      <c r="B629" s="1" t="n">
        <v>45086.60541666667</v>
      </c>
      <c r="C629" s="1" t="n">
        <v>46079</v>
      </c>
      <c r="D629" t="inlineStr">
        <is>
          <t>SKÅNE LÄN</t>
        </is>
      </c>
      <c r="E629" t="inlineStr">
        <is>
          <t>HÄSSLEHOLM</t>
        </is>
      </c>
      <c r="G629" t="n">
        <v>6.9</v>
      </c>
      <c r="H629" t="n">
        <v>0</v>
      </c>
      <c r="I629" t="n">
        <v>0</v>
      </c>
      <c r="J629" t="n">
        <v>0</v>
      </c>
      <c r="K629" t="n">
        <v>0</v>
      </c>
      <c r="L629" t="n">
        <v>0</v>
      </c>
      <c r="M629" t="n">
        <v>0</v>
      </c>
      <c r="N629" t="n">
        <v>0</v>
      </c>
      <c r="O629" t="n">
        <v>0</v>
      </c>
      <c r="P629" t="n">
        <v>0</v>
      </c>
      <c r="Q629" t="n">
        <v>0</v>
      </c>
      <c r="R629" s="2" t="inlineStr"/>
    </row>
    <row r="630" ht="15" customHeight="1">
      <c r="A630" t="inlineStr">
        <is>
          <t>A 9302-2025</t>
        </is>
      </c>
      <c r="B630" s="1" t="n">
        <v>45714.67233796296</v>
      </c>
      <c r="C630" s="1" t="n">
        <v>46079</v>
      </c>
      <c r="D630" t="inlineStr">
        <is>
          <t>SKÅNE LÄN</t>
        </is>
      </c>
      <c r="E630" t="inlineStr">
        <is>
          <t>HÄSSLEHOLM</t>
        </is>
      </c>
      <c r="G630" t="n">
        <v>2.6</v>
      </c>
      <c r="H630" t="n">
        <v>0</v>
      </c>
      <c r="I630" t="n">
        <v>0</v>
      </c>
      <c r="J630" t="n">
        <v>0</v>
      </c>
      <c r="K630" t="n">
        <v>0</v>
      </c>
      <c r="L630" t="n">
        <v>0</v>
      </c>
      <c r="M630" t="n">
        <v>0</v>
      </c>
      <c r="N630" t="n">
        <v>0</v>
      </c>
      <c r="O630" t="n">
        <v>0</v>
      </c>
      <c r="P630" t="n">
        <v>0</v>
      </c>
      <c r="Q630" t="n">
        <v>0</v>
      </c>
      <c r="R630" s="2" t="inlineStr"/>
    </row>
    <row r="631" ht="15" customHeight="1">
      <c r="A631" t="inlineStr">
        <is>
          <t>A 9322-2025</t>
        </is>
      </c>
      <c r="B631" s="1" t="n">
        <v>45714.72241898148</v>
      </c>
      <c r="C631" s="1" t="n">
        <v>46079</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46000-2021</t>
        </is>
      </c>
      <c r="B632" s="1" t="n">
        <v>44441</v>
      </c>
      <c r="C632" s="1" t="n">
        <v>46079</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39111-2023</t>
        </is>
      </c>
      <c r="B633" s="1" t="n">
        <v>45164.87140046297</v>
      </c>
      <c r="C633" s="1" t="n">
        <v>46079</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60851-2024</t>
        </is>
      </c>
      <c r="B634" s="1" t="n">
        <v>45644.66182870371</v>
      </c>
      <c r="C634" s="1" t="n">
        <v>46079</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37300-2023</t>
        </is>
      </c>
      <c r="B635" s="1" t="n">
        <v>45156</v>
      </c>
      <c r="C635" s="1" t="n">
        <v>46079</v>
      </c>
      <c r="D635" t="inlineStr">
        <is>
          <t>SKÅNE LÄN</t>
        </is>
      </c>
      <c r="E635" t="inlineStr">
        <is>
          <t>HÄSSLEHOLM</t>
        </is>
      </c>
      <c r="G635" t="n">
        <v>1.5</v>
      </c>
      <c r="H635" t="n">
        <v>0</v>
      </c>
      <c r="I635" t="n">
        <v>0</v>
      </c>
      <c r="J635" t="n">
        <v>0</v>
      </c>
      <c r="K635" t="n">
        <v>0</v>
      </c>
      <c r="L635" t="n">
        <v>0</v>
      </c>
      <c r="M635" t="n">
        <v>0</v>
      </c>
      <c r="N635" t="n">
        <v>0</v>
      </c>
      <c r="O635" t="n">
        <v>0</v>
      </c>
      <c r="P635" t="n">
        <v>0</v>
      </c>
      <c r="Q635" t="n">
        <v>0</v>
      </c>
      <c r="R635" s="2" t="inlineStr"/>
    </row>
    <row r="636" ht="15" customHeight="1">
      <c r="A636" t="inlineStr">
        <is>
          <t>A 317-2025</t>
        </is>
      </c>
      <c r="B636" s="1" t="n">
        <v>45660</v>
      </c>
      <c r="C636" s="1" t="n">
        <v>46079</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21625-2025</t>
        </is>
      </c>
      <c r="B637" s="1" t="n">
        <v>45783.41252314814</v>
      </c>
      <c r="C637" s="1" t="n">
        <v>46079</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62171-2022</t>
        </is>
      </c>
      <c r="B638" s="1" t="n">
        <v>44915</v>
      </c>
      <c r="C638" s="1" t="n">
        <v>46079</v>
      </c>
      <c r="D638" t="inlineStr">
        <is>
          <t>SKÅNE LÄN</t>
        </is>
      </c>
      <c r="E638" t="inlineStr">
        <is>
          <t>HÄSSLEHOLM</t>
        </is>
      </c>
      <c r="F638" t="inlineStr">
        <is>
          <t>Kyrkan</t>
        </is>
      </c>
      <c r="G638" t="n">
        <v>9</v>
      </c>
      <c r="H638" t="n">
        <v>0</v>
      </c>
      <c r="I638" t="n">
        <v>0</v>
      </c>
      <c r="J638" t="n">
        <v>0</v>
      </c>
      <c r="K638" t="n">
        <v>0</v>
      </c>
      <c r="L638" t="n">
        <v>0</v>
      </c>
      <c r="M638" t="n">
        <v>0</v>
      </c>
      <c r="N638" t="n">
        <v>0</v>
      </c>
      <c r="O638" t="n">
        <v>0</v>
      </c>
      <c r="P638" t="n">
        <v>0</v>
      </c>
      <c r="Q638" t="n">
        <v>0</v>
      </c>
      <c r="R638" s="2" t="inlineStr"/>
    </row>
    <row r="639" ht="15" customHeight="1">
      <c r="A639" t="inlineStr">
        <is>
          <t>A 39915-2023</t>
        </is>
      </c>
      <c r="B639" s="1" t="n">
        <v>45168.4684375</v>
      </c>
      <c r="C639" s="1" t="n">
        <v>46079</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32100-2024</t>
        </is>
      </c>
      <c r="B640" s="1" t="n">
        <v>45511.41451388889</v>
      </c>
      <c r="C640" s="1" t="n">
        <v>46079</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33481-2024</t>
        </is>
      </c>
      <c r="B641" s="1" t="n">
        <v>45519</v>
      </c>
      <c r="C641" s="1" t="n">
        <v>46079</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48807-2021</t>
        </is>
      </c>
      <c r="B642" s="1" t="n">
        <v>44452</v>
      </c>
      <c r="C642" s="1" t="n">
        <v>46079</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54176-2022</t>
        </is>
      </c>
      <c r="B643" s="1" t="n">
        <v>44881</v>
      </c>
      <c r="C643" s="1" t="n">
        <v>46079</v>
      </c>
      <c r="D643" t="inlineStr">
        <is>
          <t>SKÅNE LÄN</t>
        </is>
      </c>
      <c r="E643" t="inlineStr">
        <is>
          <t>HÄSSLEHOLM</t>
        </is>
      </c>
      <c r="G643" t="n">
        <v>1.1</v>
      </c>
      <c r="H643" t="n">
        <v>0</v>
      </c>
      <c r="I643" t="n">
        <v>0</v>
      </c>
      <c r="J643" t="n">
        <v>0</v>
      </c>
      <c r="K643" t="n">
        <v>0</v>
      </c>
      <c r="L643" t="n">
        <v>0</v>
      </c>
      <c r="M643" t="n">
        <v>0</v>
      </c>
      <c r="N643" t="n">
        <v>0</v>
      </c>
      <c r="O643" t="n">
        <v>0</v>
      </c>
      <c r="P643" t="n">
        <v>0</v>
      </c>
      <c r="Q643" t="n">
        <v>0</v>
      </c>
      <c r="R643" s="2" t="inlineStr"/>
    </row>
    <row r="644" ht="15" customHeight="1">
      <c r="A644" t="inlineStr">
        <is>
          <t>A 16614-2025</t>
        </is>
      </c>
      <c r="B644" s="1" t="n">
        <v>45754.283125</v>
      </c>
      <c r="C644" s="1" t="n">
        <v>46079</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35890-2023</t>
        </is>
      </c>
      <c r="B645" s="1" t="n">
        <v>45148</v>
      </c>
      <c r="C645" s="1" t="n">
        <v>46079</v>
      </c>
      <c r="D645" t="inlineStr">
        <is>
          <t>SKÅNE LÄN</t>
        </is>
      </c>
      <c r="E645" t="inlineStr">
        <is>
          <t>HÄSSLEHOLM</t>
        </is>
      </c>
      <c r="G645" t="n">
        <v>2</v>
      </c>
      <c r="H645" t="n">
        <v>0</v>
      </c>
      <c r="I645" t="n">
        <v>0</v>
      </c>
      <c r="J645" t="n">
        <v>0</v>
      </c>
      <c r="K645" t="n">
        <v>0</v>
      </c>
      <c r="L645" t="n">
        <v>0</v>
      </c>
      <c r="M645" t="n">
        <v>0</v>
      </c>
      <c r="N645" t="n">
        <v>0</v>
      </c>
      <c r="O645" t="n">
        <v>0</v>
      </c>
      <c r="P645" t="n">
        <v>0</v>
      </c>
      <c r="Q645" t="n">
        <v>0</v>
      </c>
      <c r="R645" s="2" t="inlineStr"/>
    </row>
    <row r="646" ht="15" customHeight="1">
      <c r="A646" t="inlineStr">
        <is>
          <t>A 35895-2023</t>
        </is>
      </c>
      <c r="B646" s="1" t="n">
        <v>45148</v>
      </c>
      <c r="C646" s="1" t="n">
        <v>46079</v>
      </c>
      <c r="D646" t="inlineStr">
        <is>
          <t>SKÅNE LÄN</t>
        </is>
      </c>
      <c r="E646" t="inlineStr">
        <is>
          <t>HÄSSLEHOLM</t>
        </is>
      </c>
      <c r="G646" t="n">
        <v>0.4</v>
      </c>
      <c r="H646" t="n">
        <v>0</v>
      </c>
      <c r="I646" t="n">
        <v>0</v>
      </c>
      <c r="J646" t="n">
        <v>0</v>
      </c>
      <c r="K646" t="n">
        <v>0</v>
      </c>
      <c r="L646" t="n">
        <v>0</v>
      </c>
      <c r="M646" t="n">
        <v>0</v>
      </c>
      <c r="N646" t="n">
        <v>0</v>
      </c>
      <c r="O646" t="n">
        <v>0</v>
      </c>
      <c r="P646" t="n">
        <v>0</v>
      </c>
      <c r="Q646" t="n">
        <v>0</v>
      </c>
      <c r="R646" s="2" t="inlineStr"/>
    </row>
    <row r="647" ht="15" customHeight="1">
      <c r="A647" t="inlineStr">
        <is>
          <t>A 23723-2023</t>
        </is>
      </c>
      <c r="B647" s="1" t="n">
        <v>45077</v>
      </c>
      <c r="C647" s="1" t="n">
        <v>46079</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4734-2025</t>
        </is>
      </c>
      <c r="B648" s="1" t="n">
        <v>45688.44030092593</v>
      </c>
      <c r="C648" s="1" t="n">
        <v>46079</v>
      </c>
      <c r="D648" t="inlineStr">
        <is>
          <t>SKÅNE LÄN</t>
        </is>
      </c>
      <c r="E648" t="inlineStr">
        <is>
          <t>HÄSSLEHOLM</t>
        </is>
      </c>
      <c r="G648" t="n">
        <v>19.6</v>
      </c>
      <c r="H648" t="n">
        <v>0</v>
      </c>
      <c r="I648" t="n">
        <v>0</v>
      </c>
      <c r="J648" t="n">
        <v>0</v>
      </c>
      <c r="K648" t="n">
        <v>0</v>
      </c>
      <c r="L648" t="n">
        <v>0</v>
      </c>
      <c r="M648" t="n">
        <v>0</v>
      </c>
      <c r="N648" t="n">
        <v>0</v>
      </c>
      <c r="O648" t="n">
        <v>0</v>
      </c>
      <c r="P648" t="n">
        <v>0</v>
      </c>
      <c r="Q648" t="n">
        <v>0</v>
      </c>
      <c r="R648" s="2" t="inlineStr"/>
    </row>
    <row r="649" ht="15" customHeight="1">
      <c r="A649" t="inlineStr">
        <is>
          <t>A 4750-2024</t>
        </is>
      </c>
      <c r="B649" s="1" t="n">
        <v>45328</v>
      </c>
      <c r="C649" s="1" t="n">
        <v>46079</v>
      </c>
      <c r="D649" t="inlineStr">
        <is>
          <t>SKÅNE LÄN</t>
        </is>
      </c>
      <c r="E649" t="inlineStr">
        <is>
          <t>HÄSSLEHOLM</t>
        </is>
      </c>
      <c r="G649" t="n">
        <v>0.3</v>
      </c>
      <c r="H649" t="n">
        <v>0</v>
      </c>
      <c r="I649" t="n">
        <v>0</v>
      </c>
      <c r="J649" t="n">
        <v>0</v>
      </c>
      <c r="K649" t="n">
        <v>0</v>
      </c>
      <c r="L649" t="n">
        <v>0</v>
      </c>
      <c r="M649" t="n">
        <v>0</v>
      </c>
      <c r="N649" t="n">
        <v>0</v>
      </c>
      <c r="O649" t="n">
        <v>0</v>
      </c>
      <c r="P649" t="n">
        <v>0</v>
      </c>
      <c r="Q649" t="n">
        <v>0</v>
      </c>
      <c r="R649" s="2" t="inlineStr"/>
    </row>
    <row r="650" ht="15" customHeight="1">
      <c r="A650" t="inlineStr">
        <is>
          <t>A 4945-2022</t>
        </is>
      </c>
      <c r="B650" s="1" t="n">
        <v>44593</v>
      </c>
      <c r="C650" s="1" t="n">
        <v>46079</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23956-2023</t>
        </is>
      </c>
      <c r="B651" s="1" t="n">
        <v>45078.62302083334</v>
      </c>
      <c r="C651" s="1" t="n">
        <v>46079</v>
      </c>
      <c r="D651" t="inlineStr">
        <is>
          <t>SKÅNE LÄN</t>
        </is>
      </c>
      <c r="E651" t="inlineStr">
        <is>
          <t>HÄSSLEHOLM</t>
        </is>
      </c>
      <c r="G651" t="n">
        <v>0.1</v>
      </c>
      <c r="H651" t="n">
        <v>0</v>
      </c>
      <c r="I651" t="n">
        <v>0</v>
      </c>
      <c r="J651" t="n">
        <v>0</v>
      </c>
      <c r="K651" t="n">
        <v>0</v>
      </c>
      <c r="L651" t="n">
        <v>0</v>
      </c>
      <c r="M651" t="n">
        <v>0</v>
      </c>
      <c r="N651" t="n">
        <v>0</v>
      </c>
      <c r="O651" t="n">
        <v>0</v>
      </c>
      <c r="P651" t="n">
        <v>0</v>
      </c>
      <c r="Q651" t="n">
        <v>0</v>
      </c>
      <c r="R651" s="2" t="inlineStr"/>
    </row>
    <row r="652" ht="15" customHeight="1">
      <c r="A652" t="inlineStr">
        <is>
          <t>A 11708-2025</t>
        </is>
      </c>
      <c r="B652" s="1" t="n">
        <v>45727.58626157408</v>
      </c>
      <c r="C652" s="1" t="n">
        <v>46079</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26403-2024</t>
        </is>
      </c>
      <c r="B653" s="1" t="n">
        <v>45469.44505787037</v>
      </c>
      <c r="C653" s="1" t="n">
        <v>46079</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26403-2024</t>
        </is>
      </c>
      <c r="B654" s="1" t="n">
        <v>45469.44505787037</v>
      </c>
      <c r="C654" s="1" t="n">
        <v>46079</v>
      </c>
      <c r="D654" t="inlineStr">
        <is>
          <t>SKÅNE LÄN</t>
        </is>
      </c>
      <c r="E654" t="inlineStr">
        <is>
          <t>HÄSSLEHOLM</t>
        </is>
      </c>
      <c r="G654" t="n">
        <v>2.6</v>
      </c>
      <c r="H654" t="n">
        <v>0</v>
      </c>
      <c r="I654" t="n">
        <v>0</v>
      </c>
      <c r="J654" t="n">
        <v>0</v>
      </c>
      <c r="K654" t="n">
        <v>0</v>
      </c>
      <c r="L654" t="n">
        <v>0</v>
      </c>
      <c r="M654" t="n">
        <v>0</v>
      </c>
      <c r="N654" t="n">
        <v>0</v>
      </c>
      <c r="O654" t="n">
        <v>0</v>
      </c>
      <c r="P654" t="n">
        <v>0</v>
      </c>
      <c r="Q654" t="n">
        <v>0</v>
      </c>
      <c r="R654" s="2" t="inlineStr"/>
    </row>
    <row r="655" ht="15" customHeight="1">
      <c r="A655" t="inlineStr">
        <is>
          <t>A 24776-2025</t>
        </is>
      </c>
      <c r="B655" s="1" t="n">
        <v>45799.40640046296</v>
      </c>
      <c r="C655" s="1" t="n">
        <v>46079</v>
      </c>
      <c r="D655" t="inlineStr">
        <is>
          <t>SKÅNE LÄN</t>
        </is>
      </c>
      <c r="E655" t="inlineStr">
        <is>
          <t>HÄSSLEHOLM</t>
        </is>
      </c>
      <c r="G655" t="n">
        <v>5.4</v>
      </c>
      <c r="H655" t="n">
        <v>0</v>
      </c>
      <c r="I655" t="n">
        <v>0</v>
      </c>
      <c r="J655" t="n">
        <v>0</v>
      </c>
      <c r="K655" t="n">
        <v>0</v>
      </c>
      <c r="L655" t="n">
        <v>0</v>
      </c>
      <c r="M655" t="n">
        <v>0</v>
      </c>
      <c r="N655" t="n">
        <v>0</v>
      </c>
      <c r="O655" t="n">
        <v>0</v>
      </c>
      <c r="P655" t="n">
        <v>0</v>
      </c>
      <c r="Q655" t="n">
        <v>0</v>
      </c>
      <c r="R655" s="2" t="inlineStr"/>
    </row>
    <row r="656" ht="15" customHeight="1">
      <c r="A656" t="inlineStr">
        <is>
          <t>A 47248-2023</t>
        </is>
      </c>
      <c r="B656" s="1" t="n">
        <v>45202</v>
      </c>
      <c r="C656" s="1" t="n">
        <v>46079</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38306-2022</t>
        </is>
      </c>
      <c r="B657" s="1" t="n">
        <v>44812.57515046297</v>
      </c>
      <c r="C657" s="1" t="n">
        <v>46079</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35845-2022</t>
        </is>
      </c>
      <c r="B658" s="1" t="n">
        <v>44802</v>
      </c>
      <c r="C658" s="1" t="n">
        <v>46079</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48112-2024</t>
        </is>
      </c>
      <c r="B659" s="1" t="n">
        <v>45589.6295949074</v>
      </c>
      <c r="C659" s="1" t="n">
        <v>46079</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9239-2025</t>
        </is>
      </c>
      <c r="B660" s="1" t="n">
        <v>45714</v>
      </c>
      <c r="C660" s="1" t="n">
        <v>46079</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16121-2025</t>
        </is>
      </c>
      <c r="B661" s="1" t="n">
        <v>45750.40384259259</v>
      </c>
      <c r="C661" s="1" t="n">
        <v>46079</v>
      </c>
      <c r="D661" t="inlineStr">
        <is>
          <t>SKÅNE LÄN</t>
        </is>
      </c>
      <c r="E661" t="inlineStr">
        <is>
          <t>HÄSSLEHOLM</t>
        </is>
      </c>
      <c r="G661" t="n">
        <v>1.6</v>
      </c>
      <c r="H661" t="n">
        <v>0</v>
      </c>
      <c r="I661" t="n">
        <v>0</v>
      </c>
      <c r="J661" t="n">
        <v>0</v>
      </c>
      <c r="K661" t="n">
        <v>0</v>
      </c>
      <c r="L661" t="n">
        <v>0</v>
      </c>
      <c r="M661" t="n">
        <v>0</v>
      </c>
      <c r="N661" t="n">
        <v>0</v>
      </c>
      <c r="O661" t="n">
        <v>0</v>
      </c>
      <c r="P661" t="n">
        <v>0</v>
      </c>
      <c r="Q661" t="n">
        <v>0</v>
      </c>
      <c r="R661" s="2" t="inlineStr"/>
    </row>
    <row r="662" ht="15" customHeight="1">
      <c r="A662" t="inlineStr">
        <is>
          <t>A 28599-2024</t>
        </is>
      </c>
      <c r="B662" s="1" t="n">
        <v>45478.4247800926</v>
      </c>
      <c r="C662" s="1" t="n">
        <v>46079</v>
      </c>
      <c r="D662" t="inlineStr">
        <is>
          <t>SKÅNE LÄN</t>
        </is>
      </c>
      <c r="E662" t="inlineStr">
        <is>
          <t>HÄSSLEHOLM</t>
        </is>
      </c>
      <c r="G662" t="n">
        <v>8.6</v>
      </c>
      <c r="H662" t="n">
        <v>0</v>
      </c>
      <c r="I662" t="n">
        <v>0</v>
      </c>
      <c r="J662" t="n">
        <v>0</v>
      </c>
      <c r="K662" t="n">
        <v>0</v>
      </c>
      <c r="L662" t="n">
        <v>0</v>
      </c>
      <c r="M662" t="n">
        <v>0</v>
      </c>
      <c r="N662" t="n">
        <v>0</v>
      </c>
      <c r="O662" t="n">
        <v>0</v>
      </c>
      <c r="P662" t="n">
        <v>0</v>
      </c>
      <c r="Q662" t="n">
        <v>0</v>
      </c>
      <c r="R662" s="2" t="inlineStr"/>
    </row>
    <row r="663" ht="15" customHeight="1">
      <c r="A663" t="inlineStr">
        <is>
          <t>A 11446-2025</t>
        </is>
      </c>
      <c r="B663" s="1" t="n">
        <v>45726</v>
      </c>
      <c r="C663" s="1" t="n">
        <v>46079</v>
      </c>
      <c r="D663" t="inlineStr">
        <is>
          <t>SKÅNE LÄN</t>
        </is>
      </c>
      <c r="E663" t="inlineStr">
        <is>
          <t>HÄSSLEHOLM</t>
        </is>
      </c>
      <c r="G663" t="n">
        <v>1.9</v>
      </c>
      <c r="H663" t="n">
        <v>0</v>
      </c>
      <c r="I663" t="n">
        <v>0</v>
      </c>
      <c r="J663" t="n">
        <v>0</v>
      </c>
      <c r="K663" t="n">
        <v>0</v>
      </c>
      <c r="L663" t="n">
        <v>0</v>
      </c>
      <c r="M663" t="n">
        <v>0</v>
      </c>
      <c r="N663" t="n">
        <v>0</v>
      </c>
      <c r="O663" t="n">
        <v>0</v>
      </c>
      <c r="P663" t="n">
        <v>0</v>
      </c>
      <c r="Q663" t="n">
        <v>0</v>
      </c>
      <c r="R663" s="2" t="inlineStr"/>
    </row>
    <row r="664" ht="15" customHeight="1">
      <c r="A664" t="inlineStr">
        <is>
          <t>A 12503-2022</t>
        </is>
      </c>
      <c r="B664" s="1" t="n">
        <v>44638</v>
      </c>
      <c r="C664" s="1" t="n">
        <v>46079</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16860-2025</t>
        </is>
      </c>
      <c r="B665" s="1" t="n">
        <v>45751</v>
      </c>
      <c r="C665" s="1" t="n">
        <v>46079</v>
      </c>
      <c r="D665" t="inlineStr">
        <is>
          <t>SKÅNE LÄN</t>
        </is>
      </c>
      <c r="E665" t="inlineStr">
        <is>
          <t>HÄSSLEHOLM</t>
        </is>
      </c>
      <c r="G665" t="n">
        <v>1.3</v>
      </c>
      <c r="H665" t="n">
        <v>0</v>
      </c>
      <c r="I665" t="n">
        <v>0</v>
      </c>
      <c r="J665" t="n">
        <v>0</v>
      </c>
      <c r="K665" t="n">
        <v>0</v>
      </c>
      <c r="L665" t="n">
        <v>0</v>
      </c>
      <c r="M665" t="n">
        <v>0</v>
      </c>
      <c r="N665" t="n">
        <v>0</v>
      </c>
      <c r="O665" t="n">
        <v>0</v>
      </c>
      <c r="P665" t="n">
        <v>0</v>
      </c>
      <c r="Q665" t="n">
        <v>0</v>
      </c>
      <c r="R665" s="2" t="inlineStr"/>
    </row>
    <row r="666" ht="15" customHeight="1">
      <c r="A666" t="inlineStr">
        <is>
          <t>A 9556-2025</t>
        </is>
      </c>
      <c r="B666" s="1" t="n">
        <v>45714</v>
      </c>
      <c r="C666" s="1" t="n">
        <v>46079</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24246-2023</t>
        </is>
      </c>
      <c r="B667" s="1" t="n">
        <v>45079</v>
      </c>
      <c r="C667" s="1" t="n">
        <v>46079</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24249-2023</t>
        </is>
      </c>
      <c r="B668" s="1" t="n">
        <v>45079.62466435185</v>
      </c>
      <c r="C668" s="1" t="n">
        <v>46079</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52548-2023</t>
        </is>
      </c>
      <c r="B669" s="1" t="n">
        <v>45218</v>
      </c>
      <c r="C669" s="1" t="n">
        <v>46079</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23950-2023</t>
        </is>
      </c>
      <c r="B670" s="1" t="n">
        <v>45078.61771990741</v>
      </c>
      <c r="C670" s="1" t="n">
        <v>46079</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23952-2023</t>
        </is>
      </c>
      <c r="B671" s="1" t="n">
        <v>45078.62064814815</v>
      </c>
      <c r="C671" s="1" t="n">
        <v>46079</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39453-2025</t>
        </is>
      </c>
      <c r="B672" s="1" t="n">
        <v>45889</v>
      </c>
      <c r="C672" s="1" t="n">
        <v>46079</v>
      </c>
      <c r="D672" t="inlineStr">
        <is>
          <t>SKÅNE LÄN</t>
        </is>
      </c>
      <c r="E672" t="inlineStr">
        <is>
          <t>HÄSSLEHOLM</t>
        </is>
      </c>
      <c r="G672" t="n">
        <v>2.5</v>
      </c>
      <c r="H672" t="n">
        <v>0</v>
      </c>
      <c r="I672" t="n">
        <v>0</v>
      </c>
      <c r="J672" t="n">
        <v>0</v>
      </c>
      <c r="K672" t="n">
        <v>0</v>
      </c>
      <c r="L672" t="n">
        <v>0</v>
      </c>
      <c r="M672" t="n">
        <v>0</v>
      </c>
      <c r="N672" t="n">
        <v>0</v>
      </c>
      <c r="O672" t="n">
        <v>0</v>
      </c>
      <c r="P672" t="n">
        <v>0</v>
      </c>
      <c r="Q672" t="n">
        <v>0</v>
      </c>
      <c r="R672" s="2" t="inlineStr"/>
    </row>
    <row r="673" ht="15" customHeight="1">
      <c r="A673" t="inlineStr">
        <is>
          <t>A 39457-2025</t>
        </is>
      </c>
      <c r="B673" s="1" t="n">
        <v>45889.76887731482</v>
      </c>
      <c r="C673" s="1" t="n">
        <v>46079</v>
      </c>
      <c r="D673" t="inlineStr">
        <is>
          <t>SKÅNE LÄN</t>
        </is>
      </c>
      <c r="E673" t="inlineStr">
        <is>
          <t>HÄSSLEHOLM</t>
        </is>
      </c>
      <c r="G673" t="n">
        <v>6.6</v>
      </c>
      <c r="H673" t="n">
        <v>0</v>
      </c>
      <c r="I673" t="n">
        <v>0</v>
      </c>
      <c r="J673" t="n">
        <v>0</v>
      </c>
      <c r="K673" t="n">
        <v>0</v>
      </c>
      <c r="L673" t="n">
        <v>0</v>
      </c>
      <c r="M673" t="n">
        <v>0</v>
      </c>
      <c r="N673" t="n">
        <v>0</v>
      </c>
      <c r="O673" t="n">
        <v>0</v>
      </c>
      <c r="P673" t="n">
        <v>0</v>
      </c>
      <c r="Q673" t="n">
        <v>0</v>
      </c>
      <c r="R673" s="2" t="inlineStr"/>
    </row>
    <row r="674" ht="15" customHeight="1">
      <c r="A674" t="inlineStr">
        <is>
          <t>A 2144-2023</t>
        </is>
      </c>
      <c r="B674" s="1" t="n">
        <v>44940.79054398148</v>
      </c>
      <c r="C674" s="1" t="n">
        <v>46079</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61680-2022</t>
        </is>
      </c>
      <c r="B675" s="1" t="n">
        <v>44917.36372685185</v>
      </c>
      <c r="C675" s="1" t="n">
        <v>46079</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16550-2025</t>
        </is>
      </c>
      <c r="B676" s="1" t="n">
        <v>45751.69412037037</v>
      </c>
      <c r="C676" s="1" t="n">
        <v>46079</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60920-2024</t>
        </is>
      </c>
      <c r="B677" s="1" t="n">
        <v>45645.34442129629</v>
      </c>
      <c r="C677" s="1" t="n">
        <v>46079</v>
      </c>
      <c r="D677" t="inlineStr">
        <is>
          <t>SKÅNE LÄN</t>
        </is>
      </c>
      <c r="E677" t="inlineStr">
        <is>
          <t>HÄSSLEHOLM</t>
        </is>
      </c>
      <c r="G677" t="n">
        <v>2.6</v>
      </c>
      <c r="H677" t="n">
        <v>0</v>
      </c>
      <c r="I677" t="n">
        <v>0</v>
      </c>
      <c r="J677" t="n">
        <v>0</v>
      </c>
      <c r="K677" t="n">
        <v>0</v>
      </c>
      <c r="L677" t="n">
        <v>0</v>
      </c>
      <c r="M677" t="n">
        <v>0</v>
      </c>
      <c r="N677" t="n">
        <v>0</v>
      </c>
      <c r="O677" t="n">
        <v>0</v>
      </c>
      <c r="P677" t="n">
        <v>0</v>
      </c>
      <c r="Q677" t="n">
        <v>0</v>
      </c>
      <c r="R677" s="2" t="inlineStr"/>
    </row>
    <row r="678" ht="15" customHeight="1">
      <c r="A678" t="inlineStr">
        <is>
          <t>A 16285-2025</t>
        </is>
      </c>
      <c r="B678" s="1" t="n">
        <v>45751.30045138889</v>
      </c>
      <c r="C678" s="1" t="n">
        <v>46079</v>
      </c>
      <c r="D678" t="inlineStr">
        <is>
          <t>SKÅNE LÄN</t>
        </is>
      </c>
      <c r="E678" t="inlineStr">
        <is>
          <t>HÄSSLEHOLM</t>
        </is>
      </c>
      <c r="G678" t="n">
        <v>2</v>
      </c>
      <c r="H678" t="n">
        <v>0</v>
      </c>
      <c r="I678" t="n">
        <v>0</v>
      </c>
      <c r="J678" t="n">
        <v>0</v>
      </c>
      <c r="K678" t="n">
        <v>0</v>
      </c>
      <c r="L678" t="n">
        <v>0</v>
      </c>
      <c r="M678" t="n">
        <v>0</v>
      </c>
      <c r="N678" t="n">
        <v>0</v>
      </c>
      <c r="O678" t="n">
        <v>0</v>
      </c>
      <c r="P678" t="n">
        <v>0</v>
      </c>
      <c r="Q678" t="n">
        <v>0</v>
      </c>
      <c r="R678" s="2" t="inlineStr"/>
    </row>
    <row r="679" ht="15" customHeight="1">
      <c r="A679" t="inlineStr">
        <is>
          <t>A 5780-2024</t>
        </is>
      </c>
      <c r="B679" s="1" t="n">
        <v>45335.41983796296</v>
      </c>
      <c r="C679" s="1" t="n">
        <v>46079</v>
      </c>
      <c r="D679" t="inlineStr">
        <is>
          <t>SKÅNE LÄN</t>
        </is>
      </c>
      <c r="E679" t="inlineStr">
        <is>
          <t>HÄSSLEHOLM</t>
        </is>
      </c>
      <c r="G679" t="n">
        <v>2.5</v>
      </c>
      <c r="H679" t="n">
        <v>0</v>
      </c>
      <c r="I679" t="n">
        <v>0</v>
      </c>
      <c r="J679" t="n">
        <v>0</v>
      </c>
      <c r="K679" t="n">
        <v>0</v>
      </c>
      <c r="L679" t="n">
        <v>0</v>
      </c>
      <c r="M679" t="n">
        <v>0</v>
      </c>
      <c r="N679" t="n">
        <v>0</v>
      </c>
      <c r="O679" t="n">
        <v>0</v>
      </c>
      <c r="P679" t="n">
        <v>0</v>
      </c>
      <c r="Q679" t="n">
        <v>0</v>
      </c>
      <c r="R679" s="2" t="inlineStr"/>
    </row>
    <row r="680" ht="15" customHeight="1">
      <c r="A680" t="inlineStr">
        <is>
          <t>A 39366-2025</t>
        </is>
      </c>
      <c r="B680" s="1" t="n">
        <v>45889</v>
      </c>
      <c r="C680" s="1" t="n">
        <v>46079</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43696-2024</t>
        </is>
      </c>
      <c r="B681" s="1" t="n">
        <v>45569.58855324074</v>
      </c>
      <c r="C681" s="1" t="n">
        <v>46079</v>
      </c>
      <c r="D681" t="inlineStr">
        <is>
          <t>SKÅNE LÄN</t>
        </is>
      </c>
      <c r="E681" t="inlineStr">
        <is>
          <t>HÄSSLEHOLM</t>
        </is>
      </c>
      <c r="G681" t="n">
        <v>2.9</v>
      </c>
      <c r="H681" t="n">
        <v>0</v>
      </c>
      <c r="I681" t="n">
        <v>0</v>
      </c>
      <c r="J681" t="n">
        <v>0</v>
      </c>
      <c r="K681" t="n">
        <v>0</v>
      </c>
      <c r="L681" t="n">
        <v>0</v>
      </c>
      <c r="M681" t="n">
        <v>0</v>
      </c>
      <c r="N681" t="n">
        <v>0</v>
      </c>
      <c r="O681" t="n">
        <v>0</v>
      </c>
      <c r="P681" t="n">
        <v>0</v>
      </c>
      <c r="Q681" t="n">
        <v>0</v>
      </c>
      <c r="R681" s="2" t="inlineStr"/>
    </row>
    <row r="682" ht="15" customHeight="1">
      <c r="A682" t="inlineStr">
        <is>
          <t>A 12182-2025</t>
        </is>
      </c>
      <c r="B682" s="1" t="n">
        <v>45729</v>
      </c>
      <c r="C682" s="1" t="n">
        <v>46079</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20185-2023</t>
        </is>
      </c>
      <c r="B683" s="1" t="n">
        <v>45055.56795138889</v>
      </c>
      <c r="C683" s="1" t="n">
        <v>46079</v>
      </c>
      <c r="D683" t="inlineStr">
        <is>
          <t>SKÅNE LÄN</t>
        </is>
      </c>
      <c r="E683" t="inlineStr">
        <is>
          <t>HÄSSLEHOLM</t>
        </is>
      </c>
      <c r="G683" t="n">
        <v>3.5</v>
      </c>
      <c r="H683" t="n">
        <v>0</v>
      </c>
      <c r="I683" t="n">
        <v>0</v>
      </c>
      <c r="J683" t="n">
        <v>0</v>
      </c>
      <c r="K683" t="n">
        <v>0</v>
      </c>
      <c r="L683" t="n">
        <v>0</v>
      </c>
      <c r="M683" t="n">
        <v>0</v>
      </c>
      <c r="N683" t="n">
        <v>0</v>
      </c>
      <c r="O683" t="n">
        <v>0</v>
      </c>
      <c r="P683" t="n">
        <v>0</v>
      </c>
      <c r="Q683" t="n">
        <v>0</v>
      </c>
      <c r="R683" s="2" t="inlineStr"/>
    </row>
    <row r="684" ht="15" customHeight="1">
      <c r="A684" t="inlineStr">
        <is>
          <t>A 1703-2025</t>
        </is>
      </c>
      <c r="B684" s="1" t="n">
        <v>45670.80732638889</v>
      </c>
      <c r="C684" s="1" t="n">
        <v>46079</v>
      </c>
      <c r="D684" t="inlineStr">
        <is>
          <t>SKÅNE LÄN</t>
        </is>
      </c>
      <c r="E684" t="inlineStr">
        <is>
          <t>HÄSSLEHOLM</t>
        </is>
      </c>
      <c r="G684" t="n">
        <v>0.9</v>
      </c>
      <c r="H684" t="n">
        <v>0</v>
      </c>
      <c r="I684" t="n">
        <v>0</v>
      </c>
      <c r="J684" t="n">
        <v>0</v>
      </c>
      <c r="K684" t="n">
        <v>0</v>
      </c>
      <c r="L684" t="n">
        <v>0</v>
      </c>
      <c r="M684" t="n">
        <v>0</v>
      </c>
      <c r="N684" t="n">
        <v>0</v>
      </c>
      <c r="O684" t="n">
        <v>0</v>
      </c>
      <c r="P684" t="n">
        <v>0</v>
      </c>
      <c r="Q684" t="n">
        <v>0</v>
      </c>
      <c r="R684" s="2" t="inlineStr"/>
    </row>
    <row r="685" ht="15" customHeight="1">
      <c r="A685" t="inlineStr">
        <is>
          <t>A 38376-2022</t>
        </is>
      </c>
      <c r="B685" s="1" t="n">
        <v>44812</v>
      </c>
      <c r="C685" s="1" t="n">
        <v>46079</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22024-2025</t>
        </is>
      </c>
      <c r="B686" s="1" t="n">
        <v>45784.85322916666</v>
      </c>
      <c r="C686" s="1" t="n">
        <v>46079</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29274-2023</t>
        </is>
      </c>
      <c r="B687" s="1" t="n">
        <v>45105</v>
      </c>
      <c r="C687" s="1" t="n">
        <v>46079</v>
      </c>
      <c r="D687" t="inlineStr">
        <is>
          <t>SKÅNE LÄN</t>
        </is>
      </c>
      <c r="E687" t="inlineStr">
        <is>
          <t>HÄSSLEHOLM</t>
        </is>
      </c>
      <c r="G687" t="n">
        <v>3.4</v>
      </c>
      <c r="H687" t="n">
        <v>0</v>
      </c>
      <c r="I687" t="n">
        <v>0</v>
      </c>
      <c r="J687" t="n">
        <v>0</v>
      </c>
      <c r="K687" t="n">
        <v>0</v>
      </c>
      <c r="L687" t="n">
        <v>0</v>
      </c>
      <c r="M687" t="n">
        <v>0</v>
      </c>
      <c r="N687" t="n">
        <v>0</v>
      </c>
      <c r="O687" t="n">
        <v>0</v>
      </c>
      <c r="P687" t="n">
        <v>0</v>
      </c>
      <c r="Q687" t="n">
        <v>0</v>
      </c>
      <c r="R687" s="2" t="inlineStr"/>
    </row>
    <row r="688" ht="15" customHeight="1">
      <c r="A688" t="inlineStr">
        <is>
          <t>A 34890-2023</t>
        </is>
      </c>
      <c r="B688" s="1" t="n">
        <v>45142.39475694444</v>
      </c>
      <c r="C688" s="1" t="n">
        <v>46079</v>
      </c>
      <c r="D688" t="inlineStr">
        <is>
          <t>SKÅNE LÄN</t>
        </is>
      </c>
      <c r="E688" t="inlineStr">
        <is>
          <t>HÄSSLEHOLM</t>
        </is>
      </c>
      <c r="G688" t="n">
        <v>4</v>
      </c>
      <c r="H688" t="n">
        <v>0</v>
      </c>
      <c r="I688" t="n">
        <v>0</v>
      </c>
      <c r="J688" t="n">
        <v>0</v>
      </c>
      <c r="K688" t="n">
        <v>0</v>
      </c>
      <c r="L688" t="n">
        <v>0</v>
      </c>
      <c r="M688" t="n">
        <v>0</v>
      </c>
      <c r="N688" t="n">
        <v>0</v>
      </c>
      <c r="O688" t="n">
        <v>0</v>
      </c>
      <c r="P688" t="n">
        <v>0</v>
      </c>
      <c r="Q688" t="n">
        <v>0</v>
      </c>
      <c r="R688" s="2" t="inlineStr"/>
    </row>
    <row r="689" ht="15" customHeight="1">
      <c r="A689" t="inlineStr">
        <is>
          <t>A 3886-2024</t>
        </is>
      </c>
      <c r="B689" s="1" t="n">
        <v>45322.44539351852</v>
      </c>
      <c r="C689" s="1" t="n">
        <v>46079</v>
      </c>
      <c r="D689" t="inlineStr">
        <is>
          <t>SKÅNE LÄN</t>
        </is>
      </c>
      <c r="E689" t="inlineStr">
        <is>
          <t>HÄSSLEHOLM</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15897-2025</t>
        </is>
      </c>
      <c r="B690" s="1" t="n">
        <v>45749.41598379629</v>
      </c>
      <c r="C690" s="1" t="n">
        <v>46079</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61932-2023</t>
        </is>
      </c>
      <c r="B691" s="1" t="n">
        <v>45266.53761574074</v>
      </c>
      <c r="C691" s="1" t="n">
        <v>46079</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13149-2024</t>
        </is>
      </c>
      <c r="B692" s="1" t="n">
        <v>45386</v>
      </c>
      <c r="C692" s="1" t="n">
        <v>46079</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61504-2022</t>
        </is>
      </c>
      <c r="B693" s="1" t="n">
        <v>44910</v>
      </c>
      <c r="C693" s="1" t="n">
        <v>46079</v>
      </c>
      <c r="D693" t="inlineStr">
        <is>
          <t>SKÅNE LÄN</t>
        </is>
      </c>
      <c r="E693" t="inlineStr">
        <is>
          <t>HÄSSLEHOLM</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39934-2025</t>
        </is>
      </c>
      <c r="B694" s="1" t="n">
        <v>45891.71465277778</v>
      </c>
      <c r="C694" s="1" t="n">
        <v>46079</v>
      </c>
      <c r="D694" t="inlineStr">
        <is>
          <t>SKÅNE LÄN</t>
        </is>
      </c>
      <c r="E694" t="inlineStr">
        <is>
          <t>HÄSSLEHOLM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29275-2023</t>
        </is>
      </c>
      <c r="B695" s="1" t="n">
        <v>45105</v>
      </c>
      <c r="C695" s="1" t="n">
        <v>46079</v>
      </c>
      <c r="D695" t="inlineStr">
        <is>
          <t>SKÅNE LÄN</t>
        </is>
      </c>
      <c r="E695" t="inlineStr">
        <is>
          <t>HÄSSLEHOLM</t>
        </is>
      </c>
      <c r="G695" t="n">
        <v>2.1</v>
      </c>
      <c r="H695" t="n">
        <v>0</v>
      </c>
      <c r="I695" t="n">
        <v>0</v>
      </c>
      <c r="J695" t="n">
        <v>0</v>
      </c>
      <c r="K695" t="n">
        <v>0</v>
      </c>
      <c r="L695" t="n">
        <v>0</v>
      </c>
      <c r="M695" t="n">
        <v>0</v>
      </c>
      <c r="N695" t="n">
        <v>0</v>
      </c>
      <c r="O695" t="n">
        <v>0</v>
      </c>
      <c r="P695" t="n">
        <v>0</v>
      </c>
      <c r="Q695" t="n">
        <v>0</v>
      </c>
      <c r="R695" s="2" t="inlineStr"/>
    </row>
    <row r="696" ht="15" customHeight="1">
      <c r="A696" t="inlineStr">
        <is>
          <t>A 53466-2024</t>
        </is>
      </c>
      <c r="B696" s="1" t="n">
        <v>45614.55304398148</v>
      </c>
      <c r="C696" s="1" t="n">
        <v>46079</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27502-2023</t>
        </is>
      </c>
      <c r="B697" s="1" t="n">
        <v>45092</v>
      </c>
      <c r="C697" s="1" t="n">
        <v>46079</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10230-2025</t>
        </is>
      </c>
      <c r="B698" s="1" t="n">
        <v>45720</v>
      </c>
      <c r="C698" s="1" t="n">
        <v>46079</v>
      </c>
      <c r="D698" t="inlineStr">
        <is>
          <t>SKÅNE LÄN</t>
        </is>
      </c>
      <c r="E698" t="inlineStr">
        <is>
          <t>HÄSSLEHOLM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54473-2023</t>
        </is>
      </c>
      <c r="B699" s="1" t="n">
        <v>45233</v>
      </c>
      <c r="C699" s="1" t="n">
        <v>46079</v>
      </c>
      <c r="D699" t="inlineStr">
        <is>
          <t>SKÅNE LÄN</t>
        </is>
      </c>
      <c r="E699" t="inlineStr">
        <is>
          <t>HÄSSLEHOLM</t>
        </is>
      </c>
      <c r="G699" t="n">
        <v>24.5</v>
      </c>
      <c r="H699" t="n">
        <v>0</v>
      </c>
      <c r="I699" t="n">
        <v>0</v>
      </c>
      <c r="J699" t="n">
        <v>0</v>
      </c>
      <c r="K699" t="n">
        <v>0</v>
      </c>
      <c r="L699" t="n">
        <v>0</v>
      </c>
      <c r="M699" t="n">
        <v>0</v>
      </c>
      <c r="N699" t="n">
        <v>0</v>
      </c>
      <c r="O699" t="n">
        <v>0</v>
      </c>
      <c r="P699" t="n">
        <v>0</v>
      </c>
      <c r="Q699" t="n">
        <v>0</v>
      </c>
      <c r="R699" s="2" t="inlineStr"/>
    </row>
    <row r="700" ht="15" customHeight="1">
      <c r="A700" t="inlineStr">
        <is>
          <t>A 39937-2025</t>
        </is>
      </c>
      <c r="B700" s="1" t="n">
        <v>45891.73162037037</v>
      </c>
      <c r="C700" s="1" t="n">
        <v>46079</v>
      </c>
      <c r="D700" t="inlineStr">
        <is>
          <t>SKÅNE LÄN</t>
        </is>
      </c>
      <c r="E700" t="inlineStr">
        <is>
          <t>HÄSSLEHOLM</t>
        </is>
      </c>
      <c r="G700" t="n">
        <v>4.5</v>
      </c>
      <c r="H700" t="n">
        <v>0</v>
      </c>
      <c r="I700" t="n">
        <v>0</v>
      </c>
      <c r="J700" t="n">
        <v>0</v>
      </c>
      <c r="K700" t="n">
        <v>0</v>
      </c>
      <c r="L700" t="n">
        <v>0</v>
      </c>
      <c r="M700" t="n">
        <v>0</v>
      </c>
      <c r="N700" t="n">
        <v>0</v>
      </c>
      <c r="O700" t="n">
        <v>0</v>
      </c>
      <c r="P700" t="n">
        <v>0</v>
      </c>
      <c r="Q700" t="n">
        <v>0</v>
      </c>
      <c r="R700" s="2" t="inlineStr"/>
    </row>
    <row r="701" ht="15" customHeight="1">
      <c r="A701" t="inlineStr">
        <is>
          <t>A 18908-2023</t>
        </is>
      </c>
      <c r="B701" s="1" t="n">
        <v>45044</v>
      </c>
      <c r="C701" s="1" t="n">
        <v>46079</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61436-2024</t>
        </is>
      </c>
      <c r="B702" s="1" t="n">
        <v>45646.46329861111</v>
      </c>
      <c r="C702" s="1" t="n">
        <v>46079</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26641-2023</t>
        </is>
      </c>
      <c r="B703" s="1" t="n">
        <v>45092.89619212963</v>
      </c>
      <c r="C703" s="1" t="n">
        <v>46079</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19735-2023</t>
        </is>
      </c>
      <c r="B704" s="1" t="n">
        <v>45051.52199074074</v>
      </c>
      <c r="C704" s="1" t="n">
        <v>46079</v>
      </c>
      <c r="D704" t="inlineStr">
        <is>
          <t>SKÅNE LÄN</t>
        </is>
      </c>
      <c r="E704" t="inlineStr">
        <is>
          <t>HÄSSLEHOLM</t>
        </is>
      </c>
      <c r="G704" t="n">
        <v>4</v>
      </c>
      <c r="H704" t="n">
        <v>0</v>
      </c>
      <c r="I704" t="n">
        <v>0</v>
      </c>
      <c r="J704" t="n">
        <v>0</v>
      </c>
      <c r="K704" t="n">
        <v>0</v>
      </c>
      <c r="L704" t="n">
        <v>0</v>
      </c>
      <c r="M704" t="n">
        <v>0</v>
      </c>
      <c r="N704" t="n">
        <v>0</v>
      </c>
      <c r="O704" t="n">
        <v>0</v>
      </c>
      <c r="P704" t="n">
        <v>0</v>
      </c>
      <c r="Q704" t="n">
        <v>0</v>
      </c>
      <c r="R704" s="2" t="inlineStr"/>
    </row>
    <row r="705" ht="15" customHeight="1">
      <c r="A705" t="inlineStr">
        <is>
          <t>A 48797-2023</t>
        </is>
      </c>
      <c r="B705" s="1" t="n">
        <v>45209.24986111111</v>
      </c>
      <c r="C705" s="1" t="n">
        <v>46079</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9555-2025</t>
        </is>
      </c>
      <c r="B706" s="1" t="n">
        <v>45714</v>
      </c>
      <c r="C706" s="1" t="n">
        <v>46079</v>
      </c>
      <c r="D706" t="inlineStr">
        <is>
          <t>SKÅNE LÄN</t>
        </is>
      </c>
      <c r="E706" t="inlineStr">
        <is>
          <t>HÄSSLEHOLM</t>
        </is>
      </c>
      <c r="G706" t="n">
        <v>5.4</v>
      </c>
      <c r="H706" t="n">
        <v>0</v>
      </c>
      <c r="I706" t="n">
        <v>0</v>
      </c>
      <c r="J706" t="n">
        <v>0</v>
      </c>
      <c r="K706" t="n">
        <v>0</v>
      </c>
      <c r="L706" t="n">
        <v>0</v>
      </c>
      <c r="M706" t="n">
        <v>0</v>
      </c>
      <c r="N706" t="n">
        <v>0</v>
      </c>
      <c r="O706" t="n">
        <v>0</v>
      </c>
      <c r="P706" t="n">
        <v>0</v>
      </c>
      <c r="Q706" t="n">
        <v>0</v>
      </c>
      <c r="R706" s="2" t="inlineStr"/>
    </row>
    <row r="707" ht="15" customHeight="1">
      <c r="A707" t="inlineStr">
        <is>
          <t>A 5532-2025</t>
        </is>
      </c>
      <c r="B707" s="1" t="n">
        <v>45693</v>
      </c>
      <c r="C707" s="1" t="n">
        <v>46079</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55662-2022</t>
        </is>
      </c>
      <c r="B708" s="1" t="n">
        <v>44883</v>
      </c>
      <c r="C708" s="1" t="n">
        <v>46079</v>
      </c>
      <c r="D708" t="inlineStr">
        <is>
          <t>SKÅNE LÄN</t>
        </is>
      </c>
      <c r="E708" t="inlineStr">
        <is>
          <t>HÄSSLEHOLM</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40241-2025</t>
        </is>
      </c>
      <c r="B709" s="1" t="n">
        <v>45894.87251157407</v>
      </c>
      <c r="C709" s="1" t="n">
        <v>46079</v>
      </c>
      <c r="D709" t="inlineStr">
        <is>
          <t>SKÅNE LÄN</t>
        </is>
      </c>
      <c r="E709" t="inlineStr">
        <is>
          <t>HÄSSLEHOLM</t>
        </is>
      </c>
      <c r="G709" t="n">
        <v>3.8</v>
      </c>
      <c r="H709" t="n">
        <v>0</v>
      </c>
      <c r="I709" t="n">
        <v>0</v>
      </c>
      <c r="J709" t="n">
        <v>0</v>
      </c>
      <c r="K709" t="n">
        <v>0</v>
      </c>
      <c r="L709" t="n">
        <v>0</v>
      </c>
      <c r="M709" t="n">
        <v>0</v>
      </c>
      <c r="N709" t="n">
        <v>0</v>
      </c>
      <c r="O709" t="n">
        <v>0</v>
      </c>
      <c r="P709" t="n">
        <v>0</v>
      </c>
      <c r="Q709" t="n">
        <v>0</v>
      </c>
      <c r="R709" s="2" t="inlineStr"/>
    </row>
    <row r="710" ht="15" customHeight="1">
      <c r="A710" t="inlineStr">
        <is>
          <t>A 29844-2024</t>
        </is>
      </c>
      <c r="B710" s="1" t="n">
        <v>45485</v>
      </c>
      <c r="C710" s="1" t="n">
        <v>46079</v>
      </c>
      <c r="D710" t="inlineStr">
        <is>
          <t>SKÅNE LÄN</t>
        </is>
      </c>
      <c r="E710" t="inlineStr">
        <is>
          <t>HÄSSLEHOLM</t>
        </is>
      </c>
      <c r="G710" t="n">
        <v>1.9</v>
      </c>
      <c r="H710" t="n">
        <v>0</v>
      </c>
      <c r="I710" t="n">
        <v>0</v>
      </c>
      <c r="J710" t="n">
        <v>0</v>
      </c>
      <c r="K710" t="n">
        <v>0</v>
      </c>
      <c r="L710" t="n">
        <v>0</v>
      </c>
      <c r="M710" t="n">
        <v>0</v>
      </c>
      <c r="N710" t="n">
        <v>0</v>
      </c>
      <c r="O710" t="n">
        <v>0</v>
      </c>
      <c r="P710" t="n">
        <v>0</v>
      </c>
      <c r="Q710" t="n">
        <v>0</v>
      </c>
      <c r="R710" s="2" t="inlineStr"/>
    </row>
    <row r="711" ht="15" customHeight="1">
      <c r="A711" t="inlineStr">
        <is>
          <t>A 40536-2024</t>
        </is>
      </c>
      <c r="B711" s="1" t="n">
        <v>45555.61314814815</v>
      </c>
      <c r="C711" s="1" t="n">
        <v>46079</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33266-2024</t>
        </is>
      </c>
      <c r="B712" s="1" t="n">
        <v>45518</v>
      </c>
      <c r="C712" s="1" t="n">
        <v>46079</v>
      </c>
      <c r="D712" t="inlineStr">
        <is>
          <t>SKÅNE LÄN</t>
        </is>
      </c>
      <c r="E712" t="inlineStr">
        <is>
          <t>HÄSSLEHOLM</t>
        </is>
      </c>
      <c r="G712" t="n">
        <v>3.2</v>
      </c>
      <c r="H712" t="n">
        <v>0</v>
      </c>
      <c r="I712" t="n">
        <v>0</v>
      </c>
      <c r="J712" t="n">
        <v>0</v>
      </c>
      <c r="K712" t="n">
        <v>0</v>
      </c>
      <c r="L712" t="n">
        <v>0</v>
      </c>
      <c r="M712" t="n">
        <v>0</v>
      </c>
      <c r="N712" t="n">
        <v>0</v>
      </c>
      <c r="O712" t="n">
        <v>0</v>
      </c>
      <c r="P712" t="n">
        <v>0</v>
      </c>
      <c r="Q712" t="n">
        <v>0</v>
      </c>
      <c r="R712" s="2" t="inlineStr"/>
    </row>
    <row r="713" ht="15" customHeight="1">
      <c r="A713" t="inlineStr">
        <is>
          <t>A 51752-2023</t>
        </is>
      </c>
      <c r="B713" s="1" t="n">
        <v>45222</v>
      </c>
      <c r="C713" s="1" t="n">
        <v>46079</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56386-2023</t>
        </is>
      </c>
      <c r="B714" s="1" t="n">
        <v>45243</v>
      </c>
      <c r="C714" s="1" t="n">
        <v>46079</v>
      </c>
      <c r="D714" t="inlineStr">
        <is>
          <t>SKÅNE LÄN</t>
        </is>
      </c>
      <c r="E714" t="inlineStr">
        <is>
          <t>HÄSSLEHOLM</t>
        </is>
      </c>
      <c r="G714" t="n">
        <v>2</v>
      </c>
      <c r="H714" t="n">
        <v>0</v>
      </c>
      <c r="I714" t="n">
        <v>0</v>
      </c>
      <c r="J714" t="n">
        <v>0</v>
      </c>
      <c r="K714" t="n">
        <v>0</v>
      </c>
      <c r="L714" t="n">
        <v>0</v>
      </c>
      <c r="M714" t="n">
        <v>0</v>
      </c>
      <c r="N714" t="n">
        <v>0</v>
      </c>
      <c r="O714" t="n">
        <v>0</v>
      </c>
      <c r="P714" t="n">
        <v>0</v>
      </c>
      <c r="Q714" t="n">
        <v>0</v>
      </c>
      <c r="R714" s="2" t="inlineStr"/>
    </row>
    <row r="715" ht="15" customHeight="1">
      <c r="A715" t="inlineStr">
        <is>
          <t>A 20800-2023</t>
        </is>
      </c>
      <c r="B715" s="1" t="n">
        <v>45058.61640046296</v>
      </c>
      <c r="C715" s="1" t="n">
        <v>46079</v>
      </c>
      <c r="D715" t="inlineStr">
        <is>
          <t>SKÅNE LÄN</t>
        </is>
      </c>
      <c r="E715" t="inlineStr">
        <is>
          <t>HÄSSLEHOLM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49219-2024</t>
        </is>
      </c>
      <c r="B716" s="1" t="n">
        <v>45595.40923611111</v>
      </c>
      <c r="C716" s="1" t="n">
        <v>46079</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7152-2025</t>
        </is>
      </c>
      <c r="B717" s="1" t="n">
        <v>45702.3837037037</v>
      </c>
      <c r="C717" s="1" t="n">
        <v>46079</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7160-2025</t>
        </is>
      </c>
      <c r="B718" s="1" t="n">
        <v>45702.3875462963</v>
      </c>
      <c r="C718" s="1" t="n">
        <v>46079</v>
      </c>
      <c r="D718" t="inlineStr">
        <is>
          <t>SKÅNE LÄN</t>
        </is>
      </c>
      <c r="E718" t="inlineStr">
        <is>
          <t>HÄSSLEHOLM</t>
        </is>
      </c>
      <c r="G718" t="n">
        <v>2.5</v>
      </c>
      <c r="H718" t="n">
        <v>0</v>
      </c>
      <c r="I718" t="n">
        <v>0</v>
      </c>
      <c r="J718" t="n">
        <v>0</v>
      </c>
      <c r="K718" t="n">
        <v>0</v>
      </c>
      <c r="L718" t="n">
        <v>0</v>
      </c>
      <c r="M718" t="n">
        <v>0</v>
      </c>
      <c r="N718" t="n">
        <v>0</v>
      </c>
      <c r="O718" t="n">
        <v>0</v>
      </c>
      <c r="P718" t="n">
        <v>0</v>
      </c>
      <c r="Q718" t="n">
        <v>0</v>
      </c>
      <c r="R718" s="2" t="inlineStr"/>
    </row>
    <row r="719" ht="15" customHeight="1">
      <c r="A719" t="inlineStr">
        <is>
          <t>A 14939-2023</t>
        </is>
      </c>
      <c r="B719" s="1" t="n">
        <v>45014</v>
      </c>
      <c r="C719" s="1" t="n">
        <v>46079</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2490-2024</t>
        </is>
      </c>
      <c r="B720" s="1" t="n">
        <v>45313.43649305555</v>
      </c>
      <c r="C720" s="1" t="n">
        <v>46079</v>
      </c>
      <c r="D720" t="inlineStr">
        <is>
          <t>SKÅNE LÄN</t>
        </is>
      </c>
      <c r="E720" t="inlineStr">
        <is>
          <t>HÄSSLEHOLM</t>
        </is>
      </c>
      <c r="G720" t="n">
        <v>4</v>
      </c>
      <c r="H720" t="n">
        <v>0</v>
      </c>
      <c r="I720" t="n">
        <v>0</v>
      </c>
      <c r="J720" t="n">
        <v>0</v>
      </c>
      <c r="K720" t="n">
        <v>0</v>
      </c>
      <c r="L720" t="n">
        <v>0</v>
      </c>
      <c r="M720" t="n">
        <v>0</v>
      </c>
      <c r="N720" t="n">
        <v>0</v>
      </c>
      <c r="O720" t="n">
        <v>0</v>
      </c>
      <c r="P720" t="n">
        <v>0</v>
      </c>
      <c r="Q720" t="n">
        <v>0</v>
      </c>
      <c r="R720" s="2" t="inlineStr"/>
    </row>
    <row r="721" ht="15" customHeight="1">
      <c r="A721" t="inlineStr">
        <is>
          <t>A 50244-2024</t>
        </is>
      </c>
      <c r="B721" s="1" t="n">
        <v>45600.56502314815</v>
      </c>
      <c r="C721" s="1" t="n">
        <v>46079</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9924-2025</t>
        </is>
      </c>
      <c r="B722" s="1" t="n">
        <v>45717.72505787037</v>
      </c>
      <c r="C722" s="1" t="n">
        <v>46079</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15104-2023</t>
        </is>
      </c>
      <c r="B723" s="1" t="n">
        <v>45016.40576388889</v>
      </c>
      <c r="C723" s="1" t="n">
        <v>46079</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66321-2021</t>
        </is>
      </c>
      <c r="B724" s="1" t="n">
        <v>44518</v>
      </c>
      <c r="C724" s="1" t="n">
        <v>46079</v>
      </c>
      <c r="D724" t="inlineStr">
        <is>
          <t>SKÅNE LÄN</t>
        </is>
      </c>
      <c r="E724" t="inlineStr">
        <is>
          <t>HÄSSLEHOLM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21494-2023</t>
        </is>
      </c>
      <c r="B725" s="1" t="n">
        <v>45063</v>
      </c>
      <c r="C725" s="1" t="n">
        <v>46079</v>
      </c>
      <c r="D725" t="inlineStr">
        <is>
          <t>SKÅNE LÄN</t>
        </is>
      </c>
      <c r="E725" t="inlineStr">
        <is>
          <t>HÄSSLEHOLM</t>
        </is>
      </c>
      <c r="G725" t="n">
        <v>3.7</v>
      </c>
      <c r="H725" t="n">
        <v>0</v>
      </c>
      <c r="I725" t="n">
        <v>0</v>
      </c>
      <c r="J725" t="n">
        <v>0</v>
      </c>
      <c r="K725" t="n">
        <v>0</v>
      </c>
      <c r="L725" t="n">
        <v>0</v>
      </c>
      <c r="M725" t="n">
        <v>0</v>
      </c>
      <c r="N725" t="n">
        <v>0</v>
      </c>
      <c r="O725" t="n">
        <v>0</v>
      </c>
      <c r="P725" t="n">
        <v>0</v>
      </c>
      <c r="Q725" t="n">
        <v>0</v>
      </c>
      <c r="R725" s="2" t="inlineStr"/>
    </row>
    <row r="726" ht="15" customHeight="1">
      <c r="A726" t="inlineStr">
        <is>
          <t>A 21495-2023</t>
        </is>
      </c>
      <c r="B726" s="1" t="n">
        <v>45063</v>
      </c>
      <c r="C726" s="1" t="n">
        <v>46079</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13007-2024</t>
        </is>
      </c>
      <c r="B727" s="1" t="n">
        <v>45385.57092592592</v>
      </c>
      <c r="C727" s="1" t="n">
        <v>46079</v>
      </c>
      <c r="D727" t="inlineStr">
        <is>
          <t>SKÅNE LÄN</t>
        </is>
      </c>
      <c r="E727" t="inlineStr">
        <is>
          <t>HÄSSLEHOLM</t>
        </is>
      </c>
      <c r="G727" t="n">
        <v>1.4</v>
      </c>
      <c r="H727" t="n">
        <v>0</v>
      </c>
      <c r="I727" t="n">
        <v>0</v>
      </c>
      <c r="J727" t="n">
        <v>0</v>
      </c>
      <c r="K727" t="n">
        <v>0</v>
      </c>
      <c r="L727" t="n">
        <v>0</v>
      </c>
      <c r="M727" t="n">
        <v>0</v>
      </c>
      <c r="N727" t="n">
        <v>0</v>
      </c>
      <c r="O727" t="n">
        <v>0</v>
      </c>
      <c r="P727" t="n">
        <v>0</v>
      </c>
      <c r="Q727" t="n">
        <v>0</v>
      </c>
      <c r="R727" s="2" t="inlineStr"/>
    </row>
    <row r="728" ht="15" customHeight="1">
      <c r="A728" t="inlineStr">
        <is>
          <t>A 23007-2025</t>
        </is>
      </c>
      <c r="B728" s="1" t="n">
        <v>45790</v>
      </c>
      <c r="C728" s="1" t="n">
        <v>46079</v>
      </c>
      <c r="D728" t="inlineStr">
        <is>
          <t>SKÅNE LÄN</t>
        </is>
      </c>
      <c r="E728" t="inlineStr">
        <is>
          <t>HÄSSLEHOLM</t>
        </is>
      </c>
      <c r="G728" t="n">
        <v>0.4</v>
      </c>
      <c r="H728" t="n">
        <v>0</v>
      </c>
      <c r="I728" t="n">
        <v>0</v>
      </c>
      <c r="J728" t="n">
        <v>0</v>
      </c>
      <c r="K728" t="n">
        <v>0</v>
      </c>
      <c r="L728" t="n">
        <v>0</v>
      </c>
      <c r="M728" t="n">
        <v>0</v>
      </c>
      <c r="N728" t="n">
        <v>0</v>
      </c>
      <c r="O728" t="n">
        <v>0</v>
      </c>
      <c r="P728" t="n">
        <v>0</v>
      </c>
      <c r="Q728" t="n">
        <v>0</v>
      </c>
      <c r="R728" s="2" t="inlineStr"/>
    </row>
    <row r="729" ht="15" customHeight="1">
      <c r="A729" t="inlineStr">
        <is>
          <t>A 40739-2024</t>
        </is>
      </c>
      <c r="B729" s="1" t="n">
        <v>45558</v>
      </c>
      <c r="C729" s="1" t="n">
        <v>46079</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7221-2025</t>
        </is>
      </c>
      <c r="B730" s="1" t="n">
        <v>45701</v>
      </c>
      <c r="C730" s="1" t="n">
        <v>46079</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74030-2021</t>
        </is>
      </c>
      <c r="B731" s="1" t="n">
        <v>44553</v>
      </c>
      <c r="C731" s="1" t="n">
        <v>46079</v>
      </c>
      <c r="D731" t="inlineStr">
        <is>
          <t>SKÅNE LÄN</t>
        </is>
      </c>
      <c r="E731" t="inlineStr">
        <is>
          <t>HÄSSLEHOLM</t>
        </is>
      </c>
      <c r="G731" t="n">
        <v>1.5</v>
      </c>
      <c r="H731" t="n">
        <v>0</v>
      </c>
      <c r="I731" t="n">
        <v>0</v>
      </c>
      <c r="J731" t="n">
        <v>0</v>
      </c>
      <c r="K731" t="n">
        <v>0</v>
      </c>
      <c r="L731" t="n">
        <v>0</v>
      </c>
      <c r="M731" t="n">
        <v>0</v>
      </c>
      <c r="N731" t="n">
        <v>0</v>
      </c>
      <c r="O731" t="n">
        <v>0</v>
      </c>
      <c r="P731" t="n">
        <v>0</v>
      </c>
      <c r="Q731" t="n">
        <v>0</v>
      </c>
      <c r="R731" s="2" t="inlineStr"/>
    </row>
    <row r="732" ht="15" customHeight="1">
      <c r="A732" t="inlineStr">
        <is>
          <t>A 27606-2024</t>
        </is>
      </c>
      <c r="B732" s="1" t="n">
        <v>45474</v>
      </c>
      <c r="C732" s="1" t="n">
        <v>46079</v>
      </c>
      <c r="D732" t="inlineStr">
        <is>
          <t>SKÅNE LÄN</t>
        </is>
      </c>
      <c r="E732" t="inlineStr">
        <is>
          <t>HÄSSLEHOLM</t>
        </is>
      </c>
      <c r="G732" t="n">
        <v>3.6</v>
      </c>
      <c r="H732" t="n">
        <v>0</v>
      </c>
      <c r="I732" t="n">
        <v>0</v>
      </c>
      <c r="J732" t="n">
        <v>0</v>
      </c>
      <c r="K732" t="n">
        <v>0</v>
      </c>
      <c r="L732" t="n">
        <v>0</v>
      </c>
      <c r="M732" t="n">
        <v>0</v>
      </c>
      <c r="N732" t="n">
        <v>0</v>
      </c>
      <c r="O732" t="n">
        <v>0</v>
      </c>
      <c r="P732" t="n">
        <v>0</v>
      </c>
      <c r="Q732" t="n">
        <v>0</v>
      </c>
      <c r="R732" s="2" t="inlineStr"/>
    </row>
    <row r="733" ht="15" customHeight="1">
      <c r="A733" t="inlineStr">
        <is>
          <t>A 56735-2024</t>
        </is>
      </c>
      <c r="B733" s="1" t="n">
        <v>45628.36234953703</v>
      </c>
      <c r="C733" s="1" t="n">
        <v>46079</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2621-2025</t>
        </is>
      </c>
      <c r="B734" s="1" t="n">
        <v>45675.60765046296</v>
      </c>
      <c r="C734" s="1" t="n">
        <v>46079</v>
      </c>
      <c r="D734" t="inlineStr">
        <is>
          <t>SKÅNE LÄN</t>
        </is>
      </c>
      <c r="E734" t="inlineStr">
        <is>
          <t>HÄSSLEHOLM</t>
        </is>
      </c>
      <c r="F734" t="inlineStr">
        <is>
          <t>Kommuner</t>
        </is>
      </c>
      <c r="G734" t="n">
        <v>3</v>
      </c>
      <c r="H734" t="n">
        <v>0</v>
      </c>
      <c r="I734" t="n">
        <v>0</v>
      </c>
      <c r="J734" t="n">
        <v>0</v>
      </c>
      <c r="K734" t="n">
        <v>0</v>
      </c>
      <c r="L734" t="n">
        <v>0</v>
      </c>
      <c r="M734" t="n">
        <v>0</v>
      </c>
      <c r="N734" t="n">
        <v>0</v>
      </c>
      <c r="O734" t="n">
        <v>0</v>
      </c>
      <c r="P734" t="n">
        <v>0</v>
      </c>
      <c r="Q734" t="n">
        <v>0</v>
      </c>
      <c r="R734" s="2" t="inlineStr"/>
    </row>
    <row r="735" ht="15" customHeight="1">
      <c r="A735" t="inlineStr">
        <is>
          <t>A 23005-2025</t>
        </is>
      </c>
      <c r="B735" s="1" t="n">
        <v>45790</v>
      </c>
      <c r="C735" s="1" t="n">
        <v>46079</v>
      </c>
      <c r="D735" t="inlineStr">
        <is>
          <t>SKÅNE LÄN</t>
        </is>
      </c>
      <c r="E735" t="inlineStr">
        <is>
          <t>HÄSSLEHOLM</t>
        </is>
      </c>
      <c r="G735" t="n">
        <v>0.3</v>
      </c>
      <c r="H735" t="n">
        <v>0</v>
      </c>
      <c r="I735" t="n">
        <v>0</v>
      </c>
      <c r="J735" t="n">
        <v>0</v>
      </c>
      <c r="K735" t="n">
        <v>0</v>
      </c>
      <c r="L735" t="n">
        <v>0</v>
      </c>
      <c r="M735" t="n">
        <v>0</v>
      </c>
      <c r="N735" t="n">
        <v>0</v>
      </c>
      <c r="O735" t="n">
        <v>0</v>
      </c>
      <c r="P735" t="n">
        <v>0</v>
      </c>
      <c r="Q735" t="n">
        <v>0</v>
      </c>
      <c r="R735" s="2" t="inlineStr"/>
    </row>
    <row r="736" ht="15" customHeight="1">
      <c r="A736" t="inlineStr">
        <is>
          <t>A 8737-2025</t>
        </is>
      </c>
      <c r="B736" s="1" t="n">
        <v>45712.54578703704</v>
      </c>
      <c r="C736" s="1" t="n">
        <v>46079</v>
      </c>
      <c r="D736" t="inlineStr">
        <is>
          <t>SKÅNE LÄN</t>
        </is>
      </c>
      <c r="E736" t="inlineStr">
        <is>
          <t>HÄSSLEHOLM</t>
        </is>
      </c>
      <c r="G736" t="n">
        <v>2.7</v>
      </c>
      <c r="H736" t="n">
        <v>0</v>
      </c>
      <c r="I736" t="n">
        <v>0</v>
      </c>
      <c r="J736" t="n">
        <v>0</v>
      </c>
      <c r="K736" t="n">
        <v>0</v>
      </c>
      <c r="L736" t="n">
        <v>0</v>
      </c>
      <c r="M736" t="n">
        <v>0</v>
      </c>
      <c r="N736" t="n">
        <v>0</v>
      </c>
      <c r="O736" t="n">
        <v>0</v>
      </c>
      <c r="P736" t="n">
        <v>0</v>
      </c>
      <c r="Q736" t="n">
        <v>0</v>
      </c>
      <c r="R736" s="2" t="inlineStr"/>
    </row>
    <row r="737" ht="15" customHeight="1">
      <c r="A737" t="inlineStr">
        <is>
          <t>A 22587-2025</t>
        </is>
      </c>
      <c r="B737" s="1" t="n">
        <v>45789.39974537037</v>
      </c>
      <c r="C737" s="1" t="n">
        <v>46079</v>
      </c>
      <c r="D737" t="inlineStr">
        <is>
          <t>SKÅNE LÄN</t>
        </is>
      </c>
      <c r="E737" t="inlineStr">
        <is>
          <t>HÄSSLEHOLM</t>
        </is>
      </c>
      <c r="G737" t="n">
        <v>5.7</v>
      </c>
      <c r="H737" t="n">
        <v>0</v>
      </c>
      <c r="I737" t="n">
        <v>0</v>
      </c>
      <c r="J737" t="n">
        <v>0</v>
      </c>
      <c r="K737" t="n">
        <v>0</v>
      </c>
      <c r="L737" t="n">
        <v>0</v>
      </c>
      <c r="M737" t="n">
        <v>0</v>
      </c>
      <c r="N737" t="n">
        <v>0</v>
      </c>
      <c r="O737" t="n">
        <v>0</v>
      </c>
      <c r="P737" t="n">
        <v>0</v>
      </c>
      <c r="Q737" t="n">
        <v>0</v>
      </c>
      <c r="R737" s="2" t="inlineStr"/>
    </row>
    <row r="738" ht="15" customHeight="1">
      <c r="A738" t="inlineStr">
        <is>
          <t>A 22592-2025</t>
        </is>
      </c>
      <c r="B738" s="1" t="n">
        <v>45789.40502314815</v>
      </c>
      <c r="C738" s="1" t="n">
        <v>46079</v>
      </c>
      <c r="D738" t="inlineStr">
        <is>
          <t>SKÅNE LÄN</t>
        </is>
      </c>
      <c r="E738" t="inlineStr">
        <is>
          <t>HÄSSLEHOLM</t>
        </is>
      </c>
      <c r="G738" t="n">
        <v>7.1</v>
      </c>
      <c r="H738" t="n">
        <v>0</v>
      </c>
      <c r="I738" t="n">
        <v>0</v>
      </c>
      <c r="J738" t="n">
        <v>0</v>
      </c>
      <c r="K738" t="n">
        <v>0</v>
      </c>
      <c r="L738" t="n">
        <v>0</v>
      </c>
      <c r="M738" t="n">
        <v>0</v>
      </c>
      <c r="N738" t="n">
        <v>0</v>
      </c>
      <c r="O738" t="n">
        <v>0</v>
      </c>
      <c r="P738" t="n">
        <v>0</v>
      </c>
      <c r="Q738" t="n">
        <v>0</v>
      </c>
      <c r="R738" s="2" t="inlineStr"/>
    </row>
    <row r="739" ht="15" customHeight="1">
      <c r="A739" t="inlineStr">
        <is>
          <t>A 64884-2023</t>
        </is>
      </c>
      <c r="B739" s="1" t="n">
        <v>45282.57809027778</v>
      </c>
      <c r="C739" s="1" t="n">
        <v>46079</v>
      </c>
      <c r="D739" t="inlineStr">
        <is>
          <t>SKÅNE LÄN</t>
        </is>
      </c>
      <c r="E739" t="inlineStr">
        <is>
          <t>HÄSSLEHOLM</t>
        </is>
      </c>
      <c r="G739" t="n">
        <v>4.6</v>
      </c>
      <c r="H739" t="n">
        <v>0</v>
      </c>
      <c r="I739" t="n">
        <v>0</v>
      </c>
      <c r="J739" t="n">
        <v>0</v>
      </c>
      <c r="K739" t="n">
        <v>0</v>
      </c>
      <c r="L739" t="n">
        <v>0</v>
      </c>
      <c r="M739" t="n">
        <v>0</v>
      </c>
      <c r="N739" t="n">
        <v>0</v>
      </c>
      <c r="O739" t="n">
        <v>0</v>
      </c>
      <c r="P739" t="n">
        <v>0</v>
      </c>
      <c r="Q739" t="n">
        <v>0</v>
      </c>
      <c r="R739" s="2" t="inlineStr"/>
    </row>
    <row r="740" ht="15" customHeight="1">
      <c r="A740" t="inlineStr">
        <is>
          <t>A 22140-2023</t>
        </is>
      </c>
      <c r="B740" s="1" t="n">
        <v>45065</v>
      </c>
      <c r="C740" s="1" t="n">
        <v>46079</v>
      </c>
      <c r="D740" t="inlineStr">
        <is>
          <t>SKÅNE LÄN</t>
        </is>
      </c>
      <c r="E740" t="inlineStr">
        <is>
          <t>HÄSSLEHOLM</t>
        </is>
      </c>
      <c r="G740" t="n">
        <v>6.7</v>
      </c>
      <c r="H740" t="n">
        <v>0</v>
      </c>
      <c r="I740" t="n">
        <v>0</v>
      </c>
      <c r="J740" t="n">
        <v>0</v>
      </c>
      <c r="K740" t="n">
        <v>0</v>
      </c>
      <c r="L740" t="n">
        <v>0</v>
      </c>
      <c r="M740" t="n">
        <v>0</v>
      </c>
      <c r="N740" t="n">
        <v>0</v>
      </c>
      <c r="O740" t="n">
        <v>0</v>
      </c>
      <c r="P740" t="n">
        <v>0</v>
      </c>
      <c r="Q740" t="n">
        <v>0</v>
      </c>
      <c r="R740" s="2" t="inlineStr"/>
    </row>
    <row r="741" ht="15" customHeight="1">
      <c r="A741" t="inlineStr">
        <is>
          <t>A 31944-2023</t>
        </is>
      </c>
      <c r="B741" s="1" t="n">
        <v>45119.34895833334</v>
      </c>
      <c r="C741" s="1" t="n">
        <v>46079</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7890-2024</t>
        </is>
      </c>
      <c r="B742" s="1" t="n">
        <v>45350.40780092592</v>
      </c>
      <c r="C742" s="1" t="n">
        <v>46079</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31946-2023</t>
        </is>
      </c>
      <c r="B743" s="1" t="n">
        <v>45119.35158564815</v>
      </c>
      <c r="C743" s="1" t="n">
        <v>46079</v>
      </c>
      <c r="D743" t="inlineStr">
        <is>
          <t>SKÅNE LÄN</t>
        </is>
      </c>
      <c r="E743" t="inlineStr">
        <is>
          <t>HÄSSLEHOLM</t>
        </is>
      </c>
      <c r="G743" t="n">
        <v>0.3</v>
      </c>
      <c r="H743" t="n">
        <v>0</v>
      </c>
      <c r="I743" t="n">
        <v>0</v>
      </c>
      <c r="J743" t="n">
        <v>0</v>
      </c>
      <c r="K743" t="n">
        <v>0</v>
      </c>
      <c r="L743" t="n">
        <v>0</v>
      </c>
      <c r="M743" t="n">
        <v>0</v>
      </c>
      <c r="N743" t="n">
        <v>0</v>
      </c>
      <c r="O743" t="n">
        <v>0</v>
      </c>
      <c r="P743" t="n">
        <v>0</v>
      </c>
      <c r="Q743" t="n">
        <v>0</v>
      </c>
      <c r="R743" s="2" t="inlineStr"/>
    </row>
    <row r="744" ht="15" customHeight="1">
      <c r="A744" t="inlineStr">
        <is>
          <t>A 8755-2024</t>
        </is>
      </c>
      <c r="B744" s="1" t="n">
        <v>45356</v>
      </c>
      <c r="C744" s="1" t="n">
        <v>46079</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17171-2025</t>
        </is>
      </c>
      <c r="B745" s="1" t="n">
        <v>45755</v>
      </c>
      <c r="C745" s="1" t="n">
        <v>46079</v>
      </c>
      <c r="D745" t="inlineStr">
        <is>
          <t>SKÅNE LÄN</t>
        </is>
      </c>
      <c r="E745" t="inlineStr">
        <is>
          <t>HÄSSLEHOLM</t>
        </is>
      </c>
      <c r="G745" t="n">
        <v>1.5</v>
      </c>
      <c r="H745" t="n">
        <v>0</v>
      </c>
      <c r="I745" t="n">
        <v>0</v>
      </c>
      <c r="J745" t="n">
        <v>0</v>
      </c>
      <c r="K745" t="n">
        <v>0</v>
      </c>
      <c r="L745" t="n">
        <v>0</v>
      </c>
      <c r="M745" t="n">
        <v>0</v>
      </c>
      <c r="N745" t="n">
        <v>0</v>
      </c>
      <c r="O745" t="n">
        <v>0</v>
      </c>
      <c r="P745" t="n">
        <v>0</v>
      </c>
      <c r="Q745" t="n">
        <v>0</v>
      </c>
      <c r="R745" s="2" t="inlineStr"/>
    </row>
    <row r="746" ht="15" customHeight="1">
      <c r="A746" t="inlineStr">
        <is>
          <t>A 41400-2025</t>
        </is>
      </c>
      <c r="B746" s="1" t="n">
        <v>45901</v>
      </c>
      <c r="C746" s="1" t="n">
        <v>46079</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13954-2023</t>
        </is>
      </c>
      <c r="B747" s="1" t="n">
        <v>45008</v>
      </c>
      <c r="C747" s="1" t="n">
        <v>46079</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51018-2023</t>
        </is>
      </c>
      <c r="B748" s="1" t="n">
        <v>45218</v>
      </c>
      <c r="C748" s="1" t="n">
        <v>46079</v>
      </c>
      <c r="D748" t="inlineStr">
        <is>
          <t>SKÅNE LÄN</t>
        </is>
      </c>
      <c r="E748" t="inlineStr">
        <is>
          <t>HÄSSLEHOLM</t>
        </is>
      </c>
      <c r="G748" t="n">
        <v>3.1</v>
      </c>
      <c r="H748" t="n">
        <v>0</v>
      </c>
      <c r="I748" t="n">
        <v>0</v>
      </c>
      <c r="J748" t="n">
        <v>0</v>
      </c>
      <c r="K748" t="n">
        <v>0</v>
      </c>
      <c r="L748" t="n">
        <v>0</v>
      </c>
      <c r="M748" t="n">
        <v>0</v>
      </c>
      <c r="N748" t="n">
        <v>0</v>
      </c>
      <c r="O748" t="n">
        <v>0</v>
      </c>
      <c r="P748" t="n">
        <v>0</v>
      </c>
      <c r="Q748" t="n">
        <v>0</v>
      </c>
      <c r="R748" s="2" t="inlineStr"/>
    </row>
    <row r="749" ht="15" customHeight="1">
      <c r="A749" t="inlineStr">
        <is>
          <t>A 40152-2024</t>
        </is>
      </c>
      <c r="B749" s="1" t="n">
        <v>45554</v>
      </c>
      <c r="C749" s="1" t="n">
        <v>46079</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61178-2022</t>
        </is>
      </c>
      <c r="B750" s="1" t="n">
        <v>44915</v>
      </c>
      <c r="C750" s="1" t="n">
        <v>46079</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61185-2022</t>
        </is>
      </c>
      <c r="B751" s="1" t="n">
        <v>44915</v>
      </c>
      <c r="C751" s="1" t="n">
        <v>46079</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31254-2024</t>
        </is>
      </c>
      <c r="B752" s="1" t="n">
        <v>45503</v>
      </c>
      <c r="C752" s="1" t="n">
        <v>46079</v>
      </c>
      <c r="D752" t="inlineStr">
        <is>
          <t>SKÅNE LÄN</t>
        </is>
      </c>
      <c r="E752" t="inlineStr">
        <is>
          <t>HÄSSLEHOLM</t>
        </is>
      </c>
      <c r="G752" t="n">
        <v>2.2</v>
      </c>
      <c r="H752" t="n">
        <v>0</v>
      </c>
      <c r="I752" t="n">
        <v>0</v>
      </c>
      <c r="J752" t="n">
        <v>0</v>
      </c>
      <c r="K752" t="n">
        <v>0</v>
      </c>
      <c r="L752" t="n">
        <v>0</v>
      </c>
      <c r="M752" t="n">
        <v>0</v>
      </c>
      <c r="N752" t="n">
        <v>0</v>
      </c>
      <c r="O752" t="n">
        <v>0</v>
      </c>
      <c r="P752" t="n">
        <v>0</v>
      </c>
      <c r="Q752" t="n">
        <v>0</v>
      </c>
      <c r="R752" s="2" t="inlineStr"/>
    </row>
    <row r="753" ht="15" customHeight="1">
      <c r="A753" t="inlineStr">
        <is>
          <t>A 27825-2024</t>
        </is>
      </c>
      <c r="B753" s="1" t="n">
        <v>45475</v>
      </c>
      <c r="C753" s="1" t="n">
        <v>46079</v>
      </c>
      <c r="D753" t="inlineStr">
        <is>
          <t>SKÅNE LÄN</t>
        </is>
      </c>
      <c r="E753" t="inlineStr">
        <is>
          <t>HÄSSLEHOLM</t>
        </is>
      </c>
      <c r="F753" t="inlineStr">
        <is>
          <t>Kommuner</t>
        </is>
      </c>
      <c r="G753" t="n">
        <v>1.1</v>
      </c>
      <c r="H753" t="n">
        <v>0</v>
      </c>
      <c r="I753" t="n">
        <v>0</v>
      </c>
      <c r="J753" t="n">
        <v>0</v>
      </c>
      <c r="K753" t="n">
        <v>0</v>
      </c>
      <c r="L753" t="n">
        <v>0</v>
      </c>
      <c r="M753" t="n">
        <v>0</v>
      </c>
      <c r="N753" t="n">
        <v>0</v>
      </c>
      <c r="O753" t="n">
        <v>0</v>
      </c>
      <c r="P753" t="n">
        <v>0</v>
      </c>
      <c r="Q753" t="n">
        <v>0</v>
      </c>
      <c r="R753" s="2" t="inlineStr"/>
    </row>
    <row r="754" ht="15" customHeight="1">
      <c r="A754" t="inlineStr">
        <is>
          <t>A 61691-2021</t>
        </is>
      </c>
      <c r="B754" s="1" t="n">
        <v>44501</v>
      </c>
      <c r="C754" s="1" t="n">
        <v>46079</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25221-2023</t>
        </is>
      </c>
      <c r="B755" s="1" t="n">
        <v>45086.60842592592</v>
      </c>
      <c r="C755" s="1" t="n">
        <v>46079</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59390-2021</t>
        </is>
      </c>
      <c r="B756" s="1" t="n">
        <v>44490</v>
      </c>
      <c r="C756" s="1" t="n">
        <v>46079</v>
      </c>
      <c r="D756" t="inlineStr">
        <is>
          <t>SKÅNE LÄN</t>
        </is>
      </c>
      <c r="E756" t="inlineStr">
        <is>
          <t>HÄSSLEHOLM</t>
        </is>
      </c>
      <c r="G756" t="n">
        <v>7.1</v>
      </c>
      <c r="H756" t="n">
        <v>0</v>
      </c>
      <c r="I756" t="n">
        <v>0</v>
      </c>
      <c r="J756" t="n">
        <v>0</v>
      </c>
      <c r="K756" t="n">
        <v>0</v>
      </c>
      <c r="L756" t="n">
        <v>0</v>
      </c>
      <c r="M756" t="n">
        <v>0</v>
      </c>
      <c r="N756" t="n">
        <v>0</v>
      </c>
      <c r="O756" t="n">
        <v>0</v>
      </c>
      <c r="P756" t="n">
        <v>0</v>
      </c>
      <c r="Q756" t="n">
        <v>0</v>
      </c>
      <c r="R756" s="2" t="inlineStr"/>
    </row>
    <row r="757" ht="15" customHeight="1">
      <c r="A757" t="inlineStr">
        <is>
          <t>A 37764-2022</t>
        </is>
      </c>
      <c r="B757" s="1" t="n">
        <v>44810</v>
      </c>
      <c r="C757" s="1" t="n">
        <v>46079</v>
      </c>
      <c r="D757" t="inlineStr">
        <is>
          <t>SKÅNE LÄN</t>
        </is>
      </c>
      <c r="E757" t="inlineStr">
        <is>
          <t>HÄSSLEHOLM</t>
        </is>
      </c>
      <c r="F757" t="inlineStr">
        <is>
          <t>Kyrkan</t>
        </is>
      </c>
      <c r="G757" t="n">
        <v>9.4</v>
      </c>
      <c r="H757" t="n">
        <v>0</v>
      </c>
      <c r="I757" t="n">
        <v>0</v>
      </c>
      <c r="J757" t="n">
        <v>0</v>
      </c>
      <c r="K757" t="n">
        <v>0</v>
      </c>
      <c r="L757" t="n">
        <v>0</v>
      </c>
      <c r="M757" t="n">
        <v>0</v>
      </c>
      <c r="N757" t="n">
        <v>0</v>
      </c>
      <c r="O757" t="n">
        <v>0</v>
      </c>
      <c r="P757" t="n">
        <v>0</v>
      </c>
      <c r="Q757" t="n">
        <v>0</v>
      </c>
      <c r="R757" s="2" t="inlineStr"/>
    </row>
    <row r="758" ht="15" customHeight="1">
      <c r="A758" t="inlineStr">
        <is>
          <t>A 41401-2025</t>
        </is>
      </c>
      <c r="B758" s="1" t="n">
        <v>45901</v>
      </c>
      <c r="C758" s="1" t="n">
        <v>46079</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50564-2023</t>
        </is>
      </c>
      <c r="B759" s="1" t="n">
        <v>45217.37957175926</v>
      </c>
      <c r="C759" s="1" t="n">
        <v>46079</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15133-2023</t>
        </is>
      </c>
      <c r="B760" s="1" t="n">
        <v>45016</v>
      </c>
      <c r="C760" s="1" t="n">
        <v>46079</v>
      </c>
      <c r="D760" t="inlineStr">
        <is>
          <t>SKÅNE LÄN</t>
        </is>
      </c>
      <c r="E760" t="inlineStr">
        <is>
          <t>HÄSSLEHOLM</t>
        </is>
      </c>
      <c r="G760" t="n">
        <v>7.8</v>
      </c>
      <c r="H760" t="n">
        <v>0</v>
      </c>
      <c r="I760" t="n">
        <v>0</v>
      </c>
      <c r="J760" t="n">
        <v>0</v>
      </c>
      <c r="K760" t="n">
        <v>0</v>
      </c>
      <c r="L760" t="n">
        <v>0</v>
      </c>
      <c r="M760" t="n">
        <v>0</v>
      </c>
      <c r="N760" t="n">
        <v>0</v>
      </c>
      <c r="O760" t="n">
        <v>0</v>
      </c>
      <c r="P760" t="n">
        <v>0</v>
      </c>
      <c r="Q760" t="n">
        <v>0</v>
      </c>
      <c r="R760" s="2" t="inlineStr"/>
    </row>
    <row r="761" ht="15" customHeight="1">
      <c r="A761" t="inlineStr">
        <is>
          <t>A 37486-2024</t>
        </is>
      </c>
      <c r="B761" s="1" t="n">
        <v>45541</v>
      </c>
      <c r="C761" s="1" t="n">
        <v>46079</v>
      </c>
      <c r="D761" t="inlineStr">
        <is>
          <t>SKÅNE LÄN</t>
        </is>
      </c>
      <c r="E761" t="inlineStr">
        <is>
          <t>HÄSSLEHOLM</t>
        </is>
      </c>
      <c r="G761" t="n">
        <v>8.5</v>
      </c>
      <c r="H761" t="n">
        <v>0</v>
      </c>
      <c r="I761" t="n">
        <v>0</v>
      </c>
      <c r="J761" t="n">
        <v>0</v>
      </c>
      <c r="K761" t="n">
        <v>0</v>
      </c>
      <c r="L761" t="n">
        <v>0</v>
      </c>
      <c r="M761" t="n">
        <v>0</v>
      </c>
      <c r="N761" t="n">
        <v>0</v>
      </c>
      <c r="O761" t="n">
        <v>0</v>
      </c>
      <c r="P761" t="n">
        <v>0</v>
      </c>
      <c r="Q761" t="n">
        <v>0</v>
      </c>
      <c r="R761" s="2" t="inlineStr"/>
    </row>
    <row r="762" ht="15" customHeight="1">
      <c r="A762" t="inlineStr">
        <is>
          <t>A 44838-2023</t>
        </is>
      </c>
      <c r="B762" s="1" t="n">
        <v>45190</v>
      </c>
      <c r="C762" s="1" t="n">
        <v>46079</v>
      </c>
      <c r="D762" t="inlineStr">
        <is>
          <t>SKÅNE LÄN</t>
        </is>
      </c>
      <c r="E762" t="inlineStr">
        <is>
          <t>HÄSSLEHOLM</t>
        </is>
      </c>
      <c r="F762" t="inlineStr">
        <is>
          <t>Kommuner</t>
        </is>
      </c>
      <c r="G762" t="n">
        <v>2</v>
      </c>
      <c r="H762" t="n">
        <v>0</v>
      </c>
      <c r="I762" t="n">
        <v>0</v>
      </c>
      <c r="J762" t="n">
        <v>0</v>
      </c>
      <c r="K762" t="n">
        <v>0</v>
      </c>
      <c r="L762" t="n">
        <v>0</v>
      </c>
      <c r="M762" t="n">
        <v>0</v>
      </c>
      <c r="N762" t="n">
        <v>0</v>
      </c>
      <c r="O762" t="n">
        <v>0</v>
      </c>
      <c r="P762" t="n">
        <v>0</v>
      </c>
      <c r="Q762" t="n">
        <v>0</v>
      </c>
      <c r="R762" s="2" t="inlineStr"/>
    </row>
    <row r="763" ht="15" customHeight="1">
      <c r="A763" t="inlineStr">
        <is>
          <t>A 15053-2023</t>
        </is>
      </c>
      <c r="B763" s="1" t="n">
        <v>45015</v>
      </c>
      <c r="C763" s="1" t="n">
        <v>46079</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23857-2024</t>
        </is>
      </c>
      <c r="B764" s="1" t="n">
        <v>45455</v>
      </c>
      <c r="C764" s="1" t="n">
        <v>46079</v>
      </c>
      <c r="D764" t="inlineStr">
        <is>
          <t>SKÅNE LÄN</t>
        </is>
      </c>
      <c r="E764" t="inlineStr">
        <is>
          <t>HÄSSLEHOLM</t>
        </is>
      </c>
      <c r="G764" t="n">
        <v>3</v>
      </c>
      <c r="H764" t="n">
        <v>0</v>
      </c>
      <c r="I764" t="n">
        <v>0</v>
      </c>
      <c r="J764" t="n">
        <v>0</v>
      </c>
      <c r="K764" t="n">
        <v>0</v>
      </c>
      <c r="L764" t="n">
        <v>0</v>
      </c>
      <c r="M764" t="n">
        <v>0</v>
      </c>
      <c r="N764" t="n">
        <v>0</v>
      </c>
      <c r="O764" t="n">
        <v>0</v>
      </c>
      <c r="P764" t="n">
        <v>0</v>
      </c>
      <c r="Q764" t="n">
        <v>0</v>
      </c>
      <c r="R764" s="2" t="inlineStr"/>
    </row>
    <row r="765" ht="15" customHeight="1">
      <c r="A765" t="inlineStr">
        <is>
          <t>A 35644-2023</t>
        </is>
      </c>
      <c r="B765" s="1" t="n">
        <v>45147</v>
      </c>
      <c r="C765" s="1" t="n">
        <v>46079</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15072-2024</t>
        </is>
      </c>
      <c r="B766" s="1" t="n">
        <v>45399.5996875</v>
      </c>
      <c r="C766" s="1" t="n">
        <v>46079</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46185-2022</t>
        </is>
      </c>
      <c r="B767" s="1" t="n">
        <v>44847</v>
      </c>
      <c r="C767" s="1" t="n">
        <v>46079</v>
      </c>
      <c r="D767" t="inlineStr">
        <is>
          <t>SKÅNE LÄN</t>
        </is>
      </c>
      <c r="E767" t="inlineStr">
        <is>
          <t>HÄSSLEHOLM</t>
        </is>
      </c>
      <c r="G767" t="n">
        <v>16.8</v>
      </c>
      <c r="H767" t="n">
        <v>0</v>
      </c>
      <c r="I767" t="n">
        <v>0</v>
      </c>
      <c r="J767" t="n">
        <v>0</v>
      </c>
      <c r="K767" t="n">
        <v>0</v>
      </c>
      <c r="L767" t="n">
        <v>0</v>
      </c>
      <c r="M767" t="n">
        <v>0</v>
      </c>
      <c r="N767" t="n">
        <v>0</v>
      </c>
      <c r="O767" t="n">
        <v>0</v>
      </c>
      <c r="P767" t="n">
        <v>0</v>
      </c>
      <c r="Q767" t="n">
        <v>0</v>
      </c>
      <c r="R767" s="2" t="inlineStr"/>
    </row>
    <row r="768" ht="15" customHeight="1">
      <c r="A768" t="inlineStr">
        <is>
          <t>A 16930-2024</t>
        </is>
      </c>
      <c r="B768" s="1" t="n">
        <v>45411</v>
      </c>
      <c r="C768" s="1" t="n">
        <v>46079</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8433-2024</t>
        </is>
      </c>
      <c r="B769" s="1" t="n">
        <v>45353.48434027778</v>
      </c>
      <c r="C769" s="1" t="n">
        <v>46079</v>
      </c>
      <c r="D769" t="inlineStr">
        <is>
          <t>SKÅNE LÄN</t>
        </is>
      </c>
      <c r="E769" t="inlineStr">
        <is>
          <t>HÄSSLEHOLM</t>
        </is>
      </c>
      <c r="G769" t="n">
        <v>1.9</v>
      </c>
      <c r="H769" t="n">
        <v>0</v>
      </c>
      <c r="I769" t="n">
        <v>0</v>
      </c>
      <c r="J769" t="n">
        <v>0</v>
      </c>
      <c r="K769" t="n">
        <v>0</v>
      </c>
      <c r="L769" t="n">
        <v>0</v>
      </c>
      <c r="M769" t="n">
        <v>0</v>
      </c>
      <c r="N769" t="n">
        <v>0</v>
      </c>
      <c r="O769" t="n">
        <v>0</v>
      </c>
      <c r="P769" t="n">
        <v>0</v>
      </c>
      <c r="Q769" t="n">
        <v>0</v>
      </c>
      <c r="R769" s="2" t="inlineStr"/>
    </row>
    <row r="770" ht="15" customHeight="1">
      <c r="A770" t="inlineStr">
        <is>
          <t>A 62055-2023</t>
        </is>
      </c>
      <c r="B770" s="1" t="n">
        <v>45266.70287037037</v>
      </c>
      <c r="C770" s="1" t="n">
        <v>46079</v>
      </c>
      <c r="D770" t="inlineStr">
        <is>
          <t>SKÅNE LÄN</t>
        </is>
      </c>
      <c r="E770" t="inlineStr">
        <is>
          <t>HÄSSLEHOLM</t>
        </is>
      </c>
      <c r="G770" t="n">
        <v>5.2</v>
      </c>
      <c r="H770" t="n">
        <v>0</v>
      </c>
      <c r="I770" t="n">
        <v>0</v>
      </c>
      <c r="J770" t="n">
        <v>0</v>
      </c>
      <c r="K770" t="n">
        <v>0</v>
      </c>
      <c r="L770" t="n">
        <v>0</v>
      </c>
      <c r="M770" t="n">
        <v>0</v>
      </c>
      <c r="N770" t="n">
        <v>0</v>
      </c>
      <c r="O770" t="n">
        <v>0</v>
      </c>
      <c r="P770" t="n">
        <v>0</v>
      </c>
      <c r="Q770" t="n">
        <v>0</v>
      </c>
      <c r="R770" s="2" t="inlineStr"/>
    </row>
    <row r="771" ht="15" customHeight="1">
      <c r="A771" t="inlineStr">
        <is>
          <t>A 11262-2025</t>
        </is>
      </c>
      <c r="B771" s="1" t="n">
        <v>45726</v>
      </c>
      <c r="C771" s="1" t="n">
        <v>46079</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5395-2024</t>
        </is>
      </c>
      <c r="B772" s="1" t="n">
        <v>45331</v>
      </c>
      <c r="C772" s="1" t="n">
        <v>46079</v>
      </c>
      <c r="D772" t="inlineStr">
        <is>
          <t>SKÅNE LÄN</t>
        </is>
      </c>
      <c r="E772" t="inlineStr">
        <is>
          <t>HÄSSLEHOLM</t>
        </is>
      </c>
      <c r="G772" t="n">
        <v>2.6</v>
      </c>
      <c r="H772" t="n">
        <v>0</v>
      </c>
      <c r="I772" t="n">
        <v>0</v>
      </c>
      <c r="J772" t="n">
        <v>0</v>
      </c>
      <c r="K772" t="n">
        <v>0</v>
      </c>
      <c r="L772" t="n">
        <v>0</v>
      </c>
      <c r="M772" t="n">
        <v>0</v>
      </c>
      <c r="N772" t="n">
        <v>0</v>
      </c>
      <c r="O772" t="n">
        <v>0</v>
      </c>
      <c r="P772" t="n">
        <v>0</v>
      </c>
      <c r="Q772" t="n">
        <v>0</v>
      </c>
      <c r="R772" s="2" t="inlineStr"/>
    </row>
    <row r="773" ht="15" customHeight="1">
      <c r="A773" t="inlineStr">
        <is>
          <t>A 56069-2024</t>
        </is>
      </c>
      <c r="B773" s="1" t="n">
        <v>45624.38006944444</v>
      </c>
      <c r="C773" s="1" t="n">
        <v>46079</v>
      </c>
      <c r="D773" t="inlineStr">
        <is>
          <t>SKÅNE LÄN</t>
        </is>
      </c>
      <c r="E773" t="inlineStr">
        <is>
          <t>HÄSSLEHOLM</t>
        </is>
      </c>
      <c r="F773" t="inlineStr">
        <is>
          <t>Övriga Aktiebolag</t>
        </is>
      </c>
      <c r="G773" t="n">
        <v>2.3</v>
      </c>
      <c r="H773" t="n">
        <v>0</v>
      </c>
      <c r="I773" t="n">
        <v>0</v>
      </c>
      <c r="J773" t="n">
        <v>0</v>
      </c>
      <c r="K773" t="n">
        <v>0</v>
      </c>
      <c r="L773" t="n">
        <v>0</v>
      </c>
      <c r="M773" t="n">
        <v>0</v>
      </c>
      <c r="N773" t="n">
        <v>0</v>
      </c>
      <c r="O773" t="n">
        <v>0</v>
      </c>
      <c r="P773" t="n">
        <v>0</v>
      </c>
      <c r="Q773" t="n">
        <v>0</v>
      </c>
      <c r="R773" s="2" t="inlineStr"/>
    </row>
    <row r="774" ht="15" customHeight="1">
      <c r="A774" t="inlineStr">
        <is>
          <t>A 60797-2024</t>
        </is>
      </c>
      <c r="B774" s="1" t="n">
        <v>45644</v>
      </c>
      <c r="C774" s="1" t="n">
        <v>46079</v>
      </c>
      <c r="D774" t="inlineStr">
        <is>
          <t>SKÅNE LÄN</t>
        </is>
      </c>
      <c r="E774" t="inlineStr">
        <is>
          <t>HÄSSLEHOLM</t>
        </is>
      </c>
      <c r="G774" t="n">
        <v>3.4</v>
      </c>
      <c r="H774" t="n">
        <v>0</v>
      </c>
      <c r="I774" t="n">
        <v>0</v>
      </c>
      <c r="J774" t="n">
        <v>0</v>
      </c>
      <c r="K774" t="n">
        <v>0</v>
      </c>
      <c r="L774" t="n">
        <v>0</v>
      </c>
      <c r="M774" t="n">
        <v>0</v>
      </c>
      <c r="N774" t="n">
        <v>0</v>
      </c>
      <c r="O774" t="n">
        <v>0</v>
      </c>
      <c r="P774" t="n">
        <v>0</v>
      </c>
      <c r="Q774" t="n">
        <v>0</v>
      </c>
      <c r="R774" s="2" t="inlineStr"/>
    </row>
    <row r="775" ht="15" customHeight="1">
      <c r="A775" t="inlineStr">
        <is>
          <t>A 24034-2025</t>
        </is>
      </c>
      <c r="B775" s="1" t="n">
        <v>45796.48251157408</v>
      </c>
      <c r="C775" s="1" t="n">
        <v>46079</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13555-2025</t>
        </is>
      </c>
      <c r="B776" s="1" t="n">
        <v>45736</v>
      </c>
      <c r="C776" s="1" t="n">
        <v>46079</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24039-2025</t>
        </is>
      </c>
      <c r="B777" s="1" t="n">
        <v>45796.48675925926</v>
      </c>
      <c r="C777" s="1" t="n">
        <v>46079</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28632-2024</t>
        </is>
      </c>
      <c r="B778" s="1" t="n">
        <v>45478</v>
      </c>
      <c r="C778" s="1" t="n">
        <v>46079</v>
      </c>
      <c r="D778" t="inlineStr">
        <is>
          <t>SKÅNE LÄN</t>
        </is>
      </c>
      <c r="E778" t="inlineStr">
        <is>
          <t>HÄSSLEHOLM</t>
        </is>
      </c>
      <c r="G778" t="n">
        <v>4</v>
      </c>
      <c r="H778" t="n">
        <v>0</v>
      </c>
      <c r="I778" t="n">
        <v>0</v>
      </c>
      <c r="J778" t="n">
        <v>0</v>
      </c>
      <c r="K778" t="n">
        <v>0</v>
      </c>
      <c r="L778" t="n">
        <v>0</v>
      </c>
      <c r="M778" t="n">
        <v>0</v>
      </c>
      <c r="N778" t="n">
        <v>0</v>
      </c>
      <c r="O778" t="n">
        <v>0</v>
      </c>
      <c r="P778" t="n">
        <v>0</v>
      </c>
      <c r="Q778" t="n">
        <v>0</v>
      </c>
      <c r="R778" s="2" t="inlineStr"/>
    </row>
    <row r="779" ht="15" customHeight="1">
      <c r="A779" t="inlineStr">
        <is>
          <t>A 7681-2025</t>
        </is>
      </c>
      <c r="B779" s="1" t="n">
        <v>45706.36758101852</v>
      </c>
      <c r="C779" s="1" t="n">
        <v>46079</v>
      </c>
      <c r="D779" t="inlineStr">
        <is>
          <t>SKÅNE LÄN</t>
        </is>
      </c>
      <c r="E779" t="inlineStr">
        <is>
          <t>HÄSSLEHOLM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24032-2025</t>
        </is>
      </c>
      <c r="B780" s="1" t="n">
        <v>45796.478125</v>
      </c>
      <c r="C780" s="1" t="n">
        <v>46079</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35712-2024</t>
        </is>
      </c>
      <c r="B781" s="1" t="n">
        <v>45532</v>
      </c>
      <c r="C781" s="1" t="n">
        <v>46079</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5252-2025</t>
        </is>
      </c>
      <c r="B782" s="1" t="n">
        <v>45692.3449537037</v>
      </c>
      <c r="C782" s="1" t="n">
        <v>46079</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33466-2024</t>
        </is>
      </c>
      <c r="B783" s="1" t="n">
        <v>45519</v>
      </c>
      <c r="C783" s="1" t="n">
        <v>46079</v>
      </c>
      <c r="D783" t="inlineStr">
        <is>
          <t>SKÅNE LÄN</t>
        </is>
      </c>
      <c r="E783" t="inlineStr">
        <is>
          <t>HÄSSLEHOLM</t>
        </is>
      </c>
      <c r="G783" t="n">
        <v>0.4</v>
      </c>
      <c r="H783" t="n">
        <v>0</v>
      </c>
      <c r="I783" t="n">
        <v>0</v>
      </c>
      <c r="J783" t="n">
        <v>0</v>
      </c>
      <c r="K783" t="n">
        <v>0</v>
      </c>
      <c r="L783" t="n">
        <v>0</v>
      </c>
      <c r="M783" t="n">
        <v>0</v>
      </c>
      <c r="N783" t="n">
        <v>0</v>
      </c>
      <c r="O783" t="n">
        <v>0</v>
      </c>
      <c r="P783" t="n">
        <v>0</v>
      </c>
      <c r="Q783" t="n">
        <v>0</v>
      </c>
      <c r="R783" s="2" t="inlineStr"/>
    </row>
    <row r="784" ht="15" customHeight="1">
      <c r="A784" t="inlineStr">
        <is>
          <t>A 26397-2023</t>
        </is>
      </c>
      <c r="B784" s="1" t="n">
        <v>45087</v>
      </c>
      <c r="C784" s="1" t="n">
        <v>46079</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24047-2025</t>
        </is>
      </c>
      <c r="B785" s="1" t="n">
        <v>45796.49528935185</v>
      </c>
      <c r="C785" s="1" t="n">
        <v>46079</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27175-2024</t>
        </is>
      </c>
      <c r="B786" s="1" t="n">
        <v>45471.57111111111</v>
      </c>
      <c r="C786" s="1" t="n">
        <v>46079</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60789-2024</t>
        </is>
      </c>
      <c r="B787" s="1" t="n">
        <v>45644</v>
      </c>
      <c r="C787" s="1" t="n">
        <v>46079</v>
      </c>
      <c r="D787" t="inlineStr">
        <is>
          <t>SKÅNE LÄN</t>
        </is>
      </c>
      <c r="E787" t="inlineStr">
        <is>
          <t>HÄSSLEHOLM</t>
        </is>
      </c>
      <c r="G787" t="n">
        <v>3</v>
      </c>
      <c r="H787" t="n">
        <v>0</v>
      </c>
      <c r="I787" t="n">
        <v>0</v>
      </c>
      <c r="J787" t="n">
        <v>0</v>
      </c>
      <c r="K787" t="n">
        <v>0</v>
      </c>
      <c r="L787" t="n">
        <v>0</v>
      </c>
      <c r="M787" t="n">
        <v>0</v>
      </c>
      <c r="N787" t="n">
        <v>0</v>
      </c>
      <c r="O787" t="n">
        <v>0</v>
      </c>
      <c r="P787" t="n">
        <v>0</v>
      </c>
      <c r="Q787" t="n">
        <v>0</v>
      </c>
      <c r="R787" s="2" t="inlineStr"/>
    </row>
    <row r="788" ht="15" customHeight="1">
      <c r="A788" t="inlineStr">
        <is>
          <t>A 1197-2024</t>
        </is>
      </c>
      <c r="B788" s="1" t="n">
        <v>45302</v>
      </c>
      <c r="C788" s="1" t="n">
        <v>46079</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42520-2025</t>
        </is>
      </c>
      <c r="B789" s="1" t="n">
        <v>45905.54846064815</v>
      </c>
      <c r="C789" s="1" t="n">
        <v>46079</v>
      </c>
      <c r="D789" t="inlineStr">
        <is>
          <t>SKÅNE LÄN</t>
        </is>
      </c>
      <c r="E789" t="inlineStr">
        <is>
          <t>HÄSSLEHOLM</t>
        </is>
      </c>
      <c r="G789" t="n">
        <v>2.5</v>
      </c>
      <c r="H789" t="n">
        <v>0</v>
      </c>
      <c r="I789" t="n">
        <v>0</v>
      </c>
      <c r="J789" t="n">
        <v>0</v>
      </c>
      <c r="K789" t="n">
        <v>0</v>
      </c>
      <c r="L789" t="n">
        <v>0</v>
      </c>
      <c r="M789" t="n">
        <v>0</v>
      </c>
      <c r="N789" t="n">
        <v>0</v>
      </c>
      <c r="O789" t="n">
        <v>0</v>
      </c>
      <c r="P789" t="n">
        <v>0</v>
      </c>
      <c r="Q789" t="n">
        <v>0</v>
      </c>
      <c r="R789" s="2" t="inlineStr"/>
    </row>
    <row r="790" ht="15" customHeight="1">
      <c r="A790" t="inlineStr">
        <is>
          <t>A 24029-2025</t>
        </is>
      </c>
      <c r="B790" s="1" t="n">
        <v>45796.47552083333</v>
      </c>
      <c r="C790" s="1" t="n">
        <v>46079</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48097-2024</t>
        </is>
      </c>
      <c r="B791" s="1" t="n">
        <v>45589.61413194444</v>
      </c>
      <c r="C791" s="1" t="n">
        <v>46079</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43333-2025</t>
        </is>
      </c>
      <c r="B792" s="1" t="n">
        <v>45910</v>
      </c>
      <c r="C792" s="1" t="n">
        <v>46079</v>
      </c>
      <c r="D792" t="inlineStr">
        <is>
          <t>SKÅNE LÄN</t>
        </is>
      </c>
      <c r="E792" t="inlineStr">
        <is>
          <t>HÄSSLEHOLM</t>
        </is>
      </c>
      <c r="G792" t="n">
        <v>10.1</v>
      </c>
      <c r="H792" t="n">
        <v>0</v>
      </c>
      <c r="I792" t="n">
        <v>0</v>
      </c>
      <c r="J792" t="n">
        <v>0</v>
      </c>
      <c r="K792" t="n">
        <v>0</v>
      </c>
      <c r="L792" t="n">
        <v>0</v>
      </c>
      <c r="M792" t="n">
        <v>0</v>
      </c>
      <c r="N792" t="n">
        <v>0</v>
      </c>
      <c r="O792" t="n">
        <v>0</v>
      </c>
      <c r="P792" t="n">
        <v>0</v>
      </c>
      <c r="Q792" t="n">
        <v>0</v>
      </c>
      <c r="R792" s="2" t="inlineStr"/>
    </row>
    <row r="793" ht="15" customHeight="1">
      <c r="A793" t="inlineStr">
        <is>
          <t>A 53077-2022</t>
        </is>
      </c>
      <c r="B793" s="1" t="n">
        <v>44873</v>
      </c>
      <c r="C793" s="1" t="n">
        <v>46079</v>
      </c>
      <c r="D793" t="inlineStr">
        <is>
          <t>SKÅNE LÄN</t>
        </is>
      </c>
      <c r="E793" t="inlineStr">
        <is>
          <t>HÄSSLEHOLM</t>
        </is>
      </c>
      <c r="G793" t="n">
        <v>3</v>
      </c>
      <c r="H793" t="n">
        <v>0</v>
      </c>
      <c r="I793" t="n">
        <v>0</v>
      </c>
      <c r="J793" t="n">
        <v>0</v>
      </c>
      <c r="K793" t="n">
        <v>0</v>
      </c>
      <c r="L793" t="n">
        <v>0</v>
      </c>
      <c r="M793" t="n">
        <v>0</v>
      </c>
      <c r="N793" t="n">
        <v>0</v>
      </c>
      <c r="O793" t="n">
        <v>0</v>
      </c>
      <c r="P793" t="n">
        <v>0</v>
      </c>
      <c r="Q793" t="n">
        <v>0</v>
      </c>
      <c r="R793" s="2" t="inlineStr"/>
    </row>
    <row r="794" ht="15" customHeight="1">
      <c r="A794" t="inlineStr">
        <is>
          <t>A 43332-2025</t>
        </is>
      </c>
      <c r="B794" s="1" t="n">
        <v>45910.70217592592</v>
      </c>
      <c r="C794" s="1" t="n">
        <v>46079</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24675-2025</t>
        </is>
      </c>
      <c r="B795" s="1" t="n">
        <v>45798.653125</v>
      </c>
      <c r="C795" s="1" t="n">
        <v>46079</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10562-2025</t>
        </is>
      </c>
      <c r="B796" s="1" t="n">
        <v>45721.52913194444</v>
      </c>
      <c r="C796" s="1" t="n">
        <v>46079</v>
      </c>
      <c r="D796" t="inlineStr">
        <is>
          <t>SKÅNE LÄN</t>
        </is>
      </c>
      <c r="E796" t="inlineStr">
        <is>
          <t>HÄSSLEHOLM</t>
        </is>
      </c>
      <c r="G796" t="n">
        <v>1.4</v>
      </c>
      <c r="H796" t="n">
        <v>0</v>
      </c>
      <c r="I796" t="n">
        <v>0</v>
      </c>
      <c r="J796" t="n">
        <v>0</v>
      </c>
      <c r="K796" t="n">
        <v>0</v>
      </c>
      <c r="L796" t="n">
        <v>0</v>
      </c>
      <c r="M796" t="n">
        <v>0</v>
      </c>
      <c r="N796" t="n">
        <v>0</v>
      </c>
      <c r="O796" t="n">
        <v>0</v>
      </c>
      <c r="P796" t="n">
        <v>0</v>
      </c>
      <c r="Q796" t="n">
        <v>0</v>
      </c>
      <c r="R796" s="2" t="inlineStr"/>
    </row>
    <row r="797" ht="15" customHeight="1">
      <c r="A797" t="inlineStr">
        <is>
          <t>A 32512-2024</t>
        </is>
      </c>
      <c r="B797" s="1" t="n">
        <v>45513.45613425926</v>
      </c>
      <c r="C797" s="1" t="n">
        <v>46079</v>
      </c>
      <c r="D797" t="inlineStr">
        <is>
          <t>SKÅNE LÄN</t>
        </is>
      </c>
      <c r="E797" t="inlineStr">
        <is>
          <t>HÄSSLEHOLM</t>
        </is>
      </c>
      <c r="G797" t="n">
        <v>1.8</v>
      </c>
      <c r="H797" t="n">
        <v>0</v>
      </c>
      <c r="I797" t="n">
        <v>0</v>
      </c>
      <c r="J797" t="n">
        <v>0</v>
      </c>
      <c r="K797" t="n">
        <v>0</v>
      </c>
      <c r="L797" t="n">
        <v>0</v>
      </c>
      <c r="M797" t="n">
        <v>0</v>
      </c>
      <c r="N797" t="n">
        <v>0</v>
      </c>
      <c r="O797" t="n">
        <v>0</v>
      </c>
      <c r="P797" t="n">
        <v>0</v>
      </c>
      <c r="Q797" t="n">
        <v>0</v>
      </c>
      <c r="R797" s="2" t="inlineStr"/>
    </row>
    <row r="798" ht="15" customHeight="1">
      <c r="A798" t="inlineStr">
        <is>
          <t>A 19020-2024</t>
        </is>
      </c>
      <c r="B798" s="1" t="n">
        <v>45427.66167824074</v>
      </c>
      <c r="C798" s="1" t="n">
        <v>46079</v>
      </c>
      <c r="D798" t="inlineStr">
        <is>
          <t>SKÅNE LÄN</t>
        </is>
      </c>
      <c r="E798" t="inlineStr">
        <is>
          <t>HÄSSLEHOLM</t>
        </is>
      </c>
      <c r="G798" t="n">
        <v>2.3</v>
      </c>
      <c r="H798" t="n">
        <v>0</v>
      </c>
      <c r="I798" t="n">
        <v>0</v>
      </c>
      <c r="J798" t="n">
        <v>0</v>
      </c>
      <c r="K798" t="n">
        <v>0</v>
      </c>
      <c r="L798" t="n">
        <v>0</v>
      </c>
      <c r="M798" t="n">
        <v>0</v>
      </c>
      <c r="N798" t="n">
        <v>0</v>
      </c>
      <c r="O798" t="n">
        <v>0</v>
      </c>
      <c r="P798" t="n">
        <v>0</v>
      </c>
      <c r="Q798" t="n">
        <v>0</v>
      </c>
      <c r="R798" s="2" t="inlineStr"/>
    </row>
    <row r="799" ht="15" customHeight="1">
      <c r="A799" t="inlineStr">
        <is>
          <t>A 52912-2022</t>
        </is>
      </c>
      <c r="B799" s="1" t="n">
        <v>44872</v>
      </c>
      <c r="C799" s="1" t="n">
        <v>46079</v>
      </c>
      <c r="D799" t="inlineStr">
        <is>
          <t>SKÅNE LÄN</t>
        </is>
      </c>
      <c r="E799" t="inlineStr">
        <is>
          <t>HÄSSLEHOLM</t>
        </is>
      </c>
      <c r="G799" t="n">
        <v>4.7</v>
      </c>
      <c r="H799" t="n">
        <v>0</v>
      </c>
      <c r="I799" t="n">
        <v>0</v>
      </c>
      <c r="J799" t="n">
        <v>0</v>
      </c>
      <c r="K799" t="n">
        <v>0</v>
      </c>
      <c r="L799" t="n">
        <v>0</v>
      </c>
      <c r="M799" t="n">
        <v>0</v>
      </c>
      <c r="N799" t="n">
        <v>0</v>
      </c>
      <c r="O799" t="n">
        <v>0</v>
      </c>
      <c r="P799" t="n">
        <v>0</v>
      </c>
      <c r="Q799" t="n">
        <v>0</v>
      </c>
      <c r="R799" s="2" t="inlineStr"/>
    </row>
    <row r="800" ht="15" customHeight="1">
      <c r="A800" t="inlineStr">
        <is>
          <t>A 24640-2023</t>
        </is>
      </c>
      <c r="B800" s="1" t="n">
        <v>45084.43181712963</v>
      </c>
      <c r="C800" s="1" t="n">
        <v>46079</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22535-2024</t>
        </is>
      </c>
      <c r="B801" s="1" t="n">
        <v>45447</v>
      </c>
      <c r="C801" s="1" t="n">
        <v>46079</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55522-2024</t>
        </is>
      </c>
      <c r="B802" s="1" t="n">
        <v>45622</v>
      </c>
      <c r="C802" s="1" t="n">
        <v>46079</v>
      </c>
      <c r="D802" t="inlineStr">
        <is>
          <t>SKÅNE LÄN</t>
        </is>
      </c>
      <c r="E802" t="inlineStr">
        <is>
          <t>HÄSSLEHOLM</t>
        </is>
      </c>
      <c r="G802" t="n">
        <v>5.6</v>
      </c>
      <c r="H802" t="n">
        <v>0</v>
      </c>
      <c r="I802" t="n">
        <v>0</v>
      </c>
      <c r="J802" t="n">
        <v>0</v>
      </c>
      <c r="K802" t="n">
        <v>0</v>
      </c>
      <c r="L802" t="n">
        <v>0</v>
      </c>
      <c r="M802" t="n">
        <v>0</v>
      </c>
      <c r="N802" t="n">
        <v>0</v>
      </c>
      <c r="O802" t="n">
        <v>0</v>
      </c>
      <c r="P802" t="n">
        <v>0</v>
      </c>
      <c r="Q802" t="n">
        <v>0</v>
      </c>
      <c r="R802" s="2" t="inlineStr"/>
    </row>
    <row r="803" ht="15" customHeight="1">
      <c r="A803" t="inlineStr">
        <is>
          <t>A 43516-2025</t>
        </is>
      </c>
      <c r="B803" s="1" t="n">
        <v>45911</v>
      </c>
      <c r="C803" s="1" t="n">
        <v>46079</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30007-2023</t>
        </is>
      </c>
      <c r="B804" s="1" t="n">
        <v>45109.80349537037</v>
      </c>
      <c r="C804" s="1" t="n">
        <v>46079</v>
      </c>
      <c r="D804" t="inlineStr">
        <is>
          <t>SKÅNE LÄN</t>
        </is>
      </c>
      <c r="E804" t="inlineStr">
        <is>
          <t>HÄSSLEHOLM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5242-2025</t>
        </is>
      </c>
      <c r="B805" s="1" t="n">
        <v>45692.32883101852</v>
      </c>
      <c r="C805" s="1" t="n">
        <v>46079</v>
      </c>
      <c r="D805" t="inlineStr">
        <is>
          <t>SKÅNE LÄN</t>
        </is>
      </c>
      <c r="E805" t="inlineStr">
        <is>
          <t>HÄSSLEHOLM</t>
        </is>
      </c>
      <c r="G805" t="n">
        <v>1.1</v>
      </c>
      <c r="H805" t="n">
        <v>0</v>
      </c>
      <c r="I805" t="n">
        <v>0</v>
      </c>
      <c r="J805" t="n">
        <v>0</v>
      </c>
      <c r="K805" t="n">
        <v>0</v>
      </c>
      <c r="L805" t="n">
        <v>0</v>
      </c>
      <c r="M805" t="n">
        <v>0</v>
      </c>
      <c r="N805" t="n">
        <v>0</v>
      </c>
      <c r="O805" t="n">
        <v>0</v>
      </c>
      <c r="P805" t="n">
        <v>0</v>
      </c>
      <c r="Q805" t="n">
        <v>0</v>
      </c>
      <c r="R805" s="2" t="inlineStr"/>
    </row>
    <row r="806" ht="15" customHeight="1">
      <c r="A806" t="inlineStr">
        <is>
          <t>A 43738-2025</t>
        </is>
      </c>
      <c r="B806" s="1" t="n">
        <v>45912.45037037037</v>
      </c>
      <c r="C806" s="1" t="n">
        <v>46079</v>
      </c>
      <c r="D806" t="inlineStr">
        <is>
          <t>SKÅNE LÄN</t>
        </is>
      </c>
      <c r="E806" t="inlineStr">
        <is>
          <t>HÄSSLEHOLM</t>
        </is>
      </c>
      <c r="G806" t="n">
        <v>1.3</v>
      </c>
      <c r="H806" t="n">
        <v>0</v>
      </c>
      <c r="I806" t="n">
        <v>0</v>
      </c>
      <c r="J806" t="n">
        <v>0</v>
      </c>
      <c r="K806" t="n">
        <v>0</v>
      </c>
      <c r="L806" t="n">
        <v>0</v>
      </c>
      <c r="M806" t="n">
        <v>0</v>
      </c>
      <c r="N806" t="n">
        <v>0</v>
      </c>
      <c r="O806" t="n">
        <v>0</v>
      </c>
      <c r="P806" t="n">
        <v>0</v>
      </c>
      <c r="Q806" t="n">
        <v>0</v>
      </c>
      <c r="R806" s="2" t="inlineStr"/>
    </row>
    <row r="807" ht="15" customHeight="1">
      <c r="A807" t="inlineStr">
        <is>
          <t>A 43741-2025</t>
        </is>
      </c>
      <c r="B807" s="1" t="n">
        <v>45912.45541666666</v>
      </c>
      <c r="C807" s="1" t="n">
        <v>46079</v>
      </c>
      <c r="D807" t="inlineStr">
        <is>
          <t>SKÅNE LÄN</t>
        </is>
      </c>
      <c r="E807" t="inlineStr">
        <is>
          <t>HÄSSLEHOLM</t>
        </is>
      </c>
      <c r="G807" t="n">
        <v>4.3</v>
      </c>
      <c r="H807" t="n">
        <v>0</v>
      </c>
      <c r="I807" t="n">
        <v>0</v>
      </c>
      <c r="J807" t="n">
        <v>0</v>
      </c>
      <c r="K807" t="n">
        <v>0</v>
      </c>
      <c r="L807" t="n">
        <v>0</v>
      </c>
      <c r="M807" t="n">
        <v>0</v>
      </c>
      <c r="N807" t="n">
        <v>0</v>
      </c>
      <c r="O807" t="n">
        <v>0</v>
      </c>
      <c r="P807" t="n">
        <v>0</v>
      </c>
      <c r="Q807" t="n">
        <v>0</v>
      </c>
      <c r="R807" s="2" t="inlineStr"/>
    </row>
    <row r="808" ht="15" customHeight="1">
      <c r="A808" t="inlineStr">
        <is>
          <t>A 1289-2024</t>
        </is>
      </c>
      <c r="B808" s="1" t="n">
        <v>45303.32234953704</v>
      </c>
      <c r="C808" s="1" t="n">
        <v>46079</v>
      </c>
      <c r="D808" t="inlineStr">
        <is>
          <t>SKÅNE LÄN</t>
        </is>
      </c>
      <c r="E808" t="inlineStr">
        <is>
          <t>HÄSSLEHOLM</t>
        </is>
      </c>
      <c r="G808" t="n">
        <v>4.6</v>
      </c>
      <c r="H808" t="n">
        <v>0</v>
      </c>
      <c r="I808" t="n">
        <v>0</v>
      </c>
      <c r="J808" t="n">
        <v>0</v>
      </c>
      <c r="K808" t="n">
        <v>0</v>
      </c>
      <c r="L808" t="n">
        <v>0</v>
      </c>
      <c r="M808" t="n">
        <v>0</v>
      </c>
      <c r="N808" t="n">
        <v>0</v>
      </c>
      <c r="O808" t="n">
        <v>0</v>
      </c>
      <c r="P808" t="n">
        <v>0</v>
      </c>
      <c r="Q808" t="n">
        <v>0</v>
      </c>
      <c r="R808" s="2" t="inlineStr"/>
    </row>
    <row r="809" ht="15" customHeight="1">
      <c r="A809" t="inlineStr">
        <is>
          <t>A 42735-2024</t>
        </is>
      </c>
      <c r="B809" s="1" t="n">
        <v>45566.47274305556</v>
      </c>
      <c r="C809" s="1" t="n">
        <v>46079</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24658-2025</t>
        </is>
      </c>
      <c r="B810" s="1" t="n">
        <v>45798.64134259259</v>
      </c>
      <c r="C810" s="1" t="n">
        <v>46079</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43869-2025</t>
        </is>
      </c>
      <c r="B811" s="1" t="n">
        <v>45912.66452546296</v>
      </c>
      <c r="C811" s="1" t="n">
        <v>46079</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24250-2025</t>
        </is>
      </c>
      <c r="B812" s="1" t="n">
        <v>45797.40260416667</v>
      </c>
      <c r="C812" s="1" t="n">
        <v>46079</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32826-2024</t>
        </is>
      </c>
      <c r="B813" s="1" t="n">
        <v>45516.59056712963</v>
      </c>
      <c r="C813" s="1" t="n">
        <v>46079</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24985-2025</t>
        </is>
      </c>
      <c r="B814" s="1" t="n">
        <v>45799.60256944445</v>
      </c>
      <c r="C814" s="1" t="n">
        <v>46079</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27837-2024</t>
        </is>
      </c>
      <c r="B815" s="1" t="n">
        <v>45475</v>
      </c>
      <c r="C815" s="1" t="n">
        <v>46079</v>
      </c>
      <c r="D815" t="inlineStr">
        <is>
          <t>SKÅNE LÄN</t>
        </is>
      </c>
      <c r="E815" t="inlineStr">
        <is>
          <t>HÄSSLEHOLM</t>
        </is>
      </c>
      <c r="F815" t="inlineStr">
        <is>
          <t>Kommuner</t>
        </is>
      </c>
      <c r="G815" t="n">
        <v>2.3</v>
      </c>
      <c r="H815" t="n">
        <v>0</v>
      </c>
      <c r="I815" t="n">
        <v>0</v>
      </c>
      <c r="J815" t="n">
        <v>0</v>
      </c>
      <c r="K815" t="n">
        <v>0</v>
      </c>
      <c r="L815" t="n">
        <v>0</v>
      </c>
      <c r="M815" t="n">
        <v>0</v>
      </c>
      <c r="N815" t="n">
        <v>0</v>
      </c>
      <c r="O815" t="n">
        <v>0</v>
      </c>
      <c r="P815" t="n">
        <v>0</v>
      </c>
      <c r="Q815" t="n">
        <v>0</v>
      </c>
      <c r="R815" s="2" t="inlineStr"/>
    </row>
    <row r="816" ht="15" customHeight="1">
      <c r="A816" t="inlineStr">
        <is>
          <t>A 29659-2024</t>
        </is>
      </c>
      <c r="B816" s="1" t="n">
        <v>45484.92587962963</v>
      </c>
      <c r="C816" s="1" t="n">
        <v>46079</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54435-2024</t>
        </is>
      </c>
      <c r="B817" s="1" t="n">
        <v>45617.49494212963</v>
      </c>
      <c r="C817" s="1" t="n">
        <v>46079</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44330-2025</t>
        </is>
      </c>
      <c r="B818" s="1" t="n">
        <v>45916.42120370371</v>
      </c>
      <c r="C818" s="1" t="n">
        <v>46079</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44523-2025</t>
        </is>
      </c>
      <c r="B819" s="1" t="n">
        <v>45916</v>
      </c>
      <c r="C819" s="1" t="n">
        <v>46079</v>
      </c>
      <c r="D819" t="inlineStr">
        <is>
          <t>SKÅNE LÄN</t>
        </is>
      </c>
      <c r="E819" t="inlineStr">
        <is>
          <t>HÄSSLEHOLM</t>
        </is>
      </c>
      <c r="G819" t="n">
        <v>1.6</v>
      </c>
      <c r="H819" t="n">
        <v>0</v>
      </c>
      <c r="I819" t="n">
        <v>0</v>
      </c>
      <c r="J819" t="n">
        <v>0</v>
      </c>
      <c r="K819" t="n">
        <v>0</v>
      </c>
      <c r="L819" t="n">
        <v>0</v>
      </c>
      <c r="M819" t="n">
        <v>0</v>
      </c>
      <c r="N819" t="n">
        <v>0</v>
      </c>
      <c r="O819" t="n">
        <v>0</v>
      </c>
      <c r="P819" t="n">
        <v>0</v>
      </c>
      <c r="Q819" t="n">
        <v>0</v>
      </c>
      <c r="R819" s="2" t="inlineStr"/>
    </row>
    <row r="820" ht="15" customHeight="1">
      <c r="A820" t="inlineStr">
        <is>
          <t>A 1679-2022</t>
        </is>
      </c>
      <c r="B820" s="1" t="n">
        <v>44573</v>
      </c>
      <c r="C820" s="1" t="n">
        <v>46079</v>
      </c>
      <c r="D820" t="inlineStr">
        <is>
          <t>SKÅNE LÄN</t>
        </is>
      </c>
      <c r="E820" t="inlineStr">
        <is>
          <t>HÄSSLEHOLM</t>
        </is>
      </c>
      <c r="F820" t="inlineStr">
        <is>
          <t>Kyrkan</t>
        </is>
      </c>
      <c r="G820" t="n">
        <v>4.3</v>
      </c>
      <c r="H820" t="n">
        <v>0</v>
      </c>
      <c r="I820" t="n">
        <v>0</v>
      </c>
      <c r="J820" t="n">
        <v>0</v>
      </c>
      <c r="K820" t="n">
        <v>0</v>
      </c>
      <c r="L820" t="n">
        <v>0</v>
      </c>
      <c r="M820" t="n">
        <v>0</v>
      </c>
      <c r="N820" t="n">
        <v>0</v>
      </c>
      <c r="O820" t="n">
        <v>0</v>
      </c>
      <c r="P820" t="n">
        <v>0</v>
      </c>
      <c r="Q820" t="n">
        <v>0</v>
      </c>
      <c r="R820" s="2" t="inlineStr"/>
    </row>
    <row r="821" ht="15" customHeight="1">
      <c r="A821" t="inlineStr">
        <is>
          <t>A 259-2024</t>
        </is>
      </c>
      <c r="B821" s="1" t="n">
        <v>45294</v>
      </c>
      <c r="C821" s="1" t="n">
        <v>46079</v>
      </c>
      <c r="D821" t="inlineStr">
        <is>
          <t>SKÅNE LÄN</t>
        </is>
      </c>
      <c r="E821" t="inlineStr">
        <is>
          <t>HÄSSLEHOLM</t>
        </is>
      </c>
      <c r="G821" t="n">
        <v>8</v>
      </c>
      <c r="H821" t="n">
        <v>0</v>
      </c>
      <c r="I821" t="n">
        <v>0</v>
      </c>
      <c r="J821" t="n">
        <v>0</v>
      </c>
      <c r="K821" t="n">
        <v>0</v>
      </c>
      <c r="L821" t="n">
        <v>0</v>
      </c>
      <c r="M821" t="n">
        <v>0</v>
      </c>
      <c r="N821" t="n">
        <v>0</v>
      </c>
      <c r="O821" t="n">
        <v>0</v>
      </c>
      <c r="P821" t="n">
        <v>0</v>
      </c>
      <c r="Q821" t="n">
        <v>0</v>
      </c>
      <c r="R821" s="2" t="inlineStr"/>
    </row>
    <row r="822" ht="15" customHeight="1">
      <c r="A822" t="inlineStr">
        <is>
          <t>A 44515-2025</t>
        </is>
      </c>
      <c r="B822" s="1" t="n">
        <v>45916.7062037037</v>
      </c>
      <c r="C822" s="1" t="n">
        <v>46079</v>
      </c>
      <c r="D822" t="inlineStr">
        <is>
          <t>SKÅNE LÄN</t>
        </is>
      </c>
      <c r="E822" t="inlineStr">
        <is>
          <t>HÄSSLEHOLM</t>
        </is>
      </c>
      <c r="G822" t="n">
        <v>1.5</v>
      </c>
      <c r="H822" t="n">
        <v>0</v>
      </c>
      <c r="I822" t="n">
        <v>0</v>
      </c>
      <c r="J822" t="n">
        <v>0</v>
      </c>
      <c r="K822" t="n">
        <v>0</v>
      </c>
      <c r="L822" t="n">
        <v>0</v>
      </c>
      <c r="M822" t="n">
        <v>0</v>
      </c>
      <c r="N822" t="n">
        <v>0</v>
      </c>
      <c r="O822" t="n">
        <v>0</v>
      </c>
      <c r="P822" t="n">
        <v>0</v>
      </c>
      <c r="Q822" t="n">
        <v>0</v>
      </c>
      <c r="R822" s="2" t="inlineStr"/>
    </row>
    <row r="823" ht="15" customHeight="1">
      <c r="A823" t="inlineStr">
        <is>
          <t>A 720-2025</t>
        </is>
      </c>
      <c r="B823" s="1" t="n">
        <v>45665.3744212963</v>
      </c>
      <c r="C823" s="1" t="n">
        <v>46079</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31581-2023</t>
        </is>
      </c>
      <c r="B824" s="1" t="n">
        <v>45117.45165509259</v>
      </c>
      <c r="C824" s="1" t="n">
        <v>46079</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25372-2025</t>
        </is>
      </c>
      <c r="B825" s="1" t="n">
        <v>45799</v>
      </c>
      <c r="C825" s="1" t="n">
        <v>46079</v>
      </c>
      <c r="D825" t="inlineStr">
        <is>
          <t>SKÅNE LÄN</t>
        </is>
      </c>
      <c r="E825" t="inlineStr">
        <is>
          <t>HÄSSLEHOLM</t>
        </is>
      </c>
      <c r="G825" t="n">
        <v>3.1</v>
      </c>
      <c r="H825" t="n">
        <v>0</v>
      </c>
      <c r="I825" t="n">
        <v>0</v>
      </c>
      <c r="J825" t="n">
        <v>0</v>
      </c>
      <c r="K825" t="n">
        <v>0</v>
      </c>
      <c r="L825" t="n">
        <v>0</v>
      </c>
      <c r="M825" t="n">
        <v>0</v>
      </c>
      <c r="N825" t="n">
        <v>0</v>
      </c>
      <c r="O825" t="n">
        <v>0</v>
      </c>
      <c r="P825" t="n">
        <v>0</v>
      </c>
      <c r="Q825" t="n">
        <v>0</v>
      </c>
      <c r="R825" s="2" t="inlineStr"/>
    </row>
    <row r="826" ht="15" customHeight="1">
      <c r="A826" t="inlineStr">
        <is>
          <t>A 9399-2025</t>
        </is>
      </c>
      <c r="B826" s="1" t="n">
        <v>45715.37861111111</v>
      </c>
      <c r="C826" s="1" t="n">
        <v>46079</v>
      </c>
      <c r="D826" t="inlineStr">
        <is>
          <t>SKÅNE LÄN</t>
        </is>
      </c>
      <c r="E826" t="inlineStr">
        <is>
          <t>HÄSSLEHOLM</t>
        </is>
      </c>
      <c r="G826" t="n">
        <v>5.2</v>
      </c>
      <c r="H826" t="n">
        <v>0</v>
      </c>
      <c r="I826" t="n">
        <v>0</v>
      </c>
      <c r="J826" t="n">
        <v>0</v>
      </c>
      <c r="K826" t="n">
        <v>0</v>
      </c>
      <c r="L826" t="n">
        <v>0</v>
      </c>
      <c r="M826" t="n">
        <v>0</v>
      </c>
      <c r="N826" t="n">
        <v>0</v>
      </c>
      <c r="O826" t="n">
        <v>0</v>
      </c>
      <c r="P826" t="n">
        <v>0</v>
      </c>
      <c r="Q826" t="n">
        <v>0</v>
      </c>
      <c r="R826" s="2" t="inlineStr"/>
    </row>
    <row r="827" ht="15" customHeight="1">
      <c r="A827" t="inlineStr">
        <is>
          <t>A 44624-2025</t>
        </is>
      </c>
      <c r="B827" s="1" t="n">
        <v>45917.47152777778</v>
      </c>
      <c r="C827" s="1" t="n">
        <v>46079</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51565-2023</t>
        </is>
      </c>
      <c r="B828" s="1" t="n">
        <v>45222</v>
      </c>
      <c r="C828" s="1" t="n">
        <v>46079</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25430-2025</t>
        </is>
      </c>
      <c r="B829" s="1" t="n">
        <v>45800.78212962963</v>
      </c>
      <c r="C829" s="1" t="n">
        <v>46079</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44611-2025</t>
        </is>
      </c>
      <c r="B830" s="1" t="n">
        <v>45917.45109953704</v>
      </c>
      <c r="C830" s="1" t="n">
        <v>46079</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45084-2025</t>
        </is>
      </c>
      <c r="B831" s="1" t="n">
        <v>45918</v>
      </c>
      <c r="C831" s="1" t="n">
        <v>46079</v>
      </c>
      <c r="D831" t="inlineStr">
        <is>
          <t>SKÅNE LÄN</t>
        </is>
      </c>
      <c r="E831" t="inlineStr">
        <is>
          <t>HÄSSLEHOLM</t>
        </is>
      </c>
      <c r="G831" t="n">
        <v>1.4</v>
      </c>
      <c r="H831" t="n">
        <v>0</v>
      </c>
      <c r="I831" t="n">
        <v>0</v>
      </c>
      <c r="J831" t="n">
        <v>0</v>
      </c>
      <c r="K831" t="n">
        <v>0</v>
      </c>
      <c r="L831" t="n">
        <v>0</v>
      </c>
      <c r="M831" t="n">
        <v>0</v>
      </c>
      <c r="N831" t="n">
        <v>0</v>
      </c>
      <c r="O831" t="n">
        <v>0</v>
      </c>
      <c r="P831" t="n">
        <v>0</v>
      </c>
      <c r="Q831" t="n">
        <v>0</v>
      </c>
      <c r="R831" s="2" t="inlineStr"/>
    </row>
    <row r="832" ht="15" customHeight="1">
      <c r="A832" t="inlineStr">
        <is>
          <t>A 11470-2025</t>
        </is>
      </c>
      <c r="B832" s="1" t="n">
        <v>45726</v>
      </c>
      <c r="C832" s="1" t="n">
        <v>46079</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44616-2025</t>
        </is>
      </c>
      <c r="B833" s="1" t="n">
        <v>45917.45572916666</v>
      </c>
      <c r="C833" s="1" t="n">
        <v>46079</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44614-2025</t>
        </is>
      </c>
      <c r="B834" s="1" t="n">
        <v>45917.45422453704</v>
      </c>
      <c r="C834" s="1" t="n">
        <v>46079</v>
      </c>
      <c r="D834" t="inlineStr">
        <is>
          <t>SKÅNE LÄN</t>
        </is>
      </c>
      <c r="E834" t="inlineStr">
        <is>
          <t>HÄSSLEHOLM</t>
        </is>
      </c>
      <c r="G834" t="n">
        <v>5.4</v>
      </c>
      <c r="H834" t="n">
        <v>0</v>
      </c>
      <c r="I834" t="n">
        <v>0</v>
      </c>
      <c r="J834" t="n">
        <v>0</v>
      </c>
      <c r="K834" t="n">
        <v>0</v>
      </c>
      <c r="L834" t="n">
        <v>0</v>
      </c>
      <c r="M834" t="n">
        <v>0</v>
      </c>
      <c r="N834" t="n">
        <v>0</v>
      </c>
      <c r="O834" t="n">
        <v>0</v>
      </c>
      <c r="P834" t="n">
        <v>0</v>
      </c>
      <c r="Q834" t="n">
        <v>0</v>
      </c>
      <c r="R834" s="2" t="inlineStr"/>
    </row>
    <row r="835" ht="15" customHeight="1">
      <c r="A835" t="inlineStr">
        <is>
          <t>A 25615-2025</t>
        </is>
      </c>
      <c r="B835" s="1" t="n">
        <v>45803</v>
      </c>
      <c r="C835" s="1" t="n">
        <v>46079</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45495-2025</t>
        </is>
      </c>
      <c r="B836" s="1" t="n">
        <v>45922.56369212963</v>
      </c>
      <c r="C836" s="1" t="n">
        <v>46079</v>
      </c>
      <c r="D836" t="inlineStr">
        <is>
          <t>SKÅNE LÄN</t>
        </is>
      </c>
      <c r="E836" t="inlineStr">
        <is>
          <t>HÄSSLEHOLM</t>
        </is>
      </c>
      <c r="G836" t="n">
        <v>1.8</v>
      </c>
      <c r="H836" t="n">
        <v>0</v>
      </c>
      <c r="I836" t="n">
        <v>0</v>
      </c>
      <c r="J836" t="n">
        <v>0</v>
      </c>
      <c r="K836" t="n">
        <v>0</v>
      </c>
      <c r="L836" t="n">
        <v>0</v>
      </c>
      <c r="M836" t="n">
        <v>0</v>
      </c>
      <c r="N836" t="n">
        <v>0</v>
      </c>
      <c r="O836" t="n">
        <v>0</v>
      </c>
      <c r="P836" t="n">
        <v>0</v>
      </c>
      <c r="Q836" t="n">
        <v>0</v>
      </c>
      <c r="R836" s="2" t="inlineStr"/>
    </row>
    <row r="837" ht="15" customHeight="1">
      <c r="A837" t="inlineStr">
        <is>
          <t>A 45176-2025</t>
        </is>
      </c>
      <c r="B837" s="1" t="n">
        <v>45919.52307870371</v>
      </c>
      <c r="C837" s="1" t="n">
        <v>46079</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33597-2023</t>
        </is>
      </c>
      <c r="B838" s="1" t="n">
        <v>45132</v>
      </c>
      <c r="C838" s="1" t="n">
        <v>46079</v>
      </c>
      <c r="D838" t="inlineStr">
        <is>
          <t>SKÅNE LÄN</t>
        </is>
      </c>
      <c r="E838" t="inlineStr">
        <is>
          <t>HÄSSLEHOLM</t>
        </is>
      </c>
      <c r="G838" t="n">
        <v>3.9</v>
      </c>
      <c r="H838" t="n">
        <v>0</v>
      </c>
      <c r="I838" t="n">
        <v>0</v>
      </c>
      <c r="J838" t="n">
        <v>0</v>
      </c>
      <c r="K838" t="n">
        <v>0</v>
      </c>
      <c r="L838" t="n">
        <v>0</v>
      </c>
      <c r="M838" t="n">
        <v>0</v>
      </c>
      <c r="N838" t="n">
        <v>0</v>
      </c>
      <c r="O838" t="n">
        <v>0</v>
      </c>
      <c r="P838" t="n">
        <v>0</v>
      </c>
      <c r="Q838" t="n">
        <v>0</v>
      </c>
      <c r="R838" s="2" t="inlineStr"/>
    </row>
    <row r="839" ht="15" customHeight="1">
      <c r="A839" t="inlineStr">
        <is>
          <t>A 33599-2023</t>
        </is>
      </c>
      <c r="B839" s="1" t="n">
        <v>45132</v>
      </c>
      <c r="C839" s="1" t="n">
        <v>46079</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25431-2025</t>
        </is>
      </c>
      <c r="B840" s="1" t="n">
        <v>45800.78340277778</v>
      </c>
      <c r="C840" s="1" t="n">
        <v>46079</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25432-2025</t>
        </is>
      </c>
      <c r="B841" s="1" t="n">
        <v>45800.7847800926</v>
      </c>
      <c r="C841" s="1" t="n">
        <v>46079</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45273-2025</t>
        </is>
      </c>
      <c r="B842" s="1" t="n">
        <v>45919.70486111111</v>
      </c>
      <c r="C842" s="1" t="n">
        <v>46079</v>
      </c>
      <c r="D842" t="inlineStr">
        <is>
          <t>SKÅNE LÄN</t>
        </is>
      </c>
      <c r="E842" t="inlineStr">
        <is>
          <t>HÄSSLEHOLM</t>
        </is>
      </c>
      <c r="G842" t="n">
        <v>4.4</v>
      </c>
      <c r="H842" t="n">
        <v>0</v>
      </c>
      <c r="I842" t="n">
        <v>0</v>
      </c>
      <c r="J842" t="n">
        <v>0</v>
      </c>
      <c r="K842" t="n">
        <v>0</v>
      </c>
      <c r="L842" t="n">
        <v>0</v>
      </c>
      <c r="M842" t="n">
        <v>0</v>
      </c>
      <c r="N842" t="n">
        <v>0</v>
      </c>
      <c r="O842" t="n">
        <v>0</v>
      </c>
      <c r="P842" t="n">
        <v>0</v>
      </c>
      <c r="Q842" t="n">
        <v>0</v>
      </c>
      <c r="R842" s="2" t="inlineStr"/>
    </row>
    <row r="843" ht="15" customHeight="1">
      <c r="A843" t="inlineStr">
        <is>
          <t>A 11412-2025</t>
        </is>
      </c>
      <c r="B843" s="1" t="n">
        <v>45726</v>
      </c>
      <c r="C843" s="1" t="n">
        <v>46079</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45314-2025</t>
        </is>
      </c>
      <c r="B844" s="1" t="n">
        <v>45921.81738425926</v>
      </c>
      <c r="C844" s="1" t="n">
        <v>46079</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45516-2025</t>
        </is>
      </c>
      <c r="B845" s="1" t="n">
        <v>45922</v>
      </c>
      <c r="C845" s="1" t="n">
        <v>46079</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45514-2025</t>
        </is>
      </c>
      <c r="B846" s="1" t="n">
        <v>45922</v>
      </c>
      <c r="C846" s="1" t="n">
        <v>46079</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33938-2023</t>
        </is>
      </c>
      <c r="B847" s="1" t="n">
        <v>45124</v>
      </c>
      <c r="C847" s="1" t="n">
        <v>46079</v>
      </c>
      <c r="D847" t="inlineStr">
        <is>
          <t>SKÅNE LÄN</t>
        </is>
      </c>
      <c r="E847" t="inlineStr">
        <is>
          <t>HÄSSLEHOLM</t>
        </is>
      </c>
      <c r="G847" t="n">
        <v>1.8</v>
      </c>
      <c r="H847" t="n">
        <v>0</v>
      </c>
      <c r="I847" t="n">
        <v>0</v>
      </c>
      <c r="J847" t="n">
        <v>0</v>
      </c>
      <c r="K847" t="n">
        <v>0</v>
      </c>
      <c r="L847" t="n">
        <v>0</v>
      </c>
      <c r="M847" t="n">
        <v>0</v>
      </c>
      <c r="N847" t="n">
        <v>0</v>
      </c>
      <c r="O847" t="n">
        <v>0</v>
      </c>
      <c r="P847" t="n">
        <v>0</v>
      </c>
      <c r="Q847" t="n">
        <v>0</v>
      </c>
      <c r="R847" s="2" t="inlineStr"/>
    </row>
    <row r="848" ht="15" customHeight="1">
      <c r="A848" t="inlineStr">
        <is>
          <t>A 11466-2025</t>
        </is>
      </c>
      <c r="B848" s="1" t="n">
        <v>45726</v>
      </c>
      <c r="C848" s="1" t="n">
        <v>46079</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45221-2025</t>
        </is>
      </c>
      <c r="B849" s="1" t="n">
        <v>45919.57760416667</v>
      </c>
      <c r="C849" s="1" t="n">
        <v>46079</v>
      </c>
      <c r="D849" t="inlineStr">
        <is>
          <t>SKÅNE LÄN</t>
        </is>
      </c>
      <c r="E849" t="inlineStr">
        <is>
          <t>HÄSSLEHOLM</t>
        </is>
      </c>
      <c r="G849" t="n">
        <v>1.7</v>
      </c>
      <c r="H849" t="n">
        <v>0</v>
      </c>
      <c r="I849" t="n">
        <v>0</v>
      </c>
      <c r="J849" t="n">
        <v>0</v>
      </c>
      <c r="K849" t="n">
        <v>0</v>
      </c>
      <c r="L849" t="n">
        <v>0</v>
      </c>
      <c r="M849" t="n">
        <v>0</v>
      </c>
      <c r="N849" t="n">
        <v>0</v>
      </c>
      <c r="O849" t="n">
        <v>0</v>
      </c>
      <c r="P849" t="n">
        <v>0</v>
      </c>
      <c r="Q849" t="n">
        <v>0</v>
      </c>
      <c r="R849" s="2" t="inlineStr"/>
    </row>
    <row r="850" ht="15" customHeight="1">
      <c r="A850" t="inlineStr">
        <is>
          <t>A 45414-2025</t>
        </is>
      </c>
      <c r="B850" s="1" t="n">
        <v>45920</v>
      </c>
      <c r="C850" s="1" t="n">
        <v>46079</v>
      </c>
      <c r="D850" t="inlineStr">
        <is>
          <t>SKÅNE LÄN</t>
        </is>
      </c>
      <c r="E850" t="inlineStr">
        <is>
          <t>HÄSSLEHOLM</t>
        </is>
      </c>
      <c r="G850" t="n">
        <v>14.7</v>
      </c>
      <c r="H850" t="n">
        <v>0</v>
      </c>
      <c r="I850" t="n">
        <v>0</v>
      </c>
      <c r="J850" t="n">
        <v>0</v>
      </c>
      <c r="K850" t="n">
        <v>0</v>
      </c>
      <c r="L850" t="n">
        <v>0</v>
      </c>
      <c r="M850" t="n">
        <v>0</v>
      </c>
      <c r="N850" t="n">
        <v>0</v>
      </c>
      <c r="O850" t="n">
        <v>0</v>
      </c>
      <c r="P850" t="n">
        <v>0</v>
      </c>
      <c r="Q850" t="n">
        <v>0</v>
      </c>
      <c r="R850" s="2" t="inlineStr"/>
    </row>
    <row r="851" ht="15" customHeight="1">
      <c r="A851" t="inlineStr">
        <is>
          <t>A 45443-2025</t>
        </is>
      </c>
      <c r="B851" s="1" t="n">
        <v>45920</v>
      </c>
      <c r="C851" s="1" t="n">
        <v>46079</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45496-2025</t>
        </is>
      </c>
      <c r="B852" s="1" t="n">
        <v>45922</v>
      </c>
      <c r="C852" s="1" t="n">
        <v>46079</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45458-2025</t>
        </is>
      </c>
      <c r="B853" s="1" t="n">
        <v>45920</v>
      </c>
      <c r="C853" s="1" t="n">
        <v>46079</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45465-2025</t>
        </is>
      </c>
      <c r="B854" s="1" t="n">
        <v>45920</v>
      </c>
      <c r="C854" s="1" t="n">
        <v>46079</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26232-2025</t>
        </is>
      </c>
      <c r="B855" s="1" t="n">
        <v>45805.56642361111</v>
      </c>
      <c r="C855" s="1" t="n">
        <v>46079</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22693-2022</t>
        </is>
      </c>
      <c r="B856" s="1" t="n">
        <v>44714.54729166667</v>
      </c>
      <c r="C856" s="1" t="n">
        <v>46079</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9678-2025</t>
        </is>
      </c>
      <c r="B857" s="1" t="n">
        <v>45716</v>
      </c>
      <c r="C857" s="1" t="n">
        <v>46079</v>
      </c>
      <c r="D857" t="inlineStr">
        <is>
          <t>SKÅNE LÄN</t>
        </is>
      </c>
      <c r="E857" t="inlineStr">
        <is>
          <t>HÄSSLEHOLM</t>
        </is>
      </c>
      <c r="G857" t="n">
        <v>2.1</v>
      </c>
      <c r="H857" t="n">
        <v>0</v>
      </c>
      <c r="I857" t="n">
        <v>0</v>
      </c>
      <c r="J857" t="n">
        <v>0</v>
      </c>
      <c r="K857" t="n">
        <v>0</v>
      </c>
      <c r="L857" t="n">
        <v>0</v>
      </c>
      <c r="M857" t="n">
        <v>0</v>
      </c>
      <c r="N857" t="n">
        <v>0</v>
      </c>
      <c r="O857" t="n">
        <v>0</v>
      </c>
      <c r="P857" t="n">
        <v>0</v>
      </c>
      <c r="Q857" t="n">
        <v>0</v>
      </c>
      <c r="R857" s="2" t="inlineStr"/>
    </row>
    <row r="858" ht="15" customHeight="1">
      <c r="A858" t="inlineStr">
        <is>
          <t>A 35889-2023</t>
        </is>
      </c>
      <c r="B858" s="1" t="n">
        <v>45148</v>
      </c>
      <c r="C858" s="1" t="n">
        <v>46079</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35894-2023</t>
        </is>
      </c>
      <c r="B859" s="1" t="n">
        <v>45148</v>
      </c>
      <c r="C859" s="1" t="n">
        <v>46079</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45683-2025</t>
        </is>
      </c>
      <c r="B860" s="1" t="n">
        <v>45923.37590277778</v>
      </c>
      <c r="C860" s="1" t="n">
        <v>46079</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11121-2023</t>
        </is>
      </c>
      <c r="B861" s="1" t="n">
        <v>44986</v>
      </c>
      <c r="C861" s="1" t="n">
        <v>46079</v>
      </c>
      <c r="D861" t="inlineStr">
        <is>
          <t>SKÅNE LÄN</t>
        </is>
      </c>
      <c r="E861" t="inlineStr">
        <is>
          <t>HÄSSLEHOLM</t>
        </is>
      </c>
      <c r="F861" t="inlineStr">
        <is>
          <t>Kommuner</t>
        </is>
      </c>
      <c r="G861" t="n">
        <v>5.8</v>
      </c>
      <c r="H861" t="n">
        <v>0</v>
      </c>
      <c r="I861" t="n">
        <v>0</v>
      </c>
      <c r="J861" t="n">
        <v>0</v>
      </c>
      <c r="K861" t="n">
        <v>0</v>
      </c>
      <c r="L861" t="n">
        <v>0</v>
      </c>
      <c r="M861" t="n">
        <v>0</v>
      </c>
      <c r="N861" t="n">
        <v>0</v>
      </c>
      <c r="O861" t="n">
        <v>0</v>
      </c>
      <c r="P861" t="n">
        <v>0</v>
      </c>
      <c r="Q861" t="n">
        <v>0</v>
      </c>
      <c r="R861" s="2" t="inlineStr"/>
    </row>
    <row r="862" ht="15" customHeight="1">
      <c r="A862" t="inlineStr">
        <is>
          <t>A 35974-2022</t>
        </is>
      </c>
      <c r="B862" s="1" t="n">
        <v>44802</v>
      </c>
      <c r="C862" s="1" t="n">
        <v>46079</v>
      </c>
      <c r="D862" t="inlineStr">
        <is>
          <t>SKÅNE LÄN</t>
        </is>
      </c>
      <c r="E862" t="inlineStr">
        <is>
          <t>HÄSSLEHOLM</t>
        </is>
      </c>
      <c r="G862" t="n">
        <v>3.8</v>
      </c>
      <c r="H862" t="n">
        <v>0</v>
      </c>
      <c r="I862" t="n">
        <v>0</v>
      </c>
      <c r="J862" t="n">
        <v>0</v>
      </c>
      <c r="K862" t="n">
        <v>0</v>
      </c>
      <c r="L862" t="n">
        <v>0</v>
      </c>
      <c r="M862" t="n">
        <v>0</v>
      </c>
      <c r="N862" t="n">
        <v>0</v>
      </c>
      <c r="O862" t="n">
        <v>0</v>
      </c>
      <c r="P862" t="n">
        <v>0</v>
      </c>
      <c r="Q862" t="n">
        <v>0</v>
      </c>
      <c r="R862" s="2" t="inlineStr"/>
    </row>
    <row r="863" ht="15" customHeight="1">
      <c r="A863" t="inlineStr">
        <is>
          <t>A 24906-2022</t>
        </is>
      </c>
      <c r="B863" s="1" t="n">
        <v>44728</v>
      </c>
      <c r="C863" s="1" t="n">
        <v>46079</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26244-2025</t>
        </is>
      </c>
      <c r="B864" s="1" t="n">
        <v>45805.57364583333</v>
      </c>
      <c r="C864" s="1" t="n">
        <v>46079</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45763-2025</t>
        </is>
      </c>
      <c r="B865" s="1" t="n">
        <v>45923.51778935185</v>
      </c>
      <c r="C865" s="1" t="n">
        <v>46079</v>
      </c>
      <c r="D865" t="inlineStr">
        <is>
          <t>SKÅNE LÄN</t>
        </is>
      </c>
      <c r="E865" t="inlineStr">
        <is>
          <t>HÄSSLEHOLM</t>
        </is>
      </c>
      <c r="G865" t="n">
        <v>4.8</v>
      </c>
      <c r="H865" t="n">
        <v>0</v>
      </c>
      <c r="I865" t="n">
        <v>0</v>
      </c>
      <c r="J865" t="n">
        <v>0</v>
      </c>
      <c r="K865" t="n">
        <v>0</v>
      </c>
      <c r="L865" t="n">
        <v>0</v>
      </c>
      <c r="M865" t="n">
        <v>0</v>
      </c>
      <c r="N865" t="n">
        <v>0</v>
      </c>
      <c r="O865" t="n">
        <v>0</v>
      </c>
      <c r="P865" t="n">
        <v>0</v>
      </c>
      <c r="Q865" t="n">
        <v>0</v>
      </c>
      <c r="R865" s="2" t="inlineStr"/>
    </row>
    <row r="866" ht="15" customHeight="1">
      <c r="A866" t="inlineStr">
        <is>
          <t>A 45764-2025</t>
        </is>
      </c>
      <c r="B866" s="1" t="n">
        <v>45923.52037037037</v>
      </c>
      <c r="C866" s="1" t="n">
        <v>46079</v>
      </c>
      <c r="D866" t="inlineStr">
        <is>
          <t>SKÅNE LÄN</t>
        </is>
      </c>
      <c r="E866" t="inlineStr">
        <is>
          <t>HÄSSLEHOLM</t>
        </is>
      </c>
      <c r="G866" t="n">
        <v>6.3</v>
      </c>
      <c r="H866" t="n">
        <v>0</v>
      </c>
      <c r="I866" t="n">
        <v>0</v>
      </c>
      <c r="J866" t="n">
        <v>0</v>
      </c>
      <c r="K866" t="n">
        <v>0</v>
      </c>
      <c r="L866" t="n">
        <v>0</v>
      </c>
      <c r="M866" t="n">
        <v>0</v>
      </c>
      <c r="N866" t="n">
        <v>0</v>
      </c>
      <c r="O866" t="n">
        <v>0</v>
      </c>
      <c r="P866" t="n">
        <v>0</v>
      </c>
      <c r="Q866" t="n">
        <v>0</v>
      </c>
      <c r="R866" s="2" t="inlineStr"/>
    </row>
    <row r="867" ht="15" customHeight="1">
      <c r="A867" t="inlineStr">
        <is>
          <t>A 7150-2025</t>
        </is>
      </c>
      <c r="B867" s="1" t="n">
        <v>45702.38239583333</v>
      </c>
      <c r="C867" s="1" t="n">
        <v>46079</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11116-2023</t>
        </is>
      </c>
      <c r="B868" s="1" t="n">
        <v>44986</v>
      </c>
      <c r="C868" s="1" t="n">
        <v>46079</v>
      </c>
      <c r="D868" t="inlineStr">
        <is>
          <t>SKÅNE LÄN</t>
        </is>
      </c>
      <c r="E868" t="inlineStr">
        <is>
          <t>HÄSSLEHOLM</t>
        </is>
      </c>
      <c r="F868" t="inlineStr">
        <is>
          <t>Kommuner</t>
        </is>
      </c>
      <c r="G868" t="n">
        <v>15.1</v>
      </c>
      <c r="H868" t="n">
        <v>0</v>
      </c>
      <c r="I868" t="n">
        <v>0</v>
      </c>
      <c r="J868" t="n">
        <v>0</v>
      </c>
      <c r="K868" t="n">
        <v>0</v>
      </c>
      <c r="L868" t="n">
        <v>0</v>
      </c>
      <c r="M868" t="n">
        <v>0</v>
      </c>
      <c r="N868" t="n">
        <v>0</v>
      </c>
      <c r="O868" t="n">
        <v>0</v>
      </c>
      <c r="P868" t="n">
        <v>0</v>
      </c>
      <c r="Q868" t="n">
        <v>0</v>
      </c>
      <c r="R868" s="2" t="inlineStr"/>
    </row>
    <row r="869" ht="15" customHeight="1">
      <c r="A869" t="inlineStr">
        <is>
          <t>A 45762-2025</t>
        </is>
      </c>
      <c r="B869" s="1" t="n">
        <v>45923.51548611111</v>
      </c>
      <c r="C869" s="1" t="n">
        <v>46079</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9668-2025</t>
        </is>
      </c>
      <c r="B870" s="1" t="n">
        <v>45716</v>
      </c>
      <c r="C870" s="1" t="n">
        <v>46079</v>
      </c>
      <c r="D870" t="inlineStr">
        <is>
          <t>SKÅNE LÄN</t>
        </is>
      </c>
      <c r="E870" t="inlineStr">
        <is>
          <t>HÄSSLEHOLM</t>
        </is>
      </c>
      <c r="G870" t="n">
        <v>1.2</v>
      </c>
      <c r="H870" t="n">
        <v>0</v>
      </c>
      <c r="I870" t="n">
        <v>0</v>
      </c>
      <c r="J870" t="n">
        <v>0</v>
      </c>
      <c r="K870" t="n">
        <v>0</v>
      </c>
      <c r="L870" t="n">
        <v>0</v>
      </c>
      <c r="M870" t="n">
        <v>0</v>
      </c>
      <c r="N870" t="n">
        <v>0</v>
      </c>
      <c r="O870" t="n">
        <v>0</v>
      </c>
      <c r="P870" t="n">
        <v>0</v>
      </c>
      <c r="Q870" t="n">
        <v>0</v>
      </c>
      <c r="R870" s="2" t="inlineStr"/>
    </row>
    <row r="871" ht="15" customHeight="1">
      <c r="A871" t="inlineStr">
        <is>
          <t>A 38358-2024</t>
        </is>
      </c>
      <c r="B871" s="1" t="n">
        <v>45545.79068287037</v>
      </c>
      <c r="C871" s="1" t="n">
        <v>46079</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55303-2024</t>
        </is>
      </c>
      <c r="B872" s="1" t="n">
        <v>45621.6434837963</v>
      </c>
      <c r="C872" s="1" t="n">
        <v>46079</v>
      </c>
      <c r="D872" t="inlineStr">
        <is>
          <t>SKÅNE LÄN</t>
        </is>
      </c>
      <c r="E872" t="inlineStr">
        <is>
          <t>HÄSSLEHOLM</t>
        </is>
      </c>
      <c r="G872" t="n">
        <v>3.3</v>
      </c>
      <c r="H872" t="n">
        <v>0</v>
      </c>
      <c r="I872" t="n">
        <v>0</v>
      </c>
      <c r="J872" t="n">
        <v>0</v>
      </c>
      <c r="K872" t="n">
        <v>0</v>
      </c>
      <c r="L872" t="n">
        <v>0</v>
      </c>
      <c r="M872" t="n">
        <v>0</v>
      </c>
      <c r="N872" t="n">
        <v>0</v>
      </c>
      <c r="O872" t="n">
        <v>0</v>
      </c>
      <c r="P872" t="n">
        <v>0</v>
      </c>
      <c r="Q872" t="n">
        <v>0</v>
      </c>
      <c r="R872" s="2" t="inlineStr"/>
    </row>
    <row r="873" ht="15" customHeight="1">
      <c r="A873" t="inlineStr">
        <is>
          <t>A 46605-2025</t>
        </is>
      </c>
      <c r="B873" s="1" t="n">
        <v>45926.41214120371</v>
      </c>
      <c r="C873" s="1" t="n">
        <v>46079</v>
      </c>
      <c r="D873" t="inlineStr">
        <is>
          <t>SKÅNE LÄN</t>
        </is>
      </c>
      <c r="E873" t="inlineStr">
        <is>
          <t>HÄSSLEHOLM</t>
        </is>
      </c>
      <c r="G873" t="n">
        <v>0.4</v>
      </c>
      <c r="H873" t="n">
        <v>0</v>
      </c>
      <c r="I873" t="n">
        <v>0</v>
      </c>
      <c r="J873" t="n">
        <v>0</v>
      </c>
      <c r="K873" t="n">
        <v>0</v>
      </c>
      <c r="L873" t="n">
        <v>0</v>
      </c>
      <c r="M873" t="n">
        <v>0</v>
      </c>
      <c r="N873" t="n">
        <v>0</v>
      </c>
      <c r="O873" t="n">
        <v>0</v>
      </c>
      <c r="P873" t="n">
        <v>0</v>
      </c>
      <c r="Q873" t="n">
        <v>0</v>
      </c>
      <c r="R873" s="2" t="inlineStr"/>
    </row>
    <row r="874" ht="15" customHeight="1">
      <c r="A874" t="inlineStr">
        <is>
          <t>A 16397-2022</t>
        </is>
      </c>
      <c r="B874" s="1" t="n">
        <v>44671</v>
      </c>
      <c r="C874" s="1" t="n">
        <v>46079</v>
      </c>
      <c r="D874" t="inlineStr">
        <is>
          <t>SKÅNE LÄN</t>
        </is>
      </c>
      <c r="E874" t="inlineStr">
        <is>
          <t>HÄSSLEHOLM</t>
        </is>
      </c>
      <c r="G874" t="n">
        <v>2.7</v>
      </c>
      <c r="H874" t="n">
        <v>0</v>
      </c>
      <c r="I874" t="n">
        <v>0</v>
      </c>
      <c r="J874" t="n">
        <v>0</v>
      </c>
      <c r="K874" t="n">
        <v>0</v>
      </c>
      <c r="L874" t="n">
        <v>0</v>
      </c>
      <c r="M874" t="n">
        <v>0</v>
      </c>
      <c r="N874" t="n">
        <v>0</v>
      </c>
      <c r="O874" t="n">
        <v>0</v>
      </c>
      <c r="P874" t="n">
        <v>0</v>
      </c>
      <c r="Q874" t="n">
        <v>0</v>
      </c>
      <c r="R874" s="2" t="inlineStr"/>
    </row>
    <row r="875" ht="15" customHeight="1">
      <c r="A875" t="inlineStr">
        <is>
          <t>A 16398-2022</t>
        </is>
      </c>
      <c r="B875" s="1" t="n">
        <v>44671</v>
      </c>
      <c r="C875" s="1" t="n">
        <v>46079</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46761-2025</t>
        </is>
      </c>
      <c r="B876" s="1" t="n">
        <v>45926.62289351852</v>
      </c>
      <c r="C876" s="1" t="n">
        <v>46079</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46786-2025</t>
        </is>
      </c>
      <c r="B877" s="1" t="n">
        <v>45926.64484953704</v>
      </c>
      <c r="C877" s="1" t="n">
        <v>46079</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59434-2023</t>
        </is>
      </c>
      <c r="B878" s="1" t="n">
        <v>45254.30440972222</v>
      </c>
      <c r="C878" s="1" t="n">
        <v>46079</v>
      </c>
      <c r="D878" t="inlineStr">
        <is>
          <t>SKÅNE LÄN</t>
        </is>
      </c>
      <c r="E878" t="inlineStr">
        <is>
          <t>HÄSSLEHOLM</t>
        </is>
      </c>
      <c r="G878" t="n">
        <v>3.6</v>
      </c>
      <c r="H878" t="n">
        <v>0</v>
      </c>
      <c r="I878" t="n">
        <v>0</v>
      </c>
      <c r="J878" t="n">
        <v>0</v>
      </c>
      <c r="K878" t="n">
        <v>0</v>
      </c>
      <c r="L878" t="n">
        <v>0</v>
      </c>
      <c r="M878" t="n">
        <v>0</v>
      </c>
      <c r="N878" t="n">
        <v>0</v>
      </c>
      <c r="O878" t="n">
        <v>0</v>
      </c>
      <c r="P878" t="n">
        <v>0</v>
      </c>
      <c r="Q878" t="n">
        <v>0</v>
      </c>
      <c r="R878" s="2" t="inlineStr"/>
    </row>
    <row r="879" ht="15" customHeight="1">
      <c r="A879" t="inlineStr">
        <is>
          <t>A 47259-2025</t>
        </is>
      </c>
      <c r="B879" s="1" t="n">
        <v>45930</v>
      </c>
      <c r="C879" s="1" t="n">
        <v>46079</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16368-2025</t>
        </is>
      </c>
      <c r="B880" s="1" t="n">
        <v>45751</v>
      </c>
      <c r="C880" s="1" t="n">
        <v>46079</v>
      </c>
      <c r="D880" t="inlineStr">
        <is>
          <t>SKÅNE LÄN</t>
        </is>
      </c>
      <c r="E880" t="inlineStr">
        <is>
          <t>HÄSSLEHOLM</t>
        </is>
      </c>
      <c r="G880" t="n">
        <v>5</v>
      </c>
      <c r="H880" t="n">
        <v>0</v>
      </c>
      <c r="I880" t="n">
        <v>0</v>
      </c>
      <c r="J880" t="n">
        <v>0</v>
      </c>
      <c r="K880" t="n">
        <v>0</v>
      </c>
      <c r="L880" t="n">
        <v>0</v>
      </c>
      <c r="M880" t="n">
        <v>0</v>
      </c>
      <c r="N880" t="n">
        <v>0</v>
      </c>
      <c r="O880" t="n">
        <v>0</v>
      </c>
      <c r="P880" t="n">
        <v>0</v>
      </c>
      <c r="Q880" t="n">
        <v>0</v>
      </c>
      <c r="R880" s="2" t="inlineStr"/>
    </row>
    <row r="881" ht="15" customHeight="1">
      <c r="A881" t="inlineStr">
        <is>
          <t>A 47473-2025</t>
        </is>
      </c>
      <c r="B881" s="1" t="n">
        <v>45930.67763888889</v>
      </c>
      <c r="C881" s="1" t="n">
        <v>46079</v>
      </c>
      <c r="D881" t="inlineStr">
        <is>
          <t>SKÅNE LÄN</t>
        </is>
      </c>
      <c r="E881" t="inlineStr">
        <is>
          <t>HÄSSLEHOLM</t>
        </is>
      </c>
      <c r="G881" t="n">
        <v>4.7</v>
      </c>
      <c r="H881" t="n">
        <v>0</v>
      </c>
      <c r="I881" t="n">
        <v>0</v>
      </c>
      <c r="J881" t="n">
        <v>0</v>
      </c>
      <c r="K881" t="n">
        <v>0</v>
      </c>
      <c r="L881" t="n">
        <v>0</v>
      </c>
      <c r="M881" t="n">
        <v>0</v>
      </c>
      <c r="N881" t="n">
        <v>0</v>
      </c>
      <c r="O881" t="n">
        <v>0</v>
      </c>
      <c r="P881" t="n">
        <v>0</v>
      </c>
      <c r="Q881" t="n">
        <v>0</v>
      </c>
      <c r="R881" s="2" t="inlineStr"/>
    </row>
    <row r="882" ht="15" customHeight="1">
      <c r="A882" t="inlineStr">
        <is>
          <t>A 46855-2025</t>
        </is>
      </c>
      <c r="B882" s="1" t="n">
        <v>45928.88497685185</v>
      </c>
      <c r="C882" s="1" t="n">
        <v>46079</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47466-2025</t>
        </is>
      </c>
      <c r="B883" s="1" t="n">
        <v>45930.66677083333</v>
      </c>
      <c r="C883" s="1" t="n">
        <v>46079</v>
      </c>
      <c r="D883" t="inlineStr">
        <is>
          <t>SKÅNE LÄN</t>
        </is>
      </c>
      <c r="E883" t="inlineStr">
        <is>
          <t>HÄSSLEHOLM</t>
        </is>
      </c>
      <c r="G883" t="n">
        <v>1.8</v>
      </c>
      <c r="H883" t="n">
        <v>0</v>
      </c>
      <c r="I883" t="n">
        <v>0</v>
      </c>
      <c r="J883" t="n">
        <v>0</v>
      </c>
      <c r="K883" t="n">
        <v>0</v>
      </c>
      <c r="L883" t="n">
        <v>0</v>
      </c>
      <c r="M883" t="n">
        <v>0</v>
      </c>
      <c r="N883" t="n">
        <v>0</v>
      </c>
      <c r="O883" t="n">
        <v>0</v>
      </c>
      <c r="P883" t="n">
        <v>0</v>
      </c>
      <c r="Q883" t="n">
        <v>0</v>
      </c>
      <c r="R883" s="2" t="inlineStr"/>
    </row>
    <row r="884" ht="15" customHeight="1">
      <c r="A884" t="inlineStr">
        <is>
          <t>A 27393-2025</t>
        </is>
      </c>
      <c r="B884" s="1" t="n">
        <v>45812.68295138889</v>
      </c>
      <c r="C884" s="1" t="n">
        <v>46079</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47126-2025</t>
        </is>
      </c>
      <c r="B885" s="1" t="n">
        <v>45929.685625</v>
      </c>
      <c r="C885" s="1" t="n">
        <v>46079</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47127-2025</t>
        </is>
      </c>
      <c r="B886" s="1" t="n">
        <v>45929.6893287037</v>
      </c>
      <c r="C886" s="1" t="n">
        <v>46079</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55284-2023</t>
        </is>
      </c>
      <c r="B887" s="1" t="n">
        <v>45237.74259259259</v>
      </c>
      <c r="C887" s="1" t="n">
        <v>46079</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22384-2024</t>
        </is>
      </c>
      <c r="B888" s="1" t="n">
        <v>45446.65592592592</v>
      </c>
      <c r="C888" s="1" t="n">
        <v>46079</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25726-2025</t>
        </is>
      </c>
      <c r="B889" s="1" t="n">
        <v>45803</v>
      </c>
      <c r="C889" s="1" t="n">
        <v>46079</v>
      </c>
      <c r="D889" t="inlineStr">
        <is>
          <t>SKÅNE LÄN</t>
        </is>
      </c>
      <c r="E889" t="inlineStr">
        <is>
          <t>HÄSSLEHOLM</t>
        </is>
      </c>
      <c r="G889" t="n">
        <v>5.5</v>
      </c>
      <c r="H889" t="n">
        <v>0</v>
      </c>
      <c r="I889" t="n">
        <v>0</v>
      </c>
      <c r="J889" t="n">
        <v>0</v>
      </c>
      <c r="K889" t="n">
        <v>0</v>
      </c>
      <c r="L889" t="n">
        <v>0</v>
      </c>
      <c r="M889" t="n">
        <v>0</v>
      </c>
      <c r="N889" t="n">
        <v>0</v>
      </c>
      <c r="O889" t="n">
        <v>0</v>
      </c>
      <c r="P889" t="n">
        <v>0</v>
      </c>
      <c r="Q889" t="n">
        <v>0</v>
      </c>
      <c r="R889" s="2" t="inlineStr"/>
    </row>
    <row r="890" ht="15" customHeight="1">
      <c r="A890" t="inlineStr">
        <is>
          <t>A 28240-2025</t>
        </is>
      </c>
      <c r="B890" s="1" t="n">
        <v>45817</v>
      </c>
      <c r="C890" s="1" t="n">
        <v>46079</v>
      </c>
      <c r="D890" t="inlineStr">
        <is>
          <t>SKÅNE LÄN</t>
        </is>
      </c>
      <c r="E890" t="inlineStr">
        <is>
          <t>HÄSSLEHOLM</t>
        </is>
      </c>
      <c r="G890" t="n">
        <v>7.7</v>
      </c>
      <c r="H890" t="n">
        <v>0</v>
      </c>
      <c r="I890" t="n">
        <v>0</v>
      </c>
      <c r="J890" t="n">
        <v>0</v>
      </c>
      <c r="K890" t="n">
        <v>0</v>
      </c>
      <c r="L890" t="n">
        <v>0</v>
      </c>
      <c r="M890" t="n">
        <v>0</v>
      </c>
      <c r="N890" t="n">
        <v>0</v>
      </c>
      <c r="O890" t="n">
        <v>0</v>
      </c>
      <c r="P890" t="n">
        <v>0</v>
      </c>
      <c r="Q890" t="n">
        <v>0</v>
      </c>
      <c r="R890" s="2" t="inlineStr"/>
    </row>
    <row r="891" ht="15" customHeight="1">
      <c r="A891" t="inlineStr">
        <is>
          <t>A 28095-2025</t>
        </is>
      </c>
      <c r="B891" s="1" t="n">
        <v>45817</v>
      </c>
      <c r="C891" s="1" t="n">
        <v>46079</v>
      </c>
      <c r="D891" t="inlineStr">
        <is>
          <t>SKÅNE LÄN</t>
        </is>
      </c>
      <c r="E891" t="inlineStr">
        <is>
          <t>HÄSSLEHOLM</t>
        </is>
      </c>
      <c r="G891" t="n">
        <v>2.5</v>
      </c>
      <c r="H891" t="n">
        <v>0</v>
      </c>
      <c r="I891" t="n">
        <v>0</v>
      </c>
      <c r="J891" t="n">
        <v>0</v>
      </c>
      <c r="K891" t="n">
        <v>0</v>
      </c>
      <c r="L891" t="n">
        <v>0</v>
      </c>
      <c r="M891" t="n">
        <v>0</v>
      </c>
      <c r="N891" t="n">
        <v>0</v>
      </c>
      <c r="O891" t="n">
        <v>0</v>
      </c>
      <c r="P891" t="n">
        <v>0</v>
      </c>
      <c r="Q891" t="n">
        <v>0</v>
      </c>
      <c r="R891" s="2" t="inlineStr"/>
    </row>
    <row r="892" ht="15" customHeight="1">
      <c r="A892" t="inlineStr">
        <is>
          <t>A 46641-2023</t>
        </is>
      </c>
      <c r="B892" s="1" t="n">
        <v>45198.44523148148</v>
      </c>
      <c r="C892" s="1" t="n">
        <v>46079</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46645-2023</t>
        </is>
      </c>
      <c r="B893" s="1" t="n">
        <v>45198.44686342592</v>
      </c>
      <c r="C893" s="1" t="n">
        <v>46079</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27940-2025</t>
        </is>
      </c>
      <c r="B894" s="1" t="n">
        <v>45817.50439814815</v>
      </c>
      <c r="C894" s="1" t="n">
        <v>46079</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27887-2025</t>
        </is>
      </c>
      <c r="B895" s="1" t="n">
        <v>45817.45994212963</v>
      </c>
      <c r="C895" s="1" t="n">
        <v>46079</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49827-2022</t>
        </is>
      </c>
      <c r="B896" s="1" t="n">
        <v>44859</v>
      </c>
      <c r="C896" s="1" t="n">
        <v>46079</v>
      </c>
      <c r="D896" t="inlineStr">
        <is>
          <t>SKÅNE LÄN</t>
        </is>
      </c>
      <c r="E896" t="inlineStr">
        <is>
          <t>HÄSSLEHOLM</t>
        </is>
      </c>
      <c r="G896" t="n">
        <v>6.1</v>
      </c>
      <c r="H896" t="n">
        <v>0</v>
      </c>
      <c r="I896" t="n">
        <v>0</v>
      </c>
      <c r="J896" t="n">
        <v>0</v>
      </c>
      <c r="K896" t="n">
        <v>0</v>
      </c>
      <c r="L896" t="n">
        <v>0</v>
      </c>
      <c r="M896" t="n">
        <v>0</v>
      </c>
      <c r="N896" t="n">
        <v>0</v>
      </c>
      <c r="O896" t="n">
        <v>0</v>
      </c>
      <c r="P896" t="n">
        <v>0</v>
      </c>
      <c r="Q896" t="n">
        <v>0</v>
      </c>
      <c r="R896" s="2" t="inlineStr"/>
    </row>
    <row r="897" ht="15" customHeight="1">
      <c r="A897" t="inlineStr">
        <is>
          <t>A 28251-2025</t>
        </is>
      </c>
      <c r="B897" s="1" t="n">
        <v>45817</v>
      </c>
      <c r="C897" s="1" t="n">
        <v>46079</v>
      </c>
      <c r="D897" t="inlineStr">
        <is>
          <t>SKÅNE LÄN</t>
        </is>
      </c>
      <c r="E897" t="inlineStr">
        <is>
          <t>HÄSSLEHOLM</t>
        </is>
      </c>
      <c r="G897" t="n">
        <v>7.2</v>
      </c>
      <c r="H897" t="n">
        <v>0</v>
      </c>
      <c r="I897" t="n">
        <v>0</v>
      </c>
      <c r="J897" t="n">
        <v>0</v>
      </c>
      <c r="K897" t="n">
        <v>0</v>
      </c>
      <c r="L897" t="n">
        <v>0</v>
      </c>
      <c r="M897" t="n">
        <v>0</v>
      </c>
      <c r="N897" t="n">
        <v>0</v>
      </c>
      <c r="O897" t="n">
        <v>0</v>
      </c>
      <c r="P897" t="n">
        <v>0</v>
      </c>
      <c r="Q897" t="n">
        <v>0</v>
      </c>
      <c r="R897" s="2" t="inlineStr"/>
    </row>
    <row r="898" ht="15" customHeight="1">
      <c r="A898" t="inlineStr">
        <is>
          <t>A 27934-2025</t>
        </is>
      </c>
      <c r="B898" s="1" t="n">
        <v>45817.49761574074</v>
      </c>
      <c r="C898" s="1" t="n">
        <v>46079</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48184-2025</t>
        </is>
      </c>
      <c r="B899" s="1" t="n">
        <v>45933.46131944445</v>
      </c>
      <c r="C899" s="1" t="n">
        <v>46079</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48185-2025</t>
        </is>
      </c>
      <c r="B900" s="1" t="n">
        <v>45933.46434027778</v>
      </c>
      <c r="C900" s="1" t="n">
        <v>46079</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28122-2025</t>
        </is>
      </c>
      <c r="B901" s="1" t="n">
        <v>45817</v>
      </c>
      <c r="C901" s="1" t="n">
        <v>46079</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59556-2023</t>
        </is>
      </c>
      <c r="B902" s="1" t="n">
        <v>45254.56313657408</v>
      </c>
      <c r="C902" s="1" t="n">
        <v>46079</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48722-2025</t>
        </is>
      </c>
      <c r="B903" s="1" t="n">
        <v>45935</v>
      </c>
      <c r="C903" s="1" t="n">
        <v>46079</v>
      </c>
      <c r="D903" t="inlineStr">
        <is>
          <t>SKÅNE LÄN</t>
        </is>
      </c>
      <c r="E903" t="inlineStr">
        <is>
          <t>HÄSSLEHOLM</t>
        </is>
      </c>
      <c r="G903" t="n">
        <v>4.3</v>
      </c>
      <c r="H903" t="n">
        <v>0</v>
      </c>
      <c r="I903" t="n">
        <v>0</v>
      </c>
      <c r="J903" t="n">
        <v>0</v>
      </c>
      <c r="K903" t="n">
        <v>0</v>
      </c>
      <c r="L903" t="n">
        <v>0</v>
      </c>
      <c r="M903" t="n">
        <v>0</v>
      </c>
      <c r="N903" t="n">
        <v>0</v>
      </c>
      <c r="O903" t="n">
        <v>0</v>
      </c>
      <c r="P903" t="n">
        <v>0</v>
      </c>
      <c r="Q903" t="n">
        <v>0</v>
      </c>
      <c r="R903" s="2" t="inlineStr"/>
    </row>
    <row r="904" ht="15" customHeight="1">
      <c r="A904" t="inlineStr">
        <is>
          <t>A 9543-2025</t>
        </is>
      </c>
      <c r="B904" s="1" t="n">
        <v>45715</v>
      </c>
      <c r="C904" s="1" t="n">
        <v>46079</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51571-2023</t>
        </is>
      </c>
      <c r="B905" s="1" t="n">
        <v>45222</v>
      </c>
      <c r="C905" s="1" t="n">
        <v>46079</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29170-2025</t>
        </is>
      </c>
      <c r="B906" s="1" t="n">
        <v>45821.69766203704</v>
      </c>
      <c r="C906" s="1" t="n">
        <v>46079</v>
      </c>
      <c r="D906" t="inlineStr">
        <is>
          <t>SKÅNE LÄN</t>
        </is>
      </c>
      <c r="E906" t="inlineStr">
        <is>
          <t>HÄSSLEHOLM</t>
        </is>
      </c>
      <c r="G906" t="n">
        <v>3.1</v>
      </c>
      <c r="H906" t="n">
        <v>0</v>
      </c>
      <c r="I906" t="n">
        <v>0</v>
      </c>
      <c r="J906" t="n">
        <v>0</v>
      </c>
      <c r="K906" t="n">
        <v>0</v>
      </c>
      <c r="L906" t="n">
        <v>0</v>
      </c>
      <c r="M906" t="n">
        <v>0</v>
      </c>
      <c r="N906" t="n">
        <v>0</v>
      </c>
      <c r="O906" t="n">
        <v>0</v>
      </c>
      <c r="P906" t="n">
        <v>0</v>
      </c>
      <c r="Q906" t="n">
        <v>0</v>
      </c>
      <c r="R906" s="2" t="inlineStr"/>
    </row>
    <row r="907" ht="15" customHeight="1">
      <c r="A907" t="inlineStr">
        <is>
          <t>A 49135-2025</t>
        </is>
      </c>
      <c r="B907" s="1" t="n">
        <v>45938.00990740741</v>
      </c>
      <c r="C907" s="1" t="n">
        <v>46079</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49136-2025</t>
        </is>
      </c>
      <c r="B908" s="1" t="n">
        <v>45938.01277777777</v>
      </c>
      <c r="C908" s="1" t="n">
        <v>46079</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49137-2025</t>
        </is>
      </c>
      <c r="B909" s="1" t="n">
        <v>45938.05672453704</v>
      </c>
      <c r="C909" s="1" t="n">
        <v>46079</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29168-2025</t>
        </is>
      </c>
      <c r="B910" s="1" t="n">
        <v>45821.69547453704</v>
      </c>
      <c r="C910" s="1" t="n">
        <v>46079</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27291-2023</t>
        </is>
      </c>
      <c r="B911" s="1" t="n">
        <v>45096</v>
      </c>
      <c r="C911" s="1" t="n">
        <v>46079</v>
      </c>
      <c r="D911" t="inlineStr">
        <is>
          <t>SKÅNE LÄN</t>
        </is>
      </c>
      <c r="E911" t="inlineStr">
        <is>
          <t>HÄSSLEHOLM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29171-2025</t>
        </is>
      </c>
      <c r="B912" s="1" t="n">
        <v>45821.69863425926</v>
      </c>
      <c r="C912" s="1" t="n">
        <v>46079</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30010-2025</t>
        </is>
      </c>
      <c r="B913" s="1" t="n">
        <v>45826</v>
      </c>
      <c r="C913" s="1" t="n">
        <v>46079</v>
      </c>
      <c r="D913" t="inlineStr">
        <is>
          <t>SKÅNE LÄN</t>
        </is>
      </c>
      <c r="E913" t="inlineStr">
        <is>
          <t>HÄSSLEHOLM</t>
        </is>
      </c>
      <c r="G913" t="n">
        <v>4.5</v>
      </c>
      <c r="H913" t="n">
        <v>0</v>
      </c>
      <c r="I913" t="n">
        <v>0</v>
      </c>
      <c r="J913" t="n">
        <v>0</v>
      </c>
      <c r="K913" t="n">
        <v>0</v>
      </c>
      <c r="L913" t="n">
        <v>0</v>
      </c>
      <c r="M913" t="n">
        <v>0</v>
      </c>
      <c r="N913" t="n">
        <v>0</v>
      </c>
      <c r="O913" t="n">
        <v>0</v>
      </c>
      <c r="P913" t="n">
        <v>0</v>
      </c>
      <c r="Q913" t="n">
        <v>0</v>
      </c>
      <c r="R913" s="2" t="inlineStr"/>
    </row>
    <row r="914" ht="15" customHeight="1">
      <c r="A914" t="inlineStr">
        <is>
          <t>A 49845-2025</t>
        </is>
      </c>
      <c r="B914" s="1" t="n">
        <v>45940.48015046296</v>
      </c>
      <c r="C914" s="1" t="n">
        <v>46079</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48798-2023</t>
        </is>
      </c>
      <c r="B915" s="1" t="n">
        <v>45209.25318287037</v>
      </c>
      <c r="C915" s="1" t="n">
        <v>46079</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48627-2023</t>
        </is>
      </c>
      <c r="B916" s="1" t="n">
        <v>45208.57371527778</v>
      </c>
      <c r="C916" s="1" t="n">
        <v>46079</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17152-2025</t>
        </is>
      </c>
      <c r="B917" s="1" t="n">
        <v>45756.33318287037</v>
      </c>
      <c r="C917" s="1" t="n">
        <v>46079</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48326-2023</t>
        </is>
      </c>
      <c r="B918" s="1" t="n">
        <v>45205</v>
      </c>
      <c r="C918" s="1" t="n">
        <v>46079</v>
      </c>
      <c r="D918" t="inlineStr">
        <is>
          <t>SKÅNE LÄN</t>
        </is>
      </c>
      <c r="E918" t="inlineStr">
        <is>
          <t>HÄSSLEHOLM</t>
        </is>
      </c>
      <c r="G918" t="n">
        <v>12.7</v>
      </c>
      <c r="H918" t="n">
        <v>0</v>
      </c>
      <c r="I918" t="n">
        <v>0</v>
      </c>
      <c r="J918" t="n">
        <v>0</v>
      </c>
      <c r="K918" t="n">
        <v>0</v>
      </c>
      <c r="L918" t="n">
        <v>0</v>
      </c>
      <c r="M918" t="n">
        <v>0</v>
      </c>
      <c r="N918" t="n">
        <v>0</v>
      </c>
      <c r="O918" t="n">
        <v>0</v>
      </c>
      <c r="P918" t="n">
        <v>0</v>
      </c>
      <c r="Q918" t="n">
        <v>0</v>
      </c>
      <c r="R918" s="2" t="inlineStr"/>
    </row>
    <row r="919" ht="15" customHeight="1">
      <c r="A919" t="inlineStr">
        <is>
          <t>A 10752-2025</t>
        </is>
      </c>
      <c r="B919" s="1" t="n">
        <v>45722</v>
      </c>
      <c r="C919" s="1" t="n">
        <v>46079</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54462-2022</t>
        </is>
      </c>
      <c r="B920" s="1" t="n">
        <v>44882</v>
      </c>
      <c r="C920" s="1" t="n">
        <v>46079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3890-2024</t>
        </is>
      </c>
      <c r="B921" s="1" t="n">
        <v>45322.45366898148</v>
      </c>
      <c r="C921" s="1" t="n">
        <v>46079</v>
      </c>
      <c r="D921" t="inlineStr">
        <is>
          <t>SKÅNE LÄN</t>
        </is>
      </c>
      <c r="E921" t="inlineStr">
        <is>
          <t>HÄSSLEHOLM</t>
        </is>
      </c>
      <c r="G921" t="n">
        <v>3</v>
      </c>
      <c r="H921" t="n">
        <v>0</v>
      </c>
      <c r="I921" t="n">
        <v>0</v>
      </c>
      <c r="J921" t="n">
        <v>0</v>
      </c>
      <c r="K921" t="n">
        <v>0</v>
      </c>
      <c r="L921" t="n">
        <v>0</v>
      </c>
      <c r="M921" t="n">
        <v>0</v>
      </c>
      <c r="N921" t="n">
        <v>0</v>
      </c>
      <c r="O921" t="n">
        <v>0</v>
      </c>
      <c r="P921" t="n">
        <v>0</v>
      </c>
      <c r="Q921" t="n">
        <v>0</v>
      </c>
      <c r="R921" s="2" t="inlineStr"/>
    </row>
    <row r="922" ht="15" customHeight="1">
      <c r="A922" t="inlineStr">
        <is>
          <t>A 24904-2025</t>
        </is>
      </c>
      <c r="B922" s="1" t="n">
        <v>45799</v>
      </c>
      <c r="C922" s="1" t="n">
        <v>46079</v>
      </c>
      <c r="D922" t="inlineStr">
        <is>
          <t>SKÅNE LÄN</t>
        </is>
      </c>
      <c r="E922" t="inlineStr">
        <is>
          <t>HÄSSLEHOLM</t>
        </is>
      </c>
      <c r="G922" t="n">
        <v>2.2</v>
      </c>
      <c r="H922" t="n">
        <v>0</v>
      </c>
      <c r="I922" t="n">
        <v>0</v>
      </c>
      <c r="J922" t="n">
        <v>0</v>
      </c>
      <c r="K922" t="n">
        <v>0</v>
      </c>
      <c r="L922" t="n">
        <v>0</v>
      </c>
      <c r="M922" t="n">
        <v>0</v>
      </c>
      <c r="N922" t="n">
        <v>0</v>
      </c>
      <c r="O922" t="n">
        <v>0</v>
      </c>
      <c r="P922" t="n">
        <v>0</v>
      </c>
      <c r="Q922" t="n">
        <v>0</v>
      </c>
      <c r="R922" s="2" t="inlineStr"/>
    </row>
    <row r="923" ht="15" customHeight="1">
      <c r="A923" t="inlineStr">
        <is>
          <t>A 50676-2025</t>
        </is>
      </c>
      <c r="B923" s="1" t="n">
        <v>45945</v>
      </c>
      <c r="C923" s="1" t="n">
        <v>46079</v>
      </c>
      <c r="D923" t="inlineStr">
        <is>
          <t>SKÅNE LÄN</t>
        </is>
      </c>
      <c r="E923" t="inlineStr">
        <is>
          <t>HÄSSLEHOLM</t>
        </is>
      </c>
      <c r="G923" t="n">
        <v>0.7</v>
      </c>
      <c r="H923" t="n">
        <v>0</v>
      </c>
      <c r="I923" t="n">
        <v>0</v>
      </c>
      <c r="J923" t="n">
        <v>0</v>
      </c>
      <c r="K923" t="n">
        <v>0</v>
      </c>
      <c r="L923" t="n">
        <v>0</v>
      </c>
      <c r="M923" t="n">
        <v>0</v>
      </c>
      <c r="N923" t="n">
        <v>0</v>
      </c>
      <c r="O923" t="n">
        <v>0</v>
      </c>
      <c r="P923" t="n">
        <v>0</v>
      </c>
      <c r="Q923" t="n">
        <v>0</v>
      </c>
      <c r="R923" s="2" t="inlineStr"/>
    </row>
    <row r="924" ht="15" customHeight="1">
      <c r="A924" t="inlineStr">
        <is>
          <t>A 50677-2025</t>
        </is>
      </c>
      <c r="B924" s="1" t="n">
        <v>45945</v>
      </c>
      <c r="C924" s="1" t="n">
        <v>46079</v>
      </c>
      <c r="D924" t="inlineStr">
        <is>
          <t>SKÅNE LÄN</t>
        </is>
      </c>
      <c r="E924" t="inlineStr">
        <is>
          <t>HÄSSLEHOLM</t>
        </is>
      </c>
      <c r="G924" t="n">
        <v>2.3</v>
      </c>
      <c r="H924" t="n">
        <v>0</v>
      </c>
      <c r="I924" t="n">
        <v>0</v>
      </c>
      <c r="J924" t="n">
        <v>0</v>
      </c>
      <c r="K924" t="n">
        <v>0</v>
      </c>
      <c r="L924" t="n">
        <v>0</v>
      </c>
      <c r="M924" t="n">
        <v>0</v>
      </c>
      <c r="N924" t="n">
        <v>0</v>
      </c>
      <c r="O924" t="n">
        <v>0</v>
      </c>
      <c r="P924" t="n">
        <v>0</v>
      </c>
      <c r="Q924" t="n">
        <v>0</v>
      </c>
      <c r="R924" s="2" t="inlineStr"/>
    </row>
    <row r="925" ht="15" customHeight="1">
      <c r="A925" t="inlineStr">
        <is>
          <t>A 54471-2023</t>
        </is>
      </c>
      <c r="B925" s="1" t="n">
        <v>45233.4640162037</v>
      </c>
      <c r="C925" s="1" t="n">
        <v>46079</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50834-2025</t>
        </is>
      </c>
      <c r="B926" s="1" t="n">
        <v>45946.55746527778</v>
      </c>
      <c r="C926" s="1" t="n">
        <v>46079</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57963-2023</t>
        </is>
      </c>
      <c r="B927" s="1" t="n">
        <v>45247.57732638889</v>
      </c>
      <c r="C927" s="1" t="n">
        <v>46079</v>
      </c>
      <c r="D927" t="inlineStr">
        <is>
          <t>SKÅNE LÄN</t>
        </is>
      </c>
      <c r="E927" t="inlineStr">
        <is>
          <t>HÄSSLEHOLM</t>
        </is>
      </c>
      <c r="G927" t="n">
        <v>4.6</v>
      </c>
      <c r="H927" t="n">
        <v>0</v>
      </c>
      <c r="I927" t="n">
        <v>0</v>
      </c>
      <c r="J927" t="n">
        <v>0</v>
      </c>
      <c r="K927" t="n">
        <v>0</v>
      </c>
      <c r="L927" t="n">
        <v>0</v>
      </c>
      <c r="M927" t="n">
        <v>0</v>
      </c>
      <c r="N927" t="n">
        <v>0</v>
      </c>
      <c r="O927" t="n">
        <v>0</v>
      </c>
      <c r="P927" t="n">
        <v>0</v>
      </c>
      <c r="Q927" t="n">
        <v>0</v>
      </c>
      <c r="R927" s="2" t="inlineStr"/>
    </row>
    <row r="928" ht="15" customHeight="1">
      <c r="A928" t="inlineStr">
        <is>
          <t>A 59028-2023</t>
        </is>
      </c>
      <c r="B928" s="1" t="n">
        <v>45252.67900462963</v>
      </c>
      <c r="C928" s="1" t="n">
        <v>46079</v>
      </c>
      <c r="D928" t="inlineStr">
        <is>
          <t>SKÅNE LÄN</t>
        </is>
      </c>
      <c r="E928" t="inlineStr">
        <is>
          <t>HÄSSLEHOLM</t>
        </is>
      </c>
      <c r="G928" t="n">
        <v>2.5</v>
      </c>
      <c r="H928" t="n">
        <v>0</v>
      </c>
      <c r="I928" t="n">
        <v>0</v>
      </c>
      <c r="J928" t="n">
        <v>0</v>
      </c>
      <c r="K928" t="n">
        <v>0</v>
      </c>
      <c r="L928" t="n">
        <v>0</v>
      </c>
      <c r="M928" t="n">
        <v>0</v>
      </c>
      <c r="N928" t="n">
        <v>0</v>
      </c>
      <c r="O928" t="n">
        <v>0</v>
      </c>
      <c r="P928" t="n">
        <v>0</v>
      </c>
      <c r="Q928" t="n">
        <v>0</v>
      </c>
      <c r="R928" s="2" t="inlineStr"/>
    </row>
    <row r="929" ht="15" customHeight="1">
      <c r="A929" t="inlineStr">
        <is>
          <t>A 50839-2025</t>
        </is>
      </c>
      <c r="B929" s="1" t="n">
        <v>45946</v>
      </c>
      <c r="C929" s="1" t="n">
        <v>46079</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13544-2025</t>
        </is>
      </c>
      <c r="B930" s="1" t="n">
        <v>45736</v>
      </c>
      <c r="C930" s="1" t="n">
        <v>46079</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50678-2025</t>
        </is>
      </c>
      <c r="B931" s="1" t="n">
        <v>45945</v>
      </c>
      <c r="C931" s="1" t="n">
        <v>46079</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1886-2025</t>
        </is>
      </c>
      <c r="B932" s="1" t="n">
        <v>45671</v>
      </c>
      <c r="C932" s="1" t="n">
        <v>46079</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15536-2025</t>
        </is>
      </c>
      <c r="B933" s="1" t="n">
        <v>45747</v>
      </c>
      <c r="C933" s="1" t="n">
        <v>46079</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50829-2025</t>
        </is>
      </c>
      <c r="B934" s="1" t="n">
        <v>45946.55309027778</v>
      </c>
      <c r="C934" s="1" t="n">
        <v>46079</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2712-2024</t>
        </is>
      </c>
      <c r="B935" s="1" t="n">
        <v>45314</v>
      </c>
      <c r="C935" s="1" t="n">
        <v>46079</v>
      </c>
      <c r="D935" t="inlineStr">
        <is>
          <t>SKÅNE LÄN</t>
        </is>
      </c>
      <c r="E935" t="inlineStr">
        <is>
          <t>HÄSSLEHOLM</t>
        </is>
      </c>
      <c r="G935" t="n">
        <v>11.3</v>
      </c>
      <c r="H935" t="n">
        <v>0</v>
      </c>
      <c r="I935" t="n">
        <v>0</v>
      </c>
      <c r="J935" t="n">
        <v>0</v>
      </c>
      <c r="K935" t="n">
        <v>0</v>
      </c>
      <c r="L935" t="n">
        <v>0</v>
      </c>
      <c r="M935" t="n">
        <v>0</v>
      </c>
      <c r="N935" t="n">
        <v>0</v>
      </c>
      <c r="O935" t="n">
        <v>0</v>
      </c>
      <c r="P935" t="n">
        <v>0</v>
      </c>
      <c r="Q935" t="n">
        <v>0</v>
      </c>
      <c r="R935" s="2" t="inlineStr"/>
    </row>
    <row r="936" ht="15" customHeight="1">
      <c r="A936" t="inlineStr">
        <is>
          <t>A 31159-2025</t>
        </is>
      </c>
      <c r="B936" s="1" t="n">
        <v>45832.65322916667</v>
      </c>
      <c r="C936" s="1" t="n">
        <v>46079</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49824-2024</t>
        </is>
      </c>
      <c r="B937" s="1" t="n">
        <v>45597</v>
      </c>
      <c r="C937" s="1" t="n">
        <v>46079</v>
      </c>
      <c r="D937" t="inlineStr">
        <is>
          <t>SKÅNE LÄN</t>
        </is>
      </c>
      <c r="E937" t="inlineStr">
        <is>
          <t>HÄSSLEHOLM</t>
        </is>
      </c>
      <c r="G937" t="n">
        <v>1.3</v>
      </c>
      <c r="H937" t="n">
        <v>0</v>
      </c>
      <c r="I937" t="n">
        <v>0</v>
      </c>
      <c r="J937" t="n">
        <v>0</v>
      </c>
      <c r="K937" t="n">
        <v>0</v>
      </c>
      <c r="L937" t="n">
        <v>0</v>
      </c>
      <c r="M937" t="n">
        <v>0</v>
      </c>
      <c r="N937" t="n">
        <v>0</v>
      </c>
      <c r="O937" t="n">
        <v>0</v>
      </c>
      <c r="P937" t="n">
        <v>0</v>
      </c>
      <c r="Q937" t="n">
        <v>0</v>
      </c>
      <c r="R937" s="2" t="inlineStr"/>
    </row>
    <row r="938" ht="15" customHeight="1">
      <c r="A938" t="inlineStr">
        <is>
          <t>A 260-2024</t>
        </is>
      </c>
      <c r="B938" s="1" t="n">
        <v>45294</v>
      </c>
      <c r="C938" s="1" t="n">
        <v>46079</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45708.50398148148</v>
      </c>
      <c r="C939" s="1" t="n">
        <v>46079</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51024-2025</t>
        </is>
      </c>
      <c r="B940" s="1" t="n">
        <v>45947.395</v>
      </c>
      <c r="C940" s="1" t="n">
        <v>46079</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30006-2023</t>
        </is>
      </c>
      <c r="B941" s="1" t="n">
        <v>45109.79962962963</v>
      </c>
      <c r="C941" s="1" t="n">
        <v>46079</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51097-2025</t>
        </is>
      </c>
      <c r="B942" s="1" t="n">
        <v>45947.48018518519</v>
      </c>
      <c r="C942" s="1" t="n">
        <v>46079</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42364-2023</t>
        </is>
      </c>
      <c r="B943" s="1" t="n">
        <v>45180.54754629629</v>
      </c>
      <c r="C943" s="1" t="n">
        <v>46079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61578-2023</t>
        </is>
      </c>
      <c r="B944" s="1" t="n">
        <v>45265.47399305556</v>
      </c>
      <c r="C944" s="1" t="n">
        <v>46079</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51795-2025</t>
        </is>
      </c>
      <c r="B945" s="1" t="n">
        <v>45951</v>
      </c>
      <c r="C945" s="1" t="n">
        <v>46079</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51796-2025</t>
        </is>
      </c>
      <c r="B946" s="1" t="n">
        <v>45951.74546296296</v>
      </c>
      <c r="C946" s="1" t="n">
        <v>46079</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2597-2024</t>
        </is>
      </c>
      <c r="B947" s="1" t="n">
        <v>45313</v>
      </c>
      <c r="C947" s="1" t="n">
        <v>46079</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62277-2023</t>
        </is>
      </c>
      <c r="B948" s="1" t="n">
        <v>45266</v>
      </c>
      <c r="C948" s="1" t="n">
        <v>46079</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3888-2024</t>
        </is>
      </c>
      <c r="B949" s="1" t="n">
        <v>45322.45089120371</v>
      </c>
      <c r="C949" s="1" t="n">
        <v>46079</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3889-2024</t>
        </is>
      </c>
      <c r="B950" s="1" t="n">
        <v>45322.45234953704</v>
      </c>
      <c r="C950" s="1" t="n">
        <v>46079</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51640-2025</t>
        </is>
      </c>
      <c r="B951" s="1" t="n">
        <v>45951.44361111111</v>
      </c>
      <c r="C951" s="1" t="n">
        <v>46079</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51597-2025</t>
        </is>
      </c>
      <c r="B952" s="1" t="n">
        <v>45951.37163194444</v>
      </c>
      <c r="C952" s="1" t="n">
        <v>46079</v>
      </c>
      <c r="D952" t="inlineStr">
        <is>
          <t>SKÅNE LÄN</t>
        </is>
      </c>
      <c r="E952" t="inlineStr">
        <is>
          <t>HÄSSLEHOLM</t>
        </is>
      </c>
      <c r="G952" t="n">
        <v>3.5</v>
      </c>
      <c r="H952" t="n">
        <v>0</v>
      </c>
      <c r="I952" t="n">
        <v>0</v>
      </c>
      <c r="J952" t="n">
        <v>0</v>
      </c>
      <c r="K952" t="n">
        <v>0</v>
      </c>
      <c r="L952" t="n">
        <v>0</v>
      </c>
      <c r="M952" t="n">
        <v>0</v>
      </c>
      <c r="N952" t="n">
        <v>0</v>
      </c>
      <c r="O952" t="n">
        <v>0</v>
      </c>
      <c r="P952" t="n">
        <v>0</v>
      </c>
      <c r="Q952" t="n">
        <v>0</v>
      </c>
      <c r="R952" s="2" t="inlineStr"/>
    </row>
    <row r="953" ht="15" customHeight="1">
      <c r="A953" t="inlineStr">
        <is>
          <t>A 8249-2023</t>
        </is>
      </c>
      <c r="B953" s="1" t="n">
        <v>44974</v>
      </c>
      <c r="C953" s="1" t="n">
        <v>46079</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52126-2025</t>
        </is>
      </c>
      <c r="B954" s="1" t="n">
        <v>45952.72109953704</v>
      </c>
      <c r="C954" s="1" t="n">
        <v>46079</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3480-2024</t>
        </is>
      </c>
      <c r="B955" s="1" t="n">
        <v>45320.43998842593</v>
      </c>
      <c r="C955" s="1" t="n">
        <v>46079</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32585-2025</t>
        </is>
      </c>
      <c r="B956" s="1" t="n">
        <v>45838.60021990741</v>
      </c>
      <c r="C956" s="1" t="n">
        <v>46079</v>
      </c>
      <c r="D956" t="inlineStr">
        <is>
          <t>SKÅNE LÄN</t>
        </is>
      </c>
      <c r="E956" t="inlineStr">
        <is>
          <t>HÄSSLEHOLM</t>
        </is>
      </c>
      <c r="G956" t="n">
        <v>2.1</v>
      </c>
      <c r="H956" t="n">
        <v>0</v>
      </c>
      <c r="I956" t="n">
        <v>0</v>
      </c>
      <c r="J956" t="n">
        <v>0</v>
      </c>
      <c r="K956" t="n">
        <v>0</v>
      </c>
      <c r="L956" t="n">
        <v>0</v>
      </c>
      <c r="M956" t="n">
        <v>0</v>
      </c>
      <c r="N956" t="n">
        <v>0</v>
      </c>
      <c r="O956" t="n">
        <v>0</v>
      </c>
      <c r="P956" t="n">
        <v>0</v>
      </c>
      <c r="Q956" t="n">
        <v>0</v>
      </c>
      <c r="R956" s="2" t="inlineStr"/>
    </row>
    <row r="957" ht="15" customHeight="1">
      <c r="A957" t="inlineStr">
        <is>
          <t>A 32592-2025</t>
        </is>
      </c>
      <c r="B957" s="1" t="n">
        <v>45838.61020833333</v>
      </c>
      <c r="C957" s="1" t="n">
        <v>46079</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55218-2023</t>
        </is>
      </c>
      <c r="B958" s="1" t="n">
        <v>45237</v>
      </c>
      <c r="C958" s="1" t="n">
        <v>46079</v>
      </c>
      <c r="D958" t="inlineStr">
        <is>
          <t>SKÅNE LÄN</t>
        </is>
      </c>
      <c r="E958" t="inlineStr">
        <is>
          <t>HÄSSLEHOLM</t>
        </is>
      </c>
      <c r="G958" t="n">
        <v>2</v>
      </c>
      <c r="H958" t="n">
        <v>0</v>
      </c>
      <c r="I958" t="n">
        <v>0</v>
      </c>
      <c r="J958" t="n">
        <v>0</v>
      </c>
      <c r="K958" t="n">
        <v>0</v>
      </c>
      <c r="L958" t="n">
        <v>0</v>
      </c>
      <c r="M958" t="n">
        <v>0</v>
      </c>
      <c r="N958" t="n">
        <v>0</v>
      </c>
      <c r="O958" t="n">
        <v>0</v>
      </c>
      <c r="P958" t="n">
        <v>0</v>
      </c>
      <c r="Q958" t="n">
        <v>0</v>
      </c>
      <c r="R958" s="2" t="inlineStr"/>
    </row>
    <row r="959" ht="15" customHeight="1">
      <c r="A959" t="inlineStr">
        <is>
          <t>A 1119-2024</t>
        </is>
      </c>
      <c r="B959" s="1" t="n">
        <v>45302</v>
      </c>
      <c r="C959" s="1" t="n">
        <v>46079</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9393-2025</t>
        </is>
      </c>
      <c r="B960" s="1" t="n">
        <v>45715.36230324074</v>
      </c>
      <c r="C960" s="1" t="n">
        <v>46079</v>
      </c>
      <c r="D960" t="inlineStr">
        <is>
          <t>SKÅNE LÄN</t>
        </is>
      </c>
      <c r="E960" t="inlineStr">
        <is>
          <t>HÄSSLEHOLM</t>
        </is>
      </c>
      <c r="G960" t="n">
        <v>1.4</v>
      </c>
      <c r="H960" t="n">
        <v>0</v>
      </c>
      <c r="I960" t="n">
        <v>0</v>
      </c>
      <c r="J960" t="n">
        <v>0</v>
      </c>
      <c r="K960" t="n">
        <v>0</v>
      </c>
      <c r="L960" t="n">
        <v>0</v>
      </c>
      <c r="M960" t="n">
        <v>0</v>
      </c>
      <c r="N960" t="n">
        <v>0</v>
      </c>
      <c r="O960" t="n">
        <v>0</v>
      </c>
      <c r="P960" t="n">
        <v>0</v>
      </c>
      <c r="Q960" t="n">
        <v>0</v>
      </c>
      <c r="R960" s="2" t="inlineStr"/>
    </row>
    <row r="961" ht="15" customHeight="1">
      <c r="A961" t="inlineStr">
        <is>
          <t>A 53018-2025</t>
        </is>
      </c>
      <c r="B961" s="1" t="n">
        <v>45957.90064814815</v>
      </c>
      <c r="C961" s="1" t="n">
        <v>46079</v>
      </c>
      <c r="D961" t="inlineStr">
        <is>
          <t>SKÅNE LÄN</t>
        </is>
      </c>
      <c r="E961" t="inlineStr">
        <is>
          <t>HÄSSLEHOLM</t>
        </is>
      </c>
      <c r="G961" t="n">
        <v>2.2</v>
      </c>
      <c r="H961" t="n">
        <v>0</v>
      </c>
      <c r="I961" t="n">
        <v>0</v>
      </c>
      <c r="J961" t="n">
        <v>0</v>
      </c>
      <c r="K961" t="n">
        <v>0</v>
      </c>
      <c r="L961" t="n">
        <v>0</v>
      </c>
      <c r="M961" t="n">
        <v>0</v>
      </c>
      <c r="N961" t="n">
        <v>0</v>
      </c>
      <c r="O961" t="n">
        <v>0</v>
      </c>
      <c r="P961" t="n">
        <v>0</v>
      </c>
      <c r="Q961" t="n">
        <v>0</v>
      </c>
      <c r="R961" s="2" t="inlineStr"/>
    </row>
    <row r="962" ht="15" customHeight="1">
      <c r="A962" t="inlineStr">
        <is>
          <t>A 11422-2025</t>
        </is>
      </c>
      <c r="B962" s="1" t="n">
        <v>45726</v>
      </c>
      <c r="C962" s="1" t="n">
        <v>46079</v>
      </c>
      <c r="D962" t="inlineStr">
        <is>
          <t>SKÅNE LÄN</t>
        </is>
      </c>
      <c r="E962" t="inlineStr">
        <is>
          <t>HÄSSLEHOLM</t>
        </is>
      </c>
      <c r="G962" t="n">
        <v>14.9</v>
      </c>
      <c r="H962" t="n">
        <v>0</v>
      </c>
      <c r="I962" t="n">
        <v>0</v>
      </c>
      <c r="J962" t="n">
        <v>0</v>
      </c>
      <c r="K962" t="n">
        <v>0</v>
      </c>
      <c r="L962" t="n">
        <v>0</v>
      </c>
      <c r="M962" t="n">
        <v>0</v>
      </c>
      <c r="N962" t="n">
        <v>0</v>
      </c>
      <c r="O962" t="n">
        <v>0</v>
      </c>
      <c r="P962" t="n">
        <v>0</v>
      </c>
      <c r="Q962" t="n">
        <v>0</v>
      </c>
      <c r="R962" s="2" t="inlineStr"/>
    </row>
    <row r="963" ht="15" customHeight="1">
      <c r="A963" t="inlineStr">
        <is>
          <t>A 53056-2025</t>
        </is>
      </c>
      <c r="B963" s="1" t="n">
        <v>45958.36518518518</v>
      </c>
      <c r="C963" s="1" t="n">
        <v>46079</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57277-2023</t>
        </is>
      </c>
      <c r="B964" s="1" t="n">
        <v>45245.59104166667</v>
      </c>
      <c r="C964" s="1" t="n">
        <v>46079</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53020-2025</t>
        </is>
      </c>
      <c r="B965" s="1" t="n">
        <v>45957.90707175926</v>
      </c>
      <c r="C965" s="1" t="n">
        <v>46079</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9611-2025</t>
        </is>
      </c>
      <c r="B966" s="1" t="n">
        <v>45715</v>
      </c>
      <c r="C966" s="1" t="n">
        <v>46079</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5284-2023</t>
        </is>
      </c>
      <c r="B967" s="1" t="n">
        <v>44959.50608796296</v>
      </c>
      <c r="C967" s="1" t="n">
        <v>46079</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5285-2023</t>
        </is>
      </c>
      <c r="B968" s="1" t="n">
        <v>44959.50783564815</v>
      </c>
      <c r="C968" s="1" t="n">
        <v>46079</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29649-2025</t>
        </is>
      </c>
      <c r="B969" s="1" t="n">
        <v>45825.47446759259</v>
      </c>
      <c r="C969" s="1" t="n">
        <v>46079</v>
      </c>
      <c r="D969" t="inlineStr">
        <is>
          <t>SKÅNE LÄN</t>
        </is>
      </c>
      <c r="E969" t="inlineStr">
        <is>
          <t>HÄSSLEHOLM</t>
        </is>
      </c>
      <c r="G969" t="n">
        <v>2.6</v>
      </c>
      <c r="H969" t="n">
        <v>0</v>
      </c>
      <c r="I969" t="n">
        <v>0</v>
      </c>
      <c r="J969" t="n">
        <v>0</v>
      </c>
      <c r="K969" t="n">
        <v>0</v>
      </c>
      <c r="L969" t="n">
        <v>0</v>
      </c>
      <c r="M969" t="n">
        <v>0</v>
      </c>
      <c r="N969" t="n">
        <v>0</v>
      </c>
      <c r="O969" t="n">
        <v>0</v>
      </c>
      <c r="P969" t="n">
        <v>0</v>
      </c>
      <c r="Q969" t="n">
        <v>0</v>
      </c>
      <c r="R969" s="2" t="inlineStr"/>
    </row>
    <row r="970" ht="15" customHeight="1">
      <c r="A970" t="inlineStr">
        <is>
          <t>A 57272-2023</t>
        </is>
      </c>
      <c r="B970" s="1" t="n">
        <v>45245</v>
      </c>
      <c r="C970" s="1" t="n">
        <v>46079</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33948-2025</t>
        </is>
      </c>
      <c r="B971" s="1" t="n">
        <v>45842.65945601852</v>
      </c>
      <c r="C971" s="1" t="n">
        <v>46079</v>
      </c>
      <c r="D971" t="inlineStr">
        <is>
          <t>SKÅNE LÄN</t>
        </is>
      </c>
      <c r="E971" t="inlineStr">
        <is>
          <t>HÄSSLEHOLM</t>
        </is>
      </c>
      <c r="G971" t="n">
        <v>8.5</v>
      </c>
      <c r="H971" t="n">
        <v>0</v>
      </c>
      <c r="I971" t="n">
        <v>0</v>
      </c>
      <c r="J971" t="n">
        <v>0</v>
      </c>
      <c r="K971" t="n">
        <v>0</v>
      </c>
      <c r="L971" t="n">
        <v>0</v>
      </c>
      <c r="M971" t="n">
        <v>0</v>
      </c>
      <c r="N971" t="n">
        <v>0</v>
      </c>
      <c r="O971" t="n">
        <v>0</v>
      </c>
      <c r="P971" t="n">
        <v>0</v>
      </c>
      <c r="Q971" t="n">
        <v>0</v>
      </c>
      <c r="R971" s="2" t="inlineStr"/>
    </row>
    <row r="972" ht="15" customHeight="1">
      <c r="A972" t="inlineStr">
        <is>
          <t>A 53424-2025</t>
        </is>
      </c>
      <c r="B972" s="1" t="n">
        <v>45959</v>
      </c>
      <c r="C972" s="1" t="n">
        <v>46079</v>
      </c>
      <c r="D972" t="inlineStr">
        <is>
          <t>SKÅNE LÄN</t>
        </is>
      </c>
      <c r="E972" t="inlineStr">
        <is>
          <t>HÄSSLEHOLM</t>
        </is>
      </c>
      <c r="G972" t="n">
        <v>3.4</v>
      </c>
      <c r="H972" t="n">
        <v>0</v>
      </c>
      <c r="I972" t="n">
        <v>0</v>
      </c>
      <c r="J972" t="n">
        <v>0</v>
      </c>
      <c r="K972" t="n">
        <v>0</v>
      </c>
      <c r="L972" t="n">
        <v>0</v>
      </c>
      <c r="M972" t="n">
        <v>0</v>
      </c>
      <c r="N972" t="n">
        <v>0</v>
      </c>
      <c r="O972" t="n">
        <v>0</v>
      </c>
      <c r="P972" t="n">
        <v>0</v>
      </c>
      <c r="Q972" t="n">
        <v>0</v>
      </c>
      <c r="R972" s="2" t="inlineStr"/>
    </row>
    <row r="973" ht="15" customHeight="1">
      <c r="A973" t="inlineStr">
        <is>
          <t>A 2479-2024</t>
        </is>
      </c>
      <c r="B973" s="1" t="n">
        <v>45313.40148148148</v>
      </c>
      <c r="C973" s="1" t="n">
        <v>46079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33875-2025</t>
        </is>
      </c>
      <c r="B974" s="1" t="n">
        <v>45842.55300925926</v>
      </c>
      <c r="C974" s="1" t="n">
        <v>46079</v>
      </c>
      <c r="D974" t="inlineStr">
        <is>
          <t>SKÅNE LÄN</t>
        </is>
      </c>
      <c r="E974" t="inlineStr">
        <is>
          <t>HÄSSLEHOLM</t>
        </is>
      </c>
      <c r="G974" t="n">
        <v>1.9</v>
      </c>
      <c r="H974" t="n">
        <v>0</v>
      </c>
      <c r="I974" t="n">
        <v>0</v>
      </c>
      <c r="J974" t="n">
        <v>0</v>
      </c>
      <c r="K974" t="n">
        <v>0</v>
      </c>
      <c r="L974" t="n">
        <v>0</v>
      </c>
      <c r="M974" t="n">
        <v>0</v>
      </c>
      <c r="N974" t="n">
        <v>0</v>
      </c>
      <c r="O974" t="n">
        <v>0</v>
      </c>
      <c r="P974" t="n">
        <v>0</v>
      </c>
      <c r="Q974" t="n">
        <v>0</v>
      </c>
      <c r="R974" s="2" t="inlineStr"/>
    </row>
    <row r="975" ht="15" customHeight="1">
      <c r="A975" t="inlineStr">
        <is>
          <t>A 31160-2024</t>
        </is>
      </c>
      <c r="B975" s="1" t="n">
        <v>45503</v>
      </c>
      <c r="C975" s="1" t="n">
        <v>46079</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50664-2023</t>
        </is>
      </c>
      <c r="B976" s="1" t="n">
        <v>45217</v>
      </c>
      <c r="C976" s="1" t="n">
        <v>46079</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56490-2021</t>
        </is>
      </c>
      <c r="B977" s="1" t="n">
        <v>44480</v>
      </c>
      <c r="C977" s="1" t="n">
        <v>46079</v>
      </c>
      <c r="D977" t="inlineStr">
        <is>
          <t>SKÅNE LÄN</t>
        </is>
      </c>
      <c r="E977" t="inlineStr">
        <is>
          <t>HÄSSLEHOLM</t>
        </is>
      </c>
      <c r="F977" t="inlineStr">
        <is>
          <t>Kyrkan</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33877-2025</t>
        </is>
      </c>
      <c r="B978" s="1" t="n">
        <v>45842.55564814815</v>
      </c>
      <c r="C978" s="1" t="n">
        <v>46079</v>
      </c>
      <c r="D978" t="inlineStr">
        <is>
          <t>SKÅNE LÄN</t>
        </is>
      </c>
      <c r="E978" t="inlineStr">
        <is>
          <t>HÄSSLEHOLM</t>
        </is>
      </c>
      <c r="G978" t="n">
        <v>3.9</v>
      </c>
      <c r="H978" t="n">
        <v>0</v>
      </c>
      <c r="I978" t="n">
        <v>0</v>
      </c>
      <c r="J978" t="n">
        <v>0</v>
      </c>
      <c r="K978" t="n">
        <v>0</v>
      </c>
      <c r="L978" t="n">
        <v>0</v>
      </c>
      <c r="M978" t="n">
        <v>0</v>
      </c>
      <c r="N978" t="n">
        <v>0</v>
      </c>
      <c r="O978" t="n">
        <v>0</v>
      </c>
      <c r="P978" t="n">
        <v>0</v>
      </c>
      <c r="Q978" t="n">
        <v>0</v>
      </c>
      <c r="R978" s="2" t="inlineStr"/>
    </row>
    <row r="979" ht="15" customHeight="1">
      <c r="A979" t="inlineStr">
        <is>
          <t>A 33879-2025</t>
        </is>
      </c>
      <c r="B979" s="1" t="n">
        <v>45842.55766203703</v>
      </c>
      <c r="C979" s="1" t="n">
        <v>46079</v>
      </c>
      <c r="D979" t="inlineStr">
        <is>
          <t>SKÅNE LÄN</t>
        </is>
      </c>
      <c r="E979" t="inlineStr">
        <is>
          <t>HÄSSLEHOLM</t>
        </is>
      </c>
      <c r="G979" t="n">
        <v>6.1</v>
      </c>
      <c r="H979" t="n">
        <v>0</v>
      </c>
      <c r="I979" t="n">
        <v>0</v>
      </c>
      <c r="J979" t="n">
        <v>0</v>
      </c>
      <c r="K979" t="n">
        <v>0</v>
      </c>
      <c r="L979" t="n">
        <v>0</v>
      </c>
      <c r="M979" t="n">
        <v>0</v>
      </c>
      <c r="N979" t="n">
        <v>0</v>
      </c>
      <c r="O979" t="n">
        <v>0</v>
      </c>
      <c r="P979" t="n">
        <v>0</v>
      </c>
      <c r="Q979" t="n">
        <v>0</v>
      </c>
      <c r="R979" s="2" t="inlineStr"/>
    </row>
    <row r="980" ht="15" customHeight="1">
      <c r="A980" t="inlineStr">
        <is>
          <t>A 417-2022</t>
        </is>
      </c>
      <c r="B980" s="1" t="n">
        <v>44565.84615740741</v>
      </c>
      <c r="C980" s="1" t="n">
        <v>46079</v>
      </c>
      <c r="D980" t="inlineStr">
        <is>
          <t>SKÅNE LÄN</t>
        </is>
      </c>
      <c r="E980" t="inlineStr">
        <is>
          <t>HÄSSLEHOLM</t>
        </is>
      </c>
      <c r="G980" t="n">
        <v>0</v>
      </c>
      <c r="H980" t="n">
        <v>0</v>
      </c>
      <c r="I980" t="n">
        <v>0</v>
      </c>
      <c r="J980" t="n">
        <v>0</v>
      </c>
      <c r="K980" t="n">
        <v>0</v>
      </c>
      <c r="L980" t="n">
        <v>0</v>
      </c>
      <c r="M980" t="n">
        <v>0</v>
      </c>
      <c r="N980" t="n">
        <v>0</v>
      </c>
      <c r="O980" t="n">
        <v>0</v>
      </c>
      <c r="P980" t="n">
        <v>0</v>
      </c>
      <c r="Q980" t="n">
        <v>0</v>
      </c>
      <c r="R980" s="2" t="inlineStr"/>
    </row>
    <row r="981" ht="15" customHeight="1">
      <c r="A981" t="inlineStr">
        <is>
          <t>A 61934-2023</t>
        </is>
      </c>
      <c r="B981" s="1" t="n">
        <v>45266.54125</v>
      </c>
      <c r="C981" s="1" t="n">
        <v>46079</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41459-2022</t>
        </is>
      </c>
      <c r="B982" s="1" t="n">
        <v>44826.93372685185</v>
      </c>
      <c r="C982" s="1" t="n">
        <v>46079</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33562-2025</t>
        </is>
      </c>
      <c r="B983" s="1" t="n">
        <v>45841.57803240741</v>
      </c>
      <c r="C983" s="1" t="n">
        <v>46079</v>
      </c>
      <c r="D983" t="inlineStr">
        <is>
          <t>SKÅNE LÄN</t>
        </is>
      </c>
      <c r="E983" t="inlineStr">
        <is>
          <t>HÄSSLEHOLM</t>
        </is>
      </c>
      <c r="G983" t="n">
        <v>2.8</v>
      </c>
      <c r="H983" t="n">
        <v>0</v>
      </c>
      <c r="I983" t="n">
        <v>0</v>
      </c>
      <c r="J983" t="n">
        <v>0</v>
      </c>
      <c r="K983" t="n">
        <v>0</v>
      </c>
      <c r="L983" t="n">
        <v>0</v>
      </c>
      <c r="M983" t="n">
        <v>0</v>
      </c>
      <c r="N983" t="n">
        <v>0</v>
      </c>
      <c r="O983" t="n">
        <v>0</v>
      </c>
      <c r="P983" t="n">
        <v>0</v>
      </c>
      <c r="Q983" t="n">
        <v>0</v>
      </c>
      <c r="R983" s="2" t="inlineStr"/>
    </row>
    <row r="984" ht="15" customHeight="1">
      <c r="A984" t="inlineStr">
        <is>
          <t>A 33950-2025</t>
        </is>
      </c>
      <c r="B984" s="1" t="n">
        <v>45842</v>
      </c>
      <c r="C984" s="1" t="n">
        <v>46079</v>
      </c>
      <c r="D984" t="inlineStr">
        <is>
          <t>SKÅNE LÄN</t>
        </is>
      </c>
      <c r="E984" t="inlineStr">
        <is>
          <t>HÄSSLEHOLM</t>
        </is>
      </c>
      <c r="G984" t="n">
        <v>5.7</v>
      </c>
      <c r="H984" t="n">
        <v>0</v>
      </c>
      <c r="I984" t="n">
        <v>0</v>
      </c>
      <c r="J984" t="n">
        <v>0</v>
      </c>
      <c r="K984" t="n">
        <v>0</v>
      </c>
      <c r="L984" t="n">
        <v>0</v>
      </c>
      <c r="M984" t="n">
        <v>0</v>
      </c>
      <c r="N984" t="n">
        <v>0</v>
      </c>
      <c r="O984" t="n">
        <v>0</v>
      </c>
      <c r="P984" t="n">
        <v>0</v>
      </c>
      <c r="Q984" t="n">
        <v>0</v>
      </c>
      <c r="R984" s="2" t="inlineStr"/>
    </row>
    <row r="985" ht="15" customHeight="1">
      <c r="A985" t="inlineStr">
        <is>
          <t>A 34174-2025</t>
        </is>
      </c>
      <c r="B985" s="1" t="n">
        <v>45844</v>
      </c>
      <c r="C985" s="1" t="n">
        <v>46079</v>
      </c>
      <c r="D985" t="inlineStr">
        <is>
          <t>SKÅNE LÄN</t>
        </is>
      </c>
      <c r="E985" t="inlineStr">
        <is>
          <t>HÄSSLEHOLM</t>
        </is>
      </c>
      <c r="G985" t="n">
        <v>4.7</v>
      </c>
      <c r="H985" t="n">
        <v>0</v>
      </c>
      <c r="I985" t="n">
        <v>0</v>
      </c>
      <c r="J985" t="n">
        <v>0</v>
      </c>
      <c r="K985" t="n">
        <v>0</v>
      </c>
      <c r="L985" t="n">
        <v>0</v>
      </c>
      <c r="M985" t="n">
        <v>0</v>
      </c>
      <c r="N985" t="n">
        <v>0</v>
      </c>
      <c r="O985" t="n">
        <v>0</v>
      </c>
      <c r="P985" t="n">
        <v>0</v>
      </c>
      <c r="Q985" t="n">
        <v>0</v>
      </c>
      <c r="R985" s="2" t="inlineStr"/>
    </row>
    <row r="986" ht="15" customHeight="1">
      <c r="A986" t="inlineStr">
        <is>
          <t>A 19151-2023</t>
        </is>
      </c>
      <c r="B986" s="1" t="n">
        <v>45044</v>
      </c>
      <c r="C986" s="1" t="n">
        <v>46079</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54658-2023</t>
        </is>
      </c>
      <c r="B987" s="1" t="n">
        <v>45235</v>
      </c>
      <c r="C987" s="1" t="n">
        <v>46079</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47161-2025</t>
        </is>
      </c>
      <c r="B988" s="1" t="n">
        <v>45929</v>
      </c>
      <c r="C988" s="1" t="n">
        <v>46079</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54668-2025</t>
        </is>
      </c>
      <c r="B989" s="1" t="n">
        <v>45966.40803240741</v>
      </c>
      <c r="C989" s="1" t="n">
        <v>46079</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34177-2025</t>
        </is>
      </c>
      <c r="B990" s="1" t="n">
        <v>45844</v>
      </c>
      <c r="C990" s="1" t="n">
        <v>46079</v>
      </c>
      <c r="D990" t="inlineStr">
        <is>
          <t>SKÅNE LÄN</t>
        </is>
      </c>
      <c r="E990" t="inlineStr">
        <is>
          <t>HÄSSLEHOLM</t>
        </is>
      </c>
      <c r="G990" t="n">
        <v>3</v>
      </c>
      <c r="H990" t="n">
        <v>0</v>
      </c>
      <c r="I990" t="n">
        <v>0</v>
      </c>
      <c r="J990" t="n">
        <v>0</v>
      </c>
      <c r="K990" t="n">
        <v>0</v>
      </c>
      <c r="L990" t="n">
        <v>0</v>
      </c>
      <c r="M990" t="n">
        <v>0</v>
      </c>
      <c r="N990" t="n">
        <v>0</v>
      </c>
      <c r="O990" t="n">
        <v>0</v>
      </c>
      <c r="P990" t="n">
        <v>0</v>
      </c>
      <c r="Q990" t="n">
        <v>0</v>
      </c>
      <c r="R990" s="2" t="inlineStr"/>
    </row>
    <row r="991" ht="15" customHeight="1">
      <c r="A991" t="inlineStr">
        <is>
          <t>A 42370-2023</t>
        </is>
      </c>
      <c r="B991" s="1" t="n">
        <v>45180</v>
      </c>
      <c r="C991" s="1" t="n">
        <v>46079</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54763-2025</t>
        </is>
      </c>
      <c r="B992" s="1" t="n">
        <v>45966.60167824074</v>
      </c>
      <c r="C992" s="1" t="n">
        <v>46079</v>
      </c>
      <c r="D992" t="inlineStr">
        <is>
          <t>SKÅNE LÄN</t>
        </is>
      </c>
      <c r="E992" t="inlineStr">
        <is>
          <t>HÄSSLEHOLM</t>
        </is>
      </c>
      <c r="G992" t="n">
        <v>1.3</v>
      </c>
      <c r="H992" t="n">
        <v>0</v>
      </c>
      <c r="I992" t="n">
        <v>0</v>
      </c>
      <c r="J992" t="n">
        <v>0</v>
      </c>
      <c r="K992" t="n">
        <v>0</v>
      </c>
      <c r="L992" t="n">
        <v>0</v>
      </c>
      <c r="M992" t="n">
        <v>0</v>
      </c>
      <c r="N992" t="n">
        <v>0</v>
      </c>
      <c r="O992" t="n">
        <v>0</v>
      </c>
      <c r="P992" t="n">
        <v>0</v>
      </c>
      <c r="Q992" t="n">
        <v>0</v>
      </c>
      <c r="R992" s="2" t="inlineStr"/>
    </row>
    <row r="993" ht="15" customHeight="1">
      <c r="A993" t="inlineStr">
        <is>
          <t>A 22678-2025</t>
        </is>
      </c>
      <c r="B993" s="1" t="n">
        <v>45789.49725694444</v>
      </c>
      <c r="C993" s="1" t="n">
        <v>46079</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32958-2023</t>
        </is>
      </c>
      <c r="B994" s="1" t="n">
        <v>45125.52142361111</v>
      </c>
      <c r="C994" s="1" t="n">
        <v>46079</v>
      </c>
      <c r="D994" t="inlineStr">
        <is>
          <t>SKÅNE LÄN</t>
        </is>
      </c>
      <c r="E994" t="inlineStr">
        <is>
          <t>HÄSSLEHOLM</t>
        </is>
      </c>
      <c r="G994" t="n">
        <v>7.9</v>
      </c>
      <c r="H994" t="n">
        <v>0</v>
      </c>
      <c r="I994" t="n">
        <v>0</v>
      </c>
      <c r="J994" t="n">
        <v>0</v>
      </c>
      <c r="K994" t="n">
        <v>0</v>
      </c>
      <c r="L994" t="n">
        <v>0</v>
      </c>
      <c r="M994" t="n">
        <v>0</v>
      </c>
      <c r="N994" t="n">
        <v>0</v>
      </c>
      <c r="O994" t="n">
        <v>0</v>
      </c>
      <c r="P994" t="n">
        <v>0</v>
      </c>
      <c r="Q994" t="n">
        <v>0</v>
      </c>
      <c r="R994" s="2" t="inlineStr"/>
    </row>
    <row r="995" ht="15" customHeight="1">
      <c r="A995" t="inlineStr">
        <is>
          <t>A 16951-2025</t>
        </is>
      </c>
      <c r="B995" s="1" t="n">
        <v>45755</v>
      </c>
      <c r="C995" s="1" t="n">
        <v>46079</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54664-2025</t>
        </is>
      </c>
      <c r="B996" s="1" t="n">
        <v>45966.40738425926</v>
      </c>
      <c r="C996" s="1" t="n">
        <v>46079</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54771-2025</t>
        </is>
      </c>
      <c r="B997" s="1" t="n">
        <v>45966.60829861111</v>
      </c>
      <c r="C997" s="1" t="n">
        <v>46079</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18063-2023</t>
        </is>
      </c>
      <c r="B998" s="1" t="n">
        <v>45040.62850694444</v>
      </c>
      <c r="C998" s="1" t="n">
        <v>46079</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14674-2025</t>
        </is>
      </c>
      <c r="B999" s="1" t="n">
        <v>45742.55548611111</v>
      </c>
      <c r="C999" s="1" t="n">
        <v>46079</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54777-2022</t>
        </is>
      </c>
      <c r="B1000" s="1" t="n">
        <v>44883</v>
      </c>
      <c r="C1000" s="1" t="n">
        <v>46079</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55268-2025</t>
        </is>
      </c>
      <c r="B1001" s="1" t="n">
        <v>45968.6715625</v>
      </c>
      <c r="C1001" s="1" t="n">
        <v>46079</v>
      </c>
      <c r="D1001" t="inlineStr">
        <is>
          <t>SKÅNE LÄN</t>
        </is>
      </c>
      <c r="E1001" t="inlineStr">
        <is>
          <t>HÄSSLEHOLM</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46079</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34869-2025</t>
        </is>
      </c>
      <c r="B1003" s="1" t="n">
        <v>45849</v>
      </c>
      <c r="C1003" s="1" t="n">
        <v>46079</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23683-2023</t>
        </is>
      </c>
      <c r="B1004" s="1" t="n">
        <v>45077</v>
      </c>
      <c r="C1004" s="1" t="n">
        <v>46079</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55549-2025</t>
        </is>
      </c>
      <c r="B1005" s="1" t="n">
        <v>45971.63805555556</v>
      </c>
      <c r="C1005" s="1" t="n">
        <v>46079</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55455-2025</t>
        </is>
      </c>
      <c r="B1006" s="1" t="n">
        <v>45971</v>
      </c>
      <c r="C1006" s="1" t="n">
        <v>46079</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46079</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9747-2024</t>
        </is>
      </c>
      <c r="B1008" s="1" t="n">
        <v>45362</v>
      </c>
      <c r="C1008" s="1" t="n">
        <v>46079</v>
      </c>
      <c r="D1008" t="inlineStr">
        <is>
          <t>SKÅNE LÄN</t>
        </is>
      </c>
      <c r="E1008" t="inlineStr">
        <is>
          <t>HÄSSLEHOLM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55458-2025</t>
        </is>
      </c>
      <c r="B1009" s="1" t="n">
        <v>45971</v>
      </c>
      <c r="C1009" s="1" t="n">
        <v>46079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35259-2025</t>
        </is>
      </c>
      <c r="B1010" s="1" t="n">
        <v>45853.76912037037</v>
      </c>
      <c r="C1010" s="1" t="n">
        <v>46079</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20970-2025</t>
        </is>
      </c>
      <c r="B1011" s="1" t="n">
        <v>45777.45417824074</v>
      </c>
      <c r="C1011" s="1" t="n">
        <v>46079</v>
      </c>
      <c r="D1011" t="inlineStr">
        <is>
          <t>SKÅNE LÄN</t>
        </is>
      </c>
      <c r="E1011" t="inlineStr">
        <is>
          <t>HÄSSLEHOLM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23860-2024</t>
        </is>
      </c>
      <c r="B1012" s="1" t="n">
        <v>45455</v>
      </c>
      <c r="C1012" s="1" t="n">
        <v>46079</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524-2024</t>
        </is>
      </c>
      <c r="B1013" s="1" t="n">
        <v>45299</v>
      </c>
      <c r="C1013" s="1" t="n">
        <v>46079</v>
      </c>
      <c r="D1013" t="inlineStr">
        <is>
          <t>SKÅNE LÄN</t>
        </is>
      </c>
      <c r="E1013" t="inlineStr">
        <is>
          <t>HÄSSLEHOLM</t>
        </is>
      </c>
      <c r="G1013" t="n">
        <v>29.4</v>
      </c>
      <c r="H1013" t="n">
        <v>0</v>
      </c>
      <c r="I1013" t="n">
        <v>0</v>
      </c>
      <c r="J1013" t="n">
        <v>0</v>
      </c>
      <c r="K1013" t="n">
        <v>0</v>
      </c>
      <c r="L1013" t="n">
        <v>0</v>
      </c>
      <c r="M1013" t="n">
        <v>0</v>
      </c>
      <c r="N1013" t="n">
        <v>0</v>
      </c>
      <c r="O1013" t="n">
        <v>0</v>
      </c>
      <c r="P1013" t="n">
        <v>0</v>
      </c>
      <c r="Q1013" t="n">
        <v>0</v>
      </c>
      <c r="R1013" s="2" t="inlineStr"/>
    </row>
    <row r="1014" ht="15" customHeight="1">
      <c r="A1014" t="inlineStr">
        <is>
          <t>A 17413-2025</t>
        </is>
      </c>
      <c r="B1014" s="1" t="n">
        <v>45757.37480324074</v>
      </c>
      <c r="C1014" s="1" t="n">
        <v>46079</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54518-2022</t>
        </is>
      </c>
      <c r="B1015" s="1" t="n">
        <v>44882</v>
      </c>
      <c r="C1015" s="1" t="n">
        <v>46079</v>
      </c>
      <c r="D1015" t="inlineStr">
        <is>
          <t>SKÅNE LÄN</t>
        </is>
      </c>
      <c r="E1015" t="inlineStr">
        <is>
          <t>HÄSSLEHOLM</t>
        </is>
      </c>
      <c r="F1015" t="inlineStr">
        <is>
          <t>Övriga Aktiebolag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7094-2023</t>
        </is>
      </c>
      <c r="B1016" s="1" t="n">
        <v>44970.36958333333</v>
      </c>
      <c r="C1016" s="1" t="n">
        <v>46079</v>
      </c>
      <c r="D1016" t="inlineStr">
        <is>
          <t>SKÅNE LÄN</t>
        </is>
      </c>
      <c r="E1016" t="inlineStr">
        <is>
          <t>HÄSSLEHOLM</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3500-2024</t>
        </is>
      </c>
      <c r="B1017" s="1" t="n">
        <v>45320</v>
      </c>
      <c r="C1017" s="1" t="n">
        <v>46079</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11266-2025</t>
        </is>
      </c>
      <c r="B1018" s="1" t="n">
        <v>45726</v>
      </c>
      <c r="C1018" s="1" t="n">
        <v>46079</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49950-2023</t>
        </is>
      </c>
      <c r="B1019" s="1" t="n">
        <v>45215</v>
      </c>
      <c r="C1019" s="1" t="n">
        <v>46079</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29853-2024</t>
        </is>
      </c>
      <c r="B1020" s="1" t="n">
        <v>45485.65844907407</v>
      </c>
      <c r="C1020" s="1" t="n">
        <v>46079</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57695-2023</t>
        </is>
      </c>
      <c r="B1021" s="1" t="n">
        <v>45246</v>
      </c>
      <c r="C1021" s="1" t="n">
        <v>46079</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56794-2025</t>
        </is>
      </c>
      <c r="B1022" s="1" t="n">
        <v>45978.43039351852</v>
      </c>
      <c r="C1022" s="1" t="n">
        <v>46079</v>
      </c>
      <c r="D1022" t="inlineStr">
        <is>
          <t>SKÅNE LÄN</t>
        </is>
      </c>
      <c r="E1022" t="inlineStr">
        <is>
          <t>HÄSSLEHOLM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9615-2025</t>
        </is>
      </c>
      <c r="B1023" s="1" t="n">
        <v>45715</v>
      </c>
      <c r="C1023" s="1" t="n">
        <v>46079</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56667-2025</t>
        </is>
      </c>
      <c r="B1024" s="1" t="n">
        <v>45975.68508101852</v>
      </c>
      <c r="C1024" s="1" t="n">
        <v>46079</v>
      </c>
      <c r="D1024" t="inlineStr">
        <is>
          <t>SKÅNE LÄN</t>
        </is>
      </c>
      <c r="E1024" t="inlineStr">
        <is>
          <t>HÄSSLEHOLM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56767-2025</t>
        </is>
      </c>
      <c r="B1025" s="1" t="n">
        <v>45978.38178240741</v>
      </c>
      <c r="C1025" s="1" t="n">
        <v>46079</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56769-2025</t>
        </is>
      </c>
      <c r="B1026" s="1" t="n">
        <v>45978.38429398148</v>
      </c>
      <c r="C1026" s="1" t="n">
        <v>46079</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56798-2025</t>
        </is>
      </c>
      <c r="B1027" s="1" t="n">
        <v>45978.43378472222</v>
      </c>
      <c r="C1027" s="1" t="n">
        <v>46079</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36085-2025</t>
        </is>
      </c>
      <c r="B1028" s="1" t="n">
        <v>45866.46190972222</v>
      </c>
      <c r="C1028" s="1" t="n">
        <v>46079</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42232-2022</t>
        </is>
      </c>
      <c r="B1029" s="1" t="n">
        <v>44830.77591435185</v>
      </c>
      <c r="C1029" s="1" t="n">
        <v>46079</v>
      </c>
      <c r="D1029" t="inlineStr">
        <is>
          <t>SKÅNE LÄN</t>
        </is>
      </c>
      <c r="E1029" t="inlineStr">
        <is>
          <t>HÄSSLEHOLM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56797-2025</t>
        </is>
      </c>
      <c r="B1030" s="1" t="n">
        <v>45978.43273148148</v>
      </c>
      <c r="C1030" s="1" t="n">
        <v>46079</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38829-2024</t>
        </is>
      </c>
      <c r="B1031" s="1" t="n">
        <v>45547.57247685185</v>
      </c>
      <c r="C1031" s="1" t="n">
        <v>46079</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36130-2025</t>
        </is>
      </c>
      <c r="B1032" s="1" t="n">
        <v>45866.62273148148</v>
      </c>
      <c r="C1032" s="1" t="n">
        <v>46079</v>
      </c>
      <c r="D1032" t="inlineStr">
        <is>
          <t>SKÅNE LÄN</t>
        </is>
      </c>
      <c r="E1032" t="inlineStr">
        <is>
          <t>HÄSSLEHOLM</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30092-2025</t>
        </is>
      </c>
      <c r="B1033" s="1" t="n">
        <v>45826</v>
      </c>
      <c r="C1033" s="1" t="n">
        <v>46079</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30109-2025</t>
        </is>
      </c>
      <c r="B1034" s="1" t="n">
        <v>45826</v>
      </c>
      <c r="C1034" s="1" t="n">
        <v>46079</v>
      </c>
      <c r="D1034" t="inlineStr">
        <is>
          <t>SKÅNE LÄN</t>
        </is>
      </c>
      <c r="E1034" t="inlineStr">
        <is>
          <t>HÄSSLEHOLM</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55569-2025</t>
        </is>
      </c>
      <c r="B1035" s="1" t="n">
        <v>45971</v>
      </c>
      <c r="C1035" s="1" t="n">
        <v>46079</v>
      </c>
      <c r="D1035" t="inlineStr">
        <is>
          <t>SKÅNE LÄN</t>
        </is>
      </c>
      <c r="E1035" t="inlineStr">
        <is>
          <t>HÄSSLEHOLM</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25542-2024</t>
        </is>
      </c>
      <c r="B1036" s="1" t="n">
        <v>45463</v>
      </c>
      <c r="C1036" s="1" t="n">
        <v>46079</v>
      </c>
      <c r="D1036" t="inlineStr">
        <is>
          <t>SKÅNE LÄN</t>
        </is>
      </c>
      <c r="E1036" t="inlineStr">
        <is>
          <t>HÄSSLEHOLM</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55454-2021</t>
        </is>
      </c>
      <c r="B1037" s="1" t="n">
        <v>44475</v>
      </c>
      <c r="C1037" s="1" t="n">
        <v>46079</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19666-2025</t>
        </is>
      </c>
      <c r="B1038" s="1" t="n">
        <v>45770.69326388889</v>
      </c>
      <c r="C1038" s="1" t="n">
        <v>46079</v>
      </c>
      <c r="D1038" t="inlineStr">
        <is>
          <t>SKÅNE LÄN</t>
        </is>
      </c>
      <c r="E1038" t="inlineStr">
        <is>
          <t>HÄSSLEHOLM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36361-2025</t>
        </is>
      </c>
      <c r="B1039" s="1" t="n">
        <v>45867</v>
      </c>
      <c r="C1039" s="1" t="n">
        <v>46079</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61489-2024</t>
        </is>
      </c>
      <c r="B1040" s="1" t="n">
        <v>45646.54875</v>
      </c>
      <c r="C1040" s="1" t="n">
        <v>46079</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26879-2024</t>
        </is>
      </c>
      <c r="B1041" s="1" t="n">
        <v>45470</v>
      </c>
      <c r="C1041" s="1" t="n">
        <v>46079</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36358-2025</t>
        </is>
      </c>
      <c r="B1042" s="1" t="n">
        <v>45867</v>
      </c>
      <c r="C1042" s="1" t="n">
        <v>46079</v>
      </c>
      <c r="D1042" t="inlineStr">
        <is>
          <t>SKÅNE LÄN</t>
        </is>
      </c>
      <c r="E1042" t="inlineStr">
        <is>
          <t>HÄSSLEHOLM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36359-2025</t>
        </is>
      </c>
      <c r="B1043" s="1" t="n">
        <v>45867</v>
      </c>
      <c r="C1043" s="1" t="n">
        <v>46079</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36259-2025</t>
        </is>
      </c>
      <c r="B1044" s="1" t="n">
        <v>45867.59799768519</v>
      </c>
      <c r="C1044" s="1" t="n">
        <v>46079</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59728-2022</t>
        </is>
      </c>
      <c r="B1045" s="1" t="n">
        <v>44900</v>
      </c>
      <c r="C1045" s="1" t="n">
        <v>46079</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57817-2025</t>
        </is>
      </c>
      <c r="B1046" s="1" t="n">
        <v>45981.59475694445</v>
      </c>
      <c r="C1046" s="1" t="n">
        <v>46079</v>
      </c>
      <c r="D1046" t="inlineStr">
        <is>
          <t>SKÅNE LÄN</t>
        </is>
      </c>
      <c r="E1046" t="inlineStr">
        <is>
          <t>HÄSSLEHOLM</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3294-2025</t>
        </is>
      </c>
      <c r="B1047" s="1" t="n">
        <v>45679.64125</v>
      </c>
      <c r="C1047" s="1" t="n">
        <v>46079</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13897-2024</t>
        </is>
      </c>
      <c r="B1048" s="1" t="n">
        <v>45391</v>
      </c>
      <c r="C1048" s="1" t="n">
        <v>46079</v>
      </c>
      <c r="D1048" t="inlineStr">
        <is>
          <t>SKÅNE LÄN</t>
        </is>
      </c>
      <c r="E1048" t="inlineStr">
        <is>
          <t>HÄSSLEHOLM</t>
        </is>
      </c>
      <c r="F1048" t="inlineStr">
        <is>
          <t>Kommuner</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7604-2024</t>
        </is>
      </c>
      <c r="B1049" s="1" t="n">
        <v>45348</v>
      </c>
      <c r="C1049" s="1" t="n">
        <v>46079</v>
      </c>
      <c r="D1049" t="inlineStr">
        <is>
          <t>SKÅNE LÄN</t>
        </is>
      </c>
      <c r="E1049" t="inlineStr">
        <is>
          <t>HÄSSLEHOLM</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8209-2025</t>
        </is>
      </c>
      <c r="B1050" s="1" t="n">
        <v>45708.44244212963</v>
      </c>
      <c r="C1050" s="1" t="n">
        <v>46079</v>
      </c>
      <c r="D1050" t="inlineStr">
        <is>
          <t>SKÅNE LÄN</t>
        </is>
      </c>
      <c r="E1050" t="inlineStr">
        <is>
          <t>HÄSSLEHOLM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36938-2025</t>
        </is>
      </c>
      <c r="B1051" s="1" t="n">
        <v>45874.58476851852</v>
      </c>
      <c r="C1051" s="1" t="n">
        <v>46079</v>
      </c>
      <c r="D1051" t="inlineStr">
        <is>
          <t>SKÅNE LÄN</t>
        </is>
      </c>
      <c r="E1051" t="inlineStr">
        <is>
          <t>HÄSSLEHOLM</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58241-2025</t>
        </is>
      </c>
      <c r="B1052" s="1" t="n">
        <v>45985.38797453704</v>
      </c>
      <c r="C1052" s="1" t="n">
        <v>46079</v>
      </c>
      <c r="D1052" t="inlineStr">
        <is>
          <t>SKÅNE LÄN</t>
        </is>
      </c>
      <c r="E1052" t="inlineStr">
        <is>
          <t>HÄSSLEHOLM</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11753-2025</t>
        </is>
      </c>
      <c r="B1053" s="1" t="n">
        <v>45727</v>
      </c>
      <c r="C1053" s="1" t="n">
        <v>46079</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36706-2022</t>
        </is>
      </c>
      <c r="B1054" s="1" t="n">
        <v>44805.32891203704</v>
      </c>
      <c r="C1054" s="1" t="n">
        <v>46079</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58933-2025</t>
        </is>
      </c>
      <c r="B1055" s="1" t="n">
        <v>45987.56107638889</v>
      </c>
      <c r="C1055" s="1" t="n">
        <v>46079</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441-2022</t>
        </is>
      </c>
      <c r="B1056" s="1" t="n">
        <v>44565.97125</v>
      </c>
      <c r="C1056" s="1" t="n">
        <v>46079</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37286-2025</t>
        </is>
      </c>
      <c r="B1057" s="1" t="n">
        <v>45876.50116898148</v>
      </c>
      <c r="C1057" s="1" t="n">
        <v>46079</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37271-2025</t>
        </is>
      </c>
      <c r="B1058" s="1" t="n">
        <v>45876.47828703704</v>
      </c>
      <c r="C1058" s="1" t="n">
        <v>46079</v>
      </c>
      <c r="D1058" t="inlineStr">
        <is>
          <t>SKÅNE LÄN</t>
        </is>
      </c>
      <c r="E1058" t="inlineStr">
        <is>
          <t>HÄSSLEHOLM</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53055-2021</t>
        </is>
      </c>
      <c r="B1059" s="1" t="n">
        <v>44467</v>
      </c>
      <c r="C1059" s="1" t="n">
        <v>46079</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32981-2025</t>
        </is>
      </c>
      <c r="B1060" s="1" t="n">
        <v>45839.86820601852</v>
      </c>
      <c r="C1060" s="1" t="n">
        <v>46079</v>
      </c>
      <c r="D1060" t="inlineStr">
        <is>
          <t>SKÅNE LÄN</t>
        </is>
      </c>
      <c r="E1060" t="inlineStr">
        <is>
          <t>HÄSSLEHOLM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3364-2023</t>
        </is>
      </c>
      <c r="B1061" s="1" t="n">
        <v>44949</v>
      </c>
      <c r="C1061" s="1" t="n">
        <v>46079</v>
      </c>
      <c r="D1061" t="inlineStr">
        <is>
          <t>SKÅNE LÄN</t>
        </is>
      </c>
      <c r="E1061" t="inlineStr">
        <is>
          <t>HÄSSLEHOLM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18109-2025</t>
        </is>
      </c>
      <c r="B1062" s="1" t="n">
        <v>45761</v>
      </c>
      <c r="C1062" s="1" t="n">
        <v>46079</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16862-2025</t>
        </is>
      </c>
      <c r="B1063" s="1" t="n">
        <v>45751</v>
      </c>
      <c r="C1063" s="1" t="n">
        <v>46079</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1616-2025</t>
        </is>
      </c>
      <c r="B1064" s="1" t="n">
        <v>45670</v>
      </c>
      <c r="C1064" s="1" t="n">
        <v>46079</v>
      </c>
      <c r="D1064" t="inlineStr">
        <is>
          <t>SKÅNE LÄN</t>
        </is>
      </c>
      <c r="E1064" t="inlineStr">
        <is>
          <t>HÄSSLEHOLM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32154-2024</t>
        </is>
      </c>
      <c r="B1065" s="1" t="n">
        <v>45511</v>
      </c>
      <c r="C1065" s="1" t="n">
        <v>46079</v>
      </c>
      <c r="D1065" t="inlineStr">
        <is>
          <t>SKÅNE LÄN</t>
        </is>
      </c>
      <c r="E1065" t="inlineStr">
        <is>
          <t>HÄSSLEHOLM</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59722-2025</t>
        </is>
      </c>
      <c r="B1066" s="1" t="n">
        <v>45992.5474537037</v>
      </c>
      <c r="C1066" s="1" t="n">
        <v>46079</v>
      </c>
      <c r="D1066" t="inlineStr">
        <is>
          <t>SKÅNE LÄN</t>
        </is>
      </c>
      <c r="E1066" t="inlineStr">
        <is>
          <t>HÄSSLEHOLM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43629-2023</t>
        </is>
      </c>
      <c r="B1067" s="1" t="n">
        <v>45184</v>
      </c>
      <c r="C1067" s="1" t="n">
        <v>46079</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57656-2022</t>
        </is>
      </c>
      <c r="B1068" s="1" t="n">
        <v>44897.4325925926</v>
      </c>
      <c r="C1068" s="1" t="n">
        <v>46079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8250-2023</t>
        </is>
      </c>
      <c r="B1069" s="1" t="n">
        <v>44974</v>
      </c>
      <c r="C1069" s="1" t="n">
        <v>46079</v>
      </c>
      <c r="D1069" t="inlineStr">
        <is>
          <t>SKÅNE LÄN</t>
        </is>
      </c>
      <c r="E1069" t="inlineStr">
        <is>
          <t>HÄSSLEHOLM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6101-2022</t>
        </is>
      </c>
      <c r="B1070" s="1" t="n">
        <v>44599.63016203704</v>
      </c>
      <c r="C1070" s="1" t="n">
        <v>46079</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6842-2023</t>
        </is>
      </c>
      <c r="B1071" s="1" t="n">
        <v>44967</v>
      </c>
      <c r="C1071" s="1" t="n">
        <v>46079</v>
      </c>
      <c r="D1071" t="inlineStr">
        <is>
          <t>SKÅNE LÄN</t>
        </is>
      </c>
      <c r="E1071" t="inlineStr">
        <is>
          <t>HÄSSLEHOLM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7202-2022</t>
        </is>
      </c>
      <c r="B1072" s="1" t="n">
        <v>44606</v>
      </c>
      <c r="C1072" s="1" t="n">
        <v>46079</v>
      </c>
      <c r="D1072" t="inlineStr">
        <is>
          <t>SKÅNE LÄN</t>
        </is>
      </c>
      <c r="E1072" t="inlineStr">
        <is>
          <t>HÄSSLEHOLM</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1557-2023</t>
        </is>
      </c>
      <c r="B1073" s="1" t="n">
        <v>44937</v>
      </c>
      <c r="C1073" s="1" t="n">
        <v>46079</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5054-2022</t>
        </is>
      </c>
      <c r="B1074" s="1" t="n">
        <v>44593.69065972222</v>
      </c>
      <c r="C1074" s="1" t="n">
        <v>46079</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49181-2024</t>
        </is>
      </c>
      <c r="B1075" s="1" t="n">
        <v>45595</v>
      </c>
      <c r="C1075" s="1" t="n">
        <v>46079</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3349-2023</t>
        </is>
      </c>
      <c r="B1076" s="1" t="n">
        <v>44949</v>
      </c>
      <c r="C1076" s="1" t="n">
        <v>46079</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49384-2021</t>
        </is>
      </c>
      <c r="B1077" s="1" t="n">
        <v>44454</v>
      </c>
      <c r="C1077" s="1" t="n">
        <v>46079</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60959-2022</t>
        </is>
      </c>
      <c r="B1078" s="1" t="n">
        <v>44914.64777777778</v>
      </c>
      <c r="C1078" s="1" t="n">
        <v>46079</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3298-2026</t>
        </is>
      </c>
      <c r="B1079" s="1" t="n">
        <v>46041</v>
      </c>
      <c r="C1079" s="1" t="n">
        <v>46079</v>
      </c>
      <c r="D1079" t="inlineStr">
        <is>
          <t>SKÅNE LÄN</t>
        </is>
      </c>
      <c r="E1079" t="inlineStr">
        <is>
          <t>HÄSSLEHOLM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61322-2025</t>
        </is>
      </c>
      <c r="B1080" s="1" t="n">
        <v>46000</v>
      </c>
      <c r="C1080" s="1" t="n">
        <v>46079</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3746-2024</t>
        </is>
      </c>
      <c r="B1081" s="1" t="n">
        <v>45321.50745370371</v>
      </c>
      <c r="C1081" s="1" t="n">
        <v>46079</v>
      </c>
      <c r="D1081" t="inlineStr">
        <is>
          <t>SKÅNE LÄN</t>
        </is>
      </c>
      <c r="E1081" t="inlineStr">
        <is>
          <t>HÄSSLEHOLM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44262-2021</t>
        </is>
      </c>
      <c r="B1082" s="1" t="n">
        <v>44434</v>
      </c>
      <c r="C1082" s="1" t="n">
        <v>46079</v>
      </c>
      <c r="D1082" t="inlineStr">
        <is>
          <t>SKÅNE LÄN</t>
        </is>
      </c>
      <c r="E1082" t="inlineStr">
        <is>
          <t>HÄSSLEHOLM</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3715-2026</t>
        </is>
      </c>
      <c r="B1083" s="1" t="n">
        <v>46043.48746527778</v>
      </c>
      <c r="C1083" s="1" t="n">
        <v>46079</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1553-2023</t>
        </is>
      </c>
      <c r="B1084" s="1" t="n">
        <v>44937</v>
      </c>
      <c r="C1084" s="1" t="n">
        <v>46079</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1562-2023</t>
        </is>
      </c>
      <c r="B1085" s="1" t="n">
        <v>44937.60450231482</v>
      </c>
      <c r="C1085" s="1" t="n">
        <v>46079</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3452-2023</t>
        </is>
      </c>
      <c r="B1086" s="1" t="n">
        <v>44949</v>
      </c>
      <c r="C1086" s="1" t="n">
        <v>46079</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61474-2025</t>
        </is>
      </c>
      <c r="B1087" s="1" t="n">
        <v>46001.61886574074</v>
      </c>
      <c r="C1087" s="1" t="n">
        <v>46079</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2596-2024</t>
        </is>
      </c>
      <c r="B1088" s="1" t="n">
        <v>45313.69969907407</v>
      </c>
      <c r="C1088" s="1" t="n">
        <v>46079</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2681-2024</t>
        </is>
      </c>
      <c r="B1089" s="1" t="n">
        <v>45314</v>
      </c>
      <c r="C1089" s="1" t="n">
        <v>46079</v>
      </c>
      <c r="D1089" t="inlineStr">
        <is>
          <t>SKÅNE LÄN</t>
        </is>
      </c>
      <c r="E1089" t="inlineStr">
        <is>
          <t>HÄSSLEHOLM</t>
        </is>
      </c>
      <c r="F1089" t="inlineStr">
        <is>
          <t>Övriga Aktiebolag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4187-2023</t>
        </is>
      </c>
      <c r="B1090" s="1" t="n">
        <v>44953</v>
      </c>
      <c r="C1090" s="1" t="n">
        <v>46079</v>
      </c>
      <c r="D1090" t="inlineStr">
        <is>
          <t>SKÅNE LÄN</t>
        </is>
      </c>
      <c r="E1090" t="inlineStr">
        <is>
          <t>HÄSSLEHOLM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4382-2023</t>
        </is>
      </c>
      <c r="B1091" s="1" t="n">
        <v>44955.61152777778</v>
      </c>
      <c r="C1091" s="1" t="n">
        <v>46079</v>
      </c>
      <c r="D1091" t="inlineStr">
        <is>
          <t>SKÅNE LÄN</t>
        </is>
      </c>
      <c r="E1091" t="inlineStr">
        <is>
          <t>HÄSSLEHOLM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3862-2026</t>
        </is>
      </c>
      <c r="B1092" s="1" t="n">
        <v>46043.62646990741</v>
      </c>
      <c r="C1092" s="1" t="n">
        <v>46079</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3904-2026</t>
        </is>
      </c>
      <c r="B1093" s="1" t="n">
        <v>46043.69711805556</v>
      </c>
      <c r="C1093" s="1" t="n">
        <v>46079</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49107-2023</t>
        </is>
      </c>
      <c r="B1094" s="1" t="n">
        <v>45210.44337962963</v>
      </c>
      <c r="C1094" s="1" t="n">
        <v>46079</v>
      </c>
      <c r="D1094" t="inlineStr">
        <is>
          <t>SKÅNE LÄN</t>
        </is>
      </c>
      <c r="E1094" t="inlineStr">
        <is>
          <t>HÄSSLEHOLM</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5282-2023</t>
        </is>
      </c>
      <c r="B1095" s="1" t="n">
        <v>44959.50471064815</v>
      </c>
      <c r="C1095" s="1" t="n">
        <v>46079</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62376-2025</t>
        </is>
      </c>
      <c r="B1096" s="1" t="n">
        <v>46006</v>
      </c>
      <c r="C1096" s="1" t="n">
        <v>46079</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53897-2023</t>
        </is>
      </c>
      <c r="B1097" s="1" t="n">
        <v>45231.53934027778</v>
      </c>
      <c r="C1097" s="1" t="n">
        <v>46079</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20990-2023</t>
        </is>
      </c>
      <c r="B1098" s="1" t="n">
        <v>45061.46186342592</v>
      </c>
      <c r="C1098" s="1" t="n">
        <v>46079</v>
      </c>
      <c r="D1098" t="inlineStr">
        <is>
          <t>SKÅNE LÄN</t>
        </is>
      </c>
      <c r="E1098" t="inlineStr">
        <is>
          <t>HÄSSLEHOLM</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22696-2023</t>
        </is>
      </c>
      <c r="B1099" s="1" t="n">
        <v>45071.69464120371</v>
      </c>
      <c r="C1099" s="1" t="n">
        <v>46079</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46813-2024</t>
        </is>
      </c>
      <c r="B1100" s="1" t="n">
        <v>45583</v>
      </c>
      <c r="C1100" s="1" t="n">
        <v>46079</v>
      </c>
      <c r="D1100" t="inlineStr">
        <is>
          <t>SKÅNE LÄN</t>
        </is>
      </c>
      <c r="E1100" t="inlineStr">
        <is>
          <t>HÄSSLEHOLM</t>
        </is>
      </c>
      <c r="G1100" t="n">
        <v>14.9</v>
      </c>
      <c r="H1100" t="n">
        <v>0</v>
      </c>
      <c r="I1100" t="n">
        <v>0</v>
      </c>
      <c r="J1100" t="n">
        <v>0</v>
      </c>
      <c r="K1100" t="n">
        <v>0</v>
      </c>
      <c r="L1100" t="n">
        <v>0</v>
      </c>
      <c r="M1100" t="n">
        <v>0</v>
      </c>
      <c r="N1100" t="n">
        <v>0</v>
      </c>
      <c r="O1100" t="n">
        <v>0</v>
      </c>
      <c r="P1100" t="n">
        <v>0</v>
      </c>
      <c r="Q1100" t="n">
        <v>0</v>
      </c>
      <c r="R1100" s="2" t="inlineStr"/>
    </row>
    <row r="1101" ht="15" customHeight="1">
      <c r="A1101" t="inlineStr">
        <is>
          <t>A 62271-2025</t>
        </is>
      </c>
      <c r="B1101" s="1" t="n">
        <v>46006.62256944444</v>
      </c>
      <c r="C1101" s="1" t="n">
        <v>46079</v>
      </c>
      <c r="D1101" t="inlineStr">
        <is>
          <t>SKÅNE LÄN</t>
        </is>
      </c>
      <c r="E1101" t="inlineStr">
        <is>
          <t>HÄSSLEHOLM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62264-2025</t>
        </is>
      </c>
      <c r="B1102" s="1" t="n">
        <v>46006.61644675926</v>
      </c>
      <c r="C1102" s="1" t="n">
        <v>46079</v>
      </c>
      <c r="D1102" t="inlineStr">
        <is>
          <t>SKÅNE LÄN</t>
        </is>
      </c>
      <c r="E1102" t="inlineStr">
        <is>
          <t>HÄSSLEHOLM</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5103-2026</t>
        </is>
      </c>
      <c r="B1103" s="1" t="n">
        <v>46049.56725694444</v>
      </c>
      <c r="C1103" s="1" t="n">
        <v>46079</v>
      </c>
      <c r="D1103" t="inlineStr">
        <is>
          <t>SKÅNE LÄN</t>
        </is>
      </c>
      <c r="E1103" t="inlineStr">
        <is>
          <t>HÄSSLEHOLM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4981-2026</t>
        </is>
      </c>
      <c r="B1104" s="1" t="n">
        <v>46049.37100694444</v>
      </c>
      <c r="C1104" s="1" t="n">
        <v>46079</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5503-2026</t>
        </is>
      </c>
      <c r="B1105" s="1" t="n">
        <v>46050.62509259259</v>
      </c>
      <c r="C1105" s="1" t="n">
        <v>46079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5497-2026</t>
        </is>
      </c>
      <c r="B1106" s="1" t="n">
        <v>46050.61875</v>
      </c>
      <c r="C1106" s="1" t="n">
        <v>46079</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5516-2026</t>
        </is>
      </c>
      <c r="B1107" s="1" t="n">
        <v>46050.64197916666</v>
      </c>
      <c r="C1107" s="1" t="n">
        <v>46079</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63284-2025</t>
        </is>
      </c>
      <c r="B1108" s="1" t="n">
        <v>46010</v>
      </c>
      <c r="C1108" s="1" t="n">
        <v>46079</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54798-2025</t>
        </is>
      </c>
      <c r="B1109" s="1" t="n">
        <v>45966</v>
      </c>
      <c r="C1109" s="1" t="n">
        <v>46079</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4994-2026</t>
        </is>
      </c>
      <c r="B1110" s="1" t="n">
        <v>46049</v>
      </c>
      <c r="C1110" s="1" t="n">
        <v>46079</v>
      </c>
      <c r="D1110" t="inlineStr">
        <is>
          <t>SKÅNE LÄN</t>
        </is>
      </c>
      <c r="E1110" t="inlineStr">
        <is>
          <t>HÄSSLEHOLM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63354-2025</t>
        </is>
      </c>
      <c r="B1111" s="1" t="n">
        <v>46010.66957175926</v>
      </c>
      <c r="C1111" s="1" t="n">
        <v>46079</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27349-2025</t>
        </is>
      </c>
      <c r="B1112" s="1" t="n">
        <v>45812</v>
      </c>
      <c r="C1112" s="1" t="n">
        <v>46079</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5757-2026</t>
        </is>
      </c>
      <c r="B1113" s="1" t="n">
        <v>46051.61309027778</v>
      </c>
      <c r="C1113" s="1" t="n">
        <v>46079</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5759-2026</t>
        </is>
      </c>
      <c r="B1114" s="1" t="n">
        <v>46051.61814814815</v>
      </c>
      <c r="C1114" s="1" t="n">
        <v>46079</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62417-2025</t>
        </is>
      </c>
      <c r="B1115" s="1" t="n">
        <v>46007</v>
      </c>
      <c r="C1115" s="1" t="n">
        <v>46079</v>
      </c>
      <c r="D1115" t="inlineStr">
        <is>
          <t>SKÅNE LÄN</t>
        </is>
      </c>
      <c r="E1115" t="inlineStr">
        <is>
          <t>HÄSSLEHOLM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6449-2026</t>
        </is>
      </c>
      <c r="B1116" s="1" t="n">
        <v>46055.87239583334</v>
      </c>
      <c r="C1116" s="1" t="n">
        <v>46079</v>
      </c>
      <c r="D1116" t="inlineStr">
        <is>
          <t>SKÅNE LÄN</t>
        </is>
      </c>
      <c r="E1116" t="inlineStr">
        <is>
          <t>HÄSSLEHOLM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63710-2025</t>
        </is>
      </c>
      <c r="B1117" s="1" t="n">
        <v>46014.62143518519</v>
      </c>
      <c r="C1117" s="1" t="n">
        <v>46079</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6309-2026</t>
        </is>
      </c>
      <c r="B1118" s="1" t="n">
        <v>46055.57369212963</v>
      </c>
      <c r="C1118" s="1" t="n">
        <v>46079</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6295-2026</t>
        </is>
      </c>
      <c r="B1119" s="1" t="n">
        <v>46055.56115740741</v>
      </c>
      <c r="C1119" s="1" t="n">
        <v>46079</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63510-2025</t>
        </is>
      </c>
      <c r="B1120" s="1" t="n">
        <v>46013.49172453704</v>
      </c>
      <c r="C1120" s="1" t="n">
        <v>46079</v>
      </c>
      <c r="D1120" t="inlineStr">
        <is>
          <t>SKÅNE LÄN</t>
        </is>
      </c>
      <c r="E1120" t="inlineStr">
        <is>
          <t>HÄSSLEHOLM</t>
        </is>
      </c>
      <c r="F1120" t="inlineStr">
        <is>
          <t>Kommuner</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6299-2026</t>
        </is>
      </c>
      <c r="B1121" s="1" t="n">
        <v>46055.56623842593</v>
      </c>
      <c r="C1121" s="1" t="n">
        <v>46079</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63473-2025</t>
        </is>
      </c>
      <c r="B1122" s="1" t="n">
        <v>46013.44364583334</v>
      </c>
      <c r="C1122" s="1" t="n">
        <v>46079</v>
      </c>
      <c r="D1122" t="inlineStr">
        <is>
          <t>SKÅNE LÄN</t>
        </is>
      </c>
      <c r="E1122" t="inlineStr">
        <is>
          <t>HÄSSLEHOLM</t>
        </is>
      </c>
      <c r="F1122" t="inlineStr">
        <is>
          <t>Kommuner</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63487-2025</t>
        </is>
      </c>
      <c r="B1123" s="1" t="n">
        <v>46013.46878472222</v>
      </c>
      <c r="C1123" s="1" t="n">
        <v>46079</v>
      </c>
      <c r="D1123" t="inlineStr">
        <is>
          <t>SKÅNE LÄN</t>
        </is>
      </c>
      <c r="E1123" t="inlineStr">
        <is>
          <t>HÄSSLEHOLM</t>
        </is>
      </c>
      <c r="F1123" t="inlineStr">
        <is>
          <t>Kommuner</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63414-2025</t>
        </is>
      </c>
      <c r="B1124" s="1" t="n">
        <v>46013.32008101852</v>
      </c>
      <c r="C1124" s="1" t="n">
        <v>46079</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6363-2026</t>
        </is>
      </c>
      <c r="B1125" s="1" t="n">
        <v>46055.62319444444</v>
      </c>
      <c r="C1125" s="1" t="n">
        <v>46079</v>
      </c>
      <c r="D1125" t="inlineStr">
        <is>
          <t>SKÅNE LÄN</t>
        </is>
      </c>
      <c r="E1125" t="inlineStr">
        <is>
          <t>HÄSSLEHOLM</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8160-2024</t>
        </is>
      </c>
      <c r="B1126" s="1" t="n">
        <v>45351</v>
      </c>
      <c r="C1126" s="1" t="n">
        <v>46079</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63415-2025</t>
        </is>
      </c>
      <c r="B1127" s="1" t="n">
        <v>46013.32163194445</v>
      </c>
      <c r="C1127" s="1" t="n">
        <v>46079</v>
      </c>
      <c r="D1127" t="inlineStr">
        <is>
          <t>SKÅNE LÄN</t>
        </is>
      </c>
      <c r="E1127" t="inlineStr">
        <is>
          <t>HÄSSLEHOLM</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63416-2025</t>
        </is>
      </c>
      <c r="B1128" s="1" t="n">
        <v>46013.3232175926</v>
      </c>
      <c r="C1128" s="1" t="n">
        <v>46079</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63476-2025</t>
        </is>
      </c>
      <c r="B1129" s="1" t="n">
        <v>46013.44621527778</v>
      </c>
      <c r="C1129" s="1" t="n">
        <v>46079</v>
      </c>
      <c r="D1129" t="inlineStr">
        <is>
          <t>SKÅNE LÄN</t>
        </is>
      </c>
      <c r="E1129" t="inlineStr">
        <is>
          <t>HÄSSLEHOLM</t>
        </is>
      </c>
      <c r="F1129" t="inlineStr">
        <is>
          <t>Kommuner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47450-2025</t>
        </is>
      </c>
      <c r="B1130" s="1" t="n">
        <v>45930</v>
      </c>
      <c r="C1130" s="1" t="n">
        <v>46079</v>
      </c>
      <c r="D1130" t="inlineStr">
        <is>
          <t>SKÅNE LÄN</t>
        </is>
      </c>
      <c r="E1130" t="inlineStr">
        <is>
          <t>HÄSSLEHOLM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6316-2026</t>
        </is>
      </c>
      <c r="B1131" s="1" t="n">
        <v>46055</v>
      </c>
      <c r="C1131" s="1" t="n">
        <v>46079</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63709-2025</t>
        </is>
      </c>
      <c r="B1132" s="1" t="n">
        <v>46014.61700231482</v>
      </c>
      <c r="C1132" s="1" t="n">
        <v>46079</v>
      </c>
      <c r="D1132" t="inlineStr">
        <is>
          <t>SKÅNE LÄN</t>
        </is>
      </c>
      <c r="E1132" t="inlineStr">
        <is>
          <t>HÄSSLEHOLM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41680-2024</t>
        </is>
      </c>
      <c r="B1133" s="1" t="n">
        <v>45560</v>
      </c>
      <c r="C1133" s="1" t="n">
        <v>46079</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6328-2026</t>
        </is>
      </c>
      <c r="B1134" s="1" t="n">
        <v>46055</v>
      </c>
      <c r="C1134" s="1" t="n">
        <v>46079</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7244-2026</t>
        </is>
      </c>
      <c r="B1135" s="1" t="n">
        <v>46058.58646990741</v>
      </c>
      <c r="C1135" s="1" t="n">
        <v>46079</v>
      </c>
      <c r="D1135" t="inlineStr">
        <is>
          <t>SKÅNE LÄN</t>
        </is>
      </c>
      <c r="E1135" t="inlineStr">
        <is>
          <t>HÄSSLEHOLM</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47432-2025</t>
        </is>
      </c>
      <c r="B1136" s="1" t="n">
        <v>45930</v>
      </c>
      <c r="C1136" s="1" t="n">
        <v>46079</v>
      </c>
      <c r="D1136" t="inlineStr">
        <is>
          <t>SKÅNE LÄN</t>
        </is>
      </c>
      <c r="E1136" t="inlineStr">
        <is>
          <t>HÄSSLEHOLM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63712-2025</t>
        </is>
      </c>
      <c r="B1137" s="1" t="n">
        <v>46014.63092592593</v>
      </c>
      <c r="C1137" s="1" t="n">
        <v>46079</v>
      </c>
      <c r="D1137" t="inlineStr">
        <is>
          <t>SKÅNE LÄN</t>
        </is>
      </c>
      <c r="E1137" t="inlineStr">
        <is>
          <t>HÄSSLEHOLM</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47422-2025</t>
        </is>
      </c>
      <c r="B1138" s="1" t="n">
        <v>45930</v>
      </c>
      <c r="C1138" s="1" t="n">
        <v>46079</v>
      </c>
      <c r="D1138" t="inlineStr">
        <is>
          <t>SKÅNE LÄN</t>
        </is>
      </c>
      <c r="E1138" t="inlineStr">
        <is>
          <t>HÄSSLEHOLM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6877-2026</t>
        </is>
      </c>
      <c r="B1139" s="1" t="n">
        <v>46057.45768518518</v>
      </c>
      <c r="C1139" s="1" t="n">
        <v>46079</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7785-2026</t>
        </is>
      </c>
      <c r="B1140" s="1" t="n">
        <v>46062.58422453704</v>
      </c>
      <c r="C1140" s="1" t="n">
        <v>46079</v>
      </c>
      <c r="D1140" t="inlineStr">
        <is>
          <t>SKÅNE LÄN</t>
        </is>
      </c>
      <c r="E1140" t="inlineStr">
        <is>
          <t>HÄSSLEHOLM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7721-2026</t>
        </is>
      </c>
      <c r="B1141" s="1" t="n">
        <v>46059</v>
      </c>
      <c r="C1141" s="1" t="n">
        <v>46079</v>
      </c>
      <c r="D1141" t="inlineStr">
        <is>
          <t>SKÅNE LÄN</t>
        </is>
      </c>
      <c r="E1141" t="inlineStr">
        <is>
          <t>HÄSSLEHOLM</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47394-2025</t>
        </is>
      </c>
      <c r="B1142" s="1" t="n">
        <v>45930</v>
      </c>
      <c r="C1142" s="1" t="n">
        <v>46079</v>
      </c>
      <c r="D1142" t="inlineStr">
        <is>
          <t>SKÅNE LÄN</t>
        </is>
      </c>
      <c r="E1142" t="inlineStr">
        <is>
          <t>HÄSSLEHOLM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8539-2026</t>
        </is>
      </c>
      <c r="B1143" s="1" t="n">
        <v>46064</v>
      </c>
      <c r="C1143" s="1" t="n">
        <v>46079</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8674-2026</t>
        </is>
      </c>
      <c r="B1144" s="1" t="n">
        <v>46066.4059837963</v>
      </c>
      <c r="C1144" s="1" t="n">
        <v>46079</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54426-2025</t>
        </is>
      </c>
      <c r="B1145" s="1" t="n">
        <v>45965</v>
      </c>
      <c r="C1145" s="1" t="n">
        <v>46079</v>
      </c>
      <c r="D1145" t="inlineStr">
        <is>
          <t>SKÅNE LÄN</t>
        </is>
      </c>
      <c r="E1145" t="inlineStr">
        <is>
          <t>HÄSSLEHOLM</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8538-2026</t>
        </is>
      </c>
      <c r="B1146" s="1" t="n">
        <v>46064</v>
      </c>
      <c r="C1146" s="1" t="n">
        <v>46079</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8852-2026</t>
        </is>
      </c>
      <c r="B1147" s="1" t="n">
        <v>46066.66105324074</v>
      </c>
      <c r="C1147" s="1" t="n">
        <v>46079</v>
      </c>
      <c r="D1147" t="inlineStr">
        <is>
          <t>SKÅNE LÄN</t>
        </is>
      </c>
      <c r="E1147" t="inlineStr">
        <is>
          <t>HÄSSLEHOLM</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54807-2025</t>
        </is>
      </c>
      <c r="B1148" s="1" t="n">
        <v>45966</v>
      </c>
      <c r="C1148" s="1" t="n">
        <v>46079</v>
      </c>
      <c r="D1148" t="inlineStr">
        <is>
          <t>SKÅNE LÄN</t>
        </is>
      </c>
      <c r="E1148" t="inlineStr">
        <is>
          <t>HÄSSLEHOLM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706-2026</t>
        </is>
      </c>
      <c r="B1149" s="1" t="n">
        <v>46029.61739583333</v>
      </c>
      <c r="C1149" s="1" t="n">
        <v>46079</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931-2026</t>
        </is>
      </c>
      <c r="B1150" s="1" t="n">
        <v>46030.51495370371</v>
      </c>
      <c r="C1150" s="1" t="n">
        <v>46079</v>
      </c>
      <c r="D1150" t="inlineStr">
        <is>
          <t>SKÅNE LÄN</t>
        </is>
      </c>
      <c r="E1150" t="inlineStr">
        <is>
          <t>HÄSSLEHOLM</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47352-2025</t>
        </is>
      </c>
      <c r="B1151" s="1" t="n">
        <v>45930</v>
      </c>
      <c r="C1151" s="1" t="n">
        <v>46079</v>
      </c>
      <c r="D1151" t="inlineStr">
        <is>
          <t>SKÅNE LÄN</t>
        </is>
      </c>
      <c r="E1151" t="inlineStr">
        <is>
          <t>HÄSSLEHOLM</t>
        </is>
      </c>
      <c r="G1151" t="n">
        <v>16.6</v>
      </c>
      <c r="H1151" t="n">
        <v>0</v>
      </c>
      <c r="I1151" t="n">
        <v>0</v>
      </c>
      <c r="J1151" t="n">
        <v>0</v>
      </c>
      <c r="K1151" t="n">
        <v>0</v>
      </c>
      <c r="L1151" t="n">
        <v>0</v>
      </c>
      <c r="M1151" t="n">
        <v>0</v>
      </c>
      <c r="N1151" t="n">
        <v>0</v>
      </c>
      <c r="O1151" t="n">
        <v>0</v>
      </c>
      <c r="P1151" t="n">
        <v>0</v>
      </c>
      <c r="Q1151" t="n">
        <v>0</v>
      </c>
      <c r="R1151" s="2" t="inlineStr"/>
    </row>
    <row r="1152" ht="15" customHeight="1">
      <c r="A1152" t="inlineStr">
        <is>
          <t>A 1640-2026</t>
        </is>
      </c>
      <c r="B1152" s="1" t="n">
        <v>46034.4961574074</v>
      </c>
      <c r="C1152" s="1" t="n">
        <v>46079</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58632-2025</t>
        </is>
      </c>
      <c r="B1153" s="1" t="n">
        <v>45986</v>
      </c>
      <c r="C1153" s="1" t="n">
        <v>46079</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8367-2026</t>
        </is>
      </c>
      <c r="B1154" s="1" t="n">
        <v>46064</v>
      </c>
      <c r="C1154" s="1" t="n">
        <v>46079</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2306-2026</t>
        </is>
      </c>
      <c r="B1155" s="1" t="n">
        <v>46034</v>
      </c>
      <c r="C1155" s="1" t="n">
        <v>46079</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1645-2026</t>
        </is>
      </c>
      <c r="B1156" s="1" t="n">
        <v>46034.5069212963</v>
      </c>
      <c r="C1156" s="1" t="n">
        <v>46079</v>
      </c>
      <c r="D1156" t="inlineStr">
        <is>
          <t>SKÅNE LÄN</t>
        </is>
      </c>
      <c r="E1156" t="inlineStr">
        <is>
          <t>HÄSSLEHOLM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1656-2026</t>
        </is>
      </c>
      <c r="B1157" s="1" t="n">
        <v>46034.54035879629</v>
      </c>
      <c r="C1157" s="1" t="n">
        <v>46079</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10051-2026</t>
        </is>
      </c>
      <c r="B1158" s="1" t="n">
        <v>46073</v>
      </c>
      <c r="C1158" s="1" t="n">
        <v>46079</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1659-2026</t>
        </is>
      </c>
      <c r="B1159" s="1" t="n">
        <v>46034.55335648148</v>
      </c>
      <c r="C1159" s="1" t="n">
        <v>46079</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26857-2025</t>
        </is>
      </c>
      <c r="B1160" s="1" t="n">
        <v>45810</v>
      </c>
      <c r="C1160" s="1" t="n">
        <v>46079</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2618-2026</t>
        </is>
      </c>
      <c r="B1161" s="1" t="n">
        <v>46035</v>
      </c>
      <c r="C1161" s="1" t="n">
        <v>46079</v>
      </c>
      <c r="D1161" t="inlineStr">
        <is>
          <t>SKÅNE LÄN</t>
        </is>
      </c>
      <c r="E1161" t="inlineStr">
        <is>
          <t>HÄSSLEHOLM</t>
        </is>
      </c>
      <c r="F1161" t="inlineStr">
        <is>
          <t>Kyrkan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2617-2026</t>
        </is>
      </c>
      <c r="B1162" s="1" t="n">
        <v>46035</v>
      </c>
      <c r="C1162" s="1" t="n">
        <v>46079</v>
      </c>
      <c r="D1162" t="inlineStr">
        <is>
          <t>SKÅNE LÄN</t>
        </is>
      </c>
      <c r="E1162" t="inlineStr">
        <is>
          <t>HÄSSLEHOLM</t>
        </is>
      </c>
      <c r="F1162" t="inlineStr">
        <is>
          <t>Kyrkan</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58689-2025</t>
        </is>
      </c>
      <c r="B1163" s="1" t="n">
        <v>45986</v>
      </c>
      <c r="C1163" s="1" t="n">
        <v>46079</v>
      </c>
      <c r="D1163" t="inlineStr">
        <is>
          <t>SKÅNE LÄN</t>
        </is>
      </c>
      <c r="E1163" t="inlineStr">
        <is>
          <t>HÄSSLEHOLM</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32008-2024</t>
        </is>
      </c>
      <c r="B1164" s="1" t="n">
        <v>45510</v>
      </c>
      <c r="C1164" s="1" t="n">
        <v>46079</v>
      </c>
      <c r="D1164" t="inlineStr">
        <is>
          <t>SKÅNE LÄN</t>
        </is>
      </c>
      <c r="E1164" t="inlineStr">
        <is>
          <t>HÄSSLEHOLM</t>
        </is>
      </c>
      <c r="G1164" t="n">
        <v>5.1</v>
      </c>
      <c r="H1164" t="n">
        <v>0</v>
      </c>
      <c r="I1164" t="n">
        <v>0</v>
      </c>
      <c r="J1164" t="n">
        <v>0</v>
      </c>
      <c r="K1164" t="n">
        <v>0</v>
      </c>
      <c r="L1164" t="n">
        <v>0</v>
      </c>
      <c r="M1164" t="n">
        <v>0</v>
      </c>
      <c r="N1164" t="n">
        <v>0</v>
      </c>
      <c r="O1164" t="n">
        <v>0</v>
      </c>
      <c r="P1164" t="n">
        <v>0</v>
      </c>
      <c r="Q1164" t="n">
        <v>0</v>
      </c>
      <c r="R1164" s="2" t="inlineStr"/>
    </row>
    <row r="1165">
      <c r="A1165" t="inlineStr">
        <is>
          <t>A 56065-2025</t>
        </is>
      </c>
      <c r="B1165" s="1" t="n">
        <v>45973</v>
      </c>
      <c r="C1165" s="1" t="n">
        <v>46079</v>
      </c>
      <c r="D1165" t="inlineStr">
        <is>
          <t>SKÅNE LÄN</t>
        </is>
      </c>
      <c r="E1165" t="inlineStr">
        <is>
          <t>HÄSSLEHOLM</t>
        </is>
      </c>
      <c r="G1165" t="n">
        <v>1.6</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2026-02-26T11:16:35Z</dcterms:created>
  <dcterms:modified xmlns:dcterms="http://purl.org/dc/terms/" xmlns:xsi="http://www.w3.org/2001/XMLSchema-instance" xsi:type="dcterms:W3CDTF">2026-02-26T11:16:36Z</dcterms:modified>
</cp:coreProperties>
</file>