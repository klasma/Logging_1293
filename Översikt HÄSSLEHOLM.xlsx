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45890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45890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45890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45890</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45890</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45890</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45890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20280-2025</t>
        </is>
      </c>
      <c r="B21" s="1" t="n">
        <v>45774.38790509259</v>
      </c>
      <c r="C21" s="1" t="n">
        <v>45890</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29272-2023</t>
        </is>
      </c>
      <c r="B22" s="1" t="n">
        <v>45105</v>
      </c>
      <c r="C22" s="1" t="n">
        <v>45890</v>
      </c>
      <c r="D22" t="inlineStr">
        <is>
          <t>SKÅNE LÄN</t>
        </is>
      </c>
      <c r="E22" t="inlineStr">
        <is>
          <t>HÄSSLEHOLM</t>
        </is>
      </c>
      <c r="G22" t="n">
        <v>2.2</v>
      </c>
      <c r="H22" t="n">
        <v>0</v>
      </c>
      <c r="I22" t="n">
        <v>1</v>
      </c>
      <c r="J22" t="n">
        <v>0</v>
      </c>
      <c r="K22" t="n">
        <v>0</v>
      </c>
      <c r="L22" t="n">
        <v>0</v>
      </c>
      <c r="M22" t="n">
        <v>0</v>
      </c>
      <c r="N22" t="n">
        <v>0</v>
      </c>
      <c r="O22" t="n">
        <v>0</v>
      </c>
      <c r="P22" t="n">
        <v>0</v>
      </c>
      <c r="Q22" t="n">
        <v>1</v>
      </c>
      <c r="R22" s="2" t="inlineStr">
        <is>
          <t>Sotlav</t>
        </is>
      </c>
      <c r="S22">
        <f>HYPERLINK("https://klasma.github.io/Logging_1293/artfynd/A 29272-2023 artfynd.xlsx", "A 29272-2023")</f>
        <v/>
      </c>
      <c r="T22">
        <f>HYPERLINK("https://klasma.github.io/Logging_1293/kartor/A 29272-2023 karta.png", "A 29272-2023")</f>
        <v/>
      </c>
      <c r="V22">
        <f>HYPERLINK("https://klasma.github.io/Logging_1293/klagomål/A 29272-2023 FSC-klagomål.docx", "A 29272-2023")</f>
        <v/>
      </c>
      <c r="W22">
        <f>HYPERLINK("https://klasma.github.io/Logging_1293/klagomålsmail/A 29272-2023 FSC-klagomål mail.docx", "A 29272-2023")</f>
        <v/>
      </c>
      <c r="X22">
        <f>HYPERLINK("https://klasma.github.io/Logging_1293/tillsyn/A 29272-2023 tillsynsbegäran.docx", "A 29272-2023")</f>
        <v/>
      </c>
      <c r="Y22">
        <f>HYPERLINK("https://klasma.github.io/Logging_1293/tillsynsmail/A 29272-2023 tillsynsbegäran mail.docx", "A 29272-2023")</f>
        <v/>
      </c>
    </row>
    <row r="23" ht="15" customHeight="1">
      <c r="A23" t="inlineStr">
        <is>
          <t>A 46602-2023</t>
        </is>
      </c>
      <c r="B23" s="1" t="n">
        <v>45194</v>
      </c>
      <c r="C23" s="1" t="n">
        <v>45890</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45890</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16107-2025</t>
        </is>
      </c>
      <c r="B25" s="1" t="n">
        <v>45750.34537037037</v>
      </c>
      <c r="C25" s="1" t="n">
        <v>45890</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6634-2024</t>
        </is>
      </c>
      <c r="B26" s="1" t="n">
        <v>45341</v>
      </c>
      <c r="C26" s="1" t="n">
        <v>45890</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45890</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54523-2024</t>
        </is>
      </c>
      <c r="B28" s="1" t="n">
        <v>45617</v>
      </c>
      <c r="C28" s="1" t="n">
        <v>45890</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27390-2025</t>
        </is>
      </c>
      <c r="B29" s="1" t="n">
        <v>45812.67840277778</v>
      </c>
      <c r="C29" s="1" t="n">
        <v>45890</v>
      </c>
      <c r="D29" t="inlineStr">
        <is>
          <t>SKÅNE LÄN</t>
        </is>
      </c>
      <c r="E29" t="inlineStr">
        <is>
          <t>HÄSSLEHOLM</t>
        </is>
      </c>
      <c r="G29" t="n">
        <v>3.2</v>
      </c>
      <c r="H29" t="n">
        <v>0</v>
      </c>
      <c r="I29" t="n">
        <v>0</v>
      </c>
      <c r="J29" t="n">
        <v>1</v>
      </c>
      <c r="K29" t="n">
        <v>0</v>
      </c>
      <c r="L29" t="n">
        <v>0</v>
      </c>
      <c r="M29" t="n">
        <v>0</v>
      </c>
      <c r="N29" t="n">
        <v>0</v>
      </c>
      <c r="O29" t="n">
        <v>1</v>
      </c>
      <c r="P29" t="n">
        <v>0</v>
      </c>
      <c r="Q29" t="n">
        <v>1</v>
      </c>
      <c r="R29" s="2" t="inlineStr">
        <is>
          <t>Grönhjon</t>
        </is>
      </c>
      <c r="S29">
        <f>HYPERLINK("https://klasma.github.io/Logging_1293/artfynd/A 27390-2025 artfynd.xlsx", "A 27390-2025")</f>
        <v/>
      </c>
      <c r="T29">
        <f>HYPERLINK("https://klasma.github.io/Logging_1293/kartor/A 27390-2025 karta.png", "A 27390-2025")</f>
        <v/>
      </c>
      <c r="V29">
        <f>HYPERLINK("https://klasma.github.io/Logging_1293/klagomål/A 27390-2025 FSC-klagomål.docx", "A 27390-2025")</f>
        <v/>
      </c>
      <c r="W29">
        <f>HYPERLINK("https://klasma.github.io/Logging_1293/klagomålsmail/A 27390-2025 FSC-klagomål mail.docx", "A 27390-2025")</f>
        <v/>
      </c>
      <c r="X29">
        <f>HYPERLINK("https://klasma.github.io/Logging_1293/tillsyn/A 27390-2025 tillsynsbegäran.docx", "A 27390-2025")</f>
        <v/>
      </c>
      <c r="Y29">
        <f>HYPERLINK("https://klasma.github.io/Logging_1293/tillsynsmail/A 27390-2025 tillsynsbegäran mail.docx", "A 27390-2025")</f>
        <v/>
      </c>
    </row>
    <row r="30" ht="15" customHeight="1">
      <c r="A30" t="inlineStr">
        <is>
          <t>A 9289-2025</t>
        </is>
      </c>
      <c r="B30" s="1" t="n">
        <v>45714</v>
      </c>
      <c r="C30" s="1" t="n">
        <v>45890</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4619-2025</t>
        </is>
      </c>
      <c r="B31" s="1" t="n">
        <v>45687</v>
      </c>
      <c r="C31" s="1" t="n">
        <v>45890</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45890</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36690-2025</t>
        </is>
      </c>
      <c r="B33" s="1" t="n">
        <v>45873.42915509259</v>
      </c>
      <c r="C33" s="1" t="n">
        <v>45890</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4725-2025</t>
        </is>
      </c>
      <c r="B34" s="1" t="n">
        <v>45688.42583333333</v>
      </c>
      <c r="C34" s="1" t="n">
        <v>45890</v>
      </c>
      <c r="D34" t="inlineStr">
        <is>
          <t>SKÅNE LÄN</t>
        </is>
      </c>
      <c r="E34" t="inlineStr">
        <is>
          <t>HÄSSLEHOLM</t>
        </is>
      </c>
      <c r="G34" t="n">
        <v>5.5</v>
      </c>
      <c r="H34" t="n">
        <v>1</v>
      </c>
      <c r="I34" t="n">
        <v>0</v>
      </c>
      <c r="J34" t="n">
        <v>0</v>
      </c>
      <c r="K34" t="n">
        <v>0</v>
      </c>
      <c r="L34" t="n">
        <v>0</v>
      </c>
      <c r="M34" t="n">
        <v>0</v>
      </c>
      <c r="N34" t="n">
        <v>0</v>
      </c>
      <c r="O34" t="n">
        <v>0</v>
      </c>
      <c r="P34" t="n">
        <v>0</v>
      </c>
      <c r="Q34" t="n">
        <v>1</v>
      </c>
      <c r="R34" s="2" t="inlineStr">
        <is>
          <t>Grönvit nattviol</t>
        </is>
      </c>
      <c r="S34">
        <f>HYPERLINK("https://klasma.github.io/Logging_1293/artfynd/A 4725-2025 artfynd.xlsx", "A 4725-2025")</f>
        <v/>
      </c>
      <c r="T34">
        <f>HYPERLINK("https://klasma.github.io/Logging_1293/kartor/A 4725-2025 karta.png", "A 4725-2025")</f>
        <v/>
      </c>
      <c r="V34">
        <f>HYPERLINK("https://klasma.github.io/Logging_1293/klagomål/A 4725-2025 FSC-klagomål.docx", "A 4725-2025")</f>
        <v/>
      </c>
      <c r="W34">
        <f>HYPERLINK("https://klasma.github.io/Logging_1293/klagomålsmail/A 4725-2025 FSC-klagomål mail.docx", "A 4725-2025")</f>
        <v/>
      </c>
      <c r="X34">
        <f>HYPERLINK("https://klasma.github.io/Logging_1293/tillsyn/A 4725-2025 tillsynsbegäran.docx", "A 4725-2025")</f>
        <v/>
      </c>
      <c r="Y34">
        <f>HYPERLINK("https://klasma.github.io/Logging_1293/tillsynsmail/A 4725-2025 tillsynsbegäran mail.docx", "A 4725-2025")</f>
        <v/>
      </c>
    </row>
    <row r="35" ht="15" customHeight="1">
      <c r="A35" t="inlineStr">
        <is>
          <t>A 14933-2023</t>
        </is>
      </c>
      <c r="B35" s="1" t="n">
        <v>45014</v>
      </c>
      <c r="C35" s="1" t="n">
        <v>45890</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7862-2024</t>
        </is>
      </c>
      <c r="B36" s="1" t="n">
        <v>45348</v>
      </c>
      <c r="C36" s="1" t="n">
        <v>45890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8223-2025</t>
        </is>
      </c>
      <c r="B37" s="1" t="n">
        <v>45708.46127314815</v>
      </c>
      <c r="C37" s="1" t="n">
        <v>45890</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45890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45890</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45890</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45890</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45890</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45890</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45890</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45890</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45890</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45890</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45890</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45890</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45890</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45890</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45890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45890</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45890</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45890</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45890</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45890</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45890</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45890</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45890</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45890</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45890</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45890</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45890</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45890</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45890</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45890</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45890</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45890</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45890</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45890</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45890</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45890</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45890</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45890</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58566-2021</t>
        </is>
      </c>
      <c r="B81" s="1" t="n">
        <v>44488.85538194444</v>
      </c>
      <c r="C81" s="1" t="n">
        <v>45890</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45890</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45890</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45890</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45890</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45890</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45890</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55364-2022</t>
        </is>
      </c>
      <c r="B89" s="1" t="n">
        <v>44887.50657407408</v>
      </c>
      <c r="C89" s="1" t="n">
        <v>45890</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3855-2022</t>
        </is>
      </c>
      <c r="B90" s="1" t="n">
        <v>44587</v>
      </c>
      <c r="C90" s="1" t="n">
        <v>45890</v>
      </c>
      <c r="D90" t="inlineStr">
        <is>
          <t>SKÅNE LÄN</t>
        </is>
      </c>
      <c r="E90" t="inlineStr">
        <is>
          <t>HÄSSLEHOLM</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45890</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45890</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45890</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45890</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45890</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45890</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64361-2020</t>
        </is>
      </c>
      <c r="B98" s="1" t="n">
        <v>44168</v>
      </c>
      <c r="C98" s="1" t="n">
        <v>45890</v>
      </c>
      <c r="D98" t="inlineStr">
        <is>
          <t>SKÅNE LÄN</t>
        </is>
      </c>
      <c r="E98" t="inlineStr">
        <is>
          <t>HÄSSLEHOLM</t>
        </is>
      </c>
      <c r="G98" t="n">
        <v>5.4</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45890</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45890</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45890</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45890</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45890</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45890</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45890</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45890</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45890</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45890</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37170-2022</t>
        </is>
      </c>
      <c r="B109" s="1" t="n">
        <v>44806.61038194445</v>
      </c>
      <c r="C109" s="1" t="n">
        <v>45890</v>
      </c>
      <c r="D109" t="inlineStr">
        <is>
          <t>SKÅNE LÄN</t>
        </is>
      </c>
      <c r="E109" t="inlineStr">
        <is>
          <t>HÄSSLEHOLM</t>
        </is>
      </c>
      <c r="F109" t="inlineStr">
        <is>
          <t>Kyrkan</t>
        </is>
      </c>
      <c r="G109" t="n">
        <v>4.5</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45890</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59295-2020</t>
        </is>
      </c>
      <c r="B111" s="1" t="n">
        <v>44147</v>
      </c>
      <c r="C111" s="1" t="n">
        <v>45890</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45890</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69103-2020</t>
        </is>
      </c>
      <c r="B113" s="1" t="n">
        <v>44188</v>
      </c>
      <c r="C113" s="1" t="n">
        <v>45890</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22320-2021</t>
        </is>
      </c>
      <c r="B114" s="1" t="n">
        <v>44323</v>
      </c>
      <c r="C114" s="1" t="n">
        <v>45890</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3447-2021</t>
        </is>
      </c>
      <c r="B115" s="1" t="n">
        <v>44218</v>
      </c>
      <c r="C115" s="1" t="n">
        <v>45890</v>
      </c>
      <c r="D115" t="inlineStr">
        <is>
          <t>SKÅNE LÄN</t>
        </is>
      </c>
      <c r="E115" t="inlineStr">
        <is>
          <t>HÄSSLEHOLM</t>
        </is>
      </c>
      <c r="G115" t="n">
        <v>3.9</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45890</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34982-2022</t>
        </is>
      </c>
      <c r="B117" s="1" t="n">
        <v>44796.69055555556</v>
      </c>
      <c r="C117" s="1" t="n">
        <v>45890</v>
      </c>
      <c r="D117" t="inlineStr">
        <is>
          <t>SKÅNE LÄN</t>
        </is>
      </c>
      <c r="E117" t="inlineStr">
        <is>
          <t>HÄSSLEHOLM</t>
        </is>
      </c>
      <c r="F117" t="inlineStr">
        <is>
          <t>Kyrkan</t>
        </is>
      </c>
      <c r="G117" t="n">
        <v>3.4</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45890</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45890</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45890</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45890</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45890</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45890</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45890</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45890</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45890</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45890</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45890</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45890</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45890</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45890</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45890</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45890</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43580-2020</t>
        </is>
      </c>
      <c r="B135" s="1" t="n">
        <v>44082</v>
      </c>
      <c r="C135" s="1" t="n">
        <v>45890</v>
      </c>
      <c r="D135" t="inlineStr">
        <is>
          <t>SKÅNE LÄN</t>
        </is>
      </c>
      <c r="E135" t="inlineStr">
        <is>
          <t>HÄSSLEHOLM</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45349-2022</t>
        </is>
      </c>
      <c r="B136" s="1" t="n">
        <v>44844.6118287037</v>
      </c>
      <c r="C136" s="1" t="n">
        <v>45890</v>
      </c>
      <c r="D136" t="inlineStr">
        <is>
          <t>SKÅNE LÄN</t>
        </is>
      </c>
      <c r="E136" t="inlineStr">
        <is>
          <t>HÄSSLEHOLM</t>
        </is>
      </c>
      <c r="G136" t="n">
        <v>6.2</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45890</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45890</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45890</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45890</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45890</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45890</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48212-2020</t>
        </is>
      </c>
      <c r="B143" s="1" t="n">
        <v>44102</v>
      </c>
      <c r="C143" s="1" t="n">
        <v>45890</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45890</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45890</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45890</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45890</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45890</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45890</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34027-2021</t>
        </is>
      </c>
      <c r="B150" s="1" t="n">
        <v>44379</v>
      </c>
      <c r="C150" s="1" t="n">
        <v>45890</v>
      </c>
      <c r="D150" t="inlineStr">
        <is>
          <t>SKÅNE LÄN</t>
        </is>
      </c>
      <c r="E150" t="inlineStr">
        <is>
          <t>HÄSSLEHOLM</t>
        </is>
      </c>
      <c r="G150" t="n">
        <v>0.8</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45890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45890</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45890</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45890</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34679-2021</t>
        </is>
      </c>
      <c r="B155" s="1" t="n">
        <v>44382</v>
      </c>
      <c r="C155" s="1" t="n">
        <v>45890</v>
      </c>
      <c r="D155" t="inlineStr">
        <is>
          <t>SKÅNE LÄN</t>
        </is>
      </c>
      <c r="E155" t="inlineStr">
        <is>
          <t>HÄSSLEHOLM</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45890</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40702-2021</t>
        </is>
      </c>
      <c r="B157" s="1" t="n">
        <v>44420.61719907408</v>
      </c>
      <c r="C157" s="1" t="n">
        <v>45890</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45890</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1535-2022</t>
        </is>
      </c>
      <c r="B159" s="1" t="n">
        <v>44573</v>
      </c>
      <c r="C159" s="1" t="n">
        <v>45890</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33736-2021</t>
        </is>
      </c>
      <c r="B160" s="1" t="n">
        <v>44378</v>
      </c>
      <c r="C160" s="1" t="n">
        <v>45890</v>
      </c>
      <c r="D160" t="inlineStr">
        <is>
          <t>SKÅNE LÄN</t>
        </is>
      </c>
      <c r="E160" t="inlineStr">
        <is>
          <t>HÄSSLEHOLM</t>
        </is>
      </c>
      <c r="G160" t="n">
        <v>7.6</v>
      </c>
      <c r="H160" t="n">
        <v>0</v>
      </c>
      <c r="I160" t="n">
        <v>0</v>
      </c>
      <c r="J160" t="n">
        <v>0</v>
      </c>
      <c r="K160" t="n">
        <v>0</v>
      </c>
      <c r="L160" t="n">
        <v>0</v>
      </c>
      <c r="M160" t="n">
        <v>0</v>
      </c>
      <c r="N160" t="n">
        <v>0</v>
      </c>
      <c r="O160" t="n">
        <v>0</v>
      </c>
      <c r="P160" t="n">
        <v>0</v>
      </c>
      <c r="Q160" t="n">
        <v>0</v>
      </c>
      <c r="R160" s="2" t="inlineStr"/>
    </row>
    <row r="161" ht="15" customHeight="1">
      <c r="A161" t="inlineStr">
        <is>
          <t>A 13982-2021</t>
        </is>
      </c>
      <c r="B161" s="1" t="n">
        <v>44277.57800925926</v>
      </c>
      <c r="C161" s="1" t="n">
        <v>45890</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21029-2021</t>
        </is>
      </c>
      <c r="B162" s="1" t="n">
        <v>44319.63366898148</v>
      </c>
      <c r="C162" s="1" t="n">
        <v>45890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45890</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45890</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45890</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18515-2021</t>
        </is>
      </c>
      <c r="B166" s="1" t="n">
        <v>44305</v>
      </c>
      <c r="C166" s="1" t="n">
        <v>45890</v>
      </c>
      <c r="D166" t="inlineStr">
        <is>
          <t>SKÅNE LÄN</t>
        </is>
      </c>
      <c r="E166" t="inlineStr">
        <is>
          <t>HÄSSLEHOLM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45890</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45890</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219-2022</t>
        </is>
      </c>
      <c r="B169" s="1" t="n">
        <v>44564</v>
      </c>
      <c r="C169" s="1" t="n">
        <v>45890</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15423-2022</t>
        </is>
      </c>
      <c r="B170" s="1" t="n">
        <v>44659</v>
      </c>
      <c r="C170" s="1" t="n">
        <v>45890</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45890</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55412-2022</t>
        </is>
      </c>
      <c r="B172" s="1" t="n">
        <v>44882</v>
      </c>
      <c r="C172" s="1" t="n">
        <v>45890</v>
      </c>
      <c r="D172" t="inlineStr">
        <is>
          <t>SKÅNE LÄN</t>
        </is>
      </c>
      <c r="E172" t="inlineStr">
        <is>
          <t>HÄSSLEHOLM</t>
        </is>
      </c>
      <c r="F172" t="inlineStr">
        <is>
          <t>Övriga Aktiebolag</t>
        </is>
      </c>
      <c r="G172" t="n">
        <v>4</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45890</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62347-2020</t>
        </is>
      </c>
      <c r="B174" s="1" t="n">
        <v>44159</v>
      </c>
      <c r="C174" s="1" t="n">
        <v>45890</v>
      </c>
      <c r="D174" t="inlineStr">
        <is>
          <t>SKÅNE LÄN</t>
        </is>
      </c>
      <c r="E174" t="inlineStr">
        <is>
          <t>HÄSSLEHOLM</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45890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23003-2021</t>
        </is>
      </c>
      <c r="B176" s="1" t="n">
        <v>44328</v>
      </c>
      <c r="C176" s="1" t="n">
        <v>45890</v>
      </c>
      <c r="D176" t="inlineStr">
        <is>
          <t>SKÅNE LÄN</t>
        </is>
      </c>
      <c r="E176" t="inlineStr">
        <is>
          <t>HÄSSLEHOLM</t>
        </is>
      </c>
      <c r="G176" t="n">
        <v>4.4</v>
      </c>
      <c r="H176" t="n">
        <v>0</v>
      </c>
      <c r="I176" t="n">
        <v>0</v>
      </c>
      <c r="J176" t="n">
        <v>0</v>
      </c>
      <c r="K176" t="n">
        <v>0</v>
      </c>
      <c r="L176" t="n">
        <v>0</v>
      </c>
      <c r="M176" t="n">
        <v>0</v>
      </c>
      <c r="N176" t="n">
        <v>0</v>
      </c>
      <c r="O176" t="n">
        <v>0</v>
      </c>
      <c r="P176" t="n">
        <v>0</v>
      </c>
      <c r="Q176" t="n">
        <v>0</v>
      </c>
      <c r="R176" s="2" t="inlineStr"/>
    </row>
    <row r="177" ht="15" customHeight="1">
      <c r="A177" t="inlineStr">
        <is>
          <t>A 57811-2020</t>
        </is>
      </c>
      <c r="B177" s="1" t="n">
        <v>44141</v>
      </c>
      <c r="C177" s="1" t="n">
        <v>45890</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5091-2022</t>
        </is>
      </c>
      <c r="B178" s="1" t="n">
        <v>44593.85114583333</v>
      </c>
      <c r="C178" s="1" t="n">
        <v>45890</v>
      </c>
      <c r="D178" t="inlineStr">
        <is>
          <t>SKÅNE LÄN</t>
        </is>
      </c>
      <c r="E178" t="inlineStr">
        <is>
          <t>HÄSSLEHOLM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50371-2020</t>
        </is>
      </c>
      <c r="B179" s="1" t="n">
        <v>44110.44322916667</v>
      </c>
      <c r="C179" s="1" t="n">
        <v>45890</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58509-2020</t>
        </is>
      </c>
      <c r="B180" s="1" t="n">
        <v>44144</v>
      </c>
      <c r="C180" s="1" t="n">
        <v>45890</v>
      </c>
      <c r="D180" t="inlineStr">
        <is>
          <t>SKÅNE LÄN</t>
        </is>
      </c>
      <c r="E180" t="inlineStr">
        <is>
          <t>HÄSSLEHOLM</t>
        </is>
      </c>
      <c r="G180" t="n">
        <v>8.5</v>
      </c>
      <c r="H180" t="n">
        <v>0</v>
      </c>
      <c r="I180" t="n">
        <v>0</v>
      </c>
      <c r="J180" t="n">
        <v>0</v>
      </c>
      <c r="K180" t="n">
        <v>0</v>
      </c>
      <c r="L180" t="n">
        <v>0</v>
      </c>
      <c r="M180" t="n">
        <v>0</v>
      </c>
      <c r="N180" t="n">
        <v>0</v>
      </c>
      <c r="O180" t="n">
        <v>0</v>
      </c>
      <c r="P180" t="n">
        <v>0</v>
      </c>
      <c r="Q180" t="n">
        <v>0</v>
      </c>
      <c r="R180" s="2" t="inlineStr"/>
    </row>
    <row r="181" ht="15" customHeight="1">
      <c r="A181" t="inlineStr">
        <is>
          <t>A 59542-2020</t>
        </is>
      </c>
      <c r="B181" s="1" t="n">
        <v>44148</v>
      </c>
      <c r="C181" s="1" t="n">
        <v>45890</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23830-2021</t>
        </is>
      </c>
      <c r="B182" s="1" t="n">
        <v>44335</v>
      </c>
      <c r="C182" s="1" t="n">
        <v>45890</v>
      </c>
      <c r="D182" t="inlineStr">
        <is>
          <t>SKÅNE LÄN</t>
        </is>
      </c>
      <c r="E182" t="inlineStr">
        <is>
          <t>HÄSSLEHOLM</t>
        </is>
      </c>
      <c r="G182" t="n">
        <v>18.7</v>
      </c>
      <c r="H182" t="n">
        <v>0</v>
      </c>
      <c r="I182" t="n">
        <v>0</v>
      </c>
      <c r="J182" t="n">
        <v>0</v>
      </c>
      <c r="K182" t="n">
        <v>0</v>
      </c>
      <c r="L182" t="n">
        <v>0</v>
      </c>
      <c r="M182" t="n">
        <v>0</v>
      </c>
      <c r="N182" t="n">
        <v>0</v>
      </c>
      <c r="O182" t="n">
        <v>0</v>
      </c>
      <c r="P182" t="n">
        <v>0</v>
      </c>
      <c r="Q182" t="n">
        <v>0</v>
      </c>
      <c r="R182" s="2" t="inlineStr"/>
    </row>
    <row r="183" ht="15" customHeight="1">
      <c r="A183" t="inlineStr">
        <is>
          <t>A 60260-2021</t>
        </is>
      </c>
      <c r="B183" s="1" t="n">
        <v>44495</v>
      </c>
      <c r="C183" s="1" t="n">
        <v>45890</v>
      </c>
      <c r="D183" t="inlineStr">
        <is>
          <t>SKÅNE LÄN</t>
        </is>
      </c>
      <c r="E183" t="inlineStr">
        <is>
          <t>HÄSSLEHOLM</t>
        </is>
      </c>
      <c r="G183" t="n">
        <v>2.1</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45890</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45890</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11616-2021</t>
        </is>
      </c>
      <c r="B186" s="1" t="n">
        <v>44264.63064814815</v>
      </c>
      <c r="C186" s="1" t="n">
        <v>45890</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56989-2021</t>
        </is>
      </c>
      <c r="B187" s="1" t="n">
        <v>44482</v>
      </c>
      <c r="C187" s="1" t="n">
        <v>45890</v>
      </c>
      <c r="D187" t="inlineStr">
        <is>
          <t>SKÅNE LÄN</t>
        </is>
      </c>
      <c r="E187" t="inlineStr">
        <is>
          <t>HÄSSLEHOLM</t>
        </is>
      </c>
      <c r="G187" t="n">
        <v>1.1</v>
      </c>
      <c r="H187" t="n">
        <v>0</v>
      </c>
      <c r="I187" t="n">
        <v>0</v>
      </c>
      <c r="J187" t="n">
        <v>0</v>
      </c>
      <c r="K187" t="n">
        <v>0</v>
      </c>
      <c r="L187" t="n">
        <v>0</v>
      </c>
      <c r="M187" t="n">
        <v>0</v>
      </c>
      <c r="N187" t="n">
        <v>0</v>
      </c>
      <c r="O187" t="n">
        <v>0</v>
      </c>
      <c r="P187" t="n">
        <v>0</v>
      </c>
      <c r="Q187" t="n">
        <v>0</v>
      </c>
      <c r="R187" s="2" t="inlineStr"/>
    </row>
    <row r="188" ht="15" customHeight="1">
      <c r="A188" t="inlineStr">
        <is>
          <t>A 15986-2022</t>
        </is>
      </c>
      <c r="B188" s="1" t="n">
        <v>44664</v>
      </c>
      <c r="C188" s="1" t="n">
        <v>45890</v>
      </c>
      <c r="D188" t="inlineStr">
        <is>
          <t>SKÅNE LÄN</t>
        </is>
      </c>
      <c r="E188" t="inlineStr">
        <is>
          <t>HÄSSLEHOLM</t>
        </is>
      </c>
      <c r="F188" t="inlineStr">
        <is>
          <t>Kyrkan</t>
        </is>
      </c>
      <c r="G188" t="n">
        <v>6</v>
      </c>
      <c r="H188" t="n">
        <v>0</v>
      </c>
      <c r="I188" t="n">
        <v>0</v>
      </c>
      <c r="J188" t="n">
        <v>0</v>
      </c>
      <c r="K188" t="n">
        <v>0</v>
      </c>
      <c r="L188" t="n">
        <v>0</v>
      </c>
      <c r="M188" t="n">
        <v>0</v>
      </c>
      <c r="N188" t="n">
        <v>0</v>
      </c>
      <c r="O188" t="n">
        <v>0</v>
      </c>
      <c r="P188" t="n">
        <v>0</v>
      </c>
      <c r="Q188" t="n">
        <v>0</v>
      </c>
      <c r="R188" s="2" t="inlineStr"/>
    </row>
    <row r="189" ht="15" customHeight="1">
      <c r="A189" t="inlineStr">
        <is>
          <t>A 51159-2021</t>
        </is>
      </c>
      <c r="B189" s="1" t="n">
        <v>44461</v>
      </c>
      <c r="C189" s="1" t="n">
        <v>45890</v>
      </c>
      <c r="D189" t="inlineStr">
        <is>
          <t>SKÅNE LÄN</t>
        </is>
      </c>
      <c r="E189" t="inlineStr">
        <is>
          <t>HÄSSLEHOLM</t>
        </is>
      </c>
      <c r="F189" t="inlineStr">
        <is>
          <t>Kommuner</t>
        </is>
      </c>
      <c r="G189" t="n">
        <v>0.8</v>
      </c>
      <c r="H189" t="n">
        <v>0</v>
      </c>
      <c r="I189" t="n">
        <v>0</v>
      </c>
      <c r="J189" t="n">
        <v>0</v>
      </c>
      <c r="K189" t="n">
        <v>0</v>
      </c>
      <c r="L189" t="n">
        <v>0</v>
      </c>
      <c r="M189" t="n">
        <v>0</v>
      </c>
      <c r="N189" t="n">
        <v>0</v>
      </c>
      <c r="O189" t="n">
        <v>0</v>
      </c>
      <c r="P189" t="n">
        <v>0</v>
      </c>
      <c r="Q189" t="n">
        <v>0</v>
      </c>
      <c r="R189" s="2" t="inlineStr"/>
    </row>
    <row r="190" ht="15" customHeight="1">
      <c r="A190" t="inlineStr">
        <is>
          <t>A 51893-2021</t>
        </is>
      </c>
      <c r="B190" s="1" t="n">
        <v>44462</v>
      </c>
      <c r="C190" s="1" t="n">
        <v>45890</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25383-2021</t>
        </is>
      </c>
      <c r="B191" s="1" t="n">
        <v>44342</v>
      </c>
      <c r="C191" s="1" t="n">
        <v>45890</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51888-2021</t>
        </is>
      </c>
      <c r="B192" s="1" t="n">
        <v>44462</v>
      </c>
      <c r="C192" s="1" t="n">
        <v>45890</v>
      </c>
      <c r="D192" t="inlineStr">
        <is>
          <t>SKÅNE LÄN</t>
        </is>
      </c>
      <c r="E192" t="inlineStr">
        <is>
          <t>HÄSSLEHOLM</t>
        </is>
      </c>
      <c r="G192" t="n">
        <v>5.6</v>
      </c>
      <c r="H192" t="n">
        <v>0</v>
      </c>
      <c r="I192" t="n">
        <v>0</v>
      </c>
      <c r="J192" t="n">
        <v>0</v>
      </c>
      <c r="K192" t="n">
        <v>0</v>
      </c>
      <c r="L192" t="n">
        <v>0</v>
      </c>
      <c r="M192" t="n">
        <v>0</v>
      </c>
      <c r="N192" t="n">
        <v>0</v>
      </c>
      <c r="O192" t="n">
        <v>0</v>
      </c>
      <c r="P192" t="n">
        <v>0</v>
      </c>
      <c r="Q192" t="n">
        <v>0</v>
      </c>
      <c r="R192" s="2" t="inlineStr"/>
    </row>
    <row r="193" ht="15" customHeight="1">
      <c r="A193" t="inlineStr">
        <is>
          <t>A 52786-2021</t>
        </is>
      </c>
      <c r="B193" s="1" t="n">
        <v>44467.36061342592</v>
      </c>
      <c r="C193" s="1" t="n">
        <v>45890</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55394-2022</t>
        </is>
      </c>
      <c r="B194" s="1" t="n">
        <v>44887.57112268519</v>
      </c>
      <c r="C194" s="1" t="n">
        <v>45890</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27330-2021</t>
        </is>
      </c>
      <c r="B195" s="1" t="n">
        <v>44351</v>
      </c>
      <c r="C195" s="1" t="n">
        <v>45890</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29143-2021</t>
        </is>
      </c>
      <c r="B196" s="1" t="n">
        <v>44358.6319212963</v>
      </c>
      <c r="C196" s="1" t="n">
        <v>45890</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59302-2020</t>
        </is>
      </c>
      <c r="B197" s="1" t="n">
        <v>44147</v>
      </c>
      <c r="C197" s="1" t="n">
        <v>45890</v>
      </c>
      <c r="D197" t="inlineStr">
        <is>
          <t>SKÅNE LÄN</t>
        </is>
      </c>
      <c r="E197" t="inlineStr">
        <is>
          <t>HÄSSLEHOLM</t>
        </is>
      </c>
      <c r="G197" t="n">
        <v>11.2</v>
      </c>
      <c r="H197" t="n">
        <v>0</v>
      </c>
      <c r="I197" t="n">
        <v>0</v>
      </c>
      <c r="J197" t="n">
        <v>0</v>
      </c>
      <c r="K197" t="n">
        <v>0</v>
      </c>
      <c r="L197" t="n">
        <v>0</v>
      </c>
      <c r="M197" t="n">
        <v>0</v>
      </c>
      <c r="N197" t="n">
        <v>0</v>
      </c>
      <c r="O197" t="n">
        <v>0</v>
      </c>
      <c r="P197" t="n">
        <v>0</v>
      </c>
      <c r="Q197" t="n">
        <v>0</v>
      </c>
      <c r="R197" s="2" t="inlineStr"/>
    </row>
    <row r="198" ht="15" customHeight="1">
      <c r="A198" t="inlineStr">
        <is>
          <t>A 44669-2022</t>
        </is>
      </c>
      <c r="B198" s="1" t="n">
        <v>44840</v>
      </c>
      <c r="C198" s="1" t="n">
        <v>45890</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66520-2020</t>
        </is>
      </c>
      <c r="B199" s="1" t="n">
        <v>44179</v>
      </c>
      <c r="C199" s="1" t="n">
        <v>45890</v>
      </c>
      <c r="D199" t="inlineStr">
        <is>
          <t>SKÅNE LÄN</t>
        </is>
      </c>
      <c r="E199" t="inlineStr">
        <is>
          <t>HÄSSLEHOLM</t>
        </is>
      </c>
      <c r="G199" t="n">
        <v>0.4</v>
      </c>
      <c r="H199" t="n">
        <v>0</v>
      </c>
      <c r="I199" t="n">
        <v>0</v>
      </c>
      <c r="J199" t="n">
        <v>0</v>
      </c>
      <c r="K199" t="n">
        <v>0</v>
      </c>
      <c r="L199" t="n">
        <v>0</v>
      </c>
      <c r="M199" t="n">
        <v>0</v>
      </c>
      <c r="N199" t="n">
        <v>0</v>
      </c>
      <c r="O199" t="n">
        <v>0</v>
      </c>
      <c r="P199" t="n">
        <v>0</v>
      </c>
      <c r="Q199" t="n">
        <v>0</v>
      </c>
      <c r="R199" s="2" t="inlineStr"/>
    </row>
    <row r="200" ht="15" customHeight="1">
      <c r="A200" t="inlineStr">
        <is>
          <t>A 26386-2022</t>
        </is>
      </c>
      <c r="B200" s="1" t="n">
        <v>44735.6803125</v>
      </c>
      <c r="C200" s="1" t="n">
        <v>45890</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7262-2022</t>
        </is>
      </c>
      <c r="B201" s="1" t="n">
        <v>44606</v>
      </c>
      <c r="C201" s="1" t="n">
        <v>45890</v>
      </c>
      <c r="D201" t="inlineStr">
        <is>
          <t>SKÅNE LÄN</t>
        </is>
      </c>
      <c r="E201" t="inlineStr">
        <is>
          <t>HÄSSLEHOLM</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45357-2022</t>
        </is>
      </c>
      <c r="B202" s="1" t="n">
        <v>44844.61952546296</v>
      </c>
      <c r="C202" s="1" t="n">
        <v>45890</v>
      </c>
      <c r="D202" t="inlineStr">
        <is>
          <t>SKÅNE LÄN</t>
        </is>
      </c>
      <c r="E202" t="inlineStr">
        <is>
          <t>HÄSSLEHOLM</t>
        </is>
      </c>
      <c r="G202" t="n">
        <v>5.8</v>
      </c>
      <c r="H202" t="n">
        <v>0</v>
      </c>
      <c r="I202" t="n">
        <v>0</v>
      </c>
      <c r="J202" t="n">
        <v>0</v>
      </c>
      <c r="K202" t="n">
        <v>0</v>
      </c>
      <c r="L202" t="n">
        <v>0</v>
      </c>
      <c r="M202" t="n">
        <v>0</v>
      </c>
      <c r="N202" t="n">
        <v>0</v>
      </c>
      <c r="O202" t="n">
        <v>0</v>
      </c>
      <c r="P202" t="n">
        <v>0</v>
      </c>
      <c r="Q202" t="n">
        <v>0</v>
      </c>
      <c r="R202" s="2" t="inlineStr"/>
    </row>
    <row r="203" ht="15" customHeight="1">
      <c r="A203" t="inlineStr">
        <is>
          <t>A 25469-2022</t>
        </is>
      </c>
      <c r="B203" s="1" t="n">
        <v>44732</v>
      </c>
      <c r="C203" s="1" t="n">
        <v>45890</v>
      </c>
      <c r="D203" t="inlineStr">
        <is>
          <t>SKÅNE LÄN</t>
        </is>
      </c>
      <c r="E203" t="inlineStr">
        <is>
          <t>HÄSSLEHOLM</t>
        </is>
      </c>
      <c r="G203" t="n">
        <v>4.2</v>
      </c>
      <c r="H203" t="n">
        <v>0</v>
      </c>
      <c r="I203" t="n">
        <v>0</v>
      </c>
      <c r="J203" t="n">
        <v>0</v>
      </c>
      <c r="K203" t="n">
        <v>0</v>
      </c>
      <c r="L203" t="n">
        <v>0</v>
      </c>
      <c r="M203" t="n">
        <v>0</v>
      </c>
      <c r="N203" t="n">
        <v>0</v>
      </c>
      <c r="O203" t="n">
        <v>0</v>
      </c>
      <c r="P203" t="n">
        <v>0</v>
      </c>
      <c r="Q203" t="n">
        <v>0</v>
      </c>
      <c r="R203" s="2" t="inlineStr"/>
    </row>
    <row r="204" ht="15" customHeight="1">
      <c r="A204" t="inlineStr">
        <is>
          <t>A 45989-2021</t>
        </is>
      </c>
      <c r="B204" s="1" t="n">
        <v>44441.74627314815</v>
      </c>
      <c r="C204" s="1" t="n">
        <v>45890</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73513-2021</t>
        </is>
      </c>
      <c r="B205" s="1" t="n">
        <v>44551.69012731482</v>
      </c>
      <c r="C205" s="1" t="n">
        <v>45890</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7248-2021</t>
        </is>
      </c>
      <c r="B206" s="1" t="n">
        <v>44236</v>
      </c>
      <c r="C206" s="1" t="n">
        <v>45890</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69198-2020</t>
        </is>
      </c>
      <c r="B207" s="1" t="n">
        <v>44191</v>
      </c>
      <c r="C207" s="1" t="n">
        <v>45890</v>
      </c>
      <c r="D207" t="inlineStr">
        <is>
          <t>SKÅNE LÄN</t>
        </is>
      </c>
      <c r="E207" t="inlineStr">
        <is>
          <t>HÄSSLEHOLM</t>
        </is>
      </c>
      <c r="G207" t="n">
        <v>6.6</v>
      </c>
      <c r="H207" t="n">
        <v>0</v>
      </c>
      <c r="I207" t="n">
        <v>0</v>
      </c>
      <c r="J207" t="n">
        <v>0</v>
      </c>
      <c r="K207" t="n">
        <v>0</v>
      </c>
      <c r="L207" t="n">
        <v>0</v>
      </c>
      <c r="M207" t="n">
        <v>0</v>
      </c>
      <c r="N207" t="n">
        <v>0</v>
      </c>
      <c r="O207" t="n">
        <v>0</v>
      </c>
      <c r="P207" t="n">
        <v>0</v>
      </c>
      <c r="Q207" t="n">
        <v>0</v>
      </c>
      <c r="R207" s="2" t="inlineStr"/>
    </row>
    <row r="208" ht="15" customHeight="1">
      <c r="A208" t="inlineStr">
        <is>
          <t>A 354-2022</t>
        </is>
      </c>
      <c r="B208" s="1" t="n">
        <v>44565.62510416667</v>
      </c>
      <c r="C208" s="1" t="n">
        <v>45890</v>
      </c>
      <c r="D208" t="inlineStr">
        <is>
          <t>SKÅNE LÄN</t>
        </is>
      </c>
      <c r="E208" t="inlineStr">
        <is>
          <t>HÄSSLEHOLM</t>
        </is>
      </c>
      <c r="G208" t="n">
        <v>2.4</v>
      </c>
      <c r="H208" t="n">
        <v>0</v>
      </c>
      <c r="I208" t="n">
        <v>0</v>
      </c>
      <c r="J208" t="n">
        <v>0</v>
      </c>
      <c r="K208" t="n">
        <v>0</v>
      </c>
      <c r="L208" t="n">
        <v>0</v>
      </c>
      <c r="M208" t="n">
        <v>0</v>
      </c>
      <c r="N208" t="n">
        <v>0</v>
      </c>
      <c r="O208" t="n">
        <v>0</v>
      </c>
      <c r="P208" t="n">
        <v>0</v>
      </c>
      <c r="Q208" t="n">
        <v>0</v>
      </c>
      <c r="R208" s="2" t="inlineStr"/>
    </row>
    <row r="209" ht="15" customHeight="1">
      <c r="A209" t="inlineStr">
        <is>
          <t>A 32892-2021</t>
        </is>
      </c>
      <c r="B209" s="1" t="n">
        <v>44375</v>
      </c>
      <c r="C209" s="1" t="n">
        <v>45890</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8695-2021</t>
        </is>
      </c>
      <c r="B210" s="1" t="n">
        <v>44246</v>
      </c>
      <c r="C210" s="1" t="n">
        <v>45890</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48792-2020</t>
        </is>
      </c>
      <c r="B211" s="1" t="n">
        <v>44103</v>
      </c>
      <c r="C211" s="1" t="n">
        <v>45890</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2858-2022</t>
        </is>
      </c>
      <c r="B212" s="1" t="n">
        <v>44581</v>
      </c>
      <c r="C212" s="1" t="n">
        <v>45890</v>
      </c>
      <c r="D212" t="inlineStr">
        <is>
          <t>SKÅNE LÄN</t>
        </is>
      </c>
      <c r="E212" t="inlineStr">
        <is>
          <t>HÄSSLEHOLM</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45890</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20510-2021</t>
        </is>
      </c>
      <c r="B214" s="1" t="n">
        <v>44315</v>
      </c>
      <c r="C214" s="1" t="n">
        <v>45890</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54362-2020</t>
        </is>
      </c>
      <c r="B215" s="1" t="n">
        <v>44126</v>
      </c>
      <c r="C215" s="1" t="n">
        <v>45890</v>
      </c>
      <c r="D215" t="inlineStr">
        <is>
          <t>SKÅNE LÄN</t>
        </is>
      </c>
      <c r="E215" t="inlineStr">
        <is>
          <t>HÄSSLEHOLM</t>
        </is>
      </c>
      <c r="G215" t="n">
        <v>4.5</v>
      </c>
      <c r="H215" t="n">
        <v>0</v>
      </c>
      <c r="I215" t="n">
        <v>0</v>
      </c>
      <c r="J215" t="n">
        <v>0</v>
      </c>
      <c r="K215" t="n">
        <v>0</v>
      </c>
      <c r="L215" t="n">
        <v>0</v>
      </c>
      <c r="M215" t="n">
        <v>0</v>
      </c>
      <c r="N215" t="n">
        <v>0</v>
      </c>
      <c r="O215" t="n">
        <v>0</v>
      </c>
      <c r="P215" t="n">
        <v>0</v>
      </c>
      <c r="Q215" t="n">
        <v>0</v>
      </c>
      <c r="R215" s="2" t="inlineStr"/>
    </row>
    <row r="216" ht="15" customHeight="1">
      <c r="A216" t="inlineStr">
        <is>
          <t>A 27959-2022</t>
        </is>
      </c>
      <c r="B216" s="1" t="n">
        <v>44744</v>
      </c>
      <c r="C216" s="1" t="n">
        <v>45890</v>
      </c>
      <c r="D216" t="inlineStr">
        <is>
          <t>SKÅNE LÄN</t>
        </is>
      </c>
      <c r="E216" t="inlineStr">
        <is>
          <t>HÄSSLEHOLM</t>
        </is>
      </c>
      <c r="G216" t="n">
        <v>3</v>
      </c>
      <c r="H216" t="n">
        <v>0</v>
      </c>
      <c r="I216" t="n">
        <v>0</v>
      </c>
      <c r="J216" t="n">
        <v>0</v>
      </c>
      <c r="K216" t="n">
        <v>0</v>
      </c>
      <c r="L216" t="n">
        <v>0</v>
      </c>
      <c r="M216" t="n">
        <v>0</v>
      </c>
      <c r="N216" t="n">
        <v>0</v>
      </c>
      <c r="O216" t="n">
        <v>0</v>
      </c>
      <c r="P216" t="n">
        <v>0</v>
      </c>
      <c r="Q216" t="n">
        <v>0</v>
      </c>
      <c r="R216" s="2" t="inlineStr"/>
    </row>
    <row r="217" ht="15" customHeight="1">
      <c r="A217" t="inlineStr">
        <is>
          <t>A 64826-2021</t>
        </is>
      </c>
      <c r="B217" s="1" t="n">
        <v>44512.55935185185</v>
      </c>
      <c r="C217" s="1" t="n">
        <v>45890</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39102-2022</t>
        </is>
      </c>
      <c r="B218" s="1" t="n">
        <v>44817.43260416666</v>
      </c>
      <c r="C218" s="1" t="n">
        <v>45890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50372-2020</t>
        </is>
      </c>
      <c r="B219" s="1" t="n">
        <v>44110</v>
      </c>
      <c r="C219" s="1" t="n">
        <v>45890</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48397-2020</t>
        </is>
      </c>
      <c r="B220" s="1" t="n">
        <v>44097</v>
      </c>
      <c r="C220" s="1" t="n">
        <v>45890</v>
      </c>
      <c r="D220" t="inlineStr">
        <is>
          <t>SKÅNE LÄN</t>
        </is>
      </c>
      <c r="E220" t="inlineStr">
        <is>
          <t>HÄSSLEHOLM</t>
        </is>
      </c>
      <c r="G220" t="n">
        <v>8</v>
      </c>
      <c r="H220" t="n">
        <v>0</v>
      </c>
      <c r="I220" t="n">
        <v>0</v>
      </c>
      <c r="J220" t="n">
        <v>0</v>
      </c>
      <c r="K220" t="n">
        <v>0</v>
      </c>
      <c r="L220" t="n">
        <v>0</v>
      </c>
      <c r="M220" t="n">
        <v>0</v>
      </c>
      <c r="N220" t="n">
        <v>0</v>
      </c>
      <c r="O220" t="n">
        <v>0</v>
      </c>
      <c r="P220" t="n">
        <v>0</v>
      </c>
      <c r="Q220" t="n">
        <v>0</v>
      </c>
      <c r="R220" s="2" t="inlineStr"/>
    </row>
    <row r="221" ht="15" customHeight="1">
      <c r="A221" t="inlineStr">
        <is>
          <t>A 13811-2021</t>
        </is>
      </c>
      <c r="B221" s="1" t="n">
        <v>44276</v>
      </c>
      <c r="C221" s="1" t="n">
        <v>45890</v>
      </c>
      <c r="D221" t="inlineStr">
        <is>
          <t>SKÅNE LÄN</t>
        </is>
      </c>
      <c r="E221" t="inlineStr">
        <is>
          <t>HÄSSLEHOLM</t>
        </is>
      </c>
      <c r="G221" t="n">
        <v>8</v>
      </c>
      <c r="H221" t="n">
        <v>0</v>
      </c>
      <c r="I221" t="n">
        <v>0</v>
      </c>
      <c r="J221" t="n">
        <v>0</v>
      </c>
      <c r="K221" t="n">
        <v>0</v>
      </c>
      <c r="L221" t="n">
        <v>0</v>
      </c>
      <c r="M221" t="n">
        <v>0</v>
      </c>
      <c r="N221" t="n">
        <v>0</v>
      </c>
      <c r="O221" t="n">
        <v>0</v>
      </c>
      <c r="P221" t="n">
        <v>0</v>
      </c>
      <c r="Q221" t="n">
        <v>0</v>
      </c>
      <c r="R221" s="2" t="inlineStr"/>
    </row>
    <row r="222" ht="15" customHeight="1">
      <c r="A222" t="inlineStr">
        <is>
          <t>A 47112-2021</t>
        </is>
      </c>
      <c r="B222" s="1" t="n">
        <v>44446</v>
      </c>
      <c r="C222" s="1" t="n">
        <v>45890</v>
      </c>
      <c r="D222" t="inlineStr">
        <is>
          <t>SKÅNE LÄN</t>
        </is>
      </c>
      <c r="E222" t="inlineStr">
        <is>
          <t>HÄSSLEHOLM</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23967-2022</t>
        </is>
      </c>
      <c r="B223" s="1" t="n">
        <v>44722.74079861111</v>
      </c>
      <c r="C223" s="1" t="n">
        <v>45890</v>
      </c>
      <c r="D223" t="inlineStr">
        <is>
          <t>SKÅNE LÄN</t>
        </is>
      </c>
      <c r="E223" t="inlineStr">
        <is>
          <t>HÄSSLEHOLM</t>
        </is>
      </c>
      <c r="F223" t="inlineStr">
        <is>
          <t>Kyrkan</t>
        </is>
      </c>
      <c r="G223" t="n">
        <v>12.4</v>
      </c>
      <c r="H223" t="n">
        <v>0</v>
      </c>
      <c r="I223" t="n">
        <v>0</v>
      </c>
      <c r="J223" t="n">
        <v>0</v>
      </c>
      <c r="K223" t="n">
        <v>0</v>
      </c>
      <c r="L223" t="n">
        <v>0</v>
      </c>
      <c r="M223" t="n">
        <v>0</v>
      </c>
      <c r="N223" t="n">
        <v>0</v>
      </c>
      <c r="O223" t="n">
        <v>0</v>
      </c>
      <c r="P223" t="n">
        <v>0</v>
      </c>
      <c r="Q223" t="n">
        <v>0</v>
      </c>
      <c r="R223" s="2" t="inlineStr"/>
    </row>
    <row r="224" ht="15" customHeight="1">
      <c r="A224" t="inlineStr">
        <is>
          <t>A 46145-2020</t>
        </is>
      </c>
      <c r="B224" s="1" t="n">
        <v>44091</v>
      </c>
      <c r="C224" s="1" t="n">
        <v>45890</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60597-2020</t>
        </is>
      </c>
      <c r="B225" s="1" t="n">
        <v>44152</v>
      </c>
      <c r="C225" s="1" t="n">
        <v>45890</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69504-2020</t>
        </is>
      </c>
      <c r="B226" s="1" t="n">
        <v>44194</v>
      </c>
      <c r="C226" s="1" t="n">
        <v>45890</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6414-2022</t>
        </is>
      </c>
      <c r="B227" s="1" t="n">
        <v>44600</v>
      </c>
      <c r="C227" s="1" t="n">
        <v>45890</v>
      </c>
      <c r="D227" t="inlineStr">
        <is>
          <t>SKÅNE LÄN</t>
        </is>
      </c>
      <c r="E227" t="inlineStr">
        <is>
          <t>HÄSSLEHOLM</t>
        </is>
      </c>
      <c r="G227" t="n">
        <v>2.9</v>
      </c>
      <c r="H227" t="n">
        <v>0</v>
      </c>
      <c r="I227" t="n">
        <v>0</v>
      </c>
      <c r="J227" t="n">
        <v>0</v>
      </c>
      <c r="K227" t="n">
        <v>0</v>
      </c>
      <c r="L227" t="n">
        <v>0</v>
      </c>
      <c r="M227" t="n">
        <v>0</v>
      </c>
      <c r="N227" t="n">
        <v>0</v>
      </c>
      <c r="O227" t="n">
        <v>0</v>
      </c>
      <c r="P227" t="n">
        <v>0</v>
      </c>
      <c r="Q227" t="n">
        <v>0</v>
      </c>
      <c r="R227" s="2" t="inlineStr"/>
    </row>
    <row r="228" ht="15" customHeight="1">
      <c r="A228" t="inlineStr">
        <is>
          <t>A 54079-2020</t>
        </is>
      </c>
      <c r="B228" s="1" t="n">
        <v>44125.61570601852</v>
      </c>
      <c r="C228" s="1" t="n">
        <v>45890</v>
      </c>
      <c r="D228" t="inlineStr">
        <is>
          <t>SKÅNE LÄN</t>
        </is>
      </c>
      <c r="E228" t="inlineStr">
        <is>
          <t>HÄSSLEHOLM</t>
        </is>
      </c>
      <c r="G228" t="n">
        <v>0.3</v>
      </c>
      <c r="H228" t="n">
        <v>0</v>
      </c>
      <c r="I228" t="n">
        <v>0</v>
      </c>
      <c r="J228" t="n">
        <v>0</v>
      </c>
      <c r="K228" t="n">
        <v>0</v>
      </c>
      <c r="L228" t="n">
        <v>0</v>
      </c>
      <c r="M228" t="n">
        <v>0</v>
      </c>
      <c r="N228" t="n">
        <v>0</v>
      </c>
      <c r="O228" t="n">
        <v>0</v>
      </c>
      <c r="P228" t="n">
        <v>0</v>
      </c>
      <c r="Q228" t="n">
        <v>0</v>
      </c>
      <c r="R228" s="2" t="inlineStr"/>
    </row>
    <row r="229" ht="15" customHeight="1">
      <c r="A229" t="inlineStr">
        <is>
          <t>A 62802-2020</t>
        </is>
      </c>
      <c r="B229" s="1" t="n">
        <v>44161</v>
      </c>
      <c r="C229" s="1" t="n">
        <v>45890</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45814-2020</t>
        </is>
      </c>
      <c r="B230" s="1" t="n">
        <v>44090.8908912037</v>
      </c>
      <c r="C230" s="1" t="n">
        <v>45890</v>
      </c>
      <c r="D230" t="inlineStr">
        <is>
          <t>SKÅNE LÄN</t>
        </is>
      </c>
      <c r="E230" t="inlineStr">
        <is>
          <t>HÄSSLEHOLM</t>
        </is>
      </c>
      <c r="G230" t="n">
        <v>0.2</v>
      </c>
      <c r="H230" t="n">
        <v>0</v>
      </c>
      <c r="I230" t="n">
        <v>0</v>
      </c>
      <c r="J230" t="n">
        <v>0</v>
      </c>
      <c r="K230" t="n">
        <v>0</v>
      </c>
      <c r="L230" t="n">
        <v>0</v>
      </c>
      <c r="M230" t="n">
        <v>0</v>
      </c>
      <c r="N230" t="n">
        <v>0</v>
      </c>
      <c r="O230" t="n">
        <v>0</v>
      </c>
      <c r="P230" t="n">
        <v>0</v>
      </c>
      <c r="Q230" t="n">
        <v>0</v>
      </c>
      <c r="R230" s="2" t="inlineStr"/>
    </row>
    <row r="231" ht="15" customHeight="1">
      <c r="A231" t="inlineStr">
        <is>
          <t>A 45815-2020</t>
        </is>
      </c>
      <c r="B231" s="1" t="n">
        <v>44090.9071875</v>
      </c>
      <c r="C231" s="1" t="n">
        <v>45890</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57807-2020</t>
        </is>
      </c>
      <c r="B232" s="1" t="n">
        <v>44141</v>
      </c>
      <c r="C232" s="1" t="n">
        <v>45890</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43595-2020</t>
        </is>
      </c>
      <c r="B233" s="1" t="n">
        <v>44082</v>
      </c>
      <c r="C233" s="1" t="n">
        <v>45890</v>
      </c>
      <c r="D233" t="inlineStr">
        <is>
          <t>SKÅNE LÄN</t>
        </is>
      </c>
      <c r="E233" t="inlineStr">
        <is>
          <t>HÄSSLEHOLM</t>
        </is>
      </c>
      <c r="F233" t="inlineStr">
        <is>
          <t>Kyrkan</t>
        </is>
      </c>
      <c r="G233" t="n">
        <v>1.4</v>
      </c>
      <c r="H233" t="n">
        <v>0</v>
      </c>
      <c r="I233" t="n">
        <v>0</v>
      </c>
      <c r="J233" t="n">
        <v>0</v>
      </c>
      <c r="K233" t="n">
        <v>0</v>
      </c>
      <c r="L233" t="n">
        <v>0</v>
      </c>
      <c r="M233" t="n">
        <v>0</v>
      </c>
      <c r="N233" t="n">
        <v>0</v>
      </c>
      <c r="O233" t="n">
        <v>0</v>
      </c>
      <c r="P233" t="n">
        <v>0</v>
      </c>
      <c r="Q233" t="n">
        <v>0</v>
      </c>
      <c r="R233" s="2" t="inlineStr"/>
    </row>
    <row r="234" ht="15" customHeight="1">
      <c r="A234" t="inlineStr">
        <is>
          <t>A 61216-2020</t>
        </is>
      </c>
      <c r="B234" s="1" t="n">
        <v>44155</v>
      </c>
      <c r="C234" s="1" t="n">
        <v>45890</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8177-2022</t>
        </is>
      </c>
      <c r="B235" s="1" t="n">
        <v>44607</v>
      </c>
      <c r="C235" s="1" t="n">
        <v>45890</v>
      </c>
      <c r="D235" t="inlineStr">
        <is>
          <t>SKÅNE LÄN</t>
        </is>
      </c>
      <c r="E235" t="inlineStr">
        <is>
          <t>HÄSSLEHOLM</t>
        </is>
      </c>
      <c r="F235" t="inlineStr">
        <is>
          <t>Kyrkan</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25464-2022</t>
        </is>
      </c>
      <c r="B236" s="1" t="n">
        <v>44729</v>
      </c>
      <c r="C236" s="1" t="n">
        <v>45890</v>
      </c>
      <c r="D236" t="inlineStr">
        <is>
          <t>SKÅNE LÄN</t>
        </is>
      </c>
      <c r="E236" t="inlineStr">
        <is>
          <t>HÄSSLEHOLM</t>
        </is>
      </c>
      <c r="G236" t="n">
        <v>21</v>
      </c>
      <c r="H236" t="n">
        <v>0</v>
      </c>
      <c r="I236" t="n">
        <v>0</v>
      </c>
      <c r="J236" t="n">
        <v>0</v>
      </c>
      <c r="K236" t="n">
        <v>0</v>
      </c>
      <c r="L236" t="n">
        <v>0</v>
      </c>
      <c r="M236" t="n">
        <v>0</v>
      </c>
      <c r="N236" t="n">
        <v>0</v>
      </c>
      <c r="O236" t="n">
        <v>0</v>
      </c>
      <c r="P236" t="n">
        <v>0</v>
      </c>
      <c r="Q236" t="n">
        <v>0</v>
      </c>
      <c r="R236" s="2" t="inlineStr"/>
    </row>
    <row r="237" ht="15" customHeight="1">
      <c r="A237" t="inlineStr">
        <is>
          <t>A 6967-2021</t>
        </is>
      </c>
      <c r="B237" s="1" t="n">
        <v>44237</v>
      </c>
      <c r="C237" s="1" t="n">
        <v>45890</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46479-2020</t>
        </is>
      </c>
      <c r="B238" s="1" t="n">
        <v>44095</v>
      </c>
      <c r="C238" s="1" t="n">
        <v>45890</v>
      </c>
      <c r="D238" t="inlineStr">
        <is>
          <t>SKÅNE LÄN</t>
        </is>
      </c>
      <c r="E238" t="inlineStr">
        <is>
          <t>HÄSSLEHOLM</t>
        </is>
      </c>
      <c r="F238" t="inlineStr">
        <is>
          <t>Kyrkan</t>
        </is>
      </c>
      <c r="G238" t="n">
        <v>1.5</v>
      </c>
      <c r="H238" t="n">
        <v>0</v>
      </c>
      <c r="I238" t="n">
        <v>0</v>
      </c>
      <c r="J238" t="n">
        <v>0</v>
      </c>
      <c r="K238" t="n">
        <v>0</v>
      </c>
      <c r="L238" t="n">
        <v>0</v>
      </c>
      <c r="M238" t="n">
        <v>0</v>
      </c>
      <c r="N238" t="n">
        <v>0</v>
      </c>
      <c r="O238" t="n">
        <v>0</v>
      </c>
      <c r="P238" t="n">
        <v>0</v>
      </c>
      <c r="Q238" t="n">
        <v>0</v>
      </c>
      <c r="R238" s="2" t="inlineStr"/>
    </row>
    <row r="239" ht="15" customHeight="1">
      <c r="A239" t="inlineStr">
        <is>
          <t>A 56431-2021</t>
        </is>
      </c>
      <c r="B239" s="1" t="n">
        <v>44480</v>
      </c>
      <c r="C239" s="1" t="n">
        <v>45890</v>
      </c>
      <c r="D239" t="inlineStr">
        <is>
          <t>SKÅNE LÄN</t>
        </is>
      </c>
      <c r="E239" t="inlineStr">
        <is>
          <t>HÄSSLEHOLM</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418-2022</t>
        </is>
      </c>
      <c r="B240" s="1" t="n">
        <v>44565.84958333334</v>
      </c>
      <c r="C240" s="1" t="n">
        <v>45890</v>
      </c>
      <c r="D240" t="inlineStr">
        <is>
          <t>SKÅNE LÄN</t>
        </is>
      </c>
      <c r="E240" t="inlineStr">
        <is>
          <t>HÄSSLEHOLM</t>
        </is>
      </c>
      <c r="G240" t="n">
        <v>0</v>
      </c>
      <c r="H240" t="n">
        <v>0</v>
      </c>
      <c r="I240" t="n">
        <v>0</v>
      </c>
      <c r="J240" t="n">
        <v>0</v>
      </c>
      <c r="K240" t="n">
        <v>0</v>
      </c>
      <c r="L240" t="n">
        <v>0</v>
      </c>
      <c r="M240" t="n">
        <v>0</v>
      </c>
      <c r="N240" t="n">
        <v>0</v>
      </c>
      <c r="O240" t="n">
        <v>0</v>
      </c>
      <c r="P240" t="n">
        <v>0</v>
      </c>
      <c r="Q240" t="n">
        <v>0</v>
      </c>
      <c r="R240" s="2" t="inlineStr"/>
    </row>
    <row r="241" ht="15" customHeight="1">
      <c r="A241" t="inlineStr">
        <is>
          <t>A 6965-2021</t>
        </is>
      </c>
      <c r="B241" s="1" t="n">
        <v>44237</v>
      </c>
      <c r="C241" s="1" t="n">
        <v>45890</v>
      </c>
      <c r="D241" t="inlineStr">
        <is>
          <t>SKÅNE LÄN</t>
        </is>
      </c>
      <c r="E241" t="inlineStr">
        <is>
          <t>HÄSSLEHOLM</t>
        </is>
      </c>
      <c r="G241" t="n">
        <v>0.3</v>
      </c>
      <c r="H241" t="n">
        <v>0</v>
      </c>
      <c r="I241" t="n">
        <v>0</v>
      </c>
      <c r="J241" t="n">
        <v>0</v>
      </c>
      <c r="K241" t="n">
        <v>0</v>
      </c>
      <c r="L241" t="n">
        <v>0</v>
      </c>
      <c r="M241" t="n">
        <v>0</v>
      </c>
      <c r="N241" t="n">
        <v>0</v>
      </c>
      <c r="O241" t="n">
        <v>0</v>
      </c>
      <c r="P241" t="n">
        <v>0</v>
      </c>
      <c r="Q241" t="n">
        <v>0</v>
      </c>
      <c r="R241" s="2" t="inlineStr"/>
    </row>
    <row r="242" ht="15" customHeight="1">
      <c r="A242" t="inlineStr">
        <is>
          <t>A 69505-2020</t>
        </is>
      </c>
      <c r="B242" s="1" t="n">
        <v>44194</v>
      </c>
      <c r="C242" s="1" t="n">
        <v>45890</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30344-2022</t>
        </is>
      </c>
      <c r="B243" s="1" t="n">
        <v>44760.50783564815</v>
      </c>
      <c r="C243" s="1" t="n">
        <v>45890</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52567-2021</t>
        </is>
      </c>
      <c r="B244" s="1" t="n">
        <v>44466</v>
      </c>
      <c r="C244" s="1" t="n">
        <v>45890</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62782-2020</t>
        </is>
      </c>
      <c r="B245" s="1" t="n">
        <v>44161</v>
      </c>
      <c r="C245" s="1" t="n">
        <v>45890</v>
      </c>
      <c r="D245" t="inlineStr">
        <is>
          <t>SKÅNE LÄN</t>
        </is>
      </c>
      <c r="E245" t="inlineStr">
        <is>
          <t>HÄSSLEHOLM</t>
        </is>
      </c>
      <c r="F245" t="inlineStr">
        <is>
          <t>Kyrkan</t>
        </is>
      </c>
      <c r="G245" t="n">
        <v>1.6</v>
      </c>
      <c r="H245" t="n">
        <v>0</v>
      </c>
      <c r="I245" t="n">
        <v>0</v>
      </c>
      <c r="J245" t="n">
        <v>0</v>
      </c>
      <c r="K245" t="n">
        <v>0</v>
      </c>
      <c r="L245" t="n">
        <v>0</v>
      </c>
      <c r="M245" t="n">
        <v>0</v>
      </c>
      <c r="N245" t="n">
        <v>0</v>
      </c>
      <c r="O245" t="n">
        <v>0</v>
      </c>
      <c r="P245" t="n">
        <v>0</v>
      </c>
      <c r="Q245" t="n">
        <v>0</v>
      </c>
      <c r="R245" s="2" t="inlineStr"/>
    </row>
    <row r="246" ht="15" customHeight="1">
      <c r="A246" t="inlineStr">
        <is>
          <t>A 25788-2021</t>
        </is>
      </c>
      <c r="B246" s="1" t="n">
        <v>44343</v>
      </c>
      <c r="C246" s="1" t="n">
        <v>45890</v>
      </c>
      <c r="D246" t="inlineStr">
        <is>
          <t>SKÅNE LÄN</t>
        </is>
      </c>
      <c r="E246" t="inlineStr">
        <is>
          <t>HÄSSLEHOLM</t>
        </is>
      </c>
      <c r="G246" t="n">
        <v>4.8</v>
      </c>
      <c r="H246" t="n">
        <v>0</v>
      </c>
      <c r="I246" t="n">
        <v>0</v>
      </c>
      <c r="J246" t="n">
        <v>0</v>
      </c>
      <c r="K246" t="n">
        <v>0</v>
      </c>
      <c r="L246" t="n">
        <v>0</v>
      </c>
      <c r="M246" t="n">
        <v>0</v>
      </c>
      <c r="N246" t="n">
        <v>0</v>
      </c>
      <c r="O246" t="n">
        <v>0</v>
      </c>
      <c r="P246" t="n">
        <v>0</v>
      </c>
      <c r="Q246" t="n">
        <v>0</v>
      </c>
      <c r="R246" s="2" t="inlineStr"/>
    </row>
    <row r="247" ht="15" customHeight="1">
      <c r="A247" t="inlineStr">
        <is>
          <t>A 56527-2021</t>
        </is>
      </c>
      <c r="B247" s="1" t="n">
        <v>44480</v>
      </c>
      <c r="C247" s="1" t="n">
        <v>45890</v>
      </c>
      <c r="D247" t="inlineStr">
        <is>
          <t>SKÅNE LÄN</t>
        </is>
      </c>
      <c r="E247" t="inlineStr">
        <is>
          <t>HÄSSLEHOLM</t>
        </is>
      </c>
      <c r="F247" t="inlineStr">
        <is>
          <t>Kyrkan</t>
        </is>
      </c>
      <c r="G247" t="n">
        <v>2.7</v>
      </c>
      <c r="H247" t="n">
        <v>0</v>
      </c>
      <c r="I247" t="n">
        <v>0</v>
      </c>
      <c r="J247" t="n">
        <v>0</v>
      </c>
      <c r="K247" t="n">
        <v>0</v>
      </c>
      <c r="L247" t="n">
        <v>0</v>
      </c>
      <c r="M247" t="n">
        <v>0</v>
      </c>
      <c r="N247" t="n">
        <v>0</v>
      </c>
      <c r="O247" t="n">
        <v>0</v>
      </c>
      <c r="P247" t="n">
        <v>0</v>
      </c>
      <c r="Q247" t="n">
        <v>0</v>
      </c>
      <c r="R247" s="2" t="inlineStr"/>
    </row>
    <row r="248" ht="15" customHeight="1">
      <c r="A248" t="inlineStr">
        <is>
          <t>A 43045-2020</t>
        </is>
      </c>
      <c r="B248" s="1" t="n">
        <v>44078</v>
      </c>
      <c r="C248" s="1" t="n">
        <v>45890</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74297-2021</t>
        </is>
      </c>
      <c r="B249" s="1" t="n">
        <v>44558</v>
      </c>
      <c r="C249" s="1" t="n">
        <v>45890</v>
      </c>
      <c r="D249" t="inlineStr">
        <is>
          <t>SKÅNE LÄN</t>
        </is>
      </c>
      <c r="E249" t="inlineStr">
        <is>
          <t>HÄSSLEHOLM</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2514-2021</t>
        </is>
      </c>
      <c r="B250" s="1" t="n">
        <v>44214</v>
      </c>
      <c r="C250" s="1" t="n">
        <v>45890</v>
      </c>
      <c r="D250" t="inlineStr">
        <is>
          <t>SKÅNE LÄN</t>
        </is>
      </c>
      <c r="E250" t="inlineStr">
        <is>
          <t>HÄSSLEHOLM</t>
        </is>
      </c>
      <c r="G250" t="n">
        <v>2.3</v>
      </c>
      <c r="H250" t="n">
        <v>0</v>
      </c>
      <c r="I250" t="n">
        <v>0</v>
      </c>
      <c r="J250" t="n">
        <v>0</v>
      </c>
      <c r="K250" t="n">
        <v>0</v>
      </c>
      <c r="L250" t="n">
        <v>0</v>
      </c>
      <c r="M250" t="n">
        <v>0</v>
      </c>
      <c r="N250" t="n">
        <v>0</v>
      </c>
      <c r="O250" t="n">
        <v>0</v>
      </c>
      <c r="P250" t="n">
        <v>0</v>
      </c>
      <c r="Q250" t="n">
        <v>0</v>
      </c>
      <c r="R250" s="2" t="inlineStr"/>
    </row>
    <row r="251" ht="15" customHeight="1">
      <c r="A251" t="inlineStr">
        <is>
          <t>A 47121-2020</t>
        </is>
      </c>
      <c r="B251" s="1" t="n">
        <v>44096</v>
      </c>
      <c r="C251" s="1" t="n">
        <v>45890</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7904-2022</t>
        </is>
      </c>
      <c r="B252" s="1" t="n">
        <v>44607</v>
      </c>
      <c r="C252" s="1" t="n">
        <v>45890</v>
      </c>
      <c r="D252" t="inlineStr">
        <is>
          <t>SKÅNE LÄN</t>
        </is>
      </c>
      <c r="E252" t="inlineStr">
        <is>
          <t>HÄSSLEHOLM</t>
        </is>
      </c>
      <c r="F252" t="inlineStr">
        <is>
          <t>Kyrkan</t>
        </is>
      </c>
      <c r="G252" t="n">
        <v>3.9</v>
      </c>
      <c r="H252" t="n">
        <v>0</v>
      </c>
      <c r="I252" t="n">
        <v>0</v>
      </c>
      <c r="J252" t="n">
        <v>0</v>
      </c>
      <c r="K252" t="n">
        <v>0</v>
      </c>
      <c r="L252" t="n">
        <v>0</v>
      </c>
      <c r="M252" t="n">
        <v>0</v>
      </c>
      <c r="N252" t="n">
        <v>0</v>
      </c>
      <c r="O252" t="n">
        <v>0</v>
      </c>
      <c r="P252" t="n">
        <v>0</v>
      </c>
      <c r="Q252" t="n">
        <v>0</v>
      </c>
      <c r="R252" s="2" t="inlineStr"/>
    </row>
    <row r="253" ht="15" customHeight="1">
      <c r="A253" t="inlineStr">
        <is>
          <t>A 3930-2021</t>
        </is>
      </c>
      <c r="B253" s="1" t="n">
        <v>44222</v>
      </c>
      <c r="C253" s="1" t="n">
        <v>45890</v>
      </c>
      <c r="D253" t="inlineStr">
        <is>
          <t>SKÅNE LÄN</t>
        </is>
      </c>
      <c r="E253" t="inlineStr">
        <is>
          <t>HÄSSLEHOLM</t>
        </is>
      </c>
      <c r="G253" t="n">
        <v>3.4</v>
      </c>
      <c r="H253" t="n">
        <v>0</v>
      </c>
      <c r="I253" t="n">
        <v>0</v>
      </c>
      <c r="J253" t="n">
        <v>0</v>
      </c>
      <c r="K253" t="n">
        <v>0</v>
      </c>
      <c r="L253" t="n">
        <v>0</v>
      </c>
      <c r="M253" t="n">
        <v>0</v>
      </c>
      <c r="N253" t="n">
        <v>0</v>
      </c>
      <c r="O253" t="n">
        <v>0</v>
      </c>
      <c r="P253" t="n">
        <v>0</v>
      </c>
      <c r="Q253" t="n">
        <v>0</v>
      </c>
      <c r="R253" s="2" t="inlineStr"/>
    </row>
    <row r="254" ht="15" customHeight="1">
      <c r="A254" t="inlineStr">
        <is>
          <t>A 9453-2021</t>
        </is>
      </c>
      <c r="B254" s="1" t="n">
        <v>44251</v>
      </c>
      <c r="C254" s="1" t="n">
        <v>45890</v>
      </c>
      <c r="D254" t="inlineStr">
        <is>
          <t>SKÅNE LÄN</t>
        </is>
      </c>
      <c r="E254" t="inlineStr">
        <is>
          <t>HÄSSLEHOLM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3992-2022</t>
        </is>
      </c>
      <c r="B255" s="1" t="n">
        <v>44587</v>
      </c>
      <c r="C255" s="1" t="n">
        <v>45890</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23956-2023</t>
        </is>
      </c>
      <c r="B256" s="1" t="n">
        <v>45078.62302083334</v>
      </c>
      <c r="C256" s="1" t="n">
        <v>45890</v>
      </c>
      <c r="D256" t="inlineStr">
        <is>
          <t>SKÅNE LÄN</t>
        </is>
      </c>
      <c r="E256" t="inlineStr">
        <is>
          <t>HÄSSLEHOLM</t>
        </is>
      </c>
      <c r="G256" t="n">
        <v>0.1</v>
      </c>
      <c r="H256" t="n">
        <v>0</v>
      </c>
      <c r="I256" t="n">
        <v>0</v>
      </c>
      <c r="J256" t="n">
        <v>0</v>
      </c>
      <c r="K256" t="n">
        <v>0</v>
      </c>
      <c r="L256" t="n">
        <v>0</v>
      </c>
      <c r="M256" t="n">
        <v>0</v>
      </c>
      <c r="N256" t="n">
        <v>0</v>
      </c>
      <c r="O256" t="n">
        <v>0</v>
      </c>
      <c r="P256" t="n">
        <v>0</v>
      </c>
      <c r="Q256" t="n">
        <v>0</v>
      </c>
      <c r="R256" s="2" t="inlineStr"/>
    </row>
    <row r="257" ht="15" customHeight="1">
      <c r="A257" t="inlineStr">
        <is>
          <t>A 52295-2021</t>
        </is>
      </c>
      <c r="B257" s="1" t="n">
        <v>44463</v>
      </c>
      <c r="C257" s="1" t="n">
        <v>45890</v>
      </c>
      <c r="D257" t="inlineStr">
        <is>
          <t>SKÅNE LÄN</t>
        </is>
      </c>
      <c r="E257" t="inlineStr">
        <is>
          <t>HÄSSLEHOLM</t>
        </is>
      </c>
      <c r="G257" t="n">
        <v>0.3</v>
      </c>
      <c r="H257" t="n">
        <v>0</v>
      </c>
      <c r="I257" t="n">
        <v>0</v>
      </c>
      <c r="J257" t="n">
        <v>0</v>
      </c>
      <c r="K257" t="n">
        <v>0</v>
      </c>
      <c r="L257" t="n">
        <v>0</v>
      </c>
      <c r="M257" t="n">
        <v>0</v>
      </c>
      <c r="N257" t="n">
        <v>0</v>
      </c>
      <c r="O257" t="n">
        <v>0</v>
      </c>
      <c r="P257" t="n">
        <v>0</v>
      </c>
      <c r="Q257" t="n">
        <v>0</v>
      </c>
      <c r="R257" s="2" t="inlineStr"/>
    </row>
    <row r="258" ht="15" customHeight="1">
      <c r="A258" t="inlineStr">
        <is>
          <t>A 6973-2021</t>
        </is>
      </c>
      <c r="B258" s="1" t="n">
        <v>44237</v>
      </c>
      <c r="C258" s="1" t="n">
        <v>45890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7250-2022</t>
        </is>
      </c>
      <c r="B259" s="1" t="n">
        <v>44606</v>
      </c>
      <c r="C259" s="1" t="n">
        <v>45890</v>
      </c>
      <c r="D259" t="inlineStr">
        <is>
          <t>SKÅNE LÄN</t>
        </is>
      </c>
      <c r="E259" t="inlineStr">
        <is>
          <t>HÄSSLEHOLM</t>
        </is>
      </c>
      <c r="F259" t="inlineStr">
        <is>
          <t>Övriga Aktiebolag</t>
        </is>
      </c>
      <c r="G259" t="n">
        <v>2.6</v>
      </c>
      <c r="H259" t="n">
        <v>0</v>
      </c>
      <c r="I259" t="n">
        <v>0</v>
      </c>
      <c r="J259" t="n">
        <v>0</v>
      </c>
      <c r="K259" t="n">
        <v>0</v>
      </c>
      <c r="L259" t="n">
        <v>0</v>
      </c>
      <c r="M259" t="n">
        <v>0</v>
      </c>
      <c r="N259" t="n">
        <v>0</v>
      </c>
      <c r="O259" t="n">
        <v>0</v>
      </c>
      <c r="P259" t="n">
        <v>0</v>
      </c>
      <c r="Q259" t="n">
        <v>0</v>
      </c>
      <c r="R259" s="2" t="inlineStr"/>
    </row>
    <row r="260" ht="15" customHeight="1">
      <c r="A260" t="inlineStr">
        <is>
          <t>A 68909-2021</t>
        </is>
      </c>
      <c r="B260" s="1" t="n">
        <v>44530.46730324074</v>
      </c>
      <c r="C260" s="1" t="n">
        <v>45890</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58268-2024</t>
        </is>
      </c>
      <c r="B261" s="1" t="n">
        <v>45632.56893518518</v>
      </c>
      <c r="C261" s="1" t="n">
        <v>45890</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25955-2022</t>
        </is>
      </c>
      <c r="B262" s="1" t="n">
        <v>44734</v>
      </c>
      <c r="C262" s="1" t="n">
        <v>45890</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14674-2025</t>
        </is>
      </c>
      <c r="B263" s="1" t="n">
        <v>45742.55548611111</v>
      </c>
      <c r="C263" s="1" t="n">
        <v>45890</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14702-2025</t>
        </is>
      </c>
      <c r="B264" s="1" t="n">
        <v>45742.60403935185</v>
      </c>
      <c r="C264" s="1" t="n">
        <v>45890</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51895-2021</t>
        </is>
      </c>
      <c r="B265" s="1" t="n">
        <v>44462</v>
      </c>
      <c r="C265" s="1" t="n">
        <v>45890</v>
      </c>
      <c r="D265" t="inlineStr">
        <is>
          <t>SKÅNE LÄN</t>
        </is>
      </c>
      <c r="E265" t="inlineStr">
        <is>
          <t>HÄSSLEHOLM</t>
        </is>
      </c>
      <c r="G265" t="n">
        <v>5.7</v>
      </c>
      <c r="H265" t="n">
        <v>0</v>
      </c>
      <c r="I265" t="n">
        <v>0</v>
      </c>
      <c r="J265" t="n">
        <v>0</v>
      </c>
      <c r="K265" t="n">
        <v>0</v>
      </c>
      <c r="L265" t="n">
        <v>0</v>
      </c>
      <c r="M265" t="n">
        <v>0</v>
      </c>
      <c r="N265" t="n">
        <v>0</v>
      </c>
      <c r="O265" t="n">
        <v>0</v>
      </c>
      <c r="P265" t="n">
        <v>0</v>
      </c>
      <c r="Q265" t="n">
        <v>0</v>
      </c>
      <c r="R265" s="2" t="inlineStr"/>
    </row>
    <row r="266" ht="15" customHeight="1">
      <c r="A266" t="inlineStr">
        <is>
          <t>A 16388-2025</t>
        </is>
      </c>
      <c r="B266" s="1" t="n">
        <v>45751.42787037037</v>
      </c>
      <c r="C266" s="1" t="n">
        <v>45890</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23950-2023</t>
        </is>
      </c>
      <c r="B267" s="1" t="n">
        <v>45078.61771990741</v>
      </c>
      <c r="C267" s="1" t="n">
        <v>45890</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23952-2023</t>
        </is>
      </c>
      <c r="B268" s="1" t="n">
        <v>45078.62064814815</v>
      </c>
      <c r="C268" s="1" t="n">
        <v>45890</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35974-2022</t>
        </is>
      </c>
      <c r="B269" s="1" t="n">
        <v>44802</v>
      </c>
      <c r="C269" s="1" t="n">
        <v>45890</v>
      </c>
      <c r="D269" t="inlineStr">
        <is>
          <t>SKÅNE LÄN</t>
        </is>
      </c>
      <c r="E269" t="inlineStr">
        <is>
          <t>HÄSSLEHOLM</t>
        </is>
      </c>
      <c r="G269" t="n">
        <v>3.8</v>
      </c>
      <c r="H269" t="n">
        <v>0</v>
      </c>
      <c r="I269" t="n">
        <v>0</v>
      </c>
      <c r="J269" t="n">
        <v>0</v>
      </c>
      <c r="K269" t="n">
        <v>0</v>
      </c>
      <c r="L269" t="n">
        <v>0</v>
      </c>
      <c r="M269" t="n">
        <v>0</v>
      </c>
      <c r="N269" t="n">
        <v>0</v>
      </c>
      <c r="O269" t="n">
        <v>0</v>
      </c>
      <c r="P269" t="n">
        <v>0</v>
      </c>
      <c r="Q269" t="n">
        <v>0</v>
      </c>
      <c r="R269" s="2" t="inlineStr"/>
    </row>
    <row r="270" ht="15" customHeight="1">
      <c r="A270" t="inlineStr">
        <is>
          <t>A 1619-2022</t>
        </is>
      </c>
      <c r="B270" s="1" t="n">
        <v>44573</v>
      </c>
      <c r="C270" s="1" t="n">
        <v>45890</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41874-2024</t>
        </is>
      </c>
      <c r="B271" s="1" t="n">
        <v>45561</v>
      </c>
      <c r="C271" s="1" t="n">
        <v>45890</v>
      </c>
      <c r="D271" t="inlineStr">
        <is>
          <t>SKÅNE LÄN</t>
        </is>
      </c>
      <c r="E271" t="inlineStr">
        <is>
          <t>HÄSSLEHOLM</t>
        </is>
      </c>
      <c r="G271" t="n">
        <v>1</v>
      </c>
      <c r="H271" t="n">
        <v>0</v>
      </c>
      <c r="I271" t="n">
        <v>0</v>
      </c>
      <c r="J271" t="n">
        <v>0</v>
      </c>
      <c r="K271" t="n">
        <v>0</v>
      </c>
      <c r="L271" t="n">
        <v>0</v>
      </c>
      <c r="M271" t="n">
        <v>0</v>
      </c>
      <c r="N271" t="n">
        <v>0</v>
      </c>
      <c r="O271" t="n">
        <v>0</v>
      </c>
      <c r="P271" t="n">
        <v>0</v>
      </c>
      <c r="Q271" t="n">
        <v>0</v>
      </c>
      <c r="R271" s="2" t="inlineStr"/>
    </row>
    <row r="272" ht="15" customHeight="1">
      <c r="A272" t="inlineStr">
        <is>
          <t>A 55284-2023</t>
        </is>
      </c>
      <c r="B272" s="1" t="n">
        <v>45237.74259259259</v>
      </c>
      <c r="C272" s="1" t="n">
        <v>45890</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61170-2022</t>
        </is>
      </c>
      <c r="B273" s="1" t="n">
        <v>44915.48543981482</v>
      </c>
      <c r="C273" s="1" t="n">
        <v>45890</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20657-2022</t>
        </is>
      </c>
      <c r="B274" s="1" t="n">
        <v>44700</v>
      </c>
      <c r="C274" s="1" t="n">
        <v>45890</v>
      </c>
      <c r="D274" t="inlineStr">
        <is>
          <t>SKÅNE LÄN</t>
        </is>
      </c>
      <c r="E274" t="inlineStr">
        <is>
          <t>HÄSSLEHOLM</t>
        </is>
      </c>
      <c r="G274" t="n">
        <v>3.8</v>
      </c>
      <c r="H274" t="n">
        <v>0</v>
      </c>
      <c r="I274" t="n">
        <v>0</v>
      </c>
      <c r="J274" t="n">
        <v>0</v>
      </c>
      <c r="K274" t="n">
        <v>0</v>
      </c>
      <c r="L274" t="n">
        <v>0</v>
      </c>
      <c r="M274" t="n">
        <v>0</v>
      </c>
      <c r="N274" t="n">
        <v>0</v>
      </c>
      <c r="O274" t="n">
        <v>0</v>
      </c>
      <c r="P274" t="n">
        <v>0</v>
      </c>
      <c r="Q274" t="n">
        <v>0</v>
      </c>
      <c r="R274" s="2" t="inlineStr"/>
    </row>
    <row r="275" ht="15" customHeight="1">
      <c r="A275" t="inlineStr">
        <is>
          <t>A 7890-2024</t>
        </is>
      </c>
      <c r="B275" s="1" t="n">
        <v>45350.40780092592</v>
      </c>
      <c r="C275" s="1" t="n">
        <v>45890</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24241-2023</t>
        </is>
      </c>
      <c r="B276" s="1" t="n">
        <v>45079.61476851852</v>
      </c>
      <c r="C276" s="1" t="n">
        <v>45890</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49219-2024</t>
        </is>
      </c>
      <c r="B277" s="1" t="n">
        <v>45595.40923611111</v>
      </c>
      <c r="C277" s="1" t="n">
        <v>45890</v>
      </c>
      <c r="D277" t="inlineStr">
        <is>
          <t>SKÅNE LÄN</t>
        </is>
      </c>
      <c r="E277" t="inlineStr">
        <is>
          <t>HÄSSLEHOLM</t>
        </is>
      </c>
      <c r="G277" t="n">
        <v>1.8</v>
      </c>
      <c r="H277" t="n">
        <v>0</v>
      </c>
      <c r="I277" t="n">
        <v>0</v>
      </c>
      <c r="J277" t="n">
        <v>0</v>
      </c>
      <c r="K277" t="n">
        <v>0</v>
      </c>
      <c r="L277" t="n">
        <v>0</v>
      </c>
      <c r="M277" t="n">
        <v>0</v>
      </c>
      <c r="N277" t="n">
        <v>0</v>
      </c>
      <c r="O277" t="n">
        <v>0</v>
      </c>
      <c r="P277" t="n">
        <v>0</v>
      </c>
      <c r="Q277" t="n">
        <v>0</v>
      </c>
      <c r="R277" s="2" t="inlineStr"/>
    </row>
    <row r="278" ht="15" customHeight="1">
      <c r="A278" t="inlineStr">
        <is>
          <t>A 43629-2023</t>
        </is>
      </c>
      <c r="B278" s="1" t="n">
        <v>45184</v>
      </c>
      <c r="C278" s="1" t="n">
        <v>45890</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41680-2024</t>
        </is>
      </c>
      <c r="B279" s="1" t="n">
        <v>45560</v>
      </c>
      <c r="C279" s="1" t="n">
        <v>45890</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21310-2022</t>
        </is>
      </c>
      <c r="B280" s="1" t="n">
        <v>44705</v>
      </c>
      <c r="C280" s="1" t="n">
        <v>45890</v>
      </c>
      <c r="D280" t="inlineStr">
        <is>
          <t>SKÅNE LÄN</t>
        </is>
      </c>
      <c r="E280" t="inlineStr">
        <is>
          <t>HÄSSLEHOLM</t>
        </is>
      </c>
      <c r="G280" t="n">
        <v>1</v>
      </c>
      <c r="H280" t="n">
        <v>0</v>
      </c>
      <c r="I280" t="n">
        <v>0</v>
      </c>
      <c r="J280" t="n">
        <v>0</v>
      </c>
      <c r="K280" t="n">
        <v>0</v>
      </c>
      <c r="L280" t="n">
        <v>0</v>
      </c>
      <c r="M280" t="n">
        <v>0</v>
      </c>
      <c r="N280" t="n">
        <v>0</v>
      </c>
      <c r="O280" t="n">
        <v>0</v>
      </c>
      <c r="P280" t="n">
        <v>0</v>
      </c>
      <c r="Q280" t="n">
        <v>0</v>
      </c>
      <c r="R280" s="2" t="inlineStr"/>
    </row>
    <row r="281" ht="15" customHeight="1">
      <c r="A281" t="inlineStr">
        <is>
          <t>A 3500-2024</t>
        </is>
      </c>
      <c r="B281" s="1" t="n">
        <v>45320</v>
      </c>
      <c r="C281" s="1" t="n">
        <v>45890</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58815-2023</t>
        </is>
      </c>
      <c r="B282" s="1" t="n">
        <v>45247</v>
      </c>
      <c r="C282" s="1" t="n">
        <v>45890</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13646-2024</t>
        </is>
      </c>
      <c r="B283" s="1" t="n">
        <v>45387</v>
      </c>
      <c r="C283" s="1" t="n">
        <v>45890</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13990-2022</t>
        </is>
      </c>
      <c r="B284" s="1" t="n">
        <v>44650</v>
      </c>
      <c r="C284" s="1" t="n">
        <v>45890</v>
      </c>
      <c r="D284" t="inlineStr">
        <is>
          <t>SKÅNE LÄN</t>
        </is>
      </c>
      <c r="E284" t="inlineStr">
        <is>
          <t>HÄSSLEHOLM</t>
        </is>
      </c>
      <c r="G284" t="n">
        <v>3.6</v>
      </c>
      <c r="H284" t="n">
        <v>0</v>
      </c>
      <c r="I284" t="n">
        <v>0</v>
      </c>
      <c r="J284" t="n">
        <v>0</v>
      </c>
      <c r="K284" t="n">
        <v>0</v>
      </c>
      <c r="L284" t="n">
        <v>0</v>
      </c>
      <c r="M284" t="n">
        <v>0</v>
      </c>
      <c r="N284" t="n">
        <v>0</v>
      </c>
      <c r="O284" t="n">
        <v>0</v>
      </c>
      <c r="P284" t="n">
        <v>0</v>
      </c>
      <c r="Q284" t="n">
        <v>0</v>
      </c>
      <c r="R284" s="2" t="inlineStr"/>
    </row>
    <row r="285" ht="15" customHeight="1">
      <c r="A285" t="inlineStr">
        <is>
          <t>A 4750-2024</t>
        </is>
      </c>
      <c r="B285" s="1" t="n">
        <v>45328</v>
      </c>
      <c r="C285" s="1" t="n">
        <v>45890</v>
      </c>
      <c r="D285" t="inlineStr">
        <is>
          <t>SKÅNE LÄN</t>
        </is>
      </c>
      <c r="E285" t="inlineStr">
        <is>
          <t>HÄSSLEHOLM</t>
        </is>
      </c>
      <c r="G285" t="n">
        <v>0.3</v>
      </c>
      <c r="H285" t="n">
        <v>0</v>
      </c>
      <c r="I285" t="n">
        <v>0</v>
      </c>
      <c r="J285" t="n">
        <v>0</v>
      </c>
      <c r="K285" t="n">
        <v>0</v>
      </c>
      <c r="L285" t="n">
        <v>0</v>
      </c>
      <c r="M285" t="n">
        <v>0</v>
      </c>
      <c r="N285" t="n">
        <v>0</v>
      </c>
      <c r="O285" t="n">
        <v>0</v>
      </c>
      <c r="P285" t="n">
        <v>0</v>
      </c>
      <c r="Q285" t="n">
        <v>0</v>
      </c>
      <c r="R285" s="2" t="inlineStr"/>
    </row>
    <row r="286" ht="15" customHeight="1">
      <c r="A286" t="inlineStr">
        <is>
          <t>A 33597-2023</t>
        </is>
      </c>
      <c r="B286" s="1" t="n">
        <v>45132</v>
      </c>
      <c r="C286" s="1" t="n">
        <v>45890</v>
      </c>
      <c r="D286" t="inlineStr">
        <is>
          <t>SKÅNE LÄN</t>
        </is>
      </c>
      <c r="E286" t="inlineStr">
        <is>
          <t>HÄSSLEHOLM</t>
        </is>
      </c>
      <c r="G286" t="n">
        <v>3.9</v>
      </c>
      <c r="H286" t="n">
        <v>0</v>
      </c>
      <c r="I286" t="n">
        <v>0</v>
      </c>
      <c r="J286" t="n">
        <v>0</v>
      </c>
      <c r="K286" t="n">
        <v>0</v>
      </c>
      <c r="L286" t="n">
        <v>0</v>
      </c>
      <c r="M286" t="n">
        <v>0</v>
      </c>
      <c r="N286" t="n">
        <v>0</v>
      </c>
      <c r="O286" t="n">
        <v>0</v>
      </c>
      <c r="P286" t="n">
        <v>0</v>
      </c>
      <c r="Q286" t="n">
        <v>0</v>
      </c>
      <c r="R286" s="2" t="inlineStr"/>
    </row>
    <row r="287" ht="15" customHeight="1">
      <c r="A287" t="inlineStr">
        <is>
          <t>A 33599-2023</t>
        </is>
      </c>
      <c r="B287" s="1" t="n">
        <v>45132</v>
      </c>
      <c r="C287" s="1" t="n">
        <v>45890</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27173-2024</t>
        </is>
      </c>
      <c r="B288" s="1" t="n">
        <v>45471.57048611111</v>
      </c>
      <c r="C288" s="1" t="n">
        <v>45890</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10020-2024</t>
        </is>
      </c>
      <c r="B289" s="1" t="n">
        <v>45363.96944444445</v>
      </c>
      <c r="C289" s="1" t="n">
        <v>45890</v>
      </c>
      <c r="D289" t="inlineStr">
        <is>
          <t>SKÅNE LÄN</t>
        </is>
      </c>
      <c r="E289" t="inlineStr">
        <is>
          <t>HÄSSLEHOLM</t>
        </is>
      </c>
      <c r="G289" t="n">
        <v>5.3</v>
      </c>
      <c r="H289" t="n">
        <v>0</v>
      </c>
      <c r="I289" t="n">
        <v>0</v>
      </c>
      <c r="J289" t="n">
        <v>0</v>
      </c>
      <c r="K289" t="n">
        <v>0</v>
      </c>
      <c r="L289" t="n">
        <v>0</v>
      </c>
      <c r="M289" t="n">
        <v>0</v>
      </c>
      <c r="N289" t="n">
        <v>0</v>
      </c>
      <c r="O289" t="n">
        <v>0</v>
      </c>
      <c r="P289" t="n">
        <v>0</v>
      </c>
      <c r="Q289" t="n">
        <v>0</v>
      </c>
      <c r="R289" s="2" t="inlineStr"/>
    </row>
    <row r="290" ht="15" customHeight="1">
      <c r="A290" t="inlineStr">
        <is>
          <t>A 58891-2022</t>
        </is>
      </c>
      <c r="B290" s="1" t="n">
        <v>44896</v>
      </c>
      <c r="C290" s="1" t="n">
        <v>45890</v>
      </c>
      <c r="D290" t="inlineStr">
        <is>
          <t>SKÅNE LÄN</t>
        </is>
      </c>
      <c r="E290" t="inlineStr">
        <is>
          <t>HÄSSLEHOLM</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70087-2021</t>
        </is>
      </c>
      <c r="B291" s="1" t="n">
        <v>44533</v>
      </c>
      <c r="C291" s="1" t="n">
        <v>45890</v>
      </c>
      <c r="D291" t="inlineStr">
        <is>
          <t>SKÅNE LÄN</t>
        </is>
      </c>
      <c r="E291" t="inlineStr">
        <is>
          <t>HÄSSLEHOLM</t>
        </is>
      </c>
      <c r="G291" t="n">
        <v>5</v>
      </c>
      <c r="H291" t="n">
        <v>0</v>
      </c>
      <c r="I291" t="n">
        <v>0</v>
      </c>
      <c r="J291" t="n">
        <v>0</v>
      </c>
      <c r="K291" t="n">
        <v>0</v>
      </c>
      <c r="L291" t="n">
        <v>0</v>
      </c>
      <c r="M291" t="n">
        <v>0</v>
      </c>
      <c r="N291" t="n">
        <v>0</v>
      </c>
      <c r="O291" t="n">
        <v>0</v>
      </c>
      <c r="P291" t="n">
        <v>0</v>
      </c>
      <c r="Q291" t="n">
        <v>0</v>
      </c>
      <c r="R291" s="2" t="inlineStr"/>
    </row>
    <row r="292" ht="15" customHeight="1">
      <c r="A292" t="inlineStr">
        <is>
          <t>A 50564-2023</t>
        </is>
      </c>
      <c r="B292" s="1" t="n">
        <v>45217.37957175926</v>
      </c>
      <c r="C292" s="1" t="n">
        <v>45890</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21867-2023</t>
        </is>
      </c>
      <c r="B293" s="1" t="n">
        <v>45063</v>
      </c>
      <c r="C293" s="1" t="n">
        <v>45890</v>
      </c>
      <c r="D293" t="inlineStr">
        <is>
          <t>SKÅNE LÄN</t>
        </is>
      </c>
      <c r="E293" t="inlineStr">
        <is>
          <t>HÄSSLEHOLM</t>
        </is>
      </c>
      <c r="G293" t="n">
        <v>7.6</v>
      </c>
      <c r="H293" t="n">
        <v>0</v>
      </c>
      <c r="I293" t="n">
        <v>0</v>
      </c>
      <c r="J293" t="n">
        <v>0</v>
      </c>
      <c r="K293" t="n">
        <v>0</v>
      </c>
      <c r="L293" t="n">
        <v>0</v>
      </c>
      <c r="M293" t="n">
        <v>0</v>
      </c>
      <c r="N293" t="n">
        <v>0</v>
      </c>
      <c r="O293" t="n">
        <v>0</v>
      </c>
      <c r="P293" t="n">
        <v>0</v>
      </c>
      <c r="Q293" t="n">
        <v>0</v>
      </c>
      <c r="R293" s="2" t="inlineStr"/>
    </row>
    <row r="294" ht="15" customHeight="1">
      <c r="A294" t="inlineStr">
        <is>
          <t>A 43061-2024</t>
        </is>
      </c>
      <c r="B294" s="1" t="n">
        <v>45567</v>
      </c>
      <c r="C294" s="1" t="n">
        <v>45890</v>
      </c>
      <c r="D294" t="inlineStr">
        <is>
          <t>SKÅNE LÄN</t>
        </is>
      </c>
      <c r="E294" t="inlineStr">
        <is>
          <t>HÄSSLEHOLM</t>
        </is>
      </c>
      <c r="G294" t="n">
        <v>4.5</v>
      </c>
      <c r="H294" t="n">
        <v>0</v>
      </c>
      <c r="I294" t="n">
        <v>0</v>
      </c>
      <c r="J294" t="n">
        <v>0</v>
      </c>
      <c r="K294" t="n">
        <v>0</v>
      </c>
      <c r="L294" t="n">
        <v>0</v>
      </c>
      <c r="M294" t="n">
        <v>0</v>
      </c>
      <c r="N294" t="n">
        <v>0</v>
      </c>
      <c r="O294" t="n">
        <v>0</v>
      </c>
      <c r="P294" t="n">
        <v>0</v>
      </c>
      <c r="Q294" t="n">
        <v>0</v>
      </c>
      <c r="R294" s="2" t="inlineStr"/>
    </row>
    <row r="295" ht="15" customHeight="1">
      <c r="A295" t="inlineStr">
        <is>
          <t>A 36568-2024</t>
        </is>
      </c>
      <c r="B295" s="1" t="n">
        <v>45537</v>
      </c>
      <c r="C295" s="1" t="n">
        <v>45890</v>
      </c>
      <c r="D295" t="inlineStr">
        <is>
          <t>SKÅNE LÄN</t>
        </is>
      </c>
      <c r="E295" t="inlineStr">
        <is>
          <t>HÄSSLEHOLM</t>
        </is>
      </c>
      <c r="G295" t="n">
        <v>4.3</v>
      </c>
      <c r="H295" t="n">
        <v>0</v>
      </c>
      <c r="I295" t="n">
        <v>0</v>
      </c>
      <c r="J295" t="n">
        <v>0</v>
      </c>
      <c r="K295" t="n">
        <v>0</v>
      </c>
      <c r="L295" t="n">
        <v>0</v>
      </c>
      <c r="M295" t="n">
        <v>0</v>
      </c>
      <c r="N295" t="n">
        <v>0</v>
      </c>
      <c r="O295" t="n">
        <v>0</v>
      </c>
      <c r="P295" t="n">
        <v>0</v>
      </c>
      <c r="Q295" t="n">
        <v>0</v>
      </c>
      <c r="R295" s="2" t="inlineStr"/>
    </row>
    <row r="296" ht="15" customHeight="1">
      <c r="A296" t="inlineStr">
        <is>
          <t>A 9323-2025</t>
        </is>
      </c>
      <c r="B296" s="1" t="n">
        <v>45714.73532407408</v>
      </c>
      <c r="C296" s="1" t="n">
        <v>45890</v>
      </c>
      <c r="D296" t="inlineStr">
        <is>
          <t>SKÅNE LÄN</t>
        </is>
      </c>
      <c r="E296" t="inlineStr">
        <is>
          <t>HÄSSLEHOLM</t>
        </is>
      </c>
      <c r="G296" t="n">
        <v>5.2</v>
      </c>
      <c r="H296" t="n">
        <v>0</v>
      </c>
      <c r="I296" t="n">
        <v>0</v>
      </c>
      <c r="J296" t="n">
        <v>0</v>
      </c>
      <c r="K296" t="n">
        <v>0</v>
      </c>
      <c r="L296" t="n">
        <v>0</v>
      </c>
      <c r="M296" t="n">
        <v>0</v>
      </c>
      <c r="N296" t="n">
        <v>0</v>
      </c>
      <c r="O296" t="n">
        <v>0</v>
      </c>
      <c r="P296" t="n">
        <v>0</v>
      </c>
      <c r="Q296" t="n">
        <v>0</v>
      </c>
      <c r="R296" s="2" t="inlineStr"/>
    </row>
    <row r="297" ht="15" customHeight="1">
      <c r="A297" t="inlineStr">
        <is>
          <t>A 19593-2023</t>
        </is>
      </c>
      <c r="B297" s="1" t="n">
        <v>45050.75895833333</v>
      </c>
      <c r="C297" s="1" t="n">
        <v>45890</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18109-2025</t>
        </is>
      </c>
      <c r="B298" s="1" t="n">
        <v>45761</v>
      </c>
      <c r="C298" s="1" t="n">
        <v>45890</v>
      </c>
      <c r="D298" t="inlineStr">
        <is>
          <t>SKÅNE LÄN</t>
        </is>
      </c>
      <c r="E298" t="inlineStr">
        <is>
          <t>HÄSSLEHOLM</t>
        </is>
      </c>
      <c r="G298" t="n">
        <v>1.4</v>
      </c>
      <c r="H298" t="n">
        <v>0</v>
      </c>
      <c r="I298" t="n">
        <v>0</v>
      </c>
      <c r="J298" t="n">
        <v>0</v>
      </c>
      <c r="K298" t="n">
        <v>0</v>
      </c>
      <c r="L298" t="n">
        <v>0</v>
      </c>
      <c r="M298" t="n">
        <v>0</v>
      </c>
      <c r="N298" t="n">
        <v>0</v>
      </c>
      <c r="O298" t="n">
        <v>0</v>
      </c>
      <c r="P298" t="n">
        <v>0</v>
      </c>
      <c r="Q298" t="n">
        <v>0</v>
      </c>
      <c r="R298" s="2" t="inlineStr"/>
    </row>
    <row r="299" ht="15" customHeight="1">
      <c r="A299" t="inlineStr">
        <is>
          <t>A 5284-2023</t>
        </is>
      </c>
      <c r="B299" s="1" t="n">
        <v>44959.50608796296</v>
      </c>
      <c r="C299" s="1" t="n">
        <v>45890</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5285-2023</t>
        </is>
      </c>
      <c r="B300" s="1" t="n">
        <v>44959.50783564815</v>
      </c>
      <c r="C300" s="1" t="n">
        <v>45890</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34888-2023</t>
        </is>
      </c>
      <c r="B301" s="1" t="n">
        <v>45142.388125</v>
      </c>
      <c r="C301" s="1" t="n">
        <v>45890</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54171-2021</t>
        </is>
      </c>
      <c r="B302" s="1" t="n">
        <v>44470</v>
      </c>
      <c r="C302" s="1" t="n">
        <v>45890</v>
      </c>
      <c r="D302" t="inlineStr">
        <is>
          <t>SKÅNE LÄN</t>
        </is>
      </c>
      <c r="E302" t="inlineStr">
        <is>
          <t>HÄSSLEHOLM</t>
        </is>
      </c>
      <c r="G302" t="n">
        <v>1</v>
      </c>
      <c r="H302" t="n">
        <v>0</v>
      </c>
      <c r="I302" t="n">
        <v>0</v>
      </c>
      <c r="J302" t="n">
        <v>0</v>
      </c>
      <c r="K302" t="n">
        <v>0</v>
      </c>
      <c r="L302" t="n">
        <v>0</v>
      </c>
      <c r="M302" t="n">
        <v>0</v>
      </c>
      <c r="N302" t="n">
        <v>0</v>
      </c>
      <c r="O302" t="n">
        <v>0</v>
      </c>
      <c r="P302" t="n">
        <v>0</v>
      </c>
      <c r="Q302" t="n">
        <v>0</v>
      </c>
      <c r="R302" s="2" t="inlineStr"/>
    </row>
    <row r="303" ht="15" customHeight="1">
      <c r="A303" t="inlineStr">
        <is>
          <t>A 24640-2023</t>
        </is>
      </c>
      <c r="B303" s="1" t="n">
        <v>45084.43181712963</v>
      </c>
      <c r="C303" s="1" t="n">
        <v>45890</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51618-2024</t>
        </is>
      </c>
      <c r="B304" s="1" t="n">
        <v>45604.82615740741</v>
      </c>
      <c r="C304" s="1" t="n">
        <v>45890</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54435-2024</t>
        </is>
      </c>
      <c r="B305" s="1" t="n">
        <v>45617.49494212963</v>
      </c>
      <c r="C305" s="1" t="n">
        <v>45890</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58886-2024</t>
        </is>
      </c>
      <c r="B306" s="1" t="n">
        <v>45636.45380787037</v>
      </c>
      <c r="C306" s="1" t="n">
        <v>45890</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13087-2023</t>
        </is>
      </c>
      <c r="B307" s="1" t="n">
        <v>45001</v>
      </c>
      <c r="C307" s="1" t="n">
        <v>45890</v>
      </c>
      <c r="D307" t="inlineStr">
        <is>
          <t>SKÅNE LÄN</t>
        </is>
      </c>
      <c r="E307" t="inlineStr">
        <is>
          <t>HÄSSLEHOLM</t>
        </is>
      </c>
      <c r="G307" t="n">
        <v>3.8</v>
      </c>
      <c r="H307" t="n">
        <v>0</v>
      </c>
      <c r="I307" t="n">
        <v>0</v>
      </c>
      <c r="J307" t="n">
        <v>0</v>
      </c>
      <c r="K307" t="n">
        <v>0</v>
      </c>
      <c r="L307" t="n">
        <v>0</v>
      </c>
      <c r="M307" t="n">
        <v>0</v>
      </c>
      <c r="N307" t="n">
        <v>0</v>
      </c>
      <c r="O307" t="n">
        <v>0</v>
      </c>
      <c r="P307" t="n">
        <v>0</v>
      </c>
      <c r="Q307" t="n">
        <v>0</v>
      </c>
      <c r="R307" s="2" t="inlineStr"/>
    </row>
    <row r="308" ht="15" customHeight="1">
      <c r="A308" t="inlineStr">
        <is>
          <t>A 6583-2021</t>
        </is>
      </c>
      <c r="B308" s="1" t="n">
        <v>44236</v>
      </c>
      <c r="C308" s="1" t="n">
        <v>45890</v>
      </c>
      <c r="D308" t="inlineStr">
        <is>
          <t>SKÅNE LÄN</t>
        </is>
      </c>
      <c r="E308" t="inlineStr">
        <is>
          <t>HÄSSLEHOLM</t>
        </is>
      </c>
      <c r="G308" t="n">
        <v>1.6</v>
      </c>
      <c r="H308" t="n">
        <v>0</v>
      </c>
      <c r="I308" t="n">
        <v>0</v>
      </c>
      <c r="J308" t="n">
        <v>0</v>
      </c>
      <c r="K308" t="n">
        <v>0</v>
      </c>
      <c r="L308" t="n">
        <v>0</v>
      </c>
      <c r="M308" t="n">
        <v>0</v>
      </c>
      <c r="N308" t="n">
        <v>0</v>
      </c>
      <c r="O308" t="n">
        <v>0</v>
      </c>
      <c r="P308" t="n">
        <v>0</v>
      </c>
      <c r="Q308" t="n">
        <v>0</v>
      </c>
      <c r="R308" s="2" t="inlineStr"/>
    </row>
    <row r="309" ht="15" customHeight="1">
      <c r="A309" t="inlineStr">
        <is>
          <t>A 16017-2023</t>
        </is>
      </c>
      <c r="B309" s="1" t="n">
        <v>45026</v>
      </c>
      <c r="C309" s="1" t="n">
        <v>45890</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20666-2023</t>
        </is>
      </c>
      <c r="B310" s="1" t="n">
        <v>45058.35664351852</v>
      </c>
      <c r="C310" s="1" t="n">
        <v>45890</v>
      </c>
      <c r="D310" t="inlineStr">
        <is>
          <t>SKÅNE LÄN</t>
        </is>
      </c>
      <c r="E310" t="inlineStr">
        <is>
          <t>HÄSSLEHOLM</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59028-2023</t>
        </is>
      </c>
      <c r="B311" s="1" t="n">
        <v>45252.67900462963</v>
      </c>
      <c r="C311" s="1" t="n">
        <v>45890</v>
      </c>
      <c r="D311" t="inlineStr">
        <is>
          <t>SKÅNE LÄN</t>
        </is>
      </c>
      <c r="E311" t="inlineStr">
        <is>
          <t>HÄSSLEHOLM</t>
        </is>
      </c>
      <c r="G311" t="n">
        <v>2.5</v>
      </c>
      <c r="H311" t="n">
        <v>0</v>
      </c>
      <c r="I311" t="n">
        <v>0</v>
      </c>
      <c r="J311" t="n">
        <v>0</v>
      </c>
      <c r="K311" t="n">
        <v>0</v>
      </c>
      <c r="L311" t="n">
        <v>0</v>
      </c>
      <c r="M311" t="n">
        <v>0</v>
      </c>
      <c r="N311" t="n">
        <v>0</v>
      </c>
      <c r="O311" t="n">
        <v>0</v>
      </c>
      <c r="P311" t="n">
        <v>0</v>
      </c>
      <c r="Q311" t="n">
        <v>0</v>
      </c>
      <c r="R311" s="2" t="inlineStr"/>
    </row>
    <row r="312" ht="15" customHeight="1">
      <c r="A312" t="inlineStr">
        <is>
          <t>A 8250-2023</t>
        </is>
      </c>
      <c r="B312" s="1" t="n">
        <v>44974</v>
      </c>
      <c r="C312" s="1" t="n">
        <v>45890</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57079-2022</t>
        </is>
      </c>
      <c r="B313" s="1" t="n">
        <v>44895</v>
      </c>
      <c r="C313" s="1" t="n">
        <v>45890</v>
      </c>
      <c r="D313" t="inlineStr">
        <is>
          <t>SKÅNE LÄN</t>
        </is>
      </c>
      <c r="E313" t="inlineStr">
        <is>
          <t>HÄSSLEHOLM</t>
        </is>
      </c>
      <c r="G313" t="n">
        <v>2.6</v>
      </c>
      <c r="H313" t="n">
        <v>0</v>
      </c>
      <c r="I313" t="n">
        <v>0</v>
      </c>
      <c r="J313" t="n">
        <v>0</v>
      </c>
      <c r="K313" t="n">
        <v>0</v>
      </c>
      <c r="L313" t="n">
        <v>0</v>
      </c>
      <c r="M313" t="n">
        <v>0</v>
      </c>
      <c r="N313" t="n">
        <v>0</v>
      </c>
      <c r="O313" t="n">
        <v>0</v>
      </c>
      <c r="P313" t="n">
        <v>0</v>
      </c>
      <c r="Q313" t="n">
        <v>0</v>
      </c>
      <c r="R313" s="2" t="inlineStr"/>
    </row>
    <row r="314" ht="15" customHeight="1">
      <c r="A314" t="inlineStr">
        <is>
          <t>A 524-2024</t>
        </is>
      </c>
      <c r="B314" s="1" t="n">
        <v>45299</v>
      </c>
      <c r="C314" s="1" t="n">
        <v>45890</v>
      </c>
      <c r="D314" t="inlineStr">
        <is>
          <t>SKÅNE LÄN</t>
        </is>
      </c>
      <c r="E314" t="inlineStr">
        <is>
          <t>HÄSSLEHOLM</t>
        </is>
      </c>
      <c r="G314" t="n">
        <v>29.4</v>
      </c>
      <c r="H314" t="n">
        <v>0</v>
      </c>
      <c r="I314" t="n">
        <v>0</v>
      </c>
      <c r="J314" t="n">
        <v>0</v>
      </c>
      <c r="K314" t="n">
        <v>0</v>
      </c>
      <c r="L314" t="n">
        <v>0</v>
      </c>
      <c r="M314" t="n">
        <v>0</v>
      </c>
      <c r="N314" t="n">
        <v>0</v>
      </c>
      <c r="O314" t="n">
        <v>0</v>
      </c>
      <c r="P314" t="n">
        <v>0</v>
      </c>
      <c r="Q314" t="n">
        <v>0</v>
      </c>
      <c r="R314" s="2" t="inlineStr"/>
    </row>
    <row r="315" ht="15" customHeight="1">
      <c r="A315" t="inlineStr">
        <is>
          <t>A 8249-2023</t>
        </is>
      </c>
      <c r="B315" s="1" t="n">
        <v>44974</v>
      </c>
      <c r="C315" s="1" t="n">
        <v>45890</v>
      </c>
      <c r="D315" t="inlineStr">
        <is>
          <t>SKÅNE LÄN</t>
        </is>
      </c>
      <c r="E315" t="inlineStr">
        <is>
          <t>HÄSSLEHOLM</t>
        </is>
      </c>
      <c r="G315" t="n">
        <v>5.8</v>
      </c>
      <c r="H315" t="n">
        <v>0</v>
      </c>
      <c r="I315" t="n">
        <v>0</v>
      </c>
      <c r="J315" t="n">
        <v>0</v>
      </c>
      <c r="K315" t="n">
        <v>0</v>
      </c>
      <c r="L315" t="n">
        <v>0</v>
      </c>
      <c r="M315" t="n">
        <v>0</v>
      </c>
      <c r="N315" t="n">
        <v>0</v>
      </c>
      <c r="O315" t="n">
        <v>0</v>
      </c>
      <c r="P315" t="n">
        <v>0</v>
      </c>
      <c r="Q315" t="n">
        <v>0</v>
      </c>
      <c r="R315" s="2" t="inlineStr"/>
    </row>
    <row r="316" ht="15" customHeight="1">
      <c r="A316" t="inlineStr">
        <is>
          <t>A 15698-2023</t>
        </is>
      </c>
      <c r="B316" s="1" t="n">
        <v>45021</v>
      </c>
      <c r="C316" s="1" t="n">
        <v>45890</v>
      </c>
      <c r="D316" t="inlineStr">
        <is>
          <t>SKÅNE LÄN</t>
        </is>
      </c>
      <c r="E316" t="inlineStr">
        <is>
          <t>HÄSSLEHOLM</t>
        </is>
      </c>
      <c r="F316" t="inlineStr">
        <is>
          <t>Kommuner</t>
        </is>
      </c>
      <c r="G316" t="n">
        <v>5.5</v>
      </c>
      <c r="H316" t="n">
        <v>0</v>
      </c>
      <c r="I316" t="n">
        <v>0</v>
      </c>
      <c r="J316" t="n">
        <v>0</v>
      </c>
      <c r="K316" t="n">
        <v>0</v>
      </c>
      <c r="L316" t="n">
        <v>0</v>
      </c>
      <c r="M316" t="n">
        <v>0</v>
      </c>
      <c r="N316" t="n">
        <v>0</v>
      </c>
      <c r="O316" t="n">
        <v>0</v>
      </c>
      <c r="P316" t="n">
        <v>0</v>
      </c>
      <c r="Q316" t="n">
        <v>0</v>
      </c>
      <c r="R316" s="2" t="inlineStr"/>
    </row>
    <row r="317" ht="15" customHeight="1">
      <c r="A317" t="inlineStr">
        <is>
          <t>A 20566-2023</t>
        </is>
      </c>
      <c r="B317" s="1" t="n">
        <v>45057</v>
      </c>
      <c r="C317" s="1" t="n">
        <v>45890</v>
      </c>
      <c r="D317" t="inlineStr">
        <is>
          <t>SKÅNE LÄN</t>
        </is>
      </c>
      <c r="E317" t="inlineStr">
        <is>
          <t>HÄSSLEHOLM</t>
        </is>
      </c>
      <c r="G317" t="n">
        <v>5.2</v>
      </c>
      <c r="H317" t="n">
        <v>0</v>
      </c>
      <c r="I317" t="n">
        <v>0</v>
      </c>
      <c r="J317" t="n">
        <v>0</v>
      </c>
      <c r="K317" t="n">
        <v>0</v>
      </c>
      <c r="L317" t="n">
        <v>0</v>
      </c>
      <c r="M317" t="n">
        <v>0</v>
      </c>
      <c r="N317" t="n">
        <v>0</v>
      </c>
      <c r="O317" t="n">
        <v>0</v>
      </c>
      <c r="P317" t="n">
        <v>0</v>
      </c>
      <c r="Q317" t="n">
        <v>0</v>
      </c>
      <c r="R317" s="2" t="inlineStr"/>
    </row>
    <row r="318" ht="15" customHeight="1">
      <c r="A318" t="inlineStr">
        <is>
          <t>A 9394-2025</t>
        </is>
      </c>
      <c r="B318" s="1" t="n">
        <v>45715.36387731481</v>
      </c>
      <c r="C318" s="1" t="n">
        <v>45890</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24904-2025</t>
        </is>
      </c>
      <c r="B319" s="1" t="n">
        <v>45799</v>
      </c>
      <c r="C319" s="1" t="n">
        <v>45890</v>
      </c>
      <c r="D319" t="inlineStr">
        <is>
          <t>SKÅNE LÄN</t>
        </is>
      </c>
      <c r="E319" t="inlineStr">
        <is>
          <t>HÄSSLEHOLM</t>
        </is>
      </c>
      <c r="G319" t="n">
        <v>2.2</v>
      </c>
      <c r="H319" t="n">
        <v>0</v>
      </c>
      <c r="I319" t="n">
        <v>0</v>
      </c>
      <c r="J319" t="n">
        <v>0</v>
      </c>
      <c r="K319" t="n">
        <v>0</v>
      </c>
      <c r="L319" t="n">
        <v>0</v>
      </c>
      <c r="M319" t="n">
        <v>0</v>
      </c>
      <c r="N319" t="n">
        <v>0</v>
      </c>
      <c r="O319" t="n">
        <v>0</v>
      </c>
      <c r="P319" t="n">
        <v>0</v>
      </c>
      <c r="Q319" t="n">
        <v>0</v>
      </c>
      <c r="R319" s="2" t="inlineStr"/>
    </row>
    <row r="320" ht="15" customHeight="1">
      <c r="A320" t="inlineStr">
        <is>
          <t>A 54374-2020</t>
        </is>
      </c>
      <c r="B320" s="1" t="n">
        <v>44126</v>
      </c>
      <c r="C320" s="1" t="n">
        <v>45890</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39223-2024</t>
        </is>
      </c>
      <c r="B321" s="1" t="n">
        <v>45550</v>
      </c>
      <c r="C321" s="1" t="n">
        <v>45890</v>
      </c>
      <c r="D321" t="inlineStr">
        <is>
          <t>SKÅNE LÄN</t>
        </is>
      </c>
      <c r="E321" t="inlineStr">
        <is>
          <t>HÄSSLEHOLM</t>
        </is>
      </c>
      <c r="G321" t="n">
        <v>3.1</v>
      </c>
      <c r="H321" t="n">
        <v>0</v>
      </c>
      <c r="I321" t="n">
        <v>0</v>
      </c>
      <c r="J321" t="n">
        <v>0</v>
      </c>
      <c r="K321" t="n">
        <v>0</v>
      </c>
      <c r="L321" t="n">
        <v>0</v>
      </c>
      <c r="M321" t="n">
        <v>0</v>
      </c>
      <c r="N321" t="n">
        <v>0</v>
      </c>
      <c r="O321" t="n">
        <v>0</v>
      </c>
      <c r="P321" t="n">
        <v>0</v>
      </c>
      <c r="Q321" t="n">
        <v>0</v>
      </c>
      <c r="R321" s="2" t="inlineStr"/>
    </row>
    <row r="322" ht="15" customHeight="1">
      <c r="A322" t="inlineStr">
        <is>
          <t>A 27297-2023</t>
        </is>
      </c>
      <c r="B322" s="1" t="n">
        <v>45096</v>
      </c>
      <c r="C322" s="1" t="n">
        <v>45890</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34886-2023</t>
        </is>
      </c>
      <c r="B323" s="1" t="n">
        <v>45142.38450231482</v>
      </c>
      <c r="C323" s="1" t="n">
        <v>45890</v>
      </c>
      <c r="D323" t="inlineStr">
        <is>
          <t>SKÅNE LÄN</t>
        </is>
      </c>
      <c r="E323" t="inlineStr">
        <is>
          <t>HÄSSLEHOLM</t>
        </is>
      </c>
      <c r="G323" t="n">
        <v>1.3</v>
      </c>
      <c r="H323" t="n">
        <v>0</v>
      </c>
      <c r="I323" t="n">
        <v>0</v>
      </c>
      <c r="J323" t="n">
        <v>0</v>
      </c>
      <c r="K323" t="n">
        <v>0</v>
      </c>
      <c r="L323" t="n">
        <v>0</v>
      </c>
      <c r="M323" t="n">
        <v>0</v>
      </c>
      <c r="N323" t="n">
        <v>0</v>
      </c>
      <c r="O323" t="n">
        <v>0</v>
      </c>
      <c r="P323" t="n">
        <v>0</v>
      </c>
      <c r="Q323" t="n">
        <v>0</v>
      </c>
      <c r="R323" s="2" t="inlineStr"/>
    </row>
    <row r="324" ht="15" customHeight="1">
      <c r="A324" t="inlineStr">
        <is>
          <t>A 47840-2023</t>
        </is>
      </c>
      <c r="B324" s="1" t="n">
        <v>45204</v>
      </c>
      <c r="C324" s="1" t="n">
        <v>45890</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2596-2024</t>
        </is>
      </c>
      <c r="B325" s="1" t="n">
        <v>45313.69969907407</v>
      </c>
      <c r="C325" s="1" t="n">
        <v>45890</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62277-2023</t>
        </is>
      </c>
      <c r="B326" s="1" t="n">
        <v>45266</v>
      </c>
      <c r="C326" s="1" t="n">
        <v>45890</v>
      </c>
      <c r="D326" t="inlineStr">
        <is>
          <t>SKÅNE LÄN</t>
        </is>
      </c>
      <c r="E326" t="inlineStr">
        <is>
          <t>HÄSSLEHOLM</t>
        </is>
      </c>
      <c r="G326" t="n">
        <v>1.2</v>
      </c>
      <c r="H326" t="n">
        <v>0</v>
      </c>
      <c r="I326" t="n">
        <v>0</v>
      </c>
      <c r="J326" t="n">
        <v>0</v>
      </c>
      <c r="K326" t="n">
        <v>0</v>
      </c>
      <c r="L326" t="n">
        <v>0</v>
      </c>
      <c r="M326" t="n">
        <v>0</v>
      </c>
      <c r="N326" t="n">
        <v>0</v>
      </c>
      <c r="O326" t="n">
        <v>0</v>
      </c>
      <c r="P326" t="n">
        <v>0</v>
      </c>
      <c r="Q326" t="n">
        <v>0</v>
      </c>
      <c r="R326" s="2" t="inlineStr"/>
    </row>
    <row r="327" ht="15" customHeight="1">
      <c r="A327" t="inlineStr">
        <is>
          <t>A 27304-2023</t>
        </is>
      </c>
      <c r="B327" s="1" t="n">
        <v>45096.65199074074</v>
      </c>
      <c r="C327" s="1" t="n">
        <v>45890</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22693-2022</t>
        </is>
      </c>
      <c r="B328" s="1" t="n">
        <v>44714.54729166667</v>
      </c>
      <c r="C328" s="1" t="n">
        <v>45890</v>
      </c>
      <c r="D328" t="inlineStr">
        <is>
          <t>SKÅNE LÄN</t>
        </is>
      </c>
      <c r="E328" t="inlineStr">
        <is>
          <t>HÄSSLEHOLM</t>
        </is>
      </c>
      <c r="G328" t="n">
        <v>2.8</v>
      </c>
      <c r="H328" t="n">
        <v>0</v>
      </c>
      <c r="I328" t="n">
        <v>0</v>
      </c>
      <c r="J328" t="n">
        <v>0</v>
      </c>
      <c r="K328" t="n">
        <v>0</v>
      </c>
      <c r="L328" t="n">
        <v>0</v>
      </c>
      <c r="M328" t="n">
        <v>0</v>
      </c>
      <c r="N328" t="n">
        <v>0</v>
      </c>
      <c r="O328" t="n">
        <v>0</v>
      </c>
      <c r="P328" t="n">
        <v>0</v>
      </c>
      <c r="Q328" t="n">
        <v>0</v>
      </c>
      <c r="R328" s="2" t="inlineStr"/>
    </row>
    <row r="329" ht="15" customHeight="1">
      <c r="A329" t="inlineStr">
        <is>
          <t>A 34369-2023</t>
        </is>
      </c>
      <c r="B329" s="1" t="n">
        <v>45139.47817129629</v>
      </c>
      <c r="C329" s="1" t="n">
        <v>45890</v>
      </c>
      <c r="D329" t="inlineStr">
        <is>
          <t>SKÅNE LÄN</t>
        </is>
      </c>
      <c r="E329" t="inlineStr">
        <is>
          <t>HÄSSLEHOLM</t>
        </is>
      </c>
      <c r="G329" t="n">
        <v>2</v>
      </c>
      <c r="H329" t="n">
        <v>0</v>
      </c>
      <c r="I329" t="n">
        <v>0</v>
      </c>
      <c r="J329" t="n">
        <v>0</v>
      </c>
      <c r="K329" t="n">
        <v>0</v>
      </c>
      <c r="L329" t="n">
        <v>0</v>
      </c>
      <c r="M329" t="n">
        <v>0</v>
      </c>
      <c r="N329" t="n">
        <v>0</v>
      </c>
      <c r="O329" t="n">
        <v>0</v>
      </c>
      <c r="P329" t="n">
        <v>0</v>
      </c>
      <c r="Q329" t="n">
        <v>0</v>
      </c>
      <c r="R329" s="2" t="inlineStr"/>
    </row>
    <row r="330" ht="15" customHeight="1">
      <c r="A330" t="inlineStr">
        <is>
          <t>A 6842-2023</t>
        </is>
      </c>
      <c r="B330" s="1" t="n">
        <v>44967</v>
      </c>
      <c r="C330" s="1" t="n">
        <v>45890</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11446-2025</t>
        </is>
      </c>
      <c r="B331" s="1" t="n">
        <v>45726</v>
      </c>
      <c r="C331" s="1" t="n">
        <v>45890</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34834-2023</t>
        </is>
      </c>
      <c r="B332" s="1" t="n">
        <v>45141.7199537037</v>
      </c>
      <c r="C332" s="1" t="n">
        <v>45890</v>
      </c>
      <c r="D332" t="inlineStr">
        <is>
          <t>SKÅNE LÄN</t>
        </is>
      </c>
      <c r="E332" t="inlineStr">
        <is>
          <t>HÄSSLEHOLM</t>
        </is>
      </c>
      <c r="G332" t="n">
        <v>1</v>
      </c>
      <c r="H332" t="n">
        <v>0</v>
      </c>
      <c r="I332" t="n">
        <v>0</v>
      </c>
      <c r="J332" t="n">
        <v>0</v>
      </c>
      <c r="K332" t="n">
        <v>0</v>
      </c>
      <c r="L332" t="n">
        <v>0</v>
      </c>
      <c r="M332" t="n">
        <v>0</v>
      </c>
      <c r="N332" t="n">
        <v>0</v>
      </c>
      <c r="O332" t="n">
        <v>0</v>
      </c>
      <c r="P332" t="n">
        <v>0</v>
      </c>
      <c r="Q332" t="n">
        <v>0</v>
      </c>
      <c r="R332" s="2" t="inlineStr"/>
    </row>
    <row r="333" ht="15" customHeight="1">
      <c r="A333" t="inlineStr">
        <is>
          <t>A 48747-2022</t>
        </is>
      </c>
      <c r="B333" s="1" t="n">
        <v>44859</v>
      </c>
      <c r="C333" s="1" t="n">
        <v>45890</v>
      </c>
      <c r="D333" t="inlineStr">
        <is>
          <t>SKÅNE LÄN</t>
        </is>
      </c>
      <c r="E333" t="inlineStr">
        <is>
          <t>HÄSSLEHOLM</t>
        </is>
      </c>
      <c r="G333" t="n">
        <v>1.9</v>
      </c>
      <c r="H333" t="n">
        <v>0</v>
      </c>
      <c r="I333" t="n">
        <v>0</v>
      </c>
      <c r="J333" t="n">
        <v>0</v>
      </c>
      <c r="K333" t="n">
        <v>0</v>
      </c>
      <c r="L333" t="n">
        <v>0</v>
      </c>
      <c r="M333" t="n">
        <v>0</v>
      </c>
      <c r="N333" t="n">
        <v>0</v>
      </c>
      <c r="O333" t="n">
        <v>0</v>
      </c>
      <c r="P333" t="n">
        <v>0</v>
      </c>
      <c r="Q333" t="n">
        <v>0</v>
      </c>
      <c r="R333" s="2" t="inlineStr"/>
    </row>
    <row r="334" ht="15" customHeight="1">
      <c r="A334" t="inlineStr">
        <is>
          <t>A 48627-2023</t>
        </is>
      </c>
      <c r="B334" s="1" t="n">
        <v>45208.57371527778</v>
      </c>
      <c r="C334" s="1" t="n">
        <v>45890</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11607-2025</t>
        </is>
      </c>
      <c r="B335" s="1" t="n">
        <v>45727</v>
      </c>
      <c r="C335" s="1" t="n">
        <v>45890</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720-2025</t>
        </is>
      </c>
      <c r="B336" s="1" t="n">
        <v>45665.3744212963</v>
      </c>
      <c r="C336" s="1" t="n">
        <v>45890</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16024-2025</t>
        </is>
      </c>
      <c r="B337" s="1" t="n">
        <v>45749.61296296296</v>
      </c>
      <c r="C337" s="1" t="n">
        <v>45890</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15104-2023</t>
        </is>
      </c>
      <c r="B338" s="1" t="n">
        <v>45016.40576388889</v>
      </c>
      <c r="C338" s="1" t="n">
        <v>45890</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12182-2025</t>
        </is>
      </c>
      <c r="B339" s="1" t="n">
        <v>45729</v>
      </c>
      <c r="C339" s="1" t="n">
        <v>45890</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50899-2024</t>
        </is>
      </c>
      <c r="B340" s="1" t="n">
        <v>45602.68584490741</v>
      </c>
      <c r="C340" s="1" t="n">
        <v>45890</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60848-2022</t>
        </is>
      </c>
      <c r="B341" s="1" t="n">
        <v>44914</v>
      </c>
      <c r="C341" s="1" t="n">
        <v>45890</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12507-2022</t>
        </is>
      </c>
      <c r="B342" s="1" t="n">
        <v>44638</v>
      </c>
      <c r="C342" s="1" t="n">
        <v>45890</v>
      </c>
      <c r="D342" t="inlineStr">
        <is>
          <t>SKÅNE LÄN</t>
        </is>
      </c>
      <c r="E342" t="inlineStr">
        <is>
          <t>HÄSSLEHOLM</t>
        </is>
      </c>
      <c r="G342" t="n">
        <v>2.7</v>
      </c>
      <c r="H342" t="n">
        <v>0</v>
      </c>
      <c r="I342" t="n">
        <v>0</v>
      </c>
      <c r="J342" t="n">
        <v>0</v>
      </c>
      <c r="K342" t="n">
        <v>0</v>
      </c>
      <c r="L342" t="n">
        <v>0</v>
      </c>
      <c r="M342" t="n">
        <v>0</v>
      </c>
      <c r="N342" t="n">
        <v>0</v>
      </c>
      <c r="O342" t="n">
        <v>0</v>
      </c>
      <c r="P342" t="n">
        <v>0</v>
      </c>
      <c r="Q342" t="n">
        <v>0</v>
      </c>
      <c r="R342" s="2" t="inlineStr"/>
    </row>
    <row r="343" ht="15" customHeight="1">
      <c r="A343" t="inlineStr">
        <is>
          <t>A 13198-2025</t>
        </is>
      </c>
      <c r="B343" s="1" t="n">
        <v>45735</v>
      </c>
      <c r="C343" s="1" t="n">
        <v>45890</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6164-2023</t>
        </is>
      </c>
      <c r="B344" s="1" t="n">
        <v>44964.66871527778</v>
      </c>
      <c r="C344" s="1" t="n">
        <v>45890</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2597-2024</t>
        </is>
      </c>
      <c r="B345" s="1" t="n">
        <v>45313</v>
      </c>
      <c r="C345" s="1" t="n">
        <v>45890</v>
      </c>
      <c r="D345" t="inlineStr">
        <is>
          <t>SKÅNE LÄN</t>
        </is>
      </c>
      <c r="E345" t="inlineStr">
        <is>
          <t>HÄSSLEHOLM</t>
        </is>
      </c>
      <c r="G345" t="n">
        <v>1</v>
      </c>
      <c r="H345" t="n">
        <v>0</v>
      </c>
      <c r="I345" t="n">
        <v>0</v>
      </c>
      <c r="J345" t="n">
        <v>0</v>
      </c>
      <c r="K345" t="n">
        <v>0</v>
      </c>
      <c r="L345" t="n">
        <v>0</v>
      </c>
      <c r="M345" t="n">
        <v>0</v>
      </c>
      <c r="N345" t="n">
        <v>0</v>
      </c>
      <c r="O345" t="n">
        <v>0</v>
      </c>
      <c r="P345" t="n">
        <v>0</v>
      </c>
      <c r="Q345" t="n">
        <v>0</v>
      </c>
      <c r="R345" s="2" t="inlineStr"/>
    </row>
    <row r="346" ht="15" customHeight="1">
      <c r="A346" t="inlineStr">
        <is>
          <t>A 5476-2021</t>
        </is>
      </c>
      <c r="B346" s="1" t="n">
        <v>44230</v>
      </c>
      <c r="C346" s="1" t="n">
        <v>45890</v>
      </c>
      <c r="D346" t="inlineStr">
        <is>
          <t>SKÅNE LÄN</t>
        </is>
      </c>
      <c r="E346" t="inlineStr">
        <is>
          <t>HÄSSLEHOLM</t>
        </is>
      </c>
      <c r="G346" t="n">
        <v>1</v>
      </c>
      <c r="H346" t="n">
        <v>0</v>
      </c>
      <c r="I346" t="n">
        <v>0</v>
      </c>
      <c r="J346" t="n">
        <v>0</v>
      </c>
      <c r="K346" t="n">
        <v>0</v>
      </c>
      <c r="L346" t="n">
        <v>0</v>
      </c>
      <c r="M346" t="n">
        <v>0</v>
      </c>
      <c r="N346" t="n">
        <v>0</v>
      </c>
      <c r="O346" t="n">
        <v>0</v>
      </c>
      <c r="P346" t="n">
        <v>0</v>
      </c>
      <c r="Q346" t="n">
        <v>0</v>
      </c>
      <c r="R346" s="2" t="inlineStr"/>
    </row>
    <row r="347" ht="15" customHeight="1">
      <c r="A347" t="inlineStr">
        <is>
          <t>A 3531-2023</t>
        </is>
      </c>
      <c r="B347" s="1" t="n">
        <v>44950</v>
      </c>
      <c r="C347" s="1" t="n">
        <v>45890</v>
      </c>
      <c r="D347" t="inlineStr">
        <is>
          <t>SKÅNE LÄN</t>
        </is>
      </c>
      <c r="E347" t="inlineStr">
        <is>
          <t>HÄSSLEHOLM</t>
        </is>
      </c>
      <c r="G347" t="n">
        <v>10.1</v>
      </c>
      <c r="H347" t="n">
        <v>0</v>
      </c>
      <c r="I347" t="n">
        <v>0</v>
      </c>
      <c r="J347" t="n">
        <v>0</v>
      </c>
      <c r="K347" t="n">
        <v>0</v>
      </c>
      <c r="L347" t="n">
        <v>0</v>
      </c>
      <c r="M347" t="n">
        <v>0</v>
      </c>
      <c r="N347" t="n">
        <v>0</v>
      </c>
      <c r="O347" t="n">
        <v>0</v>
      </c>
      <c r="P347" t="n">
        <v>0</v>
      </c>
      <c r="Q347" t="n">
        <v>0</v>
      </c>
      <c r="R347" s="2" t="inlineStr"/>
    </row>
    <row r="348" ht="15" customHeight="1">
      <c r="A348" t="inlineStr">
        <is>
          <t>A 45392-2024</t>
        </is>
      </c>
      <c r="B348" s="1" t="n">
        <v>45576.55008101852</v>
      </c>
      <c r="C348" s="1" t="n">
        <v>45890</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6122-2021</t>
        </is>
      </c>
      <c r="B349" s="1" t="n">
        <v>44232.55091435185</v>
      </c>
      <c r="C349" s="1" t="n">
        <v>45890</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16454-2023</t>
        </is>
      </c>
      <c r="B350" s="1" t="n">
        <v>45029.48425925926</v>
      </c>
      <c r="C350" s="1" t="n">
        <v>45890</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50616-2023</t>
        </is>
      </c>
      <c r="B351" s="1" t="n">
        <v>45210</v>
      </c>
      <c r="C351" s="1" t="n">
        <v>45890</v>
      </c>
      <c r="D351" t="inlineStr">
        <is>
          <t>SKÅNE LÄN</t>
        </is>
      </c>
      <c r="E351" t="inlineStr">
        <is>
          <t>HÄSSLEHOLM</t>
        </is>
      </c>
      <c r="G351" t="n">
        <v>1.1</v>
      </c>
      <c r="H351" t="n">
        <v>0</v>
      </c>
      <c r="I351" t="n">
        <v>0</v>
      </c>
      <c r="J351" t="n">
        <v>0</v>
      </c>
      <c r="K351" t="n">
        <v>0</v>
      </c>
      <c r="L351" t="n">
        <v>0</v>
      </c>
      <c r="M351" t="n">
        <v>0</v>
      </c>
      <c r="N351" t="n">
        <v>0</v>
      </c>
      <c r="O351" t="n">
        <v>0</v>
      </c>
      <c r="P351" t="n">
        <v>0</v>
      </c>
      <c r="Q351" t="n">
        <v>0</v>
      </c>
      <c r="R351" s="2" t="inlineStr"/>
    </row>
    <row r="352" ht="15" customHeight="1">
      <c r="A352" t="inlineStr">
        <is>
          <t>A 45361-2023</t>
        </is>
      </c>
      <c r="B352" s="1" t="n">
        <v>45192.49068287037</v>
      </c>
      <c r="C352" s="1" t="n">
        <v>45890</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15417-2022</t>
        </is>
      </c>
      <c r="B353" s="1" t="n">
        <v>44659</v>
      </c>
      <c r="C353" s="1" t="n">
        <v>45890</v>
      </c>
      <c r="D353" t="inlineStr">
        <is>
          <t>SKÅNE LÄN</t>
        </is>
      </c>
      <c r="E353" t="inlineStr">
        <is>
          <t>HÄSSLEHOLM</t>
        </is>
      </c>
      <c r="F353" t="inlineStr">
        <is>
          <t>Kyrkan</t>
        </is>
      </c>
      <c r="G353" t="n">
        <v>2.9</v>
      </c>
      <c r="H353" t="n">
        <v>0</v>
      </c>
      <c r="I353" t="n">
        <v>0</v>
      </c>
      <c r="J353" t="n">
        <v>0</v>
      </c>
      <c r="K353" t="n">
        <v>0</v>
      </c>
      <c r="L353" t="n">
        <v>0</v>
      </c>
      <c r="M353" t="n">
        <v>0</v>
      </c>
      <c r="N353" t="n">
        <v>0</v>
      </c>
      <c r="O353" t="n">
        <v>0</v>
      </c>
      <c r="P353" t="n">
        <v>0</v>
      </c>
      <c r="Q353" t="n">
        <v>0</v>
      </c>
      <c r="R353" s="2" t="inlineStr"/>
    </row>
    <row r="354" ht="15" customHeight="1">
      <c r="A354" t="inlineStr">
        <is>
          <t>A 44262-2021</t>
        </is>
      </c>
      <c r="B354" s="1" t="n">
        <v>44434</v>
      </c>
      <c r="C354" s="1" t="n">
        <v>45890</v>
      </c>
      <c r="D354" t="inlineStr">
        <is>
          <t>SKÅNE LÄN</t>
        </is>
      </c>
      <c r="E354" t="inlineStr">
        <is>
          <t>HÄSSLEHOLM</t>
        </is>
      </c>
      <c r="G354" t="n">
        <v>4.7</v>
      </c>
      <c r="H354" t="n">
        <v>0</v>
      </c>
      <c r="I354" t="n">
        <v>0</v>
      </c>
      <c r="J354" t="n">
        <v>0</v>
      </c>
      <c r="K354" t="n">
        <v>0</v>
      </c>
      <c r="L354" t="n">
        <v>0</v>
      </c>
      <c r="M354" t="n">
        <v>0</v>
      </c>
      <c r="N354" t="n">
        <v>0</v>
      </c>
      <c r="O354" t="n">
        <v>0</v>
      </c>
      <c r="P354" t="n">
        <v>0</v>
      </c>
      <c r="Q354" t="n">
        <v>0</v>
      </c>
      <c r="R354" s="2" t="inlineStr"/>
    </row>
    <row r="355" ht="15" customHeight="1">
      <c r="A355" t="inlineStr">
        <is>
          <t>A 50659-2023</t>
        </is>
      </c>
      <c r="B355" s="1" t="n">
        <v>45217</v>
      </c>
      <c r="C355" s="1" t="n">
        <v>45890</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17335-2024</t>
        </is>
      </c>
      <c r="B356" s="1" t="n">
        <v>45414.5687962963</v>
      </c>
      <c r="C356" s="1" t="n">
        <v>45890</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13808-2021</t>
        </is>
      </c>
      <c r="B357" s="1" t="n">
        <v>44276</v>
      </c>
      <c r="C357" s="1" t="n">
        <v>45890</v>
      </c>
      <c r="D357" t="inlineStr">
        <is>
          <t>SKÅNE LÄN</t>
        </is>
      </c>
      <c r="E357" t="inlineStr">
        <is>
          <t>HÄSSLEHOLM</t>
        </is>
      </c>
      <c r="G357" t="n">
        <v>10.3</v>
      </c>
      <c r="H357" t="n">
        <v>0</v>
      </c>
      <c r="I357" t="n">
        <v>0</v>
      </c>
      <c r="J357" t="n">
        <v>0</v>
      </c>
      <c r="K357" t="n">
        <v>0</v>
      </c>
      <c r="L357" t="n">
        <v>0</v>
      </c>
      <c r="M357" t="n">
        <v>0</v>
      </c>
      <c r="N357" t="n">
        <v>0</v>
      </c>
      <c r="O357" t="n">
        <v>0</v>
      </c>
      <c r="P357" t="n">
        <v>0</v>
      </c>
      <c r="Q357" t="n">
        <v>0</v>
      </c>
      <c r="R357" s="2" t="inlineStr"/>
    </row>
    <row r="358" ht="15" customHeight="1">
      <c r="A358" t="inlineStr">
        <is>
          <t>A 67801-2021</t>
        </is>
      </c>
      <c r="B358" s="1" t="n">
        <v>44525</v>
      </c>
      <c r="C358" s="1" t="n">
        <v>45890</v>
      </c>
      <c r="D358" t="inlineStr">
        <is>
          <t>SKÅNE LÄN</t>
        </is>
      </c>
      <c r="E358" t="inlineStr">
        <is>
          <t>HÄSSLEHOLM</t>
        </is>
      </c>
      <c r="G358" t="n">
        <v>2.2</v>
      </c>
      <c r="H358" t="n">
        <v>0</v>
      </c>
      <c r="I358" t="n">
        <v>0</v>
      </c>
      <c r="J358" t="n">
        <v>0</v>
      </c>
      <c r="K358" t="n">
        <v>0</v>
      </c>
      <c r="L358" t="n">
        <v>0</v>
      </c>
      <c r="M358" t="n">
        <v>0</v>
      </c>
      <c r="N358" t="n">
        <v>0</v>
      </c>
      <c r="O358" t="n">
        <v>0</v>
      </c>
      <c r="P358" t="n">
        <v>0</v>
      </c>
      <c r="Q358" t="n">
        <v>0</v>
      </c>
      <c r="R358" s="2" t="inlineStr"/>
    </row>
    <row r="359" ht="15" customHeight="1">
      <c r="A359" t="inlineStr">
        <is>
          <t>A 2144-2023</t>
        </is>
      </c>
      <c r="B359" s="1" t="n">
        <v>44940.79054398148</v>
      </c>
      <c r="C359" s="1" t="n">
        <v>45890</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24246-2023</t>
        </is>
      </c>
      <c r="B360" s="1" t="n">
        <v>45079</v>
      </c>
      <c r="C360" s="1" t="n">
        <v>45890</v>
      </c>
      <c r="D360" t="inlineStr">
        <is>
          <t>SKÅNE LÄN</t>
        </is>
      </c>
      <c r="E360" t="inlineStr">
        <is>
          <t>HÄSSLEHOLM</t>
        </is>
      </c>
      <c r="G360" t="n">
        <v>0.9</v>
      </c>
      <c r="H360" t="n">
        <v>0</v>
      </c>
      <c r="I360" t="n">
        <v>0</v>
      </c>
      <c r="J360" t="n">
        <v>0</v>
      </c>
      <c r="K360" t="n">
        <v>0</v>
      </c>
      <c r="L360" t="n">
        <v>0</v>
      </c>
      <c r="M360" t="n">
        <v>0</v>
      </c>
      <c r="N360" t="n">
        <v>0</v>
      </c>
      <c r="O360" t="n">
        <v>0</v>
      </c>
      <c r="P360" t="n">
        <v>0</v>
      </c>
      <c r="Q360" t="n">
        <v>0</v>
      </c>
      <c r="R360" s="2" t="inlineStr"/>
    </row>
    <row r="361" ht="15" customHeight="1">
      <c r="A361" t="inlineStr">
        <is>
          <t>A 24249-2023</t>
        </is>
      </c>
      <c r="B361" s="1" t="n">
        <v>45079.62466435185</v>
      </c>
      <c r="C361" s="1" t="n">
        <v>45890</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9747-2024</t>
        </is>
      </c>
      <c r="B362" s="1" t="n">
        <v>45362</v>
      </c>
      <c r="C362" s="1" t="n">
        <v>45890</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49107-2023</t>
        </is>
      </c>
      <c r="B363" s="1" t="n">
        <v>45210.44337962963</v>
      </c>
      <c r="C363" s="1" t="n">
        <v>45890</v>
      </c>
      <c r="D363" t="inlineStr">
        <is>
          <t>SKÅNE LÄN</t>
        </is>
      </c>
      <c r="E363" t="inlineStr">
        <is>
          <t>HÄSSLEHOLM</t>
        </is>
      </c>
      <c r="G363" t="n">
        <v>0.3</v>
      </c>
      <c r="H363" t="n">
        <v>0</v>
      </c>
      <c r="I363" t="n">
        <v>0</v>
      </c>
      <c r="J363" t="n">
        <v>0</v>
      </c>
      <c r="K363" t="n">
        <v>0</v>
      </c>
      <c r="L363" t="n">
        <v>0</v>
      </c>
      <c r="M363" t="n">
        <v>0</v>
      </c>
      <c r="N363" t="n">
        <v>0</v>
      </c>
      <c r="O363" t="n">
        <v>0</v>
      </c>
      <c r="P363" t="n">
        <v>0</v>
      </c>
      <c r="Q363" t="n">
        <v>0</v>
      </c>
      <c r="R363" s="2" t="inlineStr"/>
    </row>
    <row r="364" ht="15" customHeight="1">
      <c r="A364" t="inlineStr">
        <is>
          <t>A 31989-2024</t>
        </is>
      </c>
      <c r="B364" s="1" t="n">
        <v>45510.58085648148</v>
      </c>
      <c r="C364" s="1" t="n">
        <v>45890</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45890</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60973-2024</t>
        </is>
      </c>
      <c r="B366" s="1" t="n">
        <v>45644</v>
      </c>
      <c r="C366" s="1" t="n">
        <v>45890</v>
      </c>
      <c r="D366" t="inlineStr">
        <is>
          <t>SKÅNE LÄN</t>
        </is>
      </c>
      <c r="E366" t="inlineStr">
        <is>
          <t>HÄSSLEHOLM</t>
        </is>
      </c>
      <c r="G366" t="n">
        <v>3.6</v>
      </c>
      <c r="H366" t="n">
        <v>0</v>
      </c>
      <c r="I366" t="n">
        <v>0</v>
      </c>
      <c r="J366" t="n">
        <v>0</v>
      </c>
      <c r="K366" t="n">
        <v>0</v>
      </c>
      <c r="L366" t="n">
        <v>0</v>
      </c>
      <c r="M366" t="n">
        <v>0</v>
      </c>
      <c r="N366" t="n">
        <v>0</v>
      </c>
      <c r="O366" t="n">
        <v>0</v>
      </c>
      <c r="P366" t="n">
        <v>0</v>
      </c>
      <c r="Q366" t="n">
        <v>0</v>
      </c>
      <c r="R366" s="2" t="inlineStr"/>
    </row>
    <row r="367" ht="15" customHeight="1">
      <c r="A367" t="inlineStr">
        <is>
          <t>A 27478-2023</t>
        </is>
      </c>
      <c r="B367" s="1" t="n">
        <v>45092</v>
      </c>
      <c r="C367" s="1" t="n">
        <v>45890</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37898-2021</t>
        </is>
      </c>
      <c r="B368" s="1" t="n">
        <v>44403</v>
      </c>
      <c r="C368" s="1" t="n">
        <v>45890</v>
      </c>
      <c r="D368" t="inlineStr">
        <is>
          <t>SKÅNE LÄN</t>
        </is>
      </c>
      <c r="E368" t="inlineStr">
        <is>
          <t>HÄSSLEHOLM</t>
        </is>
      </c>
      <c r="F368" t="inlineStr">
        <is>
          <t>Kommuner</t>
        </is>
      </c>
      <c r="G368" t="n">
        <v>8.4</v>
      </c>
      <c r="H368" t="n">
        <v>0</v>
      </c>
      <c r="I368" t="n">
        <v>0</v>
      </c>
      <c r="J368" t="n">
        <v>0</v>
      </c>
      <c r="K368" t="n">
        <v>0</v>
      </c>
      <c r="L368" t="n">
        <v>0</v>
      </c>
      <c r="M368" t="n">
        <v>0</v>
      </c>
      <c r="N368" t="n">
        <v>0</v>
      </c>
      <c r="O368" t="n">
        <v>0</v>
      </c>
      <c r="P368" t="n">
        <v>0</v>
      </c>
      <c r="Q368" t="n">
        <v>0</v>
      </c>
      <c r="R368" s="2" t="inlineStr"/>
    </row>
    <row r="369" ht="15" customHeight="1">
      <c r="A369" t="inlineStr">
        <is>
          <t>A 37141-2021</t>
        </is>
      </c>
      <c r="B369" s="1" t="n">
        <v>44396</v>
      </c>
      <c r="C369" s="1" t="n">
        <v>45890</v>
      </c>
      <c r="D369" t="inlineStr">
        <is>
          <t>SKÅNE LÄN</t>
        </is>
      </c>
      <c r="E369" t="inlineStr">
        <is>
          <t>HÄSSLEHOLM</t>
        </is>
      </c>
      <c r="G369" t="n">
        <v>12.8</v>
      </c>
      <c r="H369" t="n">
        <v>0</v>
      </c>
      <c r="I369" t="n">
        <v>0</v>
      </c>
      <c r="J369" t="n">
        <v>0</v>
      </c>
      <c r="K369" t="n">
        <v>0</v>
      </c>
      <c r="L369" t="n">
        <v>0</v>
      </c>
      <c r="M369" t="n">
        <v>0</v>
      </c>
      <c r="N369" t="n">
        <v>0</v>
      </c>
      <c r="O369" t="n">
        <v>0</v>
      </c>
      <c r="P369" t="n">
        <v>0</v>
      </c>
      <c r="Q369" t="n">
        <v>0</v>
      </c>
      <c r="R369" s="2" t="inlineStr"/>
    </row>
    <row r="370" ht="15" customHeight="1">
      <c r="A370" t="inlineStr">
        <is>
          <t>A 26641-2023</t>
        </is>
      </c>
      <c r="B370" s="1" t="n">
        <v>45092.89619212963</v>
      </c>
      <c r="C370" s="1" t="n">
        <v>45890</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7202-2022</t>
        </is>
      </c>
      <c r="B371" s="1" t="n">
        <v>44606</v>
      </c>
      <c r="C371" s="1" t="n">
        <v>45890</v>
      </c>
      <c r="D371" t="inlineStr">
        <is>
          <t>SKÅNE LÄN</t>
        </is>
      </c>
      <c r="E371" t="inlineStr">
        <is>
          <t>HÄSSLEHOLM</t>
        </is>
      </c>
      <c r="G371" t="n">
        <v>4.7</v>
      </c>
      <c r="H371" t="n">
        <v>0</v>
      </c>
      <c r="I371" t="n">
        <v>0</v>
      </c>
      <c r="J371" t="n">
        <v>0</v>
      </c>
      <c r="K371" t="n">
        <v>0</v>
      </c>
      <c r="L371" t="n">
        <v>0</v>
      </c>
      <c r="M371" t="n">
        <v>0</v>
      </c>
      <c r="N371" t="n">
        <v>0</v>
      </c>
      <c r="O371" t="n">
        <v>0</v>
      </c>
      <c r="P371" t="n">
        <v>0</v>
      </c>
      <c r="Q371" t="n">
        <v>0</v>
      </c>
      <c r="R371" s="2" t="inlineStr"/>
    </row>
    <row r="372" ht="15" customHeight="1">
      <c r="A372" t="inlineStr">
        <is>
          <t>A 6327-2021</t>
        </is>
      </c>
      <c r="B372" s="1" t="n">
        <v>44235</v>
      </c>
      <c r="C372" s="1" t="n">
        <v>45890</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65235-2021</t>
        </is>
      </c>
      <c r="B373" s="1" t="n">
        <v>44515</v>
      </c>
      <c r="C373" s="1" t="n">
        <v>45890</v>
      </c>
      <c r="D373" t="inlineStr">
        <is>
          <t>SKÅNE LÄN</t>
        </is>
      </c>
      <c r="E373" t="inlineStr">
        <is>
          <t>HÄSSLEHOLM</t>
        </is>
      </c>
      <c r="G373" t="n">
        <v>2.5</v>
      </c>
      <c r="H373" t="n">
        <v>0</v>
      </c>
      <c r="I373" t="n">
        <v>0</v>
      </c>
      <c r="J373" t="n">
        <v>0</v>
      </c>
      <c r="K373" t="n">
        <v>0</v>
      </c>
      <c r="L373" t="n">
        <v>0</v>
      </c>
      <c r="M373" t="n">
        <v>0</v>
      </c>
      <c r="N373" t="n">
        <v>0</v>
      </c>
      <c r="O373" t="n">
        <v>0</v>
      </c>
      <c r="P373" t="n">
        <v>0</v>
      </c>
      <c r="Q373" t="n">
        <v>0</v>
      </c>
      <c r="R373" s="2" t="inlineStr"/>
    </row>
    <row r="374" ht="15" customHeight="1">
      <c r="A374" t="inlineStr">
        <is>
          <t>A 13549-2025</t>
        </is>
      </c>
      <c r="B374" s="1" t="n">
        <v>45736</v>
      </c>
      <c r="C374" s="1" t="n">
        <v>45890</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51245-2023</t>
        </is>
      </c>
      <c r="B375" s="1" t="n">
        <v>45212</v>
      </c>
      <c r="C375" s="1" t="n">
        <v>45890</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31934-2024</t>
        </is>
      </c>
      <c r="B376" s="1" t="n">
        <v>45510.41177083334</v>
      </c>
      <c r="C376" s="1" t="n">
        <v>45890</v>
      </c>
      <c r="D376" t="inlineStr">
        <is>
          <t>SKÅNE LÄN</t>
        </is>
      </c>
      <c r="E376" t="inlineStr">
        <is>
          <t>HÄSSLEHOLM</t>
        </is>
      </c>
      <c r="G376" t="n">
        <v>1.9</v>
      </c>
      <c r="H376" t="n">
        <v>0</v>
      </c>
      <c r="I376" t="n">
        <v>0</v>
      </c>
      <c r="J376" t="n">
        <v>0</v>
      </c>
      <c r="K376" t="n">
        <v>0</v>
      </c>
      <c r="L376" t="n">
        <v>0</v>
      </c>
      <c r="M376" t="n">
        <v>0</v>
      </c>
      <c r="N376" t="n">
        <v>0</v>
      </c>
      <c r="O376" t="n">
        <v>0</v>
      </c>
      <c r="P376" t="n">
        <v>0</v>
      </c>
      <c r="Q376" t="n">
        <v>0</v>
      </c>
      <c r="R376" s="2" t="inlineStr"/>
    </row>
    <row r="377" ht="15" customHeight="1">
      <c r="A377" t="inlineStr">
        <is>
          <t>A 16397-2022</t>
        </is>
      </c>
      <c r="B377" s="1" t="n">
        <v>44671</v>
      </c>
      <c r="C377" s="1" t="n">
        <v>45890</v>
      </c>
      <c r="D377" t="inlineStr">
        <is>
          <t>SKÅNE LÄN</t>
        </is>
      </c>
      <c r="E377" t="inlineStr">
        <is>
          <t>HÄSSLEHOLM</t>
        </is>
      </c>
      <c r="G377" t="n">
        <v>2.7</v>
      </c>
      <c r="H377" t="n">
        <v>0</v>
      </c>
      <c r="I377" t="n">
        <v>0</v>
      </c>
      <c r="J377" t="n">
        <v>0</v>
      </c>
      <c r="K377" t="n">
        <v>0</v>
      </c>
      <c r="L377" t="n">
        <v>0</v>
      </c>
      <c r="M377" t="n">
        <v>0</v>
      </c>
      <c r="N377" t="n">
        <v>0</v>
      </c>
      <c r="O377" t="n">
        <v>0</v>
      </c>
      <c r="P377" t="n">
        <v>0</v>
      </c>
      <c r="Q377" t="n">
        <v>0</v>
      </c>
      <c r="R377" s="2" t="inlineStr"/>
    </row>
    <row r="378" ht="15" customHeight="1">
      <c r="A378" t="inlineStr">
        <is>
          <t>A 16398-2022</t>
        </is>
      </c>
      <c r="B378" s="1" t="n">
        <v>44671</v>
      </c>
      <c r="C378" s="1" t="n">
        <v>45890</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8160-2024</t>
        </is>
      </c>
      <c r="B379" s="1" t="n">
        <v>45351</v>
      </c>
      <c r="C379" s="1" t="n">
        <v>45890</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46813-2024</t>
        </is>
      </c>
      <c r="B380" s="1" t="n">
        <v>45583</v>
      </c>
      <c r="C380" s="1" t="n">
        <v>45890</v>
      </c>
      <c r="D380" t="inlineStr">
        <is>
          <t>SKÅNE LÄN</t>
        </is>
      </c>
      <c r="E380" t="inlineStr">
        <is>
          <t>HÄSSLEHOLM</t>
        </is>
      </c>
      <c r="G380" t="n">
        <v>14.9</v>
      </c>
      <c r="H380" t="n">
        <v>0</v>
      </c>
      <c r="I380" t="n">
        <v>0</v>
      </c>
      <c r="J380" t="n">
        <v>0</v>
      </c>
      <c r="K380" t="n">
        <v>0</v>
      </c>
      <c r="L380" t="n">
        <v>0</v>
      </c>
      <c r="M380" t="n">
        <v>0</v>
      </c>
      <c r="N380" t="n">
        <v>0</v>
      </c>
      <c r="O380" t="n">
        <v>0</v>
      </c>
      <c r="P380" t="n">
        <v>0</v>
      </c>
      <c r="Q380" t="n">
        <v>0</v>
      </c>
      <c r="R380" s="2" t="inlineStr"/>
    </row>
    <row r="381" ht="15" customHeight="1">
      <c r="A381" t="inlineStr">
        <is>
          <t>A 59429-2023</t>
        </is>
      </c>
      <c r="B381" s="1" t="n">
        <v>45254.2875</v>
      </c>
      <c r="C381" s="1" t="n">
        <v>45890</v>
      </c>
      <c r="D381" t="inlineStr">
        <is>
          <t>SKÅNE LÄN</t>
        </is>
      </c>
      <c r="E381" t="inlineStr">
        <is>
          <t>HÄSSLEHOLM</t>
        </is>
      </c>
      <c r="G381" t="n">
        <v>0</v>
      </c>
      <c r="H381" t="n">
        <v>0</v>
      </c>
      <c r="I381" t="n">
        <v>0</v>
      </c>
      <c r="J381" t="n">
        <v>0</v>
      </c>
      <c r="K381" t="n">
        <v>0</v>
      </c>
      <c r="L381" t="n">
        <v>0</v>
      </c>
      <c r="M381" t="n">
        <v>0</v>
      </c>
      <c r="N381" t="n">
        <v>0</v>
      </c>
      <c r="O381" t="n">
        <v>0</v>
      </c>
      <c r="P381" t="n">
        <v>0</v>
      </c>
      <c r="Q381" t="n">
        <v>0</v>
      </c>
      <c r="R381" s="2" t="inlineStr"/>
    </row>
    <row r="382" ht="15" customHeight="1">
      <c r="A382" t="inlineStr">
        <is>
          <t>A 4512-2024</t>
        </is>
      </c>
      <c r="B382" s="1" t="n">
        <v>45327.6312962963</v>
      </c>
      <c r="C382" s="1" t="n">
        <v>45890</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15512-2025</t>
        </is>
      </c>
      <c r="B383" s="1" t="n">
        <v>45747</v>
      </c>
      <c r="C383" s="1" t="n">
        <v>45890</v>
      </c>
      <c r="D383" t="inlineStr">
        <is>
          <t>SKÅNE LÄN</t>
        </is>
      </c>
      <c r="E383" t="inlineStr">
        <is>
          <t>HÄSSLEHOLM</t>
        </is>
      </c>
      <c r="G383" t="n">
        <v>3.5</v>
      </c>
      <c r="H383" t="n">
        <v>0</v>
      </c>
      <c r="I383" t="n">
        <v>0</v>
      </c>
      <c r="J383" t="n">
        <v>0</v>
      </c>
      <c r="K383" t="n">
        <v>0</v>
      </c>
      <c r="L383" t="n">
        <v>0</v>
      </c>
      <c r="M383" t="n">
        <v>0</v>
      </c>
      <c r="N383" t="n">
        <v>0</v>
      </c>
      <c r="O383" t="n">
        <v>0</v>
      </c>
      <c r="P383" t="n">
        <v>0</v>
      </c>
      <c r="Q383" t="n">
        <v>0</v>
      </c>
      <c r="R383" s="2" t="inlineStr"/>
    </row>
    <row r="384" ht="15" customHeight="1">
      <c r="A384" t="inlineStr">
        <is>
          <t>A 21494-2023</t>
        </is>
      </c>
      <c r="B384" s="1" t="n">
        <v>45063</v>
      </c>
      <c r="C384" s="1" t="n">
        <v>45890</v>
      </c>
      <c r="D384" t="inlineStr">
        <is>
          <t>SKÅNE LÄN</t>
        </is>
      </c>
      <c r="E384" t="inlineStr">
        <is>
          <t>HÄSSLEHOLM</t>
        </is>
      </c>
      <c r="G384" t="n">
        <v>3.7</v>
      </c>
      <c r="H384" t="n">
        <v>0</v>
      </c>
      <c r="I384" t="n">
        <v>0</v>
      </c>
      <c r="J384" t="n">
        <v>0</v>
      </c>
      <c r="K384" t="n">
        <v>0</v>
      </c>
      <c r="L384" t="n">
        <v>0</v>
      </c>
      <c r="M384" t="n">
        <v>0</v>
      </c>
      <c r="N384" t="n">
        <v>0</v>
      </c>
      <c r="O384" t="n">
        <v>0</v>
      </c>
      <c r="P384" t="n">
        <v>0</v>
      </c>
      <c r="Q384" t="n">
        <v>0</v>
      </c>
      <c r="R384" s="2" t="inlineStr"/>
    </row>
    <row r="385" ht="15" customHeight="1">
      <c r="A385" t="inlineStr">
        <is>
          <t>A 21495-2023</t>
        </is>
      </c>
      <c r="B385" s="1" t="n">
        <v>45063</v>
      </c>
      <c r="C385" s="1" t="n">
        <v>45890</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62167-2022</t>
        </is>
      </c>
      <c r="B386" s="1" t="n">
        <v>44915</v>
      </c>
      <c r="C386" s="1" t="n">
        <v>45890</v>
      </c>
      <c r="D386" t="inlineStr">
        <is>
          <t>SKÅNE LÄN</t>
        </is>
      </c>
      <c r="E386" t="inlineStr">
        <is>
          <t>HÄSSLEHOLM</t>
        </is>
      </c>
      <c r="F386" t="inlineStr">
        <is>
          <t>Kyrkan</t>
        </is>
      </c>
      <c r="G386" t="n">
        <v>3.1</v>
      </c>
      <c r="H386" t="n">
        <v>0</v>
      </c>
      <c r="I386" t="n">
        <v>0</v>
      </c>
      <c r="J386" t="n">
        <v>0</v>
      </c>
      <c r="K386" t="n">
        <v>0</v>
      </c>
      <c r="L386" t="n">
        <v>0</v>
      </c>
      <c r="M386" t="n">
        <v>0</v>
      </c>
      <c r="N386" t="n">
        <v>0</v>
      </c>
      <c r="O386" t="n">
        <v>0</v>
      </c>
      <c r="P386" t="n">
        <v>0</v>
      </c>
      <c r="Q386" t="n">
        <v>0</v>
      </c>
      <c r="R386" s="2" t="inlineStr"/>
    </row>
    <row r="387" ht="15" customHeight="1">
      <c r="A387" t="inlineStr">
        <is>
          <t>A 62234-2022</t>
        </is>
      </c>
      <c r="B387" s="1" t="n">
        <v>44922</v>
      </c>
      <c r="C387" s="1" t="n">
        <v>45890</v>
      </c>
      <c r="D387" t="inlineStr">
        <is>
          <t>SKÅNE LÄN</t>
        </is>
      </c>
      <c r="E387" t="inlineStr">
        <is>
          <t>HÄSSLEHOLM</t>
        </is>
      </c>
      <c r="G387" t="n">
        <v>1.3</v>
      </c>
      <c r="H387" t="n">
        <v>0</v>
      </c>
      <c r="I387" t="n">
        <v>0</v>
      </c>
      <c r="J387" t="n">
        <v>0</v>
      </c>
      <c r="K387" t="n">
        <v>0</v>
      </c>
      <c r="L387" t="n">
        <v>0</v>
      </c>
      <c r="M387" t="n">
        <v>0</v>
      </c>
      <c r="N387" t="n">
        <v>0</v>
      </c>
      <c r="O387" t="n">
        <v>0</v>
      </c>
      <c r="P387" t="n">
        <v>0</v>
      </c>
      <c r="Q387" t="n">
        <v>0</v>
      </c>
      <c r="R387" s="2" t="inlineStr"/>
    </row>
    <row r="388" ht="15" customHeight="1">
      <c r="A388" t="inlineStr">
        <is>
          <t>A 34299-2024</t>
        </is>
      </c>
      <c r="B388" s="1" t="n">
        <v>45524</v>
      </c>
      <c r="C388" s="1" t="n">
        <v>45890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60959-2022</t>
        </is>
      </c>
      <c r="B389" s="1" t="n">
        <v>44914.64777777778</v>
      </c>
      <c r="C389" s="1" t="n">
        <v>45890</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39044-2024</t>
        </is>
      </c>
      <c r="B390" s="1" t="n">
        <v>45548.47707175926</v>
      </c>
      <c r="C390" s="1" t="n">
        <v>45890</v>
      </c>
      <c r="D390" t="inlineStr">
        <is>
          <t>SKÅNE LÄN</t>
        </is>
      </c>
      <c r="E390" t="inlineStr">
        <is>
          <t>HÄSSLEHOLM</t>
        </is>
      </c>
      <c r="G390" t="n">
        <v>2.8</v>
      </c>
      <c r="H390" t="n">
        <v>0</v>
      </c>
      <c r="I390" t="n">
        <v>0</v>
      </c>
      <c r="J390" t="n">
        <v>0</v>
      </c>
      <c r="K390" t="n">
        <v>0</v>
      </c>
      <c r="L390" t="n">
        <v>0</v>
      </c>
      <c r="M390" t="n">
        <v>0</v>
      </c>
      <c r="N390" t="n">
        <v>0</v>
      </c>
      <c r="O390" t="n">
        <v>0</v>
      </c>
      <c r="P390" t="n">
        <v>0</v>
      </c>
      <c r="Q390" t="n">
        <v>0</v>
      </c>
      <c r="R390" s="2" t="inlineStr"/>
    </row>
    <row r="391" ht="15" customHeight="1">
      <c r="A391" t="inlineStr">
        <is>
          <t>A 42906-2022</t>
        </is>
      </c>
      <c r="B391" s="1" t="n">
        <v>44833</v>
      </c>
      <c r="C391" s="1" t="n">
        <v>45890</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31931-2024</t>
        </is>
      </c>
      <c r="B392" s="1" t="n">
        <v>45510.40878472223</v>
      </c>
      <c r="C392" s="1" t="n">
        <v>45890</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15133-2023</t>
        </is>
      </c>
      <c r="B393" s="1" t="n">
        <v>45016</v>
      </c>
      <c r="C393" s="1" t="n">
        <v>45890</v>
      </c>
      <c r="D393" t="inlineStr">
        <is>
          <t>SKÅNE LÄN</t>
        </is>
      </c>
      <c r="E393" t="inlineStr">
        <is>
          <t>HÄSSLEHOLM</t>
        </is>
      </c>
      <c r="G393" t="n">
        <v>7.8</v>
      </c>
      <c r="H393" t="n">
        <v>0</v>
      </c>
      <c r="I393" t="n">
        <v>0</v>
      </c>
      <c r="J393" t="n">
        <v>0</v>
      </c>
      <c r="K393" t="n">
        <v>0</v>
      </c>
      <c r="L393" t="n">
        <v>0</v>
      </c>
      <c r="M393" t="n">
        <v>0</v>
      </c>
      <c r="N393" t="n">
        <v>0</v>
      </c>
      <c r="O393" t="n">
        <v>0</v>
      </c>
      <c r="P393" t="n">
        <v>0</v>
      </c>
      <c r="Q393" t="n">
        <v>0</v>
      </c>
      <c r="R393" s="2" t="inlineStr"/>
    </row>
    <row r="394" ht="15" customHeight="1">
      <c r="A394" t="inlineStr">
        <is>
          <t>A 11609-2025</t>
        </is>
      </c>
      <c r="B394" s="1" t="n">
        <v>45727.44237268518</v>
      </c>
      <c r="C394" s="1" t="n">
        <v>45890</v>
      </c>
      <c r="D394" t="inlineStr">
        <is>
          <t>SKÅNE LÄN</t>
        </is>
      </c>
      <c r="E394" t="inlineStr">
        <is>
          <t>HÄSSLEHOLM</t>
        </is>
      </c>
      <c r="G394" t="n">
        <v>4.4</v>
      </c>
      <c r="H394" t="n">
        <v>0</v>
      </c>
      <c r="I394" t="n">
        <v>0</v>
      </c>
      <c r="J394" t="n">
        <v>0</v>
      </c>
      <c r="K394" t="n">
        <v>0</v>
      </c>
      <c r="L394" t="n">
        <v>0</v>
      </c>
      <c r="M394" t="n">
        <v>0</v>
      </c>
      <c r="N394" t="n">
        <v>0</v>
      </c>
      <c r="O394" t="n">
        <v>0</v>
      </c>
      <c r="P394" t="n">
        <v>0</v>
      </c>
      <c r="Q394" t="n">
        <v>0</v>
      </c>
      <c r="R394" s="2" t="inlineStr"/>
    </row>
    <row r="395" ht="15" customHeight="1">
      <c r="A395" t="inlineStr">
        <is>
          <t>A 34883-2023</t>
        </is>
      </c>
      <c r="B395" s="1" t="n">
        <v>45142.37902777778</v>
      </c>
      <c r="C395" s="1" t="n">
        <v>45890</v>
      </c>
      <c r="D395" t="inlineStr">
        <is>
          <t>SKÅNE LÄN</t>
        </is>
      </c>
      <c r="E395" t="inlineStr">
        <is>
          <t>HÄSSLEHOLM</t>
        </is>
      </c>
      <c r="G395" t="n">
        <v>2.5</v>
      </c>
      <c r="H395" t="n">
        <v>0</v>
      </c>
      <c r="I395" t="n">
        <v>0</v>
      </c>
      <c r="J395" t="n">
        <v>0</v>
      </c>
      <c r="K395" t="n">
        <v>0</v>
      </c>
      <c r="L395" t="n">
        <v>0</v>
      </c>
      <c r="M395" t="n">
        <v>0</v>
      </c>
      <c r="N395" t="n">
        <v>0</v>
      </c>
      <c r="O395" t="n">
        <v>0</v>
      </c>
      <c r="P395" t="n">
        <v>0</v>
      </c>
      <c r="Q395" t="n">
        <v>0</v>
      </c>
      <c r="R395" s="2" t="inlineStr"/>
    </row>
    <row r="396" ht="15" customHeight="1">
      <c r="A396" t="inlineStr">
        <is>
          <t>A 19020-2024</t>
        </is>
      </c>
      <c r="B396" s="1" t="n">
        <v>45427.66167824074</v>
      </c>
      <c r="C396" s="1" t="n">
        <v>45890</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40734-2024</t>
        </is>
      </c>
      <c r="B397" s="1" t="n">
        <v>45558</v>
      </c>
      <c r="C397" s="1" t="n">
        <v>45890</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40738-2024</t>
        </is>
      </c>
      <c r="B398" s="1" t="n">
        <v>45558</v>
      </c>
      <c r="C398" s="1" t="n">
        <v>45890</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9697-2023</t>
        </is>
      </c>
      <c r="B399" s="1" t="n">
        <v>44984</v>
      </c>
      <c r="C399" s="1" t="n">
        <v>45890</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49199-2024</t>
        </is>
      </c>
      <c r="B400" s="1" t="n">
        <v>45595</v>
      </c>
      <c r="C400" s="1" t="n">
        <v>45890</v>
      </c>
      <c r="D400" t="inlineStr">
        <is>
          <t>SKÅNE LÄN</t>
        </is>
      </c>
      <c r="E400" t="inlineStr">
        <is>
          <t>HÄSSLEHOLM</t>
        </is>
      </c>
      <c r="G400" t="n">
        <v>5.2</v>
      </c>
      <c r="H400" t="n">
        <v>0</v>
      </c>
      <c r="I400" t="n">
        <v>0</v>
      </c>
      <c r="J400" t="n">
        <v>0</v>
      </c>
      <c r="K400" t="n">
        <v>0</v>
      </c>
      <c r="L400" t="n">
        <v>0</v>
      </c>
      <c r="M400" t="n">
        <v>0</v>
      </c>
      <c r="N400" t="n">
        <v>0</v>
      </c>
      <c r="O400" t="n">
        <v>0</v>
      </c>
      <c r="P400" t="n">
        <v>0</v>
      </c>
      <c r="Q400" t="n">
        <v>0</v>
      </c>
      <c r="R400" s="2" t="inlineStr"/>
    </row>
    <row r="401" ht="15" customHeight="1">
      <c r="A401" t="inlineStr">
        <is>
          <t>A 20187-2023</t>
        </is>
      </c>
      <c r="B401" s="1" t="n">
        <v>45055.57027777778</v>
      </c>
      <c r="C401" s="1" t="n">
        <v>45890</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1557-2023</t>
        </is>
      </c>
      <c r="B402" s="1" t="n">
        <v>44937</v>
      </c>
      <c r="C402" s="1" t="n">
        <v>45890</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1560-2023</t>
        </is>
      </c>
      <c r="B403" s="1" t="n">
        <v>44937</v>
      </c>
      <c r="C403" s="1" t="n">
        <v>45890</v>
      </c>
      <c r="D403" t="inlineStr">
        <is>
          <t>SKÅNE LÄN</t>
        </is>
      </c>
      <c r="E403" t="inlineStr">
        <is>
          <t>HÄSSLEHOLM</t>
        </is>
      </c>
      <c r="G403" t="n">
        <v>6.8</v>
      </c>
      <c r="H403" t="n">
        <v>0</v>
      </c>
      <c r="I403" t="n">
        <v>0</v>
      </c>
      <c r="J403" t="n">
        <v>0</v>
      </c>
      <c r="K403" t="n">
        <v>0</v>
      </c>
      <c r="L403" t="n">
        <v>0</v>
      </c>
      <c r="M403" t="n">
        <v>0</v>
      </c>
      <c r="N403" t="n">
        <v>0</v>
      </c>
      <c r="O403" t="n">
        <v>0</v>
      </c>
      <c r="P403" t="n">
        <v>0</v>
      </c>
      <c r="Q403" t="n">
        <v>0</v>
      </c>
      <c r="R403" s="2" t="inlineStr"/>
    </row>
    <row r="404" ht="15" customHeight="1">
      <c r="A404" t="inlineStr">
        <is>
          <t>A 6638-2021</t>
        </is>
      </c>
      <c r="B404" s="1" t="n">
        <v>44235</v>
      </c>
      <c r="C404" s="1" t="n">
        <v>45890</v>
      </c>
      <c r="D404" t="inlineStr">
        <is>
          <t>SKÅNE LÄN</t>
        </is>
      </c>
      <c r="E404" t="inlineStr">
        <is>
          <t>HÄSSLEHOLM</t>
        </is>
      </c>
      <c r="G404" t="n">
        <v>112.4</v>
      </c>
      <c r="H404" t="n">
        <v>0</v>
      </c>
      <c r="I404" t="n">
        <v>0</v>
      </c>
      <c r="J404" t="n">
        <v>0</v>
      </c>
      <c r="K404" t="n">
        <v>0</v>
      </c>
      <c r="L404" t="n">
        <v>0</v>
      </c>
      <c r="M404" t="n">
        <v>0</v>
      </c>
      <c r="N404" t="n">
        <v>0</v>
      </c>
      <c r="O404" t="n">
        <v>0</v>
      </c>
      <c r="P404" t="n">
        <v>0</v>
      </c>
      <c r="Q404" t="n">
        <v>0</v>
      </c>
      <c r="R404" s="2" t="inlineStr"/>
    </row>
    <row r="405" ht="15" customHeight="1">
      <c r="A405" t="inlineStr">
        <is>
          <t>A 42232-2022</t>
        </is>
      </c>
      <c r="B405" s="1" t="n">
        <v>44830.77591435185</v>
      </c>
      <c r="C405" s="1" t="n">
        <v>45890</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58618-2024</t>
        </is>
      </c>
      <c r="B406" s="1" t="n">
        <v>45635.56150462963</v>
      </c>
      <c r="C406" s="1" t="n">
        <v>45890</v>
      </c>
      <c r="D406" t="inlineStr">
        <is>
          <t>SKÅNE LÄN</t>
        </is>
      </c>
      <c r="E406" t="inlineStr">
        <is>
          <t>HÄSSLEHOLM</t>
        </is>
      </c>
      <c r="G406" t="n">
        <v>2.3</v>
      </c>
      <c r="H406" t="n">
        <v>0</v>
      </c>
      <c r="I406" t="n">
        <v>0</v>
      </c>
      <c r="J406" t="n">
        <v>0</v>
      </c>
      <c r="K406" t="n">
        <v>0</v>
      </c>
      <c r="L406" t="n">
        <v>0</v>
      </c>
      <c r="M406" t="n">
        <v>0</v>
      </c>
      <c r="N406" t="n">
        <v>0</v>
      </c>
      <c r="O406" t="n">
        <v>0</v>
      </c>
      <c r="P406" t="n">
        <v>0</v>
      </c>
      <c r="Q406" t="n">
        <v>0</v>
      </c>
      <c r="R406" s="2" t="inlineStr"/>
    </row>
    <row r="407" ht="15" customHeight="1">
      <c r="A407" t="inlineStr">
        <is>
          <t>A 2712-2024</t>
        </is>
      </c>
      <c r="B407" s="1" t="n">
        <v>45314</v>
      </c>
      <c r="C407" s="1" t="n">
        <v>45890</v>
      </c>
      <c r="D407" t="inlineStr">
        <is>
          <t>SKÅNE LÄN</t>
        </is>
      </c>
      <c r="E407" t="inlineStr">
        <is>
          <t>HÄSSLEHOLM</t>
        </is>
      </c>
      <c r="G407" t="n">
        <v>11.3</v>
      </c>
      <c r="H407" t="n">
        <v>0</v>
      </c>
      <c r="I407" t="n">
        <v>0</v>
      </c>
      <c r="J407" t="n">
        <v>0</v>
      </c>
      <c r="K407" t="n">
        <v>0</v>
      </c>
      <c r="L407" t="n">
        <v>0</v>
      </c>
      <c r="M407" t="n">
        <v>0</v>
      </c>
      <c r="N407" t="n">
        <v>0</v>
      </c>
      <c r="O407" t="n">
        <v>0</v>
      </c>
      <c r="P407" t="n">
        <v>0</v>
      </c>
      <c r="Q407" t="n">
        <v>0</v>
      </c>
      <c r="R407" s="2" t="inlineStr"/>
    </row>
    <row r="408" ht="15" customHeight="1">
      <c r="A408" t="inlineStr">
        <is>
          <t>A 37038-2022</t>
        </is>
      </c>
      <c r="B408" s="1" t="n">
        <v>44806.44232638889</v>
      </c>
      <c r="C408" s="1" t="n">
        <v>45890</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5894-2023</t>
        </is>
      </c>
      <c r="B409" s="1" t="n">
        <v>44963.65148148148</v>
      </c>
      <c r="C409" s="1" t="n">
        <v>45890</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11266-2025</t>
        </is>
      </c>
      <c r="B410" s="1" t="n">
        <v>45726</v>
      </c>
      <c r="C410" s="1" t="n">
        <v>45890</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9502-2023</t>
        </is>
      </c>
      <c r="B411" s="1" t="n">
        <v>44981.63278935185</v>
      </c>
      <c r="C411" s="1" t="n">
        <v>45890</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56986-2024</t>
        </is>
      </c>
      <c r="B412" s="1" t="n">
        <v>45626</v>
      </c>
      <c r="C412" s="1" t="n">
        <v>45890</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48046-2023</t>
        </is>
      </c>
      <c r="B413" s="1" t="n">
        <v>45204.85201388889</v>
      </c>
      <c r="C413" s="1" t="n">
        <v>45890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46222-2022</t>
        </is>
      </c>
      <c r="B414" s="1" t="n">
        <v>44847.58725694445</v>
      </c>
      <c r="C414" s="1" t="n">
        <v>45890</v>
      </c>
      <c r="D414" t="inlineStr">
        <is>
          <t>SKÅNE LÄN</t>
        </is>
      </c>
      <c r="E414" t="inlineStr">
        <is>
          <t>HÄSSLEHOLM</t>
        </is>
      </c>
      <c r="G414" t="n">
        <v>6.3</v>
      </c>
      <c r="H414" t="n">
        <v>0</v>
      </c>
      <c r="I414" t="n">
        <v>0</v>
      </c>
      <c r="J414" t="n">
        <v>0</v>
      </c>
      <c r="K414" t="n">
        <v>0</v>
      </c>
      <c r="L414" t="n">
        <v>0</v>
      </c>
      <c r="M414" t="n">
        <v>0</v>
      </c>
      <c r="N414" t="n">
        <v>0</v>
      </c>
      <c r="O414" t="n">
        <v>0</v>
      </c>
      <c r="P414" t="n">
        <v>0</v>
      </c>
      <c r="Q414" t="n">
        <v>0</v>
      </c>
      <c r="R414" s="2" t="inlineStr"/>
    </row>
    <row r="415" ht="15" customHeight="1">
      <c r="A415" t="inlineStr">
        <is>
          <t>A 2567-2024</t>
        </is>
      </c>
      <c r="B415" s="1" t="n">
        <v>45313.62460648148</v>
      </c>
      <c r="C415" s="1" t="n">
        <v>45890</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57749-2023</t>
        </is>
      </c>
      <c r="B416" s="1" t="n">
        <v>45246</v>
      </c>
      <c r="C416" s="1" t="n">
        <v>45890</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1538-2024</t>
        </is>
      </c>
      <c r="B417" s="1" t="n">
        <v>45306</v>
      </c>
      <c r="C417" s="1" t="n">
        <v>45890</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32794-2021</t>
        </is>
      </c>
      <c r="B418" s="1" t="n">
        <v>44375</v>
      </c>
      <c r="C418" s="1" t="n">
        <v>45890</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28632-2024</t>
        </is>
      </c>
      <c r="B419" s="1" t="n">
        <v>45478</v>
      </c>
      <c r="C419" s="1" t="n">
        <v>45890</v>
      </c>
      <c r="D419" t="inlineStr">
        <is>
          <t>SKÅNE LÄN</t>
        </is>
      </c>
      <c r="E419" t="inlineStr">
        <is>
          <t>HÄSSLEHOLM</t>
        </is>
      </c>
      <c r="G419" t="n">
        <v>4</v>
      </c>
      <c r="H419" t="n">
        <v>0</v>
      </c>
      <c r="I419" t="n">
        <v>0</v>
      </c>
      <c r="J419" t="n">
        <v>0</v>
      </c>
      <c r="K419" t="n">
        <v>0</v>
      </c>
      <c r="L419" t="n">
        <v>0</v>
      </c>
      <c r="M419" t="n">
        <v>0</v>
      </c>
      <c r="N419" t="n">
        <v>0</v>
      </c>
      <c r="O419" t="n">
        <v>0</v>
      </c>
      <c r="P419" t="n">
        <v>0</v>
      </c>
      <c r="Q419" t="n">
        <v>0</v>
      </c>
      <c r="R419" s="2" t="inlineStr"/>
    </row>
    <row r="420" ht="15" customHeight="1">
      <c r="A420" t="inlineStr">
        <is>
          <t>A 3135-2023</t>
        </is>
      </c>
      <c r="B420" s="1" t="n">
        <v>44946.51672453704</v>
      </c>
      <c r="C420" s="1" t="n">
        <v>45890</v>
      </c>
      <c r="D420" t="inlineStr">
        <is>
          <t>SKÅNE LÄN</t>
        </is>
      </c>
      <c r="E420" t="inlineStr">
        <is>
          <t>HÄSSLEHOLM</t>
        </is>
      </c>
      <c r="G420" t="n">
        <v>7.2</v>
      </c>
      <c r="H420" t="n">
        <v>0</v>
      </c>
      <c r="I420" t="n">
        <v>0</v>
      </c>
      <c r="J420" t="n">
        <v>0</v>
      </c>
      <c r="K420" t="n">
        <v>0</v>
      </c>
      <c r="L420" t="n">
        <v>0</v>
      </c>
      <c r="M420" t="n">
        <v>0</v>
      </c>
      <c r="N420" t="n">
        <v>0</v>
      </c>
      <c r="O420" t="n">
        <v>0</v>
      </c>
      <c r="P420" t="n">
        <v>0</v>
      </c>
      <c r="Q420" t="n">
        <v>0</v>
      </c>
      <c r="R420" s="2" t="inlineStr"/>
    </row>
    <row r="421" ht="15" customHeight="1">
      <c r="A421" t="inlineStr">
        <is>
          <t>A 11708-2025</t>
        </is>
      </c>
      <c r="B421" s="1" t="n">
        <v>45727.58626157408</v>
      </c>
      <c r="C421" s="1" t="n">
        <v>45890</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12843-2023</t>
        </is>
      </c>
      <c r="B422" s="1" t="n">
        <v>45001.48423611111</v>
      </c>
      <c r="C422" s="1" t="n">
        <v>45890</v>
      </c>
      <c r="D422" t="inlineStr">
        <is>
          <t>SKÅNE LÄN</t>
        </is>
      </c>
      <c r="E422" t="inlineStr">
        <is>
          <t>HÄSSLEHOLM</t>
        </is>
      </c>
      <c r="G422" t="n">
        <v>3.9</v>
      </c>
      <c r="H422" t="n">
        <v>0</v>
      </c>
      <c r="I422" t="n">
        <v>0</v>
      </c>
      <c r="J422" t="n">
        <v>0</v>
      </c>
      <c r="K422" t="n">
        <v>0</v>
      </c>
      <c r="L422" t="n">
        <v>0</v>
      </c>
      <c r="M422" t="n">
        <v>0</v>
      </c>
      <c r="N422" t="n">
        <v>0</v>
      </c>
      <c r="O422" t="n">
        <v>0</v>
      </c>
      <c r="P422" t="n">
        <v>0</v>
      </c>
      <c r="Q422" t="n">
        <v>0</v>
      </c>
      <c r="R422" s="2" t="inlineStr"/>
    </row>
    <row r="423" ht="15" customHeight="1">
      <c r="A423" t="inlineStr">
        <is>
          <t>A 34342-2021</t>
        </is>
      </c>
      <c r="B423" s="1" t="n">
        <v>44379</v>
      </c>
      <c r="C423" s="1" t="n">
        <v>45890</v>
      </c>
      <c r="D423" t="inlineStr">
        <is>
          <t>SKÅNE LÄN</t>
        </is>
      </c>
      <c r="E423" t="inlineStr">
        <is>
          <t>HÄSSLEHOLM</t>
        </is>
      </c>
      <c r="G423" t="n">
        <v>7</v>
      </c>
      <c r="H423" t="n">
        <v>0</v>
      </c>
      <c r="I423" t="n">
        <v>0</v>
      </c>
      <c r="J423" t="n">
        <v>0</v>
      </c>
      <c r="K423" t="n">
        <v>0</v>
      </c>
      <c r="L423" t="n">
        <v>0</v>
      </c>
      <c r="M423" t="n">
        <v>0</v>
      </c>
      <c r="N423" t="n">
        <v>0</v>
      </c>
      <c r="O423" t="n">
        <v>0</v>
      </c>
      <c r="P423" t="n">
        <v>0</v>
      </c>
      <c r="Q423" t="n">
        <v>0</v>
      </c>
      <c r="R423" s="2" t="inlineStr"/>
    </row>
    <row r="424" ht="15" customHeight="1">
      <c r="A424" t="inlineStr">
        <is>
          <t>A 47647-2024</t>
        </is>
      </c>
      <c r="B424" s="1" t="n">
        <v>45588</v>
      </c>
      <c r="C424" s="1" t="n">
        <v>45890</v>
      </c>
      <c r="D424" t="inlineStr">
        <is>
          <t>SKÅNE LÄN</t>
        </is>
      </c>
      <c r="E424" t="inlineStr">
        <is>
          <t>HÄSSLEHOLM</t>
        </is>
      </c>
      <c r="G424" t="n">
        <v>6.5</v>
      </c>
      <c r="H424" t="n">
        <v>0</v>
      </c>
      <c r="I424" t="n">
        <v>0</v>
      </c>
      <c r="J424" t="n">
        <v>0</v>
      </c>
      <c r="K424" t="n">
        <v>0</v>
      </c>
      <c r="L424" t="n">
        <v>0</v>
      </c>
      <c r="M424" t="n">
        <v>0</v>
      </c>
      <c r="N424" t="n">
        <v>0</v>
      </c>
      <c r="O424" t="n">
        <v>0</v>
      </c>
      <c r="P424" t="n">
        <v>0</v>
      </c>
      <c r="Q424" t="n">
        <v>0</v>
      </c>
      <c r="R424" s="2" t="inlineStr"/>
    </row>
    <row r="425" ht="15" customHeight="1">
      <c r="A425" t="inlineStr">
        <is>
          <t>A 3507-2024</t>
        </is>
      </c>
      <c r="B425" s="1" t="n">
        <v>45320.4906712963</v>
      </c>
      <c r="C425" s="1" t="n">
        <v>45890</v>
      </c>
      <c r="D425" t="inlineStr">
        <is>
          <t>SKÅNE LÄN</t>
        </is>
      </c>
      <c r="E425" t="inlineStr">
        <is>
          <t>HÄSSLEHOLM</t>
        </is>
      </c>
      <c r="G425" t="n">
        <v>6.4</v>
      </c>
      <c r="H425" t="n">
        <v>0</v>
      </c>
      <c r="I425" t="n">
        <v>0</v>
      </c>
      <c r="J425" t="n">
        <v>0</v>
      </c>
      <c r="K425" t="n">
        <v>0</v>
      </c>
      <c r="L425" t="n">
        <v>0</v>
      </c>
      <c r="M425" t="n">
        <v>0</v>
      </c>
      <c r="N425" t="n">
        <v>0</v>
      </c>
      <c r="O425" t="n">
        <v>0</v>
      </c>
      <c r="P425" t="n">
        <v>0</v>
      </c>
      <c r="Q425" t="n">
        <v>0</v>
      </c>
      <c r="R425" s="2" t="inlineStr"/>
    </row>
    <row r="426" ht="15" customHeight="1">
      <c r="A426" t="inlineStr">
        <is>
          <t>A 9556-2025</t>
        </is>
      </c>
      <c r="B426" s="1" t="n">
        <v>45714</v>
      </c>
      <c r="C426" s="1" t="n">
        <v>45890</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49111-2023</t>
        </is>
      </c>
      <c r="B427" s="1" t="n">
        <v>45210.44464120371</v>
      </c>
      <c r="C427" s="1" t="n">
        <v>45890</v>
      </c>
      <c r="D427" t="inlineStr">
        <is>
          <t>SKÅNE LÄN</t>
        </is>
      </c>
      <c r="E427" t="inlineStr">
        <is>
          <t>HÄSSLEHOLM</t>
        </is>
      </c>
      <c r="G427" t="n">
        <v>0.2</v>
      </c>
      <c r="H427" t="n">
        <v>0</v>
      </c>
      <c r="I427" t="n">
        <v>0</v>
      </c>
      <c r="J427" t="n">
        <v>0</v>
      </c>
      <c r="K427" t="n">
        <v>0</v>
      </c>
      <c r="L427" t="n">
        <v>0</v>
      </c>
      <c r="M427" t="n">
        <v>0</v>
      </c>
      <c r="N427" t="n">
        <v>0</v>
      </c>
      <c r="O427" t="n">
        <v>0</v>
      </c>
      <c r="P427" t="n">
        <v>0</v>
      </c>
      <c r="Q427" t="n">
        <v>0</v>
      </c>
      <c r="R427" s="2" t="inlineStr"/>
    </row>
    <row r="428" ht="15" customHeight="1">
      <c r="A428" t="inlineStr">
        <is>
          <t>A 61178-2022</t>
        </is>
      </c>
      <c r="B428" s="1" t="n">
        <v>44915</v>
      </c>
      <c r="C428" s="1" t="n">
        <v>45890</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61185-2022</t>
        </is>
      </c>
      <c r="B429" s="1" t="n">
        <v>44915</v>
      </c>
      <c r="C429" s="1" t="n">
        <v>45890</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21028-2021</t>
        </is>
      </c>
      <c r="B430" s="1" t="n">
        <v>44319</v>
      </c>
      <c r="C430" s="1" t="n">
        <v>45890</v>
      </c>
      <c r="D430" t="inlineStr">
        <is>
          <t>SKÅNE LÄN</t>
        </is>
      </c>
      <c r="E430" t="inlineStr">
        <is>
          <t>HÄSSLEHOLM</t>
        </is>
      </c>
      <c r="G430" t="n">
        <v>3.1</v>
      </c>
      <c r="H430" t="n">
        <v>0</v>
      </c>
      <c r="I430" t="n">
        <v>0</v>
      </c>
      <c r="J430" t="n">
        <v>0</v>
      </c>
      <c r="K430" t="n">
        <v>0</v>
      </c>
      <c r="L430" t="n">
        <v>0</v>
      </c>
      <c r="M430" t="n">
        <v>0</v>
      </c>
      <c r="N430" t="n">
        <v>0</v>
      </c>
      <c r="O430" t="n">
        <v>0</v>
      </c>
      <c r="P430" t="n">
        <v>0</v>
      </c>
      <c r="Q430" t="n">
        <v>0</v>
      </c>
      <c r="R430" s="2" t="inlineStr"/>
    </row>
    <row r="431" ht="15" customHeight="1">
      <c r="A431" t="inlineStr">
        <is>
          <t>A 2479-2024</t>
        </is>
      </c>
      <c r="B431" s="1" t="n">
        <v>45313.40148148148</v>
      </c>
      <c r="C431" s="1" t="n">
        <v>45890</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69357-2021</t>
        </is>
      </c>
      <c r="B432" s="1" t="n">
        <v>44531</v>
      </c>
      <c r="C432" s="1" t="n">
        <v>45890</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58915-2023</t>
        </is>
      </c>
      <c r="B433" s="1" t="n">
        <v>45250</v>
      </c>
      <c r="C433" s="1" t="n">
        <v>45890</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3855-2023</t>
        </is>
      </c>
      <c r="B434" s="1" t="n">
        <v>44951.69708333333</v>
      </c>
      <c r="C434" s="1" t="n">
        <v>45890</v>
      </c>
      <c r="D434" t="inlineStr">
        <is>
          <t>SKÅNE LÄN</t>
        </is>
      </c>
      <c r="E434" t="inlineStr">
        <is>
          <t>HÄSSLEHOLM</t>
        </is>
      </c>
      <c r="G434" t="n">
        <v>2.3</v>
      </c>
      <c r="H434" t="n">
        <v>0</v>
      </c>
      <c r="I434" t="n">
        <v>0</v>
      </c>
      <c r="J434" t="n">
        <v>0</v>
      </c>
      <c r="K434" t="n">
        <v>0</v>
      </c>
      <c r="L434" t="n">
        <v>0</v>
      </c>
      <c r="M434" t="n">
        <v>0</v>
      </c>
      <c r="N434" t="n">
        <v>0</v>
      </c>
      <c r="O434" t="n">
        <v>0</v>
      </c>
      <c r="P434" t="n">
        <v>0</v>
      </c>
      <c r="Q434" t="n">
        <v>0</v>
      </c>
      <c r="R434" s="2" t="inlineStr"/>
    </row>
    <row r="435" ht="15" customHeight="1">
      <c r="A435" t="inlineStr">
        <is>
          <t>A 33481-2024</t>
        </is>
      </c>
      <c r="B435" s="1" t="n">
        <v>45519</v>
      </c>
      <c r="C435" s="1" t="n">
        <v>45890</v>
      </c>
      <c r="D435" t="inlineStr">
        <is>
          <t>SKÅNE LÄN</t>
        </is>
      </c>
      <c r="E435" t="inlineStr">
        <is>
          <t>HÄSSLEHOLM</t>
        </is>
      </c>
      <c r="G435" t="n">
        <v>3</v>
      </c>
      <c r="H435" t="n">
        <v>0</v>
      </c>
      <c r="I435" t="n">
        <v>0</v>
      </c>
      <c r="J435" t="n">
        <v>0</v>
      </c>
      <c r="K435" t="n">
        <v>0</v>
      </c>
      <c r="L435" t="n">
        <v>0</v>
      </c>
      <c r="M435" t="n">
        <v>0</v>
      </c>
      <c r="N435" t="n">
        <v>0</v>
      </c>
      <c r="O435" t="n">
        <v>0</v>
      </c>
      <c r="P435" t="n">
        <v>0</v>
      </c>
      <c r="Q435" t="n">
        <v>0</v>
      </c>
      <c r="R435" s="2" t="inlineStr"/>
    </row>
    <row r="436" ht="15" customHeight="1">
      <c r="A436" t="inlineStr">
        <is>
          <t>A 26397-2023</t>
        </is>
      </c>
      <c r="B436" s="1" t="n">
        <v>45087</v>
      </c>
      <c r="C436" s="1" t="n">
        <v>45890</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15508-2023</t>
        </is>
      </c>
      <c r="B437" s="1" t="n">
        <v>45020.50045138889</v>
      </c>
      <c r="C437" s="1" t="n">
        <v>45890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1119-2024</t>
        </is>
      </c>
      <c r="B438" s="1" t="n">
        <v>45302</v>
      </c>
      <c r="C438" s="1" t="n">
        <v>45890</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58888-2024</t>
        </is>
      </c>
      <c r="B439" s="1" t="n">
        <v>45636.45962962963</v>
      </c>
      <c r="C439" s="1" t="n">
        <v>45890</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16334-2024</t>
        </is>
      </c>
      <c r="B440" s="1" t="n">
        <v>45407.54856481482</v>
      </c>
      <c r="C440" s="1" t="n">
        <v>45890</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3663-2024</t>
        </is>
      </c>
      <c r="B441" s="1" t="n">
        <v>45321.34775462963</v>
      </c>
      <c r="C441" s="1" t="n">
        <v>45890</v>
      </c>
      <c r="D441" t="inlineStr">
        <is>
          <t>SKÅNE LÄN</t>
        </is>
      </c>
      <c r="E441" t="inlineStr">
        <is>
          <t>HÄSSLEHOLM</t>
        </is>
      </c>
      <c r="G441" t="n">
        <v>0.4</v>
      </c>
      <c r="H441" t="n">
        <v>0</v>
      </c>
      <c r="I441" t="n">
        <v>0</v>
      </c>
      <c r="J441" t="n">
        <v>0</v>
      </c>
      <c r="K441" t="n">
        <v>0</v>
      </c>
      <c r="L441" t="n">
        <v>0</v>
      </c>
      <c r="M441" t="n">
        <v>0</v>
      </c>
      <c r="N441" t="n">
        <v>0</v>
      </c>
      <c r="O441" t="n">
        <v>0</v>
      </c>
      <c r="P441" t="n">
        <v>0</v>
      </c>
      <c r="Q441" t="n">
        <v>0</v>
      </c>
      <c r="R441" s="2" t="inlineStr"/>
    </row>
    <row r="442" ht="15" customHeight="1">
      <c r="A442" t="inlineStr">
        <is>
          <t>A 2813-2021</t>
        </is>
      </c>
      <c r="B442" s="1" t="n">
        <v>44215</v>
      </c>
      <c r="C442" s="1" t="n">
        <v>45890</v>
      </c>
      <c r="D442" t="inlineStr">
        <is>
          <t>SKÅNE LÄN</t>
        </is>
      </c>
      <c r="E442" t="inlineStr">
        <is>
          <t>HÄSSLEHOLM</t>
        </is>
      </c>
      <c r="G442" t="n">
        <v>7.1</v>
      </c>
      <c r="H442" t="n">
        <v>0</v>
      </c>
      <c r="I442" t="n">
        <v>0</v>
      </c>
      <c r="J442" t="n">
        <v>0</v>
      </c>
      <c r="K442" t="n">
        <v>0</v>
      </c>
      <c r="L442" t="n">
        <v>0</v>
      </c>
      <c r="M442" t="n">
        <v>0</v>
      </c>
      <c r="N442" t="n">
        <v>0</v>
      </c>
      <c r="O442" t="n">
        <v>0</v>
      </c>
      <c r="P442" t="n">
        <v>0</v>
      </c>
      <c r="Q442" t="n">
        <v>0</v>
      </c>
      <c r="R442" s="2" t="inlineStr"/>
    </row>
    <row r="443" ht="15" customHeight="1">
      <c r="A443" t="inlineStr">
        <is>
          <t>A 1289-2024</t>
        </is>
      </c>
      <c r="B443" s="1" t="n">
        <v>45303.32234953704</v>
      </c>
      <c r="C443" s="1" t="n">
        <v>45890</v>
      </c>
      <c r="D443" t="inlineStr">
        <is>
          <t>SKÅNE LÄN</t>
        </is>
      </c>
      <c r="E443" t="inlineStr">
        <is>
          <t>HÄSSLEHOLM</t>
        </is>
      </c>
      <c r="G443" t="n">
        <v>4.6</v>
      </c>
      <c r="H443" t="n">
        <v>0</v>
      </c>
      <c r="I443" t="n">
        <v>0</v>
      </c>
      <c r="J443" t="n">
        <v>0</v>
      </c>
      <c r="K443" t="n">
        <v>0</v>
      </c>
      <c r="L443" t="n">
        <v>0</v>
      </c>
      <c r="M443" t="n">
        <v>0</v>
      </c>
      <c r="N443" t="n">
        <v>0</v>
      </c>
      <c r="O443" t="n">
        <v>0</v>
      </c>
      <c r="P443" t="n">
        <v>0</v>
      </c>
      <c r="Q443" t="n">
        <v>0</v>
      </c>
      <c r="R443" s="2" t="inlineStr"/>
    </row>
    <row r="444" ht="15" customHeight="1">
      <c r="A444" t="inlineStr">
        <is>
          <t>A 54176-2022</t>
        </is>
      </c>
      <c r="B444" s="1" t="n">
        <v>44881</v>
      </c>
      <c r="C444" s="1" t="n">
        <v>45890</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7152-2025</t>
        </is>
      </c>
      <c r="B445" s="1" t="n">
        <v>45702.3837037037</v>
      </c>
      <c r="C445" s="1" t="n">
        <v>45890</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7160-2025</t>
        </is>
      </c>
      <c r="B446" s="1" t="n">
        <v>45702.3875462963</v>
      </c>
      <c r="C446" s="1" t="n">
        <v>45890</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27291-2023</t>
        </is>
      </c>
      <c r="B447" s="1" t="n">
        <v>45096</v>
      </c>
      <c r="C447" s="1" t="n">
        <v>45890</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61934-2023</t>
        </is>
      </c>
      <c r="B448" s="1" t="n">
        <v>45266.54125</v>
      </c>
      <c r="C448" s="1" t="n">
        <v>45890</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9393-2025</t>
        </is>
      </c>
      <c r="B449" s="1" t="n">
        <v>45715.36230324074</v>
      </c>
      <c r="C449" s="1" t="n">
        <v>45890</v>
      </c>
      <c r="D449" t="inlineStr">
        <is>
          <t>SKÅNE LÄN</t>
        </is>
      </c>
      <c r="E449" t="inlineStr">
        <is>
          <t>HÄSSLEHOLM</t>
        </is>
      </c>
      <c r="G449" t="n">
        <v>1.4</v>
      </c>
      <c r="H449" t="n">
        <v>0</v>
      </c>
      <c r="I449" t="n">
        <v>0</v>
      </c>
      <c r="J449" t="n">
        <v>0</v>
      </c>
      <c r="K449" t="n">
        <v>0</v>
      </c>
      <c r="L449" t="n">
        <v>0</v>
      </c>
      <c r="M449" t="n">
        <v>0</v>
      </c>
      <c r="N449" t="n">
        <v>0</v>
      </c>
      <c r="O449" t="n">
        <v>0</v>
      </c>
      <c r="P449" t="n">
        <v>0</v>
      </c>
      <c r="Q449" t="n">
        <v>0</v>
      </c>
      <c r="R449" s="2" t="inlineStr"/>
    </row>
    <row r="450" ht="15" customHeight="1">
      <c r="A450" t="inlineStr">
        <is>
          <t>A 15897-2025</t>
        </is>
      </c>
      <c r="B450" s="1" t="n">
        <v>45749.41598379629</v>
      </c>
      <c r="C450" s="1" t="n">
        <v>45890</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54982-2024</t>
        </is>
      </c>
      <c r="B451" s="1" t="n">
        <v>45620.7580787037</v>
      </c>
      <c r="C451" s="1" t="n">
        <v>45890</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61182-2024</t>
        </is>
      </c>
      <c r="B452" s="1" t="n">
        <v>45645</v>
      </c>
      <c r="C452" s="1" t="n">
        <v>45890</v>
      </c>
      <c r="D452" t="inlineStr">
        <is>
          <t>SKÅNE LÄN</t>
        </is>
      </c>
      <c r="E452" t="inlineStr">
        <is>
          <t>HÄSSLEHOLM</t>
        </is>
      </c>
      <c r="G452" t="n">
        <v>3.2</v>
      </c>
      <c r="H452" t="n">
        <v>0</v>
      </c>
      <c r="I452" t="n">
        <v>0</v>
      </c>
      <c r="J452" t="n">
        <v>0</v>
      </c>
      <c r="K452" t="n">
        <v>0</v>
      </c>
      <c r="L452" t="n">
        <v>0</v>
      </c>
      <c r="M452" t="n">
        <v>0</v>
      </c>
      <c r="N452" t="n">
        <v>0</v>
      </c>
      <c r="O452" t="n">
        <v>0</v>
      </c>
      <c r="P452" t="n">
        <v>0</v>
      </c>
      <c r="Q452" t="n">
        <v>0</v>
      </c>
      <c r="R452" s="2" t="inlineStr"/>
    </row>
    <row r="453" ht="15" customHeight="1">
      <c r="A453" t="inlineStr">
        <is>
          <t>A 11715-2023</t>
        </is>
      </c>
      <c r="B453" s="1" t="n">
        <v>44992</v>
      </c>
      <c r="C453" s="1" t="n">
        <v>45890</v>
      </c>
      <c r="D453" t="inlineStr">
        <is>
          <t>SKÅNE LÄN</t>
        </is>
      </c>
      <c r="E453" t="inlineStr">
        <is>
          <t>HÄSSLEHOLM</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38888-2023</t>
        </is>
      </c>
      <c r="B454" s="1" t="n">
        <v>45161</v>
      </c>
      <c r="C454" s="1" t="n">
        <v>45890</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441-2022</t>
        </is>
      </c>
      <c r="B455" s="1" t="n">
        <v>44565.97125</v>
      </c>
      <c r="C455" s="1" t="n">
        <v>45890</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5887-2025</t>
        </is>
      </c>
      <c r="B456" s="1" t="n">
        <v>45695.37925925926</v>
      </c>
      <c r="C456" s="1" t="n">
        <v>45890</v>
      </c>
      <c r="D456" t="inlineStr">
        <is>
          <t>SKÅNE LÄN</t>
        </is>
      </c>
      <c r="E456" t="inlineStr">
        <is>
          <t>HÄSSLEHOLM</t>
        </is>
      </c>
      <c r="G456" t="n">
        <v>4.8</v>
      </c>
      <c r="H456" t="n">
        <v>0</v>
      </c>
      <c r="I456" t="n">
        <v>0</v>
      </c>
      <c r="J456" t="n">
        <v>0</v>
      </c>
      <c r="K456" t="n">
        <v>0</v>
      </c>
      <c r="L456" t="n">
        <v>0</v>
      </c>
      <c r="M456" t="n">
        <v>0</v>
      </c>
      <c r="N456" t="n">
        <v>0</v>
      </c>
      <c r="O456" t="n">
        <v>0</v>
      </c>
      <c r="P456" t="n">
        <v>0</v>
      </c>
      <c r="Q456" t="n">
        <v>0</v>
      </c>
      <c r="R456" s="2" t="inlineStr"/>
    </row>
    <row r="457" ht="15" customHeight="1">
      <c r="A457" t="inlineStr">
        <is>
          <t>A 59030-2024</t>
        </is>
      </c>
      <c r="B457" s="1" t="n">
        <v>45636.68916666666</v>
      </c>
      <c r="C457" s="1" t="n">
        <v>45890</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48663-2024</t>
        </is>
      </c>
      <c r="B458" s="1" t="n">
        <v>45593.48892361111</v>
      </c>
      <c r="C458" s="1" t="n">
        <v>45890</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14255-2024</t>
        </is>
      </c>
      <c r="B459" s="1" t="n">
        <v>45393</v>
      </c>
      <c r="C459" s="1" t="n">
        <v>45890</v>
      </c>
      <c r="D459" t="inlineStr">
        <is>
          <t>SKÅNE LÄN</t>
        </is>
      </c>
      <c r="E459" t="inlineStr">
        <is>
          <t>HÄSSLEHOLM</t>
        </is>
      </c>
      <c r="G459" t="n">
        <v>11.9</v>
      </c>
      <c r="H459" t="n">
        <v>0</v>
      </c>
      <c r="I459" t="n">
        <v>0</v>
      </c>
      <c r="J459" t="n">
        <v>0</v>
      </c>
      <c r="K459" t="n">
        <v>0</v>
      </c>
      <c r="L459" t="n">
        <v>0</v>
      </c>
      <c r="M459" t="n">
        <v>0</v>
      </c>
      <c r="N459" t="n">
        <v>0</v>
      </c>
      <c r="O459" t="n">
        <v>0</v>
      </c>
      <c r="P459" t="n">
        <v>0</v>
      </c>
      <c r="Q459" t="n">
        <v>0</v>
      </c>
      <c r="R459" s="2" t="inlineStr"/>
    </row>
    <row r="460" ht="15" customHeight="1">
      <c r="A460" t="inlineStr">
        <is>
          <t>A 14157-2021</t>
        </is>
      </c>
      <c r="B460" s="1" t="n">
        <v>44278.43246527778</v>
      </c>
      <c r="C460" s="1" t="n">
        <v>45890</v>
      </c>
      <c r="D460" t="inlineStr">
        <is>
          <t>SKÅNE LÄN</t>
        </is>
      </c>
      <c r="E460" t="inlineStr">
        <is>
          <t>HÄSSLEHOLM</t>
        </is>
      </c>
      <c r="G460" t="n">
        <v>10.5</v>
      </c>
      <c r="H460" t="n">
        <v>0</v>
      </c>
      <c r="I460" t="n">
        <v>0</v>
      </c>
      <c r="J460" t="n">
        <v>0</v>
      </c>
      <c r="K460" t="n">
        <v>0</v>
      </c>
      <c r="L460" t="n">
        <v>0</v>
      </c>
      <c r="M460" t="n">
        <v>0</v>
      </c>
      <c r="N460" t="n">
        <v>0</v>
      </c>
      <c r="O460" t="n">
        <v>0</v>
      </c>
      <c r="P460" t="n">
        <v>0</v>
      </c>
      <c r="Q460" t="n">
        <v>0</v>
      </c>
      <c r="R460" s="2" t="inlineStr"/>
    </row>
    <row r="461" ht="15" customHeight="1">
      <c r="A461" t="inlineStr">
        <is>
          <t>A 7153-2025</t>
        </is>
      </c>
      <c r="B461" s="1" t="n">
        <v>45702.38512731482</v>
      </c>
      <c r="C461" s="1" t="n">
        <v>45890</v>
      </c>
      <c r="D461" t="inlineStr">
        <is>
          <t>SKÅNE LÄN</t>
        </is>
      </c>
      <c r="E461" t="inlineStr">
        <is>
          <t>HÄSSLEHOLM</t>
        </is>
      </c>
      <c r="G461" t="n">
        <v>2.7</v>
      </c>
      <c r="H461" t="n">
        <v>0</v>
      </c>
      <c r="I461" t="n">
        <v>0</v>
      </c>
      <c r="J461" t="n">
        <v>0</v>
      </c>
      <c r="K461" t="n">
        <v>0</v>
      </c>
      <c r="L461" t="n">
        <v>0</v>
      </c>
      <c r="M461" t="n">
        <v>0</v>
      </c>
      <c r="N461" t="n">
        <v>0</v>
      </c>
      <c r="O461" t="n">
        <v>0</v>
      </c>
      <c r="P461" t="n">
        <v>0</v>
      </c>
      <c r="Q461" t="n">
        <v>0</v>
      </c>
      <c r="R461" s="2" t="inlineStr"/>
    </row>
    <row r="462" ht="15" customHeight="1">
      <c r="A462" t="inlineStr">
        <is>
          <t>A 54874-2022</t>
        </is>
      </c>
      <c r="B462" s="1" t="n">
        <v>44881</v>
      </c>
      <c r="C462" s="1" t="n">
        <v>45890</v>
      </c>
      <c r="D462" t="inlineStr">
        <is>
          <t>SKÅNE LÄN</t>
        </is>
      </c>
      <c r="E462" t="inlineStr">
        <is>
          <t>HÄSSLEHOLM</t>
        </is>
      </c>
      <c r="G462" t="n">
        <v>8.1</v>
      </c>
      <c r="H462" t="n">
        <v>0</v>
      </c>
      <c r="I462" t="n">
        <v>0</v>
      </c>
      <c r="J462" t="n">
        <v>0</v>
      </c>
      <c r="K462" t="n">
        <v>0</v>
      </c>
      <c r="L462" t="n">
        <v>0</v>
      </c>
      <c r="M462" t="n">
        <v>0</v>
      </c>
      <c r="N462" t="n">
        <v>0</v>
      </c>
      <c r="O462" t="n">
        <v>0</v>
      </c>
      <c r="P462" t="n">
        <v>0</v>
      </c>
      <c r="Q462" t="n">
        <v>0</v>
      </c>
      <c r="R462" s="2" t="inlineStr"/>
    </row>
    <row r="463" ht="15" customHeight="1">
      <c r="A463" t="inlineStr">
        <is>
          <t>A 10594-2025</t>
        </is>
      </c>
      <c r="B463" s="1" t="n">
        <v>45721</v>
      </c>
      <c r="C463" s="1" t="n">
        <v>45890</v>
      </c>
      <c r="D463" t="inlineStr">
        <is>
          <t>SKÅNE LÄN</t>
        </is>
      </c>
      <c r="E463" t="inlineStr">
        <is>
          <t>HÄSSLEHOLM</t>
        </is>
      </c>
      <c r="G463" t="n">
        <v>5.3</v>
      </c>
      <c r="H463" t="n">
        <v>0</v>
      </c>
      <c r="I463" t="n">
        <v>0</v>
      </c>
      <c r="J463" t="n">
        <v>0</v>
      </c>
      <c r="K463" t="n">
        <v>0</v>
      </c>
      <c r="L463" t="n">
        <v>0</v>
      </c>
      <c r="M463" t="n">
        <v>0</v>
      </c>
      <c r="N463" t="n">
        <v>0</v>
      </c>
      <c r="O463" t="n">
        <v>0</v>
      </c>
      <c r="P463" t="n">
        <v>0</v>
      </c>
      <c r="Q463" t="n">
        <v>0</v>
      </c>
      <c r="R463" s="2" t="inlineStr"/>
    </row>
    <row r="464" ht="15" customHeight="1">
      <c r="A464" t="inlineStr">
        <is>
          <t>A 48771-2024</t>
        </is>
      </c>
      <c r="B464" s="1" t="n">
        <v>45593.61284722222</v>
      </c>
      <c r="C464" s="1" t="n">
        <v>45890</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17152-2025</t>
        </is>
      </c>
      <c r="B465" s="1" t="n">
        <v>45756.33318287037</v>
      </c>
      <c r="C465" s="1" t="n">
        <v>45890</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34301-2024</t>
        </is>
      </c>
      <c r="B466" s="1" t="n">
        <v>45524</v>
      </c>
      <c r="C466" s="1" t="n">
        <v>45890</v>
      </c>
      <c r="D466" t="inlineStr">
        <is>
          <t>SKÅNE LÄN</t>
        </is>
      </c>
      <c r="E466" t="inlineStr">
        <is>
          <t>HÄSSLEHOLM</t>
        </is>
      </c>
      <c r="G466" t="n">
        <v>0.4</v>
      </c>
      <c r="H466" t="n">
        <v>0</v>
      </c>
      <c r="I466" t="n">
        <v>0</v>
      </c>
      <c r="J466" t="n">
        <v>0</v>
      </c>
      <c r="K466" t="n">
        <v>0</v>
      </c>
      <c r="L466" t="n">
        <v>0</v>
      </c>
      <c r="M466" t="n">
        <v>0</v>
      </c>
      <c r="N466" t="n">
        <v>0</v>
      </c>
      <c r="O466" t="n">
        <v>0</v>
      </c>
      <c r="P466" t="n">
        <v>0</v>
      </c>
      <c r="Q466" t="n">
        <v>0</v>
      </c>
      <c r="R466" s="2" t="inlineStr"/>
    </row>
    <row r="467" ht="15" customHeight="1">
      <c r="A467" t="inlineStr">
        <is>
          <t>A 27242-2022</t>
        </is>
      </c>
      <c r="B467" s="1" t="n">
        <v>44741</v>
      </c>
      <c r="C467" s="1" t="n">
        <v>45890</v>
      </c>
      <c r="D467" t="inlineStr">
        <is>
          <t>SKÅNE LÄN</t>
        </is>
      </c>
      <c r="E467" t="inlineStr">
        <is>
          <t>HÄSSLEHOLM</t>
        </is>
      </c>
      <c r="G467" t="n">
        <v>1.9</v>
      </c>
      <c r="H467" t="n">
        <v>0</v>
      </c>
      <c r="I467" t="n">
        <v>0</v>
      </c>
      <c r="J467" t="n">
        <v>0</v>
      </c>
      <c r="K467" t="n">
        <v>0</v>
      </c>
      <c r="L467" t="n">
        <v>0</v>
      </c>
      <c r="M467" t="n">
        <v>0</v>
      </c>
      <c r="N467" t="n">
        <v>0</v>
      </c>
      <c r="O467" t="n">
        <v>0</v>
      </c>
      <c r="P467" t="n">
        <v>0</v>
      </c>
      <c r="Q467" t="n">
        <v>0</v>
      </c>
      <c r="R467" s="2" t="inlineStr"/>
    </row>
    <row r="468" ht="15" customHeight="1">
      <c r="A468" t="inlineStr">
        <is>
          <t>A 12344-2023</t>
        </is>
      </c>
      <c r="B468" s="1" t="n">
        <v>44999</v>
      </c>
      <c r="C468" s="1" t="n">
        <v>45890</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61158-2022</t>
        </is>
      </c>
      <c r="B469" s="1" t="n">
        <v>44915.47112268519</v>
      </c>
      <c r="C469" s="1" t="n">
        <v>45890</v>
      </c>
      <c r="D469" t="inlineStr">
        <is>
          <t>SKÅNE LÄN</t>
        </is>
      </c>
      <c r="E469" t="inlineStr">
        <is>
          <t>HÄSSLEHOLM</t>
        </is>
      </c>
      <c r="G469" t="n">
        <v>8.4</v>
      </c>
      <c r="H469" t="n">
        <v>0</v>
      </c>
      <c r="I469" t="n">
        <v>0</v>
      </c>
      <c r="J469" t="n">
        <v>0</v>
      </c>
      <c r="K469" t="n">
        <v>0</v>
      </c>
      <c r="L469" t="n">
        <v>0</v>
      </c>
      <c r="M469" t="n">
        <v>0</v>
      </c>
      <c r="N469" t="n">
        <v>0</v>
      </c>
      <c r="O469" t="n">
        <v>0</v>
      </c>
      <c r="P469" t="n">
        <v>0</v>
      </c>
      <c r="Q469" t="n">
        <v>0</v>
      </c>
      <c r="R469" s="2" t="inlineStr"/>
    </row>
    <row r="470" ht="15" customHeight="1">
      <c r="A470" t="inlineStr">
        <is>
          <t>A 61186-2022</t>
        </is>
      </c>
      <c r="B470" s="1" t="n">
        <v>44915.50745370371</v>
      </c>
      <c r="C470" s="1" t="n">
        <v>45890</v>
      </c>
      <c r="D470" t="inlineStr">
        <is>
          <t>SKÅNE LÄN</t>
        </is>
      </c>
      <c r="E470" t="inlineStr">
        <is>
          <t>HÄSSLEHOLM</t>
        </is>
      </c>
      <c r="G470" t="n">
        <v>2.9</v>
      </c>
      <c r="H470" t="n">
        <v>0</v>
      </c>
      <c r="I470" t="n">
        <v>0</v>
      </c>
      <c r="J470" t="n">
        <v>0</v>
      </c>
      <c r="K470" t="n">
        <v>0</v>
      </c>
      <c r="L470" t="n">
        <v>0</v>
      </c>
      <c r="M470" t="n">
        <v>0</v>
      </c>
      <c r="N470" t="n">
        <v>0</v>
      </c>
      <c r="O470" t="n">
        <v>0</v>
      </c>
      <c r="P470" t="n">
        <v>0</v>
      </c>
      <c r="Q470" t="n">
        <v>0</v>
      </c>
      <c r="R470" s="2" t="inlineStr"/>
    </row>
    <row r="471" ht="15" customHeight="1">
      <c r="A471" t="inlineStr">
        <is>
          <t>A 12338-2024</t>
        </is>
      </c>
      <c r="B471" s="1" t="n">
        <v>45378.72869212963</v>
      </c>
      <c r="C471" s="1" t="n">
        <v>45890</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62055-2023</t>
        </is>
      </c>
      <c r="B472" s="1" t="n">
        <v>45266.70287037037</v>
      </c>
      <c r="C472" s="1" t="n">
        <v>45890</v>
      </c>
      <c r="D472" t="inlineStr">
        <is>
          <t>SKÅNE LÄN</t>
        </is>
      </c>
      <c r="E472" t="inlineStr">
        <is>
          <t>HÄSSLEHOLM</t>
        </is>
      </c>
      <c r="G472" t="n">
        <v>5.2</v>
      </c>
      <c r="H472" t="n">
        <v>0</v>
      </c>
      <c r="I472" t="n">
        <v>0</v>
      </c>
      <c r="J472" t="n">
        <v>0</v>
      </c>
      <c r="K472" t="n">
        <v>0</v>
      </c>
      <c r="L472" t="n">
        <v>0</v>
      </c>
      <c r="M472" t="n">
        <v>0</v>
      </c>
      <c r="N472" t="n">
        <v>0</v>
      </c>
      <c r="O472" t="n">
        <v>0</v>
      </c>
      <c r="P472" t="n">
        <v>0</v>
      </c>
      <c r="Q472" t="n">
        <v>0</v>
      </c>
      <c r="R472" s="2" t="inlineStr"/>
    </row>
    <row r="473" ht="15" customHeight="1">
      <c r="A473" t="inlineStr">
        <is>
          <t>A 61197-2024</t>
        </is>
      </c>
      <c r="B473" s="1" t="n">
        <v>45645.63184027778</v>
      </c>
      <c r="C473" s="1" t="n">
        <v>45890</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6165-2023</t>
        </is>
      </c>
      <c r="B474" s="1" t="n">
        <v>44964.67114583333</v>
      </c>
      <c r="C474" s="1" t="n">
        <v>45890</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33938-2023</t>
        </is>
      </c>
      <c r="B475" s="1" t="n">
        <v>45124</v>
      </c>
      <c r="C475" s="1" t="n">
        <v>45890</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61533-2022</t>
        </is>
      </c>
      <c r="B476" s="1" t="n">
        <v>44910</v>
      </c>
      <c r="C476" s="1" t="n">
        <v>45890</v>
      </c>
      <c r="D476" t="inlineStr">
        <is>
          <t>SKÅNE LÄN</t>
        </is>
      </c>
      <c r="E476" t="inlineStr">
        <is>
          <t>HÄSSLEHOLM</t>
        </is>
      </c>
      <c r="F476" t="inlineStr">
        <is>
          <t>Kyrkan</t>
        </is>
      </c>
      <c r="G476" t="n">
        <v>1</v>
      </c>
      <c r="H476" t="n">
        <v>0</v>
      </c>
      <c r="I476" t="n">
        <v>0</v>
      </c>
      <c r="J476" t="n">
        <v>0</v>
      </c>
      <c r="K476" t="n">
        <v>0</v>
      </c>
      <c r="L476" t="n">
        <v>0</v>
      </c>
      <c r="M476" t="n">
        <v>0</v>
      </c>
      <c r="N476" t="n">
        <v>0</v>
      </c>
      <c r="O476" t="n">
        <v>0</v>
      </c>
      <c r="P476" t="n">
        <v>0</v>
      </c>
      <c r="Q476" t="n">
        <v>0</v>
      </c>
      <c r="R476" s="2" t="inlineStr"/>
    </row>
    <row r="477" ht="15" customHeight="1">
      <c r="A477" t="inlineStr">
        <is>
          <t>A 677-2024</t>
        </is>
      </c>
      <c r="B477" s="1" t="n">
        <v>45300</v>
      </c>
      <c r="C477" s="1" t="n">
        <v>45890</v>
      </c>
      <c r="D477" t="inlineStr">
        <is>
          <t>SKÅNE LÄN</t>
        </is>
      </c>
      <c r="E477" t="inlineStr">
        <is>
          <t>HÄSSLEHOLM</t>
        </is>
      </c>
      <c r="G477" t="n">
        <v>6.8</v>
      </c>
      <c r="H477" t="n">
        <v>0</v>
      </c>
      <c r="I477" t="n">
        <v>0</v>
      </c>
      <c r="J477" t="n">
        <v>0</v>
      </c>
      <c r="K477" t="n">
        <v>0</v>
      </c>
      <c r="L477" t="n">
        <v>0</v>
      </c>
      <c r="M477" t="n">
        <v>0</v>
      </c>
      <c r="N477" t="n">
        <v>0</v>
      </c>
      <c r="O477" t="n">
        <v>0</v>
      </c>
      <c r="P477" t="n">
        <v>0</v>
      </c>
      <c r="Q477" t="n">
        <v>0</v>
      </c>
      <c r="R477" s="2" t="inlineStr"/>
    </row>
    <row r="478" ht="15" customHeight="1">
      <c r="A478" t="inlineStr">
        <is>
          <t>A 20872-2025</t>
        </is>
      </c>
      <c r="B478" s="1" t="n">
        <v>45777.34688657407</v>
      </c>
      <c r="C478" s="1" t="n">
        <v>45890</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33465-2024</t>
        </is>
      </c>
      <c r="B479" s="1" t="n">
        <v>45519.59619212963</v>
      </c>
      <c r="C479" s="1" t="n">
        <v>45890</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26642-2023</t>
        </is>
      </c>
      <c r="B480" s="1" t="n">
        <v>45092.8975</v>
      </c>
      <c r="C480" s="1" t="n">
        <v>45890</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29994-2023</t>
        </is>
      </c>
      <c r="B481" s="1" t="n">
        <v>45109.60038194444</v>
      </c>
      <c r="C481" s="1" t="n">
        <v>45890</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17413-2025</t>
        </is>
      </c>
      <c r="B482" s="1" t="n">
        <v>45757.37480324074</v>
      </c>
      <c r="C482" s="1" t="n">
        <v>45890</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20970-2025</t>
        </is>
      </c>
      <c r="B483" s="1" t="n">
        <v>45777.45417824074</v>
      </c>
      <c r="C483" s="1" t="n">
        <v>45890</v>
      </c>
      <c r="D483" t="inlineStr">
        <is>
          <t>SKÅNE LÄN</t>
        </is>
      </c>
      <c r="E483" t="inlineStr">
        <is>
          <t>HÄSSLEHOLM</t>
        </is>
      </c>
      <c r="G483" t="n">
        <v>2.2</v>
      </c>
      <c r="H483" t="n">
        <v>0</v>
      </c>
      <c r="I483" t="n">
        <v>0</v>
      </c>
      <c r="J483" t="n">
        <v>0</v>
      </c>
      <c r="K483" t="n">
        <v>0</v>
      </c>
      <c r="L483" t="n">
        <v>0</v>
      </c>
      <c r="M483" t="n">
        <v>0</v>
      </c>
      <c r="N483" t="n">
        <v>0</v>
      </c>
      <c r="O483" t="n">
        <v>0</v>
      </c>
      <c r="P483" t="n">
        <v>0</v>
      </c>
      <c r="Q483" t="n">
        <v>0</v>
      </c>
      <c r="R483" s="2" t="inlineStr"/>
    </row>
    <row r="484" ht="15" customHeight="1">
      <c r="A484" t="inlineStr">
        <is>
          <t>A 15055-2023</t>
        </is>
      </c>
      <c r="B484" s="1" t="n">
        <v>45015</v>
      </c>
      <c r="C484" s="1" t="n">
        <v>45890</v>
      </c>
      <c r="D484" t="inlineStr">
        <is>
          <t>SKÅNE LÄN</t>
        </is>
      </c>
      <c r="E484" t="inlineStr">
        <is>
          <t>HÄSSLEHOLM</t>
        </is>
      </c>
      <c r="G484" t="n">
        <v>1.9</v>
      </c>
      <c r="H484" t="n">
        <v>0</v>
      </c>
      <c r="I484" t="n">
        <v>0</v>
      </c>
      <c r="J484" t="n">
        <v>0</v>
      </c>
      <c r="K484" t="n">
        <v>0</v>
      </c>
      <c r="L484" t="n">
        <v>0</v>
      </c>
      <c r="M484" t="n">
        <v>0</v>
      </c>
      <c r="N484" t="n">
        <v>0</v>
      </c>
      <c r="O484" t="n">
        <v>0</v>
      </c>
      <c r="P484" t="n">
        <v>0</v>
      </c>
      <c r="Q484" t="n">
        <v>0</v>
      </c>
      <c r="R484" s="2" t="inlineStr"/>
    </row>
    <row r="485" ht="15" customHeight="1">
      <c r="A485" t="inlineStr">
        <is>
          <t>A 21206-2025</t>
        </is>
      </c>
      <c r="B485" s="1" t="n">
        <v>45779.48318287037</v>
      </c>
      <c r="C485" s="1" t="n">
        <v>45890</v>
      </c>
      <c r="D485" t="inlineStr">
        <is>
          <t>SKÅNE LÄN</t>
        </is>
      </c>
      <c r="E485" t="inlineStr">
        <is>
          <t>HÄSSLEHOLM</t>
        </is>
      </c>
      <c r="G485" t="n">
        <v>2.2</v>
      </c>
      <c r="H485" t="n">
        <v>0</v>
      </c>
      <c r="I485" t="n">
        <v>0</v>
      </c>
      <c r="J485" t="n">
        <v>0</v>
      </c>
      <c r="K485" t="n">
        <v>0</v>
      </c>
      <c r="L485" t="n">
        <v>0</v>
      </c>
      <c r="M485" t="n">
        <v>0</v>
      </c>
      <c r="N485" t="n">
        <v>0</v>
      </c>
      <c r="O485" t="n">
        <v>0</v>
      </c>
      <c r="P485" t="n">
        <v>0</v>
      </c>
      <c r="Q485" t="n">
        <v>0</v>
      </c>
      <c r="R485" s="2" t="inlineStr"/>
    </row>
    <row r="486" ht="15" customHeight="1">
      <c r="A486" t="inlineStr">
        <is>
          <t>A 34187-2023</t>
        </is>
      </c>
      <c r="B486" s="1" t="n">
        <v>45138</v>
      </c>
      <c r="C486" s="1" t="n">
        <v>45890</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21091-2025</t>
        </is>
      </c>
      <c r="B487" s="1" t="n">
        <v>45777</v>
      </c>
      <c r="C487" s="1" t="n">
        <v>45890</v>
      </c>
      <c r="D487" t="inlineStr">
        <is>
          <t>SKÅNE LÄN</t>
        </is>
      </c>
      <c r="E487" t="inlineStr">
        <is>
          <t>HÄSSLEHOLM</t>
        </is>
      </c>
      <c r="G487" t="n">
        <v>3.4</v>
      </c>
      <c r="H487" t="n">
        <v>0</v>
      </c>
      <c r="I487" t="n">
        <v>0</v>
      </c>
      <c r="J487" t="n">
        <v>0</v>
      </c>
      <c r="K487" t="n">
        <v>0</v>
      </c>
      <c r="L487" t="n">
        <v>0</v>
      </c>
      <c r="M487" t="n">
        <v>0</v>
      </c>
      <c r="N487" t="n">
        <v>0</v>
      </c>
      <c r="O487" t="n">
        <v>0</v>
      </c>
      <c r="P487" t="n">
        <v>0</v>
      </c>
      <c r="Q487" t="n">
        <v>0</v>
      </c>
      <c r="R487" s="2" t="inlineStr"/>
    </row>
    <row r="488" ht="15" customHeight="1">
      <c r="A488" t="inlineStr">
        <is>
          <t>A 317-2025</t>
        </is>
      </c>
      <c r="B488" s="1" t="n">
        <v>45660</v>
      </c>
      <c r="C488" s="1" t="n">
        <v>45890</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21638-2025</t>
        </is>
      </c>
      <c r="B489" s="1" t="n">
        <v>45783.43087962963</v>
      </c>
      <c r="C489" s="1" t="n">
        <v>45890</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16860-2025</t>
        </is>
      </c>
      <c r="B490" s="1" t="n">
        <v>45751</v>
      </c>
      <c r="C490" s="1" t="n">
        <v>45890</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66321-2021</t>
        </is>
      </c>
      <c r="B491" s="1" t="n">
        <v>44518</v>
      </c>
      <c r="C491" s="1" t="n">
        <v>45890</v>
      </c>
      <c r="D491" t="inlineStr">
        <is>
          <t>SKÅNE LÄN</t>
        </is>
      </c>
      <c r="E491" t="inlineStr">
        <is>
          <t>HÄSSLEHOLM</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16668-2025</t>
        </is>
      </c>
      <c r="B492" s="1" t="n">
        <v>45754.43009259259</v>
      </c>
      <c r="C492" s="1" t="n">
        <v>45890</v>
      </c>
      <c r="D492" t="inlineStr">
        <is>
          <t>SKÅNE LÄN</t>
        </is>
      </c>
      <c r="E492" t="inlineStr">
        <is>
          <t>HÄSSLEHOLM</t>
        </is>
      </c>
      <c r="G492" t="n">
        <v>4</v>
      </c>
      <c r="H492" t="n">
        <v>0</v>
      </c>
      <c r="I492" t="n">
        <v>0</v>
      </c>
      <c r="J492" t="n">
        <v>0</v>
      </c>
      <c r="K492" t="n">
        <v>0</v>
      </c>
      <c r="L492" t="n">
        <v>0</v>
      </c>
      <c r="M492" t="n">
        <v>0</v>
      </c>
      <c r="N492" t="n">
        <v>0</v>
      </c>
      <c r="O492" t="n">
        <v>0</v>
      </c>
      <c r="P492" t="n">
        <v>0</v>
      </c>
      <c r="Q492" t="n">
        <v>0</v>
      </c>
      <c r="R492" s="2" t="inlineStr"/>
    </row>
    <row r="493" ht="15" customHeight="1">
      <c r="A493" t="inlineStr">
        <is>
          <t>A 23857-2024</t>
        </is>
      </c>
      <c r="B493" s="1" t="n">
        <v>45455</v>
      </c>
      <c r="C493" s="1" t="n">
        <v>45890</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31268-2024</t>
        </is>
      </c>
      <c r="B494" s="1" t="n">
        <v>45504</v>
      </c>
      <c r="C494" s="1" t="n">
        <v>45890</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31255-2024</t>
        </is>
      </c>
      <c r="B495" s="1" t="n">
        <v>45503.69114583333</v>
      </c>
      <c r="C495" s="1" t="n">
        <v>45890</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39111-2023</t>
        </is>
      </c>
      <c r="B496" s="1" t="n">
        <v>45164.87140046297</v>
      </c>
      <c r="C496" s="1" t="n">
        <v>45890</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51287-2022</t>
        </is>
      </c>
      <c r="B497" s="1" t="n">
        <v>44868.83146990741</v>
      </c>
      <c r="C497" s="1" t="n">
        <v>45890</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44697-2021</t>
        </is>
      </c>
      <c r="B498" s="1" t="n">
        <v>44438</v>
      </c>
      <c r="C498" s="1" t="n">
        <v>45890</v>
      </c>
      <c r="D498" t="inlineStr">
        <is>
          <t>SKÅNE LÄN</t>
        </is>
      </c>
      <c r="E498" t="inlineStr">
        <is>
          <t>HÄSSLEHOLM</t>
        </is>
      </c>
      <c r="G498" t="n">
        <v>4.8</v>
      </c>
      <c r="H498" t="n">
        <v>0</v>
      </c>
      <c r="I498" t="n">
        <v>0</v>
      </c>
      <c r="J498" t="n">
        <v>0</v>
      </c>
      <c r="K498" t="n">
        <v>0</v>
      </c>
      <c r="L498" t="n">
        <v>0</v>
      </c>
      <c r="M498" t="n">
        <v>0</v>
      </c>
      <c r="N498" t="n">
        <v>0</v>
      </c>
      <c r="O498" t="n">
        <v>0</v>
      </c>
      <c r="P498" t="n">
        <v>0</v>
      </c>
      <c r="Q498" t="n">
        <v>0</v>
      </c>
      <c r="R498" s="2" t="inlineStr"/>
    </row>
    <row r="499" ht="15" customHeight="1">
      <c r="A499" t="inlineStr">
        <is>
          <t>A 60851-2024</t>
        </is>
      </c>
      <c r="B499" s="1" t="n">
        <v>45644.66182870371</v>
      </c>
      <c r="C499" s="1" t="n">
        <v>45890</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8433-2024</t>
        </is>
      </c>
      <c r="B500" s="1" t="n">
        <v>45353.48434027778</v>
      </c>
      <c r="C500" s="1" t="n">
        <v>45890</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48807-2021</t>
        </is>
      </c>
      <c r="B501" s="1" t="n">
        <v>44452</v>
      </c>
      <c r="C501" s="1" t="n">
        <v>45890</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21625-2025</t>
        </is>
      </c>
      <c r="B502" s="1" t="n">
        <v>45783.41252314814</v>
      </c>
      <c r="C502" s="1" t="n">
        <v>45890</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28457-2024</t>
        </is>
      </c>
      <c r="B503" s="1" t="n">
        <v>45477.68884259259</v>
      </c>
      <c r="C503" s="1" t="n">
        <v>45890</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7818-2024</t>
        </is>
      </c>
      <c r="B504" s="1" t="n">
        <v>45349.68872685185</v>
      </c>
      <c r="C504" s="1" t="n">
        <v>45890</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20494-2024</t>
        </is>
      </c>
      <c r="B505" s="1" t="n">
        <v>45435</v>
      </c>
      <c r="C505" s="1" t="n">
        <v>45890</v>
      </c>
      <c r="D505" t="inlineStr">
        <is>
          <t>SKÅNE LÄN</t>
        </is>
      </c>
      <c r="E505" t="inlineStr">
        <is>
          <t>HÄSSLEHOLM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55454-2021</t>
        </is>
      </c>
      <c r="B506" s="1" t="n">
        <v>44475</v>
      </c>
      <c r="C506" s="1" t="n">
        <v>45890</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31572-2022</t>
        </is>
      </c>
      <c r="B507" s="1" t="n">
        <v>44775</v>
      </c>
      <c r="C507" s="1" t="n">
        <v>45890</v>
      </c>
      <c r="D507" t="inlineStr">
        <is>
          <t>SKÅNE LÄN</t>
        </is>
      </c>
      <c r="E507" t="inlineStr">
        <is>
          <t>HÄSSLEHOLM</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4356-2024</t>
        </is>
      </c>
      <c r="B508" s="1" t="n">
        <v>45325.36195601852</v>
      </c>
      <c r="C508" s="1" t="n">
        <v>45890</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13309-2025</t>
        </is>
      </c>
      <c r="B509" s="1" t="n">
        <v>45735.58512731481</v>
      </c>
      <c r="C509" s="1" t="n">
        <v>45890</v>
      </c>
      <c r="D509" t="inlineStr">
        <is>
          <t>SKÅNE LÄN</t>
        </is>
      </c>
      <c r="E509" t="inlineStr">
        <is>
          <t>HÄSSLEHOLM</t>
        </is>
      </c>
      <c r="G509" t="n">
        <v>1.2</v>
      </c>
      <c r="H509" t="n">
        <v>0</v>
      </c>
      <c r="I509" t="n">
        <v>0</v>
      </c>
      <c r="J509" t="n">
        <v>0</v>
      </c>
      <c r="K509" t="n">
        <v>0</v>
      </c>
      <c r="L509" t="n">
        <v>0</v>
      </c>
      <c r="M509" t="n">
        <v>0</v>
      </c>
      <c r="N509" t="n">
        <v>0</v>
      </c>
      <c r="O509" t="n">
        <v>0</v>
      </c>
      <c r="P509" t="n">
        <v>0</v>
      </c>
      <c r="Q509" t="n">
        <v>0</v>
      </c>
      <c r="R509" s="2" t="inlineStr"/>
    </row>
    <row r="510" ht="15" customHeight="1">
      <c r="A510" t="inlineStr">
        <is>
          <t>A 51752-2023</t>
        </is>
      </c>
      <c r="B510" s="1" t="n">
        <v>45222</v>
      </c>
      <c r="C510" s="1" t="n">
        <v>45890</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3480-2024</t>
        </is>
      </c>
      <c r="B511" s="1" t="n">
        <v>45320.43998842593</v>
      </c>
      <c r="C511" s="1" t="n">
        <v>45890</v>
      </c>
      <c r="D511" t="inlineStr">
        <is>
          <t>SKÅNE LÄN</t>
        </is>
      </c>
      <c r="E511" t="inlineStr">
        <is>
          <t>HÄSSLEHOLM</t>
        </is>
      </c>
      <c r="G511" t="n">
        <v>0.4</v>
      </c>
      <c r="H511" t="n">
        <v>0</v>
      </c>
      <c r="I511" t="n">
        <v>0</v>
      </c>
      <c r="J511" t="n">
        <v>0</v>
      </c>
      <c r="K511" t="n">
        <v>0</v>
      </c>
      <c r="L511" t="n">
        <v>0</v>
      </c>
      <c r="M511" t="n">
        <v>0</v>
      </c>
      <c r="N511" t="n">
        <v>0</v>
      </c>
      <c r="O511" t="n">
        <v>0</v>
      </c>
      <c r="P511" t="n">
        <v>0</v>
      </c>
      <c r="Q511" t="n">
        <v>0</v>
      </c>
      <c r="R511" s="2" t="inlineStr"/>
    </row>
    <row r="512" ht="15" customHeight="1">
      <c r="A512" t="inlineStr">
        <is>
          <t>A 13149-2024</t>
        </is>
      </c>
      <c r="B512" s="1" t="n">
        <v>45386</v>
      </c>
      <c r="C512" s="1" t="n">
        <v>45890</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5980-2024</t>
        </is>
      </c>
      <c r="B513" s="1" t="n">
        <v>45335</v>
      </c>
      <c r="C513" s="1" t="n">
        <v>45890</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32834-2024</t>
        </is>
      </c>
      <c r="B514" s="1" t="n">
        <v>45516.6025</v>
      </c>
      <c r="C514" s="1" t="n">
        <v>45890</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29845-2024</t>
        </is>
      </c>
      <c r="B515" s="1" t="n">
        <v>45485.6212037037</v>
      </c>
      <c r="C515" s="1" t="n">
        <v>45890</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30109-2025</t>
        </is>
      </c>
      <c r="B516" s="1" t="n">
        <v>45826</v>
      </c>
      <c r="C516" s="1" t="n">
        <v>45890</v>
      </c>
      <c r="D516" t="inlineStr">
        <is>
          <t>SKÅNE LÄN</t>
        </is>
      </c>
      <c r="E516" t="inlineStr">
        <is>
          <t>HÄSSLEHOLM</t>
        </is>
      </c>
      <c r="G516" t="n">
        <v>2.4</v>
      </c>
      <c r="H516" t="n">
        <v>0</v>
      </c>
      <c r="I516" t="n">
        <v>0</v>
      </c>
      <c r="J516" t="n">
        <v>0</v>
      </c>
      <c r="K516" t="n">
        <v>0</v>
      </c>
      <c r="L516" t="n">
        <v>0</v>
      </c>
      <c r="M516" t="n">
        <v>0</v>
      </c>
      <c r="N516" t="n">
        <v>0</v>
      </c>
      <c r="O516" t="n">
        <v>0</v>
      </c>
      <c r="P516" t="n">
        <v>0</v>
      </c>
      <c r="Q516" t="n">
        <v>0</v>
      </c>
      <c r="R516" s="2" t="inlineStr"/>
    </row>
    <row r="517" ht="15" customHeight="1">
      <c r="A517" t="inlineStr">
        <is>
          <t>A 1703-2025</t>
        </is>
      </c>
      <c r="B517" s="1" t="n">
        <v>45670.80732638889</v>
      </c>
      <c r="C517" s="1" t="n">
        <v>45890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9397-2025</t>
        </is>
      </c>
      <c r="B518" s="1" t="n">
        <v>45715.37361111111</v>
      </c>
      <c r="C518" s="1" t="n">
        <v>45890</v>
      </c>
      <c r="D518" t="inlineStr">
        <is>
          <t>SKÅNE LÄN</t>
        </is>
      </c>
      <c r="E518" t="inlineStr">
        <is>
          <t>HÄSSLEHOLM</t>
        </is>
      </c>
      <c r="G518" t="n">
        <v>1.2</v>
      </c>
      <c r="H518" t="n">
        <v>0</v>
      </c>
      <c r="I518" t="n">
        <v>0</v>
      </c>
      <c r="J518" t="n">
        <v>0</v>
      </c>
      <c r="K518" t="n">
        <v>0</v>
      </c>
      <c r="L518" t="n">
        <v>0</v>
      </c>
      <c r="M518" t="n">
        <v>0</v>
      </c>
      <c r="N518" t="n">
        <v>0</v>
      </c>
      <c r="O518" t="n">
        <v>0</v>
      </c>
      <c r="P518" t="n">
        <v>0</v>
      </c>
      <c r="Q518" t="n">
        <v>0</v>
      </c>
      <c r="R518" s="2" t="inlineStr"/>
    </row>
    <row r="519" ht="15" customHeight="1">
      <c r="A519" t="inlineStr">
        <is>
          <t>A 10802-2024</t>
        </is>
      </c>
      <c r="B519" s="1" t="n">
        <v>45369</v>
      </c>
      <c r="C519" s="1" t="n">
        <v>45890</v>
      </c>
      <c r="D519" t="inlineStr">
        <is>
          <t>SKÅNE LÄN</t>
        </is>
      </c>
      <c r="E519" t="inlineStr">
        <is>
          <t>HÄSSLEHOLM</t>
        </is>
      </c>
      <c r="G519" t="n">
        <v>3.4</v>
      </c>
      <c r="H519" t="n">
        <v>0</v>
      </c>
      <c r="I519" t="n">
        <v>0</v>
      </c>
      <c r="J519" t="n">
        <v>0</v>
      </c>
      <c r="K519" t="n">
        <v>0</v>
      </c>
      <c r="L519" t="n">
        <v>0</v>
      </c>
      <c r="M519" t="n">
        <v>0</v>
      </c>
      <c r="N519" t="n">
        <v>0</v>
      </c>
      <c r="O519" t="n">
        <v>0</v>
      </c>
      <c r="P519" t="n">
        <v>0</v>
      </c>
      <c r="Q519" t="n">
        <v>0</v>
      </c>
      <c r="R519" s="2" t="inlineStr"/>
    </row>
    <row r="520" ht="15" customHeight="1">
      <c r="A520" t="inlineStr">
        <is>
          <t>A 59109-2023</t>
        </is>
      </c>
      <c r="B520" s="1" t="n">
        <v>45253.30819444444</v>
      </c>
      <c r="C520" s="1" t="n">
        <v>45890</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49384-2021</t>
        </is>
      </c>
      <c r="B521" s="1" t="n">
        <v>44454</v>
      </c>
      <c r="C521" s="1" t="n">
        <v>45890</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54462-2022</t>
        </is>
      </c>
      <c r="B522" s="1" t="n">
        <v>44882</v>
      </c>
      <c r="C522" s="1" t="n">
        <v>45890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45653-2024</t>
        </is>
      </c>
      <c r="B523" s="1" t="n">
        <v>45579.48872685185</v>
      </c>
      <c r="C523" s="1" t="n">
        <v>45890</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25611-2024</t>
        </is>
      </c>
      <c r="B524" s="1" t="n">
        <v>45463</v>
      </c>
      <c r="C524" s="1" t="n">
        <v>45890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53466-2024</t>
        </is>
      </c>
      <c r="B525" s="1" t="n">
        <v>45614.55304398148</v>
      </c>
      <c r="C525" s="1" t="n">
        <v>45890</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61533-2024</t>
        </is>
      </c>
      <c r="B526" s="1" t="n">
        <v>45646</v>
      </c>
      <c r="C526" s="1" t="n">
        <v>45890</v>
      </c>
      <c r="D526" t="inlineStr">
        <is>
          <t>SKÅNE LÄN</t>
        </is>
      </c>
      <c r="E526" t="inlineStr">
        <is>
          <t>HÄSSLEHOLM</t>
        </is>
      </c>
      <c r="G526" t="n">
        <v>4.5</v>
      </c>
      <c r="H526" t="n">
        <v>0</v>
      </c>
      <c r="I526" t="n">
        <v>0</v>
      </c>
      <c r="J526" t="n">
        <v>0</v>
      </c>
      <c r="K526" t="n">
        <v>0</v>
      </c>
      <c r="L526" t="n">
        <v>0</v>
      </c>
      <c r="M526" t="n">
        <v>0</v>
      </c>
      <c r="N526" t="n">
        <v>0</v>
      </c>
      <c r="O526" t="n">
        <v>0</v>
      </c>
      <c r="P526" t="n">
        <v>0</v>
      </c>
      <c r="Q526" t="n">
        <v>0</v>
      </c>
      <c r="R526" s="2" t="inlineStr"/>
    </row>
    <row r="527" ht="15" customHeight="1">
      <c r="A527" t="inlineStr">
        <is>
          <t>A 7094-2023</t>
        </is>
      </c>
      <c r="B527" s="1" t="n">
        <v>44970.36958333333</v>
      </c>
      <c r="C527" s="1" t="n">
        <v>45890</v>
      </c>
      <c r="D527" t="inlineStr">
        <is>
          <t>SKÅNE LÄN</t>
        </is>
      </c>
      <c r="E527" t="inlineStr">
        <is>
          <t>HÄSSLEHOLM</t>
        </is>
      </c>
      <c r="G527" t="n">
        <v>3.6</v>
      </c>
      <c r="H527" t="n">
        <v>0</v>
      </c>
      <c r="I527" t="n">
        <v>0</v>
      </c>
      <c r="J527" t="n">
        <v>0</v>
      </c>
      <c r="K527" t="n">
        <v>0</v>
      </c>
      <c r="L527" t="n">
        <v>0</v>
      </c>
      <c r="M527" t="n">
        <v>0</v>
      </c>
      <c r="N527" t="n">
        <v>0</v>
      </c>
      <c r="O527" t="n">
        <v>0</v>
      </c>
      <c r="P527" t="n">
        <v>0</v>
      </c>
      <c r="Q527" t="n">
        <v>0</v>
      </c>
      <c r="R527" s="2" t="inlineStr"/>
    </row>
    <row r="528" ht="15" customHeight="1">
      <c r="A528" t="inlineStr">
        <is>
          <t>A 19735-2023</t>
        </is>
      </c>
      <c r="B528" s="1" t="n">
        <v>45051.52199074074</v>
      </c>
      <c r="C528" s="1" t="n">
        <v>45890</v>
      </c>
      <c r="D528" t="inlineStr">
        <is>
          <t>SKÅNE LÄN</t>
        </is>
      </c>
      <c r="E528" t="inlineStr">
        <is>
          <t>HÄSSLEHOLM</t>
        </is>
      </c>
      <c r="G528" t="n">
        <v>4</v>
      </c>
      <c r="H528" t="n">
        <v>0</v>
      </c>
      <c r="I528" t="n">
        <v>0</v>
      </c>
      <c r="J528" t="n">
        <v>0</v>
      </c>
      <c r="K528" t="n">
        <v>0</v>
      </c>
      <c r="L528" t="n">
        <v>0</v>
      </c>
      <c r="M528" t="n">
        <v>0</v>
      </c>
      <c r="N528" t="n">
        <v>0</v>
      </c>
      <c r="O528" t="n">
        <v>0</v>
      </c>
      <c r="P528" t="n">
        <v>0</v>
      </c>
      <c r="Q528" t="n">
        <v>0</v>
      </c>
      <c r="R528" s="2" t="inlineStr"/>
    </row>
    <row r="529" ht="15" customHeight="1">
      <c r="A529" t="inlineStr">
        <is>
          <t>A 32100-2024</t>
        </is>
      </c>
      <c r="B529" s="1" t="n">
        <v>45511.41451388889</v>
      </c>
      <c r="C529" s="1" t="n">
        <v>45890</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2490-2024</t>
        </is>
      </c>
      <c r="B530" s="1" t="n">
        <v>45313.43649305555</v>
      </c>
      <c r="C530" s="1" t="n">
        <v>45890</v>
      </c>
      <c r="D530" t="inlineStr">
        <is>
          <t>SKÅNE LÄN</t>
        </is>
      </c>
      <c r="E530" t="inlineStr">
        <is>
          <t>HÄSSLEHOLM</t>
        </is>
      </c>
      <c r="G530" t="n">
        <v>4</v>
      </c>
      <c r="H530" t="n">
        <v>0</v>
      </c>
      <c r="I530" t="n">
        <v>0</v>
      </c>
      <c r="J530" t="n">
        <v>0</v>
      </c>
      <c r="K530" t="n">
        <v>0</v>
      </c>
      <c r="L530" t="n">
        <v>0</v>
      </c>
      <c r="M530" t="n">
        <v>0</v>
      </c>
      <c r="N530" t="n">
        <v>0</v>
      </c>
      <c r="O530" t="n">
        <v>0</v>
      </c>
      <c r="P530" t="n">
        <v>0</v>
      </c>
      <c r="Q530" t="n">
        <v>0</v>
      </c>
      <c r="R530" s="2" t="inlineStr"/>
    </row>
    <row r="531" ht="15" customHeight="1">
      <c r="A531" t="inlineStr">
        <is>
          <t>A 10220-2023</t>
        </is>
      </c>
      <c r="B531" s="1" t="n">
        <v>44986.60916666667</v>
      </c>
      <c r="C531" s="1" t="n">
        <v>45890</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61537-2024</t>
        </is>
      </c>
      <c r="B532" s="1" t="n">
        <v>45646</v>
      </c>
      <c r="C532" s="1" t="n">
        <v>45890</v>
      </c>
      <c r="D532" t="inlineStr">
        <is>
          <t>SKÅNE LÄN</t>
        </is>
      </c>
      <c r="E532" t="inlineStr">
        <is>
          <t>HÄSSLEHOLM</t>
        </is>
      </c>
      <c r="G532" t="n">
        <v>3.7</v>
      </c>
      <c r="H532" t="n">
        <v>0</v>
      </c>
      <c r="I532" t="n">
        <v>0</v>
      </c>
      <c r="J532" t="n">
        <v>0</v>
      </c>
      <c r="K532" t="n">
        <v>0</v>
      </c>
      <c r="L532" t="n">
        <v>0</v>
      </c>
      <c r="M532" t="n">
        <v>0</v>
      </c>
      <c r="N532" t="n">
        <v>0</v>
      </c>
      <c r="O532" t="n">
        <v>0</v>
      </c>
      <c r="P532" t="n">
        <v>0</v>
      </c>
      <c r="Q532" t="n">
        <v>0</v>
      </c>
      <c r="R532" s="2" t="inlineStr"/>
    </row>
    <row r="533" ht="15" customHeight="1">
      <c r="A533" t="inlineStr">
        <is>
          <t>A 34890-2023</t>
        </is>
      </c>
      <c r="B533" s="1" t="n">
        <v>45142.39475694444</v>
      </c>
      <c r="C533" s="1" t="n">
        <v>45890</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35810-2023</t>
        </is>
      </c>
      <c r="B534" s="1" t="n">
        <v>45148.44046296296</v>
      </c>
      <c r="C534" s="1" t="n">
        <v>45890</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11260-2021</t>
        </is>
      </c>
      <c r="B535" s="1" t="n">
        <v>44263</v>
      </c>
      <c r="C535" s="1" t="n">
        <v>45890</v>
      </c>
      <c r="D535" t="inlineStr">
        <is>
          <t>SKÅNE LÄN</t>
        </is>
      </c>
      <c r="E535" t="inlineStr">
        <is>
          <t>HÄSSLEHOLM</t>
        </is>
      </c>
      <c r="G535" t="n">
        <v>5.4</v>
      </c>
      <c r="H535" t="n">
        <v>0</v>
      </c>
      <c r="I535" t="n">
        <v>0</v>
      </c>
      <c r="J535" t="n">
        <v>0</v>
      </c>
      <c r="K535" t="n">
        <v>0</v>
      </c>
      <c r="L535" t="n">
        <v>0</v>
      </c>
      <c r="M535" t="n">
        <v>0</v>
      </c>
      <c r="N535" t="n">
        <v>0</v>
      </c>
      <c r="O535" t="n">
        <v>0</v>
      </c>
      <c r="P535" t="n">
        <v>0</v>
      </c>
      <c r="Q535" t="n">
        <v>0</v>
      </c>
      <c r="R535" s="2" t="inlineStr"/>
    </row>
    <row r="536" ht="15" customHeight="1">
      <c r="A536" t="inlineStr">
        <is>
          <t>A 35833-2023</t>
        </is>
      </c>
      <c r="B536" s="1" t="n">
        <v>45148</v>
      </c>
      <c r="C536" s="1" t="n">
        <v>45890</v>
      </c>
      <c r="D536" t="inlineStr">
        <is>
          <t>SKÅNE LÄN</t>
        </is>
      </c>
      <c r="E536" t="inlineStr">
        <is>
          <t>HÄSSLEHOLM</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59556-2023</t>
        </is>
      </c>
      <c r="B537" s="1" t="n">
        <v>45254.56313657408</v>
      </c>
      <c r="C537" s="1" t="n">
        <v>45890</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22024-2025</t>
        </is>
      </c>
      <c r="B538" s="1" t="n">
        <v>45784.85322916666</v>
      </c>
      <c r="C538" s="1" t="n">
        <v>45890</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9322-2025</t>
        </is>
      </c>
      <c r="B539" s="1" t="n">
        <v>45714.72241898148</v>
      </c>
      <c r="C539" s="1" t="n">
        <v>45890</v>
      </c>
      <c r="D539" t="inlineStr">
        <is>
          <t>SKÅNE LÄN</t>
        </is>
      </c>
      <c r="E539" t="inlineStr">
        <is>
          <t>HÄSSLEHOLM</t>
        </is>
      </c>
      <c r="G539" t="n">
        <v>2.6</v>
      </c>
      <c r="H539" t="n">
        <v>0</v>
      </c>
      <c r="I539" t="n">
        <v>0</v>
      </c>
      <c r="J539" t="n">
        <v>0</v>
      </c>
      <c r="K539" t="n">
        <v>0</v>
      </c>
      <c r="L539" t="n">
        <v>0</v>
      </c>
      <c r="M539" t="n">
        <v>0</v>
      </c>
      <c r="N539" t="n">
        <v>0</v>
      </c>
      <c r="O539" t="n">
        <v>0</v>
      </c>
      <c r="P539" t="n">
        <v>0</v>
      </c>
      <c r="Q539" t="n">
        <v>0</v>
      </c>
      <c r="R539" s="2" t="inlineStr"/>
    </row>
    <row r="540" ht="15" customHeight="1">
      <c r="A540" t="inlineStr">
        <is>
          <t>A 30092-2025</t>
        </is>
      </c>
      <c r="B540" s="1" t="n">
        <v>45826</v>
      </c>
      <c r="C540" s="1" t="n">
        <v>45890</v>
      </c>
      <c r="D540" t="inlineStr">
        <is>
          <t>SKÅNE LÄN</t>
        </is>
      </c>
      <c r="E540" t="inlineStr">
        <is>
          <t>HÄSSLEHOLM</t>
        </is>
      </c>
      <c r="G540" t="n">
        <v>1.4</v>
      </c>
      <c r="H540" t="n">
        <v>0</v>
      </c>
      <c r="I540" t="n">
        <v>0</v>
      </c>
      <c r="J540" t="n">
        <v>0</v>
      </c>
      <c r="K540" t="n">
        <v>0</v>
      </c>
      <c r="L540" t="n">
        <v>0</v>
      </c>
      <c r="M540" t="n">
        <v>0</v>
      </c>
      <c r="N540" t="n">
        <v>0</v>
      </c>
      <c r="O540" t="n">
        <v>0</v>
      </c>
      <c r="P540" t="n">
        <v>0</v>
      </c>
      <c r="Q540" t="n">
        <v>0</v>
      </c>
      <c r="R540" s="2" t="inlineStr"/>
    </row>
    <row r="541" ht="15" customHeight="1">
      <c r="A541" t="inlineStr">
        <is>
          <t>A 20006-2025</t>
        </is>
      </c>
      <c r="B541" s="1" t="n">
        <v>45772.05032407407</v>
      </c>
      <c r="C541" s="1" t="n">
        <v>45890</v>
      </c>
      <c r="D541" t="inlineStr">
        <is>
          <t>SKÅNE LÄN</t>
        </is>
      </c>
      <c r="E541" t="inlineStr">
        <is>
          <t>HÄSSLEHOLM</t>
        </is>
      </c>
      <c r="G541" t="n">
        <v>3.9</v>
      </c>
      <c r="H541" t="n">
        <v>0</v>
      </c>
      <c r="I541" t="n">
        <v>0</v>
      </c>
      <c r="J541" t="n">
        <v>0</v>
      </c>
      <c r="K541" t="n">
        <v>0</v>
      </c>
      <c r="L541" t="n">
        <v>0</v>
      </c>
      <c r="M541" t="n">
        <v>0</v>
      </c>
      <c r="N541" t="n">
        <v>0</v>
      </c>
      <c r="O541" t="n">
        <v>0</v>
      </c>
      <c r="P541" t="n">
        <v>0</v>
      </c>
      <c r="Q541" t="n">
        <v>0</v>
      </c>
      <c r="R541" s="2" t="inlineStr"/>
    </row>
    <row r="542" ht="15" customHeight="1">
      <c r="A542" t="inlineStr">
        <is>
          <t>A 53077-2022</t>
        </is>
      </c>
      <c r="B542" s="1" t="n">
        <v>44873</v>
      </c>
      <c r="C542" s="1" t="n">
        <v>45890</v>
      </c>
      <c r="D542" t="inlineStr">
        <is>
          <t>SKÅNE LÄN</t>
        </is>
      </c>
      <c r="E542" t="inlineStr">
        <is>
          <t>HÄSSLEHOLM</t>
        </is>
      </c>
      <c r="G542" t="n">
        <v>3</v>
      </c>
      <c r="H542" t="n">
        <v>0</v>
      </c>
      <c r="I542" t="n">
        <v>0</v>
      </c>
      <c r="J542" t="n">
        <v>0</v>
      </c>
      <c r="K542" t="n">
        <v>0</v>
      </c>
      <c r="L542" t="n">
        <v>0</v>
      </c>
      <c r="M542" t="n">
        <v>0</v>
      </c>
      <c r="N542" t="n">
        <v>0</v>
      </c>
      <c r="O542" t="n">
        <v>0</v>
      </c>
      <c r="P542" t="n">
        <v>0</v>
      </c>
      <c r="Q542" t="n">
        <v>0</v>
      </c>
      <c r="R542" s="2" t="inlineStr"/>
    </row>
    <row r="543" ht="15" customHeight="1">
      <c r="A543" t="inlineStr">
        <is>
          <t>A 56735-2024</t>
        </is>
      </c>
      <c r="B543" s="1" t="n">
        <v>45628.36234953703</v>
      </c>
      <c r="C543" s="1" t="n">
        <v>45890</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29844-2024</t>
        </is>
      </c>
      <c r="B544" s="1" t="n">
        <v>45485</v>
      </c>
      <c r="C544" s="1" t="n">
        <v>45890</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260-2024</t>
        </is>
      </c>
      <c r="B545" s="1" t="n">
        <v>45294</v>
      </c>
      <c r="C545" s="1" t="n">
        <v>45890</v>
      </c>
      <c r="D545" t="inlineStr">
        <is>
          <t>SKÅNE LÄN</t>
        </is>
      </c>
      <c r="E545" t="inlineStr">
        <is>
          <t>HÄSSLEHOLM</t>
        </is>
      </c>
      <c r="G545" t="n">
        <v>1</v>
      </c>
      <c r="H545" t="n">
        <v>0</v>
      </c>
      <c r="I545" t="n">
        <v>0</v>
      </c>
      <c r="J545" t="n">
        <v>0</v>
      </c>
      <c r="K545" t="n">
        <v>0</v>
      </c>
      <c r="L545" t="n">
        <v>0</v>
      </c>
      <c r="M545" t="n">
        <v>0</v>
      </c>
      <c r="N545" t="n">
        <v>0</v>
      </c>
      <c r="O545" t="n">
        <v>0</v>
      </c>
      <c r="P545" t="n">
        <v>0</v>
      </c>
      <c r="Q545" t="n">
        <v>0</v>
      </c>
      <c r="R545" s="2" t="inlineStr"/>
    </row>
    <row r="546" ht="15" customHeight="1">
      <c r="A546" t="inlineStr">
        <is>
          <t>A 40780-2022</t>
        </is>
      </c>
      <c r="B546" s="1" t="n">
        <v>44820</v>
      </c>
      <c r="C546" s="1" t="n">
        <v>45890</v>
      </c>
      <c r="D546" t="inlineStr">
        <is>
          <t>SKÅNE LÄN</t>
        </is>
      </c>
      <c r="E546" t="inlineStr">
        <is>
          <t>HÄSSLEHOLM</t>
        </is>
      </c>
      <c r="G546" t="n">
        <v>7.4</v>
      </c>
      <c r="H546" t="n">
        <v>0</v>
      </c>
      <c r="I546" t="n">
        <v>0</v>
      </c>
      <c r="J546" t="n">
        <v>0</v>
      </c>
      <c r="K546" t="n">
        <v>0</v>
      </c>
      <c r="L546" t="n">
        <v>0</v>
      </c>
      <c r="M546" t="n">
        <v>0</v>
      </c>
      <c r="N546" t="n">
        <v>0</v>
      </c>
      <c r="O546" t="n">
        <v>0</v>
      </c>
      <c r="P546" t="n">
        <v>0</v>
      </c>
      <c r="Q546" t="n">
        <v>0</v>
      </c>
      <c r="R546" s="2" t="inlineStr"/>
    </row>
    <row r="547" ht="15" customHeight="1">
      <c r="A547" t="inlineStr">
        <is>
          <t>A 55662-2022</t>
        </is>
      </c>
      <c r="B547" s="1" t="n">
        <v>44883</v>
      </c>
      <c r="C547" s="1" t="n">
        <v>45890</v>
      </c>
      <c r="D547" t="inlineStr">
        <is>
          <t>SKÅNE LÄN</t>
        </is>
      </c>
      <c r="E547" t="inlineStr">
        <is>
          <t>HÄSSLEHOLM</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19744-2023</t>
        </is>
      </c>
      <c r="B548" s="1" t="n">
        <v>45051</v>
      </c>
      <c r="C548" s="1" t="n">
        <v>45890</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14655-2025</t>
        </is>
      </c>
      <c r="B549" s="1" t="n">
        <v>45742.5072337963</v>
      </c>
      <c r="C549" s="1" t="n">
        <v>45890</v>
      </c>
      <c r="D549" t="inlineStr">
        <is>
          <t>SKÅNE LÄN</t>
        </is>
      </c>
      <c r="E549" t="inlineStr">
        <is>
          <t>HÄSSLEHOLM</t>
        </is>
      </c>
      <c r="G549" t="n">
        <v>4.5</v>
      </c>
      <c r="H549" t="n">
        <v>0</v>
      </c>
      <c r="I549" t="n">
        <v>0</v>
      </c>
      <c r="J549" t="n">
        <v>0</v>
      </c>
      <c r="K549" t="n">
        <v>0</v>
      </c>
      <c r="L549" t="n">
        <v>0</v>
      </c>
      <c r="M549" t="n">
        <v>0</v>
      </c>
      <c r="N549" t="n">
        <v>0</v>
      </c>
      <c r="O549" t="n">
        <v>0</v>
      </c>
      <c r="P549" t="n">
        <v>0</v>
      </c>
      <c r="Q549" t="n">
        <v>0</v>
      </c>
      <c r="R549" s="2" t="inlineStr"/>
    </row>
    <row r="550" ht="15" customHeight="1">
      <c r="A550" t="inlineStr">
        <is>
          <t>A 14926-2024</t>
        </is>
      </c>
      <c r="B550" s="1" t="n">
        <v>45398</v>
      </c>
      <c r="C550" s="1" t="n">
        <v>45890</v>
      </c>
      <c r="D550" t="inlineStr">
        <is>
          <t>SKÅNE LÄN</t>
        </is>
      </c>
      <c r="E550" t="inlineStr">
        <is>
          <t>HÄSSLEHOLM</t>
        </is>
      </c>
      <c r="G550" t="n">
        <v>3.4</v>
      </c>
      <c r="H550" t="n">
        <v>0</v>
      </c>
      <c r="I550" t="n">
        <v>0</v>
      </c>
      <c r="J550" t="n">
        <v>0</v>
      </c>
      <c r="K550" t="n">
        <v>0</v>
      </c>
      <c r="L550" t="n">
        <v>0</v>
      </c>
      <c r="M550" t="n">
        <v>0</v>
      </c>
      <c r="N550" t="n">
        <v>0</v>
      </c>
      <c r="O550" t="n">
        <v>0</v>
      </c>
      <c r="P550" t="n">
        <v>0</v>
      </c>
      <c r="Q550" t="n">
        <v>0</v>
      </c>
      <c r="R550" s="2" t="inlineStr"/>
    </row>
    <row r="551" ht="15" customHeight="1">
      <c r="A551" t="inlineStr">
        <is>
          <t>A 5316-2023</t>
        </is>
      </c>
      <c r="B551" s="1" t="n">
        <v>44959</v>
      </c>
      <c r="C551" s="1" t="n">
        <v>45890</v>
      </c>
      <c r="D551" t="inlineStr">
        <is>
          <t>SKÅNE LÄN</t>
        </is>
      </c>
      <c r="E551" t="inlineStr">
        <is>
          <t>HÄSSLEHOLM</t>
        </is>
      </c>
      <c r="G551" t="n">
        <v>2.1</v>
      </c>
      <c r="H551" t="n">
        <v>0</v>
      </c>
      <c r="I551" t="n">
        <v>0</v>
      </c>
      <c r="J551" t="n">
        <v>0</v>
      </c>
      <c r="K551" t="n">
        <v>0</v>
      </c>
      <c r="L551" t="n">
        <v>0</v>
      </c>
      <c r="M551" t="n">
        <v>0</v>
      </c>
      <c r="N551" t="n">
        <v>0</v>
      </c>
      <c r="O551" t="n">
        <v>0</v>
      </c>
      <c r="P551" t="n">
        <v>0</v>
      </c>
      <c r="Q551" t="n">
        <v>0</v>
      </c>
      <c r="R551" s="2" t="inlineStr"/>
    </row>
    <row r="552" ht="15" customHeight="1">
      <c r="A552" t="inlineStr">
        <is>
          <t>A 3886-2024</t>
        </is>
      </c>
      <c r="B552" s="1" t="n">
        <v>45322.44539351852</v>
      </c>
      <c r="C552" s="1" t="n">
        <v>45890</v>
      </c>
      <c r="D552" t="inlineStr">
        <is>
          <t>SKÅNE LÄN</t>
        </is>
      </c>
      <c r="E552" t="inlineStr">
        <is>
          <t>HÄSSLEHOLM</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9924-2025</t>
        </is>
      </c>
      <c r="B553" s="1" t="n">
        <v>45717.72505787037</v>
      </c>
      <c r="C553" s="1" t="n">
        <v>45890</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22587-2025</t>
        </is>
      </c>
      <c r="B554" s="1" t="n">
        <v>45789.39974537037</v>
      </c>
      <c r="C554" s="1" t="n">
        <v>45890</v>
      </c>
      <c r="D554" t="inlineStr">
        <is>
          <t>SKÅNE LÄN</t>
        </is>
      </c>
      <c r="E554" t="inlineStr">
        <is>
          <t>HÄSSLEHOLM</t>
        </is>
      </c>
      <c r="G554" t="n">
        <v>5.7</v>
      </c>
      <c r="H554" t="n">
        <v>0</v>
      </c>
      <c r="I554" t="n">
        <v>0</v>
      </c>
      <c r="J554" t="n">
        <v>0</v>
      </c>
      <c r="K554" t="n">
        <v>0</v>
      </c>
      <c r="L554" t="n">
        <v>0</v>
      </c>
      <c r="M554" t="n">
        <v>0</v>
      </c>
      <c r="N554" t="n">
        <v>0</v>
      </c>
      <c r="O554" t="n">
        <v>0</v>
      </c>
      <c r="P554" t="n">
        <v>0</v>
      </c>
      <c r="Q554" t="n">
        <v>0</v>
      </c>
      <c r="R554" s="2" t="inlineStr"/>
    </row>
    <row r="555" ht="15" customHeight="1">
      <c r="A555" t="inlineStr">
        <is>
          <t>A 60843-2022</t>
        </is>
      </c>
      <c r="B555" s="1" t="n">
        <v>44914</v>
      </c>
      <c r="C555" s="1" t="n">
        <v>45890</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60920-2024</t>
        </is>
      </c>
      <c r="B556" s="1" t="n">
        <v>45645.34442129629</v>
      </c>
      <c r="C556" s="1" t="n">
        <v>45890</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40536-2024</t>
        </is>
      </c>
      <c r="B557" s="1" t="n">
        <v>45555.61314814815</v>
      </c>
      <c r="C557" s="1" t="n">
        <v>45890</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61504-2022</t>
        </is>
      </c>
      <c r="B558" s="1" t="n">
        <v>44910</v>
      </c>
      <c r="C558" s="1" t="n">
        <v>45890</v>
      </c>
      <c r="D558" t="inlineStr">
        <is>
          <t>SKÅNE LÄN</t>
        </is>
      </c>
      <c r="E558" t="inlineStr">
        <is>
          <t>HÄSSLEHOLM</t>
        </is>
      </c>
      <c r="F558" t="inlineStr">
        <is>
          <t>Kyrkan</t>
        </is>
      </c>
      <c r="G558" t="n">
        <v>2.9</v>
      </c>
      <c r="H558" t="n">
        <v>0</v>
      </c>
      <c r="I558" t="n">
        <v>0</v>
      </c>
      <c r="J558" t="n">
        <v>0</v>
      </c>
      <c r="K558" t="n">
        <v>0</v>
      </c>
      <c r="L558" t="n">
        <v>0</v>
      </c>
      <c r="M558" t="n">
        <v>0</v>
      </c>
      <c r="N558" t="n">
        <v>0</v>
      </c>
      <c r="O558" t="n">
        <v>0</v>
      </c>
      <c r="P558" t="n">
        <v>0</v>
      </c>
      <c r="Q558" t="n">
        <v>0</v>
      </c>
      <c r="R558" s="2" t="inlineStr"/>
    </row>
    <row r="559" ht="15" customHeight="1">
      <c r="A559" t="inlineStr">
        <is>
          <t>A 56386-2023</t>
        </is>
      </c>
      <c r="B559" s="1" t="n">
        <v>45243</v>
      </c>
      <c r="C559" s="1" t="n">
        <v>45890</v>
      </c>
      <c r="D559" t="inlineStr">
        <is>
          <t>SKÅNE LÄN</t>
        </is>
      </c>
      <c r="E559" t="inlineStr">
        <is>
          <t>HÄSSLEHOLM</t>
        </is>
      </c>
      <c r="G559" t="n">
        <v>2</v>
      </c>
      <c r="H559" t="n">
        <v>0</v>
      </c>
      <c r="I559" t="n">
        <v>0</v>
      </c>
      <c r="J559" t="n">
        <v>0</v>
      </c>
      <c r="K559" t="n">
        <v>0</v>
      </c>
      <c r="L559" t="n">
        <v>0</v>
      </c>
      <c r="M559" t="n">
        <v>0</v>
      </c>
      <c r="N559" t="n">
        <v>0</v>
      </c>
      <c r="O559" t="n">
        <v>0</v>
      </c>
      <c r="P559" t="n">
        <v>0</v>
      </c>
      <c r="Q559" t="n">
        <v>0</v>
      </c>
      <c r="R559" s="2" t="inlineStr"/>
    </row>
    <row r="560" ht="15" customHeight="1">
      <c r="A560" t="inlineStr">
        <is>
          <t>A 29274-2023</t>
        </is>
      </c>
      <c r="B560" s="1" t="n">
        <v>45105</v>
      </c>
      <c r="C560" s="1" t="n">
        <v>45890</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69109-2020</t>
        </is>
      </c>
      <c r="B561" s="1" t="n">
        <v>44188</v>
      </c>
      <c r="C561" s="1" t="n">
        <v>45890</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61932-2023</t>
        </is>
      </c>
      <c r="B562" s="1" t="n">
        <v>45266.53761574074</v>
      </c>
      <c r="C562" s="1" t="n">
        <v>45890</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27606-2024</t>
        </is>
      </c>
      <c r="B563" s="1" t="n">
        <v>45474</v>
      </c>
      <c r="C563" s="1" t="n">
        <v>45890</v>
      </c>
      <c r="D563" t="inlineStr">
        <is>
          <t>SKÅNE LÄN</t>
        </is>
      </c>
      <c r="E563" t="inlineStr">
        <is>
          <t>HÄSSLEHOLM</t>
        </is>
      </c>
      <c r="G563" t="n">
        <v>3.6</v>
      </c>
      <c r="H563" t="n">
        <v>0</v>
      </c>
      <c r="I563" t="n">
        <v>0</v>
      </c>
      <c r="J563" t="n">
        <v>0</v>
      </c>
      <c r="K563" t="n">
        <v>0</v>
      </c>
      <c r="L563" t="n">
        <v>0</v>
      </c>
      <c r="M563" t="n">
        <v>0</v>
      </c>
      <c r="N563" t="n">
        <v>0</v>
      </c>
      <c r="O563" t="n">
        <v>0</v>
      </c>
      <c r="P563" t="n">
        <v>0</v>
      </c>
      <c r="Q563" t="n">
        <v>0</v>
      </c>
      <c r="R563" s="2" t="inlineStr"/>
    </row>
    <row r="564" ht="15" customHeight="1">
      <c r="A564" t="inlineStr">
        <is>
          <t>A 50244-2024</t>
        </is>
      </c>
      <c r="B564" s="1" t="n">
        <v>45600.56502314815</v>
      </c>
      <c r="C564" s="1" t="n">
        <v>45890</v>
      </c>
      <c r="D564" t="inlineStr">
        <is>
          <t>SKÅNE LÄN</t>
        </is>
      </c>
      <c r="E564" t="inlineStr">
        <is>
          <t>HÄSSLEHOLM</t>
        </is>
      </c>
      <c r="G564" t="n">
        <v>1.9</v>
      </c>
      <c r="H564" t="n">
        <v>0</v>
      </c>
      <c r="I564" t="n">
        <v>0</v>
      </c>
      <c r="J564" t="n">
        <v>0</v>
      </c>
      <c r="K564" t="n">
        <v>0</v>
      </c>
      <c r="L564" t="n">
        <v>0</v>
      </c>
      <c r="M564" t="n">
        <v>0</v>
      </c>
      <c r="N564" t="n">
        <v>0</v>
      </c>
      <c r="O564" t="n">
        <v>0</v>
      </c>
      <c r="P564" t="n">
        <v>0</v>
      </c>
      <c r="Q564" t="n">
        <v>0</v>
      </c>
      <c r="R564" s="2" t="inlineStr"/>
    </row>
    <row r="565" ht="15" customHeight="1">
      <c r="A565" t="inlineStr">
        <is>
          <t>A 19739-2023</t>
        </is>
      </c>
      <c r="B565" s="1" t="n">
        <v>45051</v>
      </c>
      <c r="C565" s="1" t="n">
        <v>45890</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7221-2025</t>
        </is>
      </c>
      <c r="B566" s="1" t="n">
        <v>45701</v>
      </c>
      <c r="C566" s="1" t="n">
        <v>45890</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5532-2025</t>
        </is>
      </c>
      <c r="B567" s="1" t="n">
        <v>45693</v>
      </c>
      <c r="C567" s="1" t="n">
        <v>45890</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52968-2022</t>
        </is>
      </c>
      <c r="B568" s="1" t="n">
        <v>44875</v>
      </c>
      <c r="C568" s="1" t="n">
        <v>45890</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43874-2022</t>
        </is>
      </c>
      <c r="B569" s="1" t="n">
        <v>44838.44738425926</v>
      </c>
      <c r="C569" s="1" t="n">
        <v>45890</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64884-2023</t>
        </is>
      </c>
      <c r="B570" s="1" t="n">
        <v>45282.57809027778</v>
      </c>
      <c r="C570" s="1" t="n">
        <v>45890</v>
      </c>
      <c r="D570" t="inlineStr">
        <is>
          <t>SKÅNE LÄN</t>
        </is>
      </c>
      <c r="E570" t="inlineStr">
        <is>
          <t>HÄSSLEHOLM</t>
        </is>
      </c>
      <c r="G570" t="n">
        <v>4.6</v>
      </c>
      <c r="H570" t="n">
        <v>0</v>
      </c>
      <c r="I570" t="n">
        <v>0</v>
      </c>
      <c r="J570" t="n">
        <v>0</v>
      </c>
      <c r="K570" t="n">
        <v>0</v>
      </c>
      <c r="L570" t="n">
        <v>0</v>
      </c>
      <c r="M570" t="n">
        <v>0</v>
      </c>
      <c r="N570" t="n">
        <v>0</v>
      </c>
      <c r="O570" t="n">
        <v>0</v>
      </c>
      <c r="P570" t="n">
        <v>0</v>
      </c>
      <c r="Q570" t="n">
        <v>0</v>
      </c>
      <c r="R570" s="2" t="inlineStr"/>
    </row>
    <row r="571" ht="15" customHeight="1">
      <c r="A571" t="inlineStr">
        <is>
          <t>A 48112-2024</t>
        </is>
      </c>
      <c r="B571" s="1" t="n">
        <v>45589.6295949074</v>
      </c>
      <c r="C571" s="1" t="n">
        <v>45890</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6309-2025</t>
        </is>
      </c>
      <c r="B572" s="1" t="n">
        <v>45698</v>
      </c>
      <c r="C572" s="1" t="n">
        <v>45890</v>
      </c>
      <c r="D572" t="inlineStr">
        <is>
          <t>SKÅNE LÄN</t>
        </is>
      </c>
      <c r="E572" t="inlineStr">
        <is>
          <t>HÄSSLEHOLM</t>
        </is>
      </c>
      <c r="G572" t="n">
        <v>2.7</v>
      </c>
      <c r="H572" t="n">
        <v>0</v>
      </c>
      <c r="I572" t="n">
        <v>0</v>
      </c>
      <c r="J572" t="n">
        <v>0</v>
      </c>
      <c r="K572" t="n">
        <v>0</v>
      </c>
      <c r="L572" t="n">
        <v>0</v>
      </c>
      <c r="M572" t="n">
        <v>0</v>
      </c>
      <c r="N572" t="n">
        <v>0</v>
      </c>
      <c r="O572" t="n">
        <v>0</v>
      </c>
      <c r="P572" t="n">
        <v>0</v>
      </c>
      <c r="Q572" t="n">
        <v>0</v>
      </c>
      <c r="R572" s="2" t="inlineStr"/>
    </row>
    <row r="573" ht="15" customHeight="1">
      <c r="A573" t="inlineStr">
        <is>
          <t>A 6310-2025</t>
        </is>
      </c>
      <c r="B573" s="1" t="n">
        <v>45698</v>
      </c>
      <c r="C573" s="1" t="n">
        <v>45890</v>
      </c>
      <c r="D573" t="inlineStr">
        <is>
          <t>SKÅNE LÄN</t>
        </is>
      </c>
      <c r="E573" t="inlineStr">
        <is>
          <t>HÄSSLEHOLM</t>
        </is>
      </c>
      <c r="G573" t="n">
        <v>2.7</v>
      </c>
      <c r="H573" t="n">
        <v>0</v>
      </c>
      <c r="I573" t="n">
        <v>0</v>
      </c>
      <c r="J573" t="n">
        <v>0</v>
      </c>
      <c r="K573" t="n">
        <v>0</v>
      </c>
      <c r="L573" t="n">
        <v>0</v>
      </c>
      <c r="M573" t="n">
        <v>0</v>
      </c>
      <c r="N573" t="n">
        <v>0</v>
      </c>
      <c r="O573" t="n">
        <v>0</v>
      </c>
      <c r="P573" t="n">
        <v>0</v>
      </c>
      <c r="Q573" t="n">
        <v>0</v>
      </c>
      <c r="R573" s="2" t="inlineStr"/>
    </row>
    <row r="574" ht="15" customHeight="1">
      <c r="A574" t="inlineStr">
        <is>
          <t>A 10230-2025</t>
        </is>
      </c>
      <c r="B574" s="1" t="n">
        <v>45720</v>
      </c>
      <c r="C574" s="1" t="n">
        <v>45890</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33266-2024</t>
        </is>
      </c>
      <c r="B575" s="1" t="n">
        <v>45518</v>
      </c>
      <c r="C575" s="1" t="n">
        <v>45890</v>
      </c>
      <c r="D575" t="inlineStr">
        <is>
          <t>SKÅNE LÄN</t>
        </is>
      </c>
      <c r="E575" t="inlineStr">
        <is>
          <t>HÄSSLEHOLM</t>
        </is>
      </c>
      <c r="G575" t="n">
        <v>3.2</v>
      </c>
      <c r="H575" t="n">
        <v>0</v>
      </c>
      <c r="I575" t="n">
        <v>0</v>
      </c>
      <c r="J575" t="n">
        <v>0</v>
      </c>
      <c r="K575" t="n">
        <v>0</v>
      </c>
      <c r="L575" t="n">
        <v>0</v>
      </c>
      <c r="M575" t="n">
        <v>0</v>
      </c>
      <c r="N575" t="n">
        <v>0</v>
      </c>
      <c r="O575" t="n">
        <v>0</v>
      </c>
      <c r="P575" t="n">
        <v>0</v>
      </c>
      <c r="Q575" t="n">
        <v>0</v>
      </c>
      <c r="R575" s="2" t="inlineStr"/>
    </row>
    <row r="576" ht="15" customHeight="1">
      <c r="A576" t="inlineStr">
        <is>
          <t>A 59763-2022</t>
        </is>
      </c>
      <c r="B576" s="1" t="n">
        <v>44900</v>
      </c>
      <c r="C576" s="1" t="n">
        <v>45890</v>
      </c>
      <c r="D576" t="inlineStr">
        <is>
          <t>SKÅNE LÄN</t>
        </is>
      </c>
      <c r="E576" t="inlineStr">
        <is>
          <t>HÄSSLEHOLM</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3364-2023</t>
        </is>
      </c>
      <c r="B577" s="1" t="n">
        <v>44949</v>
      </c>
      <c r="C577" s="1" t="n">
        <v>45890</v>
      </c>
      <c r="D577" t="inlineStr">
        <is>
          <t>SKÅNE LÄN</t>
        </is>
      </c>
      <c r="E577" t="inlineStr">
        <is>
          <t>HÄSSLEHOLM</t>
        </is>
      </c>
      <c r="G577" t="n">
        <v>5.1</v>
      </c>
      <c r="H577" t="n">
        <v>0</v>
      </c>
      <c r="I577" t="n">
        <v>0</v>
      </c>
      <c r="J577" t="n">
        <v>0</v>
      </c>
      <c r="K577" t="n">
        <v>0</v>
      </c>
      <c r="L577" t="n">
        <v>0</v>
      </c>
      <c r="M577" t="n">
        <v>0</v>
      </c>
      <c r="N577" t="n">
        <v>0</v>
      </c>
      <c r="O577" t="n">
        <v>0</v>
      </c>
      <c r="P577" t="n">
        <v>0</v>
      </c>
      <c r="Q577" t="n">
        <v>0</v>
      </c>
      <c r="R577" s="2" t="inlineStr"/>
    </row>
    <row r="578" ht="15" customHeight="1">
      <c r="A578" t="inlineStr">
        <is>
          <t>A 52642-2021</t>
        </is>
      </c>
      <c r="B578" s="1" t="n">
        <v>44466.64298611111</v>
      </c>
      <c r="C578" s="1" t="n">
        <v>45890</v>
      </c>
      <c r="D578" t="inlineStr">
        <is>
          <t>SKÅNE LÄN</t>
        </is>
      </c>
      <c r="E578" t="inlineStr">
        <is>
          <t>HÄSSLEHOLM</t>
        </is>
      </c>
      <c r="G578" t="n">
        <v>3.7</v>
      </c>
      <c r="H578" t="n">
        <v>0</v>
      </c>
      <c r="I578" t="n">
        <v>0</v>
      </c>
      <c r="J578" t="n">
        <v>0</v>
      </c>
      <c r="K578" t="n">
        <v>0</v>
      </c>
      <c r="L578" t="n">
        <v>0</v>
      </c>
      <c r="M578" t="n">
        <v>0</v>
      </c>
      <c r="N578" t="n">
        <v>0</v>
      </c>
      <c r="O578" t="n">
        <v>0</v>
      </c>
      <c r="P578" t="n">
        <v>0</v>
      </c>
      <c r="Q578" t="n">
        <v>0</v>
      </c>
      <c r="R578" s="2" t="inlineStr"/>
    </row>
    <row r="579" ht="15" customHeight="1">
      <c r="A579" t="inlineStr">
        <is>
          <t>A 48797-2023</t>
        </is>
      </c>
      <c r="B579" s="1" t="n">
        <v>45209.24986111111</v>
      </c>
      <c r="C579" s="1" t="n">
        <v>45890</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50046-2020</t>
        </is>
      </c>
      <c r="B580" s="1" t="n">
        <v>44109</v>
      </c>
      <c r="C580" s="1" t="n">
        <v>45890</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22592-2025</t>
        </is>
      </c>
      <c r="B581" s="1" t="n">
        <v>45789.40502314815</v>
      </c>
      <c r="C581" s="1" t="n">
        <v>45890</v>
      </c>
      <c r="D581" t="inlineStr">
        <is>
          <t>SKÅNE LÄN</t>
        </is>
      </c>
      <c r="E581" t="inlineStr">
        <is>
          <t>HÄSSLEHOLM</t>
        </is>
      </c>
      <c r="G581" t="n">
        <v>7.1</v>
      </c>
      <c r="H581" t="n">
        <v>0</v>
      </c>
      <c r="I581" t="n">
        <v>0</v>
      </c>
      <c r="J581" t="n">
        <v>0</v>
      </c>
      <c r="K581" t="n">
        <v>0</v>
      </c>
      <c r="L581" t="n">
        <v>0</v>
      </c>
      <c r="M581" t="n">
        <v>0</v>
      </c>
      <c r="N581" t="n">
        <v>0</v>
      </c>
      <c r="O581" t="n">
        <v>0</v>
      </c>
      <c r="P581" t="n">
        <v>0</v>
      </c>
      <c r="Q581" t="n">
        <v>0</v>
      </c>
      <c r="R581" s="2" t="inlineStr"/>
    </row>
    <row r="582" ht="15" customHeight="1">
      <c r="A582" t="inlineStr">
        <is>
          <t>A 16474-2025</t>
        </is>
      </c>
      <c r="B582" s="1" t="n">
        <v>45751.56834490741</v>
      </c>
      <c r="C582" s="1" t="n">
        <v>45890</v>
      </c>
      <c r="D582" t="inlineStr">
        <is>
          <t>SKÅNE LÄN</t>
        </is>
      </c>
      <c r="E582" t="inlineStr">
        <is>
          <t>HÄSSLEHOLM</t>
        </is>
      </c>
      <c r="G582" t="n">
        <v>5.9</v>
      </c>
      <c r="H582" t="n">
        <v>0</v>
      </c>
      <c r="I582" t="n">
        <v>0</v>
      </c>
      <c r="J582" t="n">
        <v>0</v>
      </c>
      <c r="K582" t="n">
        <v>0</v>
      </c>
      <c r="L582" t="n">
        <v>0</v>
      </c>
      <c r="M582" t="n">
        <v>0</v>
      </c>
      <c r="N582" t="n">
        <v>0</v>
      </c>
      <c r="O582" t="n">
        <v>0</v>
      </c>
      <c r="P582" t="n">
        <v>0</v>
      </c>
      <c r="Q582" t="n">
        <v>0</v>
      </c>
      <c r="R582" s="2" t="inlineStr"/>
    </row>
    <row r="583" ht="15" customHeight="1">
      <c r="A583" t="inlineStr">
        <is>
          <t>A 15562-2024</t>
        </is>
      </c>
      <c r="B583" s="1" t="n">
        <v>45401.64975694445</v>
      </c>
      <c r="C583" s="1" t="n">
        <v>45890</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48097-2024</t>
        </is>
      </c>
      <c r="B584" s="1" t="n">
        <v>45589.61413194444</v>
      </c>
      <c r="C584" s="1" t="n">
        <v>45890</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16016-2025</t>
        </is>
      </c>
      <c r="B585" s="1" t="n">
        <v>45749.60505787037</v>
      </c>
      <c r="C585" s="1" t="n">
        <v>45890</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44527-2020</t>
        </is>
      </c>
      <c r="B586" s="1" t="n">
        <v>44085</v>
      </c>
      <c r="C586" s="1" t="n">
        <v>45890</v>
      </c>
      <c r="D586" t="inlineStr">
        <is>
          <t>SKÅNE LÄN</t>
        </is>
      </c>
      <c r="E586" t="inlineStr">
        <is>
          <t>HÄSSLEHOLM</t>
        </is>
      </c>
      <c r="F586" t="inlineStr">
        <is>
          <t>Kommuner</t>
        </is>
      </c>
      <c r="G586" t="n">
        <v>7.7</v>
      </c>
      <c r="H586" t="n">
        <v>0</v>
      </c>
      <c r="I586" t="n">
        <v>0</v>
      </c>
      <c r="J586" t="n">
        <v>0</v>
      </c>
      <c r="K586" t="n">
        <v>0</v>
      </c>
      <c r="L586" t="n">
        <v>0</v>
      </c>
      <c r="M586" t="n">
        <v>0</v>
      </c>
      <c r="N586" t="n">
        <v>0</v>
      </c>
      <c r="O586" t="n">
        <v>0</v>
      </c>
      <c r="P586" t="n">
        <v>0</v>
      </c>
      <c r="Q586" t="n">
        <v>0</v>
      </c>
      <c r="R586" s="2" t="inlineStr"/>
    </row>
    <row r="587" ht="15" customHeight="1">
      <c r="A587" t="inlineStr">
        <is>
          <t>A 60846-2022</t>
        </is>
      </c>
      <c r="B587" s="1" t="n">
        <v>44914</v>
      </c>
      <c r="C587" s="1" t="n">
        <v>45890</v>
      </c>
      <c r="D587" t="inlineStr">
        <is>
          <t>SKÅNE LÄN</t>
        </is>
      </c>
      <c r="E587" t="inlineStr">
        <is>
          <t>HÄSSLEHOLM</t>
        </is>
      </c>
      <c r="G587" t="n">
        <v>2.1</v>
      </c>
      <c r="H587" t="n">
        <v>0</v>
      </c>
      <c r="I587" t="n">
        <v>0</v>
      </c>
      <c r="J587" t="n">
        <v>0</v>
      </c>
      <c r="K587" t="n">
        <v>0</v>
      </c>
      <c r="L587" t="n">
        <v>0</v>
      </c>
      <c r="M587" t="n">
        <v>0</v>
      </c>
      <c r="N587" t="n">
        <v>0</v>
      </c>
      <c r="O587" t="n">
        <v>0</v>
      </c>
      <c r="P587" t="n">
        <v>0</v>
      </c>
      <c r="Q587" t="n">
        <v>0</v>
      </c>
      <c r="R587" s="2" t="inlineStr"/>
    </row>
    <row r="588" ht="15" customHeight="1">
      <c r="A588" t="inlineStr">
        <is>
          <t>A 42776-2021</t>
        </is>
      </c>
      <c r="B588" s="1" t="n">
        <v>44428</v>
      </c>
      <c r="C588" s="1" t="n">
        <v>45890</v>
      </c>
      <c r="D588" t="inlineStr">
        <is>
          <t>SKÅNE LÄN</t>
        </is>
      </c>
      <c r="E588" t="inlineStr">
        <is>
          <t>HÄSSLEHOLM</t>
        </is>
      </c>
      <c r="G588" t="n">
        <v>3.2</v>
      </c>
      <c r="H588" t="n">
        <v>0</v>
      </c>
      <c r="I588" t="n">
        <v>0</v>
      </c>
      <c r="J588" t="n">
        <v>0</v>
      </c>
      <c r="K588" t="n">
        <v>0</v>
      </c>
      <c r="L588" t="n">
        <v>0</v>
      </c>
      <c r="M588" t="n">
        <v>0</v>
      </c>
      <c r="N588" t="n">
        <v>0</v>
      </c>
      <c r="O588" t="n">
        <v>0</v>
      </c>
      <c r="P588" t="n">
        <v>0</v>
      </c>
      <c r="Q588" t="n">
        <v>0</v>
      </c>
      <c r="R588" s="2" t="inlineStr"/>
    </row>
    <row r="589" ht="15" customHeight="1">
      <c r="A589" t="inlineStr">
        <is>
          <t>A 23007-2025</t>
        </is>
      </c>
      <c r="B589" s="1" t="n">
        <v>45790</v>
      </c>
      <c r="C589" s="1" t="n">
        <v>45890</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1344-2021</t>
        </is>
      </c>
      <c r="B590" s="1" t="n">
        <v>44208</v>
      </c>
      <c r="C590" s="1" t="n">
        <v>45890</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17171-2025</t>
        </is>
      </c>
      <c r="B591" s="1" t="n">
        <v>45755</v>
      </c>
      <c r="C591" s="1" t="n">
        <v>45890</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16930-2024</t>
        </is>
      </c>
      <c r="B592" s="1" t="n">
        <v>45411</v>
      </c>
      <c r="C592" s="1" t="n">
        <v>45890</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27825-2024</t>
        </is>
      </c>
      <c r="B593" s="1" t="n">
        <v>45475</v>
      </c>
      <c r="C593" s="1" t="n">
        <v>45890</v>
      </c>
      <c r="D593" t="inlineStr">
        <is>
          <t>SKÅNE LÄN</t>
        </is>
      </c>
      <c r="E593" t="inlineStr">
        <is>
          <t>HÄSSLEHOLM</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31254-2024</t>
        </is>
      </c>
      <c r="B594" s="1" t="n">
        <v>45503</v>
      </c>
      <c r="C594" s="1" t="n">
        <v>45890</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37486-2024</t>
        </is>
      </c>
      <c r="B595" s="1" t="n">
        <v>45541</v>
      </c>
      <c r="C595" s="1" t="n">
        <v>45890</v>
      </c>
      <c r="D595" t="inlineStr">
        <is>
          <t>SKÅNE LÄN</t>
        </is>
      </c>
      <c r="E595" t="inlineStr">
        <is>
          <t>HÄSSLEHOLM</t>
        </is>
      </c>
      <c r="G595" t="n">
        <v>8.5</v>
      </c>
      <c r="H595" t="n">
        <v>0</v>
      </c>
      <c r="I595" t="n">
        <v>0</v>
      </c>
      <c r="J595" t="n">
        <v>0</v>
      </c>
      <c r="K595" t="n">
        <v>0</v>
      </c>
      <c r="L595" t="n">
        <v>0</v>
      </c>
      <c r="M595" t="n">
        <v>0</v>
      </c>
      <c r="N595" t="n">
        <v>0</v>
      </c>
      <c r="O595" t="n">
        <v>0</v>
      </c>
      <c r="P595" t="n">
        <v>0</v>
      </c>
      <c r="Q595" t="n">
        <v>0</v>
      </c>
      <c r="R595" s="2" t="inlineStr"/>
    </row>
    <row r="596" ht="15" customHeight="1">
      <c r="A596" t="inlineStr">
        <is>
          <t>A 11753-2025</t>
        </is>
      </c>
      <c r="B596" s="1" t="n">
        <v>45727</v>
      </c>
      <c r="C596" s="1" t="n">
        <v>45890</v>
      </c>
      <c r="D596" t="inlineStr">
        <is>
          <t>SKÅNE LÄN</t>
        </is>
      </c>
      <c r="E596" t="inlineStr">
        <is>
          <t>HÄSSLEHOLM</t>
        </is>
      </c>
      <c r="G596" t="n">
        <v>2.7</v>
      </c>
      <c r="H596" t="n">
        <v>0</v>
      </c>
      <c r="I596" t="n">
        <v>0</v>
      </c>
      <c r="J596" t="n">
        <v>0</v>
      </c>
      <c r="K596" t="n">
        <v>0</v>
      </c>
      <c r="L596" t="n">
        <v>0</v>
      </c>
      <c r="M596" t="n">
        <v>0</v>
      </c>
      <c r="N596" t="n">
        <v>0</v>
      </c>
      <c r="O596" t="n">
        <v>0</v>
      </c>
      <c r="P596" t="n">
        <v>0</v>
      </c>
      <c r="Q596" t="n">
        <v>0</v>
      </c>
      <c r="R596" s="2" t="inlineStr"/>
    </row>
    <row r="597" ht="15" customHeight="1">
      <c r="A597" t="inlineStr">
        <is>
          <t>A 28071-2023</t>
        </is>
      </c>
      <c r="B597" s="1" t="n">
        <v>45099.37755787037</v>
      </c>
      <c r="C597" s="1" t="n">
        <v>45890</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14700-2023</t>
        </is>
      </c>
      <c r="B598" s="1" t="n">
        <v>45014.38376157408</v>
      </c>
      <c r="C598" s="1" t="n">
        <v>45890</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18648-2021</t>
        </is>
      </c>
      <c r="B599" s="1" t="n">
        <v>44306.70583333333</v>
      </c>
      <c r="C599" s="1" t="n">
        <v>45890</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44838-2023</t>
        </is>
      </c>
      <c r="B600" s="1" t="n">
        <v>45190</v>
      </c>
      <c r="C600" s="1" t="n">
        <v>45890</v>
      </c>
      <c r="D600" t="inlineStr">
        <is>
          <t>SKÅNE LÄN</t>
        </is>
      </c>
      <c r="E600" t="inlineStr">
        <is>
          <t>HÄSSLEHOLM</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23946-2023</t>
        </is>
      </c>
      <c r="B601" s="1" t="n">
        <v>45078.61601851852</v>
      </c>
      <c r="C601" s="1" t="n">
        <v>45890</v>
      </c>
      <c r="D601" t="inlineStr">
        <is>
          <t>SKÅNE LÄN</t>
        </is>
      </c>
      <c r="E601" t="inlineStr">
        <is>
          <t>HÄSSLEHOLM</t>
        </is>
      </c>
      <c r="G601" t="n">
        <v>0.2</v>
      </c>
      <c r="H601" t="n">
        <v>0</v>
      </c>
      <c r="I601" t="n">
        <v>0</v>
      </c>
      <c r="J601" t="n">
        <v>0</v>
      </c>
      <c r="K601" t="n">
        <v>0</v>
      </c>
      <c r="L601" t="n">
        <v>0</v>
      </c>
      <c r="M601" t="n">
        <v>0</v>
      </c>
      <c r="N601" t="n">
        <v>0</v>
      </c>
      <c r="O601" t="n">
        <v>0</v>
      </c>
      <c r="P601" t="n">
        <v>0</v>
      </c>
      <c r="Q601" t="n">
        <v>0</v>
      </c>
      <c r="R601" s="2" t="inlineStr"/>
    </row>
    <row r="602" ht="15" customHeight="1">
      <c r="A602" t="inlineStr">
        <is>
          <t>A 39915-2023</t>
        </is>
      </c>
      <c r="B602" s="1" t="n">
        <v>45168.4684375</v>
      </c>
      <c r="C602" s="1" t="n">
        <v>45890</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41459-2022</t>
        </is>
      </c>
      <c r="B603" s="1" t="n">
        <v>44826.93372685185</v>
      </c>
      <c r="C603" s="1" t="n">
        <v>45890</v>
      </c>
      <c r="D603" t="inlineStr">
        <is>
          <t>SKÅNE LÄN</t>
        </is>
      </c>
      <c r="E603" t="inlineStr">
        <is>
          <t>HÄSSLEHOLM</t>
        </is>
      </c>
      <c r="G603" t="n">
        <v>2.3</v>
      </c>
      <c r="H603" t="n">
        <v>0</v>
      </c>
      <c r="I603" t="n">
        <v>0</v>
      </c>
      <c r="J603" t="n">
        <v>0</v>
      </c>
      <c r="K603" t="n">
        <v>0</v>
      </c>
      <c r="L603" t="n">
        <v>0</v>
      </c>
      <c r="M603" t="n">
        <v>0</v>
      </c>
      <c r="N603" t="n">
        <v>0</v>
      </c>
      <c r="O603" t="n">
        <v>0</v>
      </c>
      <c r="P603" t="n">
        <v>0</v>
      </c>
      <c r="Q603" t="n">
        <v>0</v>
      </c>
      <c r="R603" s="2" t="inlineStr"/>
    </row>
    <row r="604" ht="15" customHeight="1">
      <c r="A604" t="inlineStr">
        <is>
          <t>A 20058-2023</t>
        </is>
      </c>
      <c r="B604" s="1" t="n">
        <v>45054.68476851852</v>
      </c>
      <c r="C604" s="1" t="n">
        <v>45890</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8619-2023</t>
        </is>
      </c>
      <c r="B605" s="1" t="n">
        <v>44977.81979166667</v>
      </c>
      <c r="C605" s="1" t="n">
        <v>45890</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9543-2025</t>
        </is>
      </c>
      <c r="B606" s="1" t="n">
        <v>45715</v>
      </c>
      <c r="C606" s="1" t="n">
        <v>45890</v>
      </c>
      <c r="D606" t="inlineStr">
        <is>
          <t>SKÅNE LÄN</t>
        </is>
      </c>
      <c r="E606" t="inlineStr">
        <is>
          <t>HÄSSLEHOLM</t>
        </is>
      </c>
      <c r="G606" t="n">
        <v>2.6</v>
      </c>
      <c r="H606" t="n">
        <v>0</v>
      </c>
      <c r="I606" t="n">
        <v>0</v>
      </c>
      <c r="J606" t="n">
        <v>0</v>
      </c>
      <c r="K606" t="n">
        <v>0</v>
      </c>
      <c r="L606" t="n">
        <v>0</v>
      </c>
      <c r="M606" t="n">
        <v>0</v>
      </c>
      <c r="N606" t="n">
        <v>0</v>
      </c>
      <c r="O606" t="n">
        <v>0</v>
      </c>
      <c r="P606" t="n">
        <v>0</v>
      </c>
      <c r="Q606" t="n">
        <v>0</v>
      </c>
      <c r="R606" s="2" t="inlineStr"/>
    </row>
    <row r="607" ht="15" customHeight="1">
      <c r="A607" t="inlineStr">
        <is>
          <t>A 53067-2022</t>
        </is>
      </c>
      <c r="B607" s="1" t="n">
        <v>44873</v>
      </c>
      <c r="C607" s="1" t="n">
        <v>45890</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3349-2023</t>
        </is>
      </c>
      <c r="B608" s="1" t="n">
        <v>44949</v>
      </c>
      <c r="C608" s="1" t="n">
        <v>45890</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29847-2024</t>
        </is>
      </c>
      <c r="B609" s="1" t="n">
        <v>45485.6278587963</v>
      </c>
      <c r="C609" s="1" t="n">
        <v>45890</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13954-2023</t>
        </is>
      </c>
      <c r="B610" s="1" t="n">
        <v>45008</v>
      </c>
      <c r="C610" s="1" t="n">
        <v>45890</v>
      </c>
      <c r="D610" t="inlineStr">
        <is>
          <t>SKÅNE LÄN</t>
        </is>
      </c>
      <c r="E610" t="inlineStr">
        <is>
          <t>HÄSSLEHOLM</t>
        </is>
      </c>
      <c r="G610" t="n">
        <v>1.9</v>
      </c>
      <c r="H610" t="n">
        <v>0</v>
      </c>
      <c r="I610" t="n">
        <v>0</v>
      </c>
      <c r="J610" t="n">
        <v>0</v>
      </c>
      <c r="K610" t="n">
        <v>0</v>
      </c>
      <c r="L610" t="n">
        <v>0</v>
      </c>
      <c r="M610" t="n">
        <v>0</v>
      </c>
      <c r="N610" t="n">
        <v>0</v>
      </c>
      <c r="O610" t="n">
        <v>0</v>
      </c>
      <c r="P610" t="n">
        <v>0</v>
      </c>
      <c r="Q610" t="n">
        <v>0</v>
      </c>
      <c r="R610" s="2" t="inlineStr"/>
    </row>
    <row r="611" ht="15" customHeight="1">
      <c r="A611" t="inlineStr">
        <is>
          <t>A 22384-2024</t>
        </is>
      </c>
      <c r="B611" s="1" t="n">
        <v>45446.65592592592</v>
      </c>
      <c r="C611" s="1" t="n">
        <v>45890</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13007-2024</t>
        </is>
      </c>
      <c r="B612" s="1" t="n">
        <v>45385.57092592592</v>
      </c>
      <c r="C612" s="1" t="n">
        <v>45890</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16862-2025</t>
        </is>
      </c>
      <c r="B613" s="1" t="n">
        <v>45751</v>
      </c>
      <c r="C613" s="1" t="n">
        <v>45890</v>
      </c>
      <c r="D613" t="inlineStr">
        <is>
          <t>SKÅNE LÄN</t>
        </is>
      </c>
      <c r="E613" t="inlineStr">
        <is>
          <t>HÄSSLEHOLM</t>
        </is>
      </c>
      <c r="G613" t="n">
        <v>2.3</v>
      </c>
      <c r="H613" t="n">
        <v>0</v>
      </c>
      <c r="I613" t="n">
        <v>0</v>
      </c>
      <c r="J613" t="n">
        <v>0</v>
      </c>
      <c r="K613" t="n">
        <v>0</v>
      </c>
      <c r="L613" t="n">
        <v>0</v>
      </c>
      <c r="M613" t="n">
        <v>0</v>
      </c>
      <c r="N613" t="n">
        <v>0</v>
      </c>
      <c r="O613" t="n">
        <v>0</v>
      </c>
      <c r="P613" t="n">
        <v>0</v>
      </c>
      <c r="Q613" t="n">
        <v>0</v>
      </c>
      <c r="R613" s="2" t="inlineStr"/>
    </row>
    <row r="614" ht="15" customHeight="1">
      <c r="A614" t="inlineStr">
        <is>
          <t>A 46185-2022</t>
        </is>
      </c>
      <c r="B614" s="1" t="n">
        <v>44847</v>
      </c>
      <c r="C614" s="1" t="n">
        <v>45890</v>
      </c>
      <c r="D614" t="inlineStr">
        <is>
          <t>SKÅNE LÄN</t>
        </is>
      </c>
      <c r="E614" t="inlineStr">
        <is>
          <t>HÄSSLEHOLM</t>
        </is>
      </c>
      <c r="G614" t="n">
        <v>16.8</v>
      </c>
      <c r="H614" t="n">
        <v>0</v>
      </c>
      <c r="I614" t="n">
        <v>0</v>
      </c>
      <c r="J614" t="n">
        <v>0</v>
      </c>
      <c r="K614" t="n">
        <v>0</v>
      </c>
      <c r="L614" t="n">
        <v>0</v>
      </c>
      <c r="M614" t="n">
        <v>0</v>
      </c>
      <c r="N614" t="n">
        <v>0</v>
      </c>
      <c r="O614" t="n">
        <v>0</v>
      </c>
      <c r="P614" t="n">
        <v>0</v>
      </c>
      <c r="Q614" t="n">
        <v>0</v>
      </c>
      <c r="R614" s="2" t="inlineStr"/>
    </row>
    <row r="615" ht="15" customHeight="1">
      <c r="A615" t="inlineStr">
        <is>
          <t>A 40152-2024</t>
        </is>
      </c>
      <c r="B615" s="1" t="n">
        <v>45554</v>
      </c>
      <c r="C615" s="1" t="n">
        <v>45890</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74030-2021</t>
        </is>
      </c>
      <c r="B616" s="1" t="n">
        <v>44553</v>
      </c>
      <c r="C616" s="1" t="n">
        <v>45890</v>
      </c>
      <c r="D616" t="inlineStr">
        <is>
          <t>SKÅNE LÄN</t>
        </is>
      </c>
      <c r="E616" t="inlineStr">
        <is>
          <t>HÄSSLEHOLM</t>
        </is>
      </c>
      <c r="G616" t="n">
        <v>1.5</v>
      </c>
      <c r="H616" t="n">
        <v>0</v>
      </c>
      <c r="I616" t="n">
        <v>0</v>
      </c>
      <c r="J616" t="n">
        <v>0</v>
      </c>
      <c r="K616" t="n">
        <v>0</v>
      </c>
      <c r="L616" t="n">
        <v>0</v>
      </c>
      <c r="M616" t="n">
        <v>0</v>
      </c>
      <c r="N616" t="n">
        <v>0</v>
      </c>
      <c r="O616" t="n">
        <v>0</v>
      </c>
      <c r="P616" t="n">
        <v>0</v>
      </c>
      <c r="Q616" t="n">
        <v>0</v>
      </c>
      <c r="R616" s="2" t="inlineStr"/>
    </row>
    <row r="617" ht="15" customHeight="1">
      <c r="A617" t="inlineStr">
        <is>
          <t>A 15072-2024</t>
        </is>
      </c>
      <c r="B617" s="1" t="n">
        <v>45399.5996875</v>
      </c>
      <c r="C617" s="1" t="n">
        <v>45890</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11262-2025</t>
        </is>
      </c>
      <c r="B618" s="1" t="n">
        <v>45726</v>
      </c>
      <c r="C618" s="1" t="n">
        <v>45890</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18623-2023</t>
        </is>
      </c>
      <c r="B619" s="1" t="n">
        <v>45043</v>
      </c>
      <c r="C619" s="1" t="n">
        <v>45890</v>
      </c>
      <c r="D619" t="inlineStr">
        <is>
          <t>SKÅNE LÄN</t>
        </is>
      </c>
      <c r="E619" t="inlineStr">
        <is>
          <t>HÄSSLEHOLM</t>
        </is>
      </c>
      <c r="G619" t="n">
        <v>3.2</v>
      </c>
      <c r="H619" t="n">
        <v>0</v>
      </c>
      <c r="I619" t="n">
        <v>0</v>
      </c>
      <c r="J619" t="n">
        <v>0</v>
      </c>
      <c r="K619" t="n">
        <v>0</v>
      </c>
      <c r="L619" t="n">
        <v>0</v>
      </c>
      <c r="M619" t="n">
        <v>0</v>
      </c>
      <c r="N619" t="n">
        <v>0</v>
      </c>
      <c r="O619" t="n">
        <v>0</v>
      </c>
      <c r="P619" t="n">
        <v>0</v>
      </c>
      <c r="Q619" t="n">
        <v>0</v>
      </c>
      <c r="R619" s="2" t="inlineStr"/>
    </row>
    <row r="620" ht="15" customHeight="1">
      <c r="A620" t="inlineStr">
        <is>
          <t>A 5395-2024</t>
        </is>
      </c>
      <c r="B620" s="1" t="n">
        <v>45331</v>
      </c>
      <c r="C620" s="1" t="n">
        <v>45890</v>
      </c>
      <c r="D620" t="inlineStr">
        <is>
          <t>SKÅNE LÄN</t>
        </is>
      </c>
      <c r="E620" t="inlineStr">
        <is>
          <t>HÄSSLEHOLM</t>
        </is>
      </c>
      <c r="G620" t="n">
        <v>2.6</v>
      </c>
      <c r="H620" t="n">
        <v>0</v>
      </c>
      <c r="I620" t="n">
        <v>0</v>
      </c>
      <c r="J620" t="n">
        <v>0</v>
      </c>
      <c r="K620" t="n">
        <v>0</v>
      </c>
      <c r="L620" t="n">
        <v>0</v>
      </c>
      <c r="M620" t="n">
        <v>0</v>
      </c>
      <c r="N620" t="n">
        <v>0</v>
      </c>
      <c r="O620" t="n">
        <v>0</v>
      </c>
      <c r="P620" t="n">
        <v>0</v>
      </c>
      <c r="Q620" t="n">
        <v>0</v>
      </c>
      <c r="R620" s="2" t="inlineStr"/>
    </row>
    <row r="621" ht="15" customHeight="1">
      <c r="A621" t="inlineStr">
        <is>
          <t>A 2621-2025</t>
        </is>
      </c>
      <c r="B621" s="1" t="n">
        <v>45675.60765046296</v>
      </c>
      <c r="C621" s="1" t="n">
        <v>45890</v>
      </c>
      <c r="D621" t="inlineStr">
        <is>
          <t>SKÅNE LÄN</t>
        </is>
      </c>
      <c r="E621" t="inlineStr">
        <is>
          <t>HÄSSLEHOLM</t>
        </is>
      </c>
      <c r="F621" t="inlineStr">
        <is>
          <t>Kommuner</t>
        </is>
      </c>
      <c r="G621" t="n">
        <v>3</v>
      </c>
      <c r="H621" t="n">
        <v>0</v>
      </c>
      <c r="I621" t="n">
        <v>0</v>
      </c>
      <c r="J621" t="n">
        <v>0</v>
      </c>
      <c r="K621" t="n">
        <v>0</v>
      </c>
      <c r="L621" t="n">
        <v>0</v>
      </c>
      <c r="M621" t="n">
        <v>0</v>
      </c>
      <c r="N621" t="n">
        <v>0</v>
      </c>
      <c r="O621" t="n">
        <v>0</v>
      </c>
      <c r="P621" t="n">
        <v>0</v>
      </c>
      <c r="Q621" t="n">
        <v>0</v>
      </c>
      <c r="R621" s="2" t="inlineStr"/>
    </row>
    <row r="622" ht="15" customHeight="1">
      <c r="A622" t="inlineStr">
        <is>
          <t>A 8737-2025</t>
        </is>
      </c>
      <c r="B622" s="1" t="n">
        <v>45712.54578703704</v>
      </c>
      <c r="C622" s="1" t="n">
        <v>45890</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37764-2022</t>
        </is>
      </c>
      <c r="B623" s="1" t="n">
        <v>44810</v>
      </c>
      <c r="C623" s="1" t="n">
        <v>45890</v>
      </c>
      <c r="D623" t="inlineStr">
        <is>
          <t>SKÅNE LÄN</t>
        </is>
      </c>
      <c r="E623" t="inlineStr">
        <is>
          <t>HÄSSLEHOLM</t>
        </is>
      </c>
      <c r="F623" t="inlineStr">
        <is>
          <t>Kyrkan</t>
        </is>
      </c>
      <c r="G623" t="n">
        <v>9.4</v>
      </c>
      <c r="H623" t="n">
        <v>0</v>
      </c>
      <c r="I623" t="n">
        <v>0</v>
      </c>
      <c r="J623" t="n">
        <v>0</v>
      </c>
      <c r="K623" t="n">
        <v>0</v>
      </c>
      <c r="L623" t="n">
        <v>0</v>
      </c>
      <c r="M623" t="n">
        <v>0</v>
      </c>
      <c r="N623" t="n">
        <v>0</v>
      </c>
      <c r="O623" t="n">
        <v>0</v>
      </c>
      <c r="P623" t="n">
        <v>0</v>
      </c>
      <c r="Q623" t="n">
        <v>0</v>
      </c>
      <c r="R623" s="2" t="inlineStr"/>
    </row>
    <row r="624" ht="15" customHeight="1">
      <c r="A624" t="inlineStr">
        <is>
          <t>A 33873-2021</t>
        </is>
      </c>
      <c r="B624" s="1" t="n">
        <v>44378</v>
      </c>
      <c r="C624" s="1" t="n">
        <v>45890</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51018-2023</t>
        </is>
      </c>
      <c r="B625" s="1" t="n">
        <v>45218</v>
      </c>
      <c r="C625" s="1" t="n">
        <v>45890</v>
      </c>
      <c r="D625" t="inlineStr">
        <is>
          <t>SKÅNE LÄN</t>
        </is>
      </c>
      <c r="E625" t="inlineStr">
        <is>
          <t>HÄSSLEHOLM</t>
        </is>
      </c>
      <c r="G625" t="n">
        <v>3.1</v>
      </c>
      <c r="H625" t="n">
        <v>0</v>
      </c>
      <c r="I625" t="n">
        <v>0</v>
      </c>
      <c r="J625" t="n">
        <v>0</v>
      </c>
      <c r="K625" t="n">
        <v>0</v>
      </c>
      <c r="L625" t="n">
        <v>0</v>
      </c>
      <c r="M625" t="n">
        <v>0</v>
      </c>
      <c r="N625" t="n">
        <v>0</v>
      </c>
      <c r="O625" t="n">
        <v>0</v>
      </c>
      <c r="P625" t="n">
        <v>0</v>
      </c>
      <c r="Q625" t="n">
        <v>0</v>
      </c>
      <c r="R625" s="2" t="inlineStr"/>
    </row>
    <row r="626" ht="15" customHeight="1">
      <c r="A626" t="inlineStr">
        <is>
          <t>A 23005-2025</t>
        </is>
      </c>
      <c r="B626" s="1" t="n">
        <v>45790</v>
      </c>
      <c r="C626" s="1" t="n">
        <v>45890</v>
      </c>
      <c r="D626" t="inlineStr">
        <is>
          <t>SKÅNE LÄN</t>
        </is>
      </c>
      <c r="E626" t="inlineStr">
        <is>
          <t>HÄSSLEHOLM</t>
        </is>
      </c>
      <c r="G626" t="n">
        <v>0.3</v>
      </c>
      <c r="H626" t="n">
        <v>0</v>
      </c>
      <c r="I626" t="n">
        <v>0</v>
      </c>
      <c r="J626" t="n">
        <v>0</v>
      </c>
      <c r="K626" t="n">
        <v>0</v>
      </c>
      <c r="L626" t="n">
        <v>0</v>
      </c>
      <c r="M626" t="n">
        <v>0</v>
      </c>
      <c r="N626" t="n">
        <v>0</v>
      </c>
      <c r="O626" t="n">
        <v>0</v>
      </c>
      <c r="P626" t="n">
        <v>0</v>
      </c>
      <c r="Q626" t="n">
        <v>0</v>
      </c>
      <c r="R626" s="2" t="inlineStr"/>
    </row>
    <row r="627" ht="15" customHeight="1">
      <c r="A627" t="inlineStr">
        <is>
          <t>A 60797-2024</t>
        </is>
      </c>
      <c r="B627" s="1" t="n">
        <v>45644</v>
      </c>
      <c r="C627" s="1" t="n">
        <v>45890</v>
      </c>
      <c r="D627" t="inlineStr">
        <is>
          <t>SKÅNE LÄN</t>
        </is>
      </c>
      <c r="E627" t="inlineStr">
        <is>
          <t>HÄSSLEHOLM</t>
        </is>
      </c>
      <c r="G627" t="n">
        <v>3.4</v>
      </c>
      <c r="H627" t="n">
        <v>0</v>
      </c>
      <c r="I627" t="n">
        <v>0</v>
      </c>
      <c r="J627" t="n">
        <v>0</v>
      </c>
      <c r="K627" t="n">
        <v>0</v>
      </c>
      <c r="L627" t="n">
        <v>0</v>
      </c>
      <c r="M627" t="n">
        <v>0</v>
      </c>
      <c r="N627" t="n">
        <v>0</v>
      </c>
      <c r="O627" t="n">
        <v>0</v>
      </c>
      <c r="P627" t="n">
        <v>0</v>
      </c>
      <c r="Q627" t="n">
        <v>0</v>
      </c>
      <c r="R627" s="2" t="inlineStr"/>
    </row>
    <row r="628" ht="15" customHeight="1">
      <c r="A628" t="inlineStr">
        <is>
          <t>A 15053-2023</t>
        </is>
      </c>
      <c r="B628" s="1" t="n">
        <v>45015</v>
      </c>
      <c r="C628" s="1" t="n">
        <v>45890</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51571-2023</t>
        </is>
      </c>
      <c r="B629" s="1" t="n">
        <v>45222</v>
      </c>
      <c r="C629" s="1" t="n">
        <v>45890</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56069-2024</t>
        </is>
      </c>
      <c r="B630" s="1" t="n">
        <v>45624.38006944444</v>
      </c>
      <c r="C630" s="1" t="n">
        <v>45890</v>
      </c>
      <c r="D630" t="inlineStr">
        <is>
          <t>SKÅNE LÄN</t>
        </is>
      </c>
      <c r="E630" t="inlineStr">
        <is>
          <t>HÄSSLEHOLM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9302-2025</t>
        </is>
      </c>
      <c r="B631" s="1" t="n">
        <v>45714.67233796296</v>
      </c>
      <c r="C631" s="1" t="n">
        <v>45890</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47907-2021</t>
        </is>
      </c>
      <c r="B632" s="1" t="n">
        <v>44448</v>
      </c>
      <c r="C632" s="1" t="n">
        <v>45890</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49181-2024</t>
        </is>
      </c>
      <c r="B633" s="1" t="n">
        <v>45595</v>
      </c>
      <c r="C633" s="1" t="n">
        <v>45890</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1197-2024</t>
        </is>
      </c>
      <c r="B634" s="1" t="n">
        <v>45302</v>
      </c>
      <c r="C634" s="1" t="n">
        <v>45890</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13712-2025</t>
        </is>
      </c>
      <c r="B635" s="1" t="n">
        <v>45737</v>
      </c>
      <c r="C635" s="1" t="n">
        <v>45890</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32794-2023</t>
        </is>
      </c>
      <c r="B636" s="1" t="n">
        <v>45124.40446759259</v>
      </c>
      <c r="C636" s="1" t="n">
        <v>45890</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49950-2023</t>
        </is>
      </c>
      <c r="B637" s="1" t="n">
        <v>45215</v>
      </c>
      <c r="C637" s="1" t="n">
        <v>45890</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61436-2024</t>
        </is>
      </c>
      <c r="B638" s="1" t="n">
        <v>45646.46329861111</v>
      </c>
      <c r="C638" s="1" t="n">
        <v>45890</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41694-2024</t>
        </is>
      </c>
      <c r="B639" s="1" t="n">
        <v>45560.68341435185</v>
      </c>
      <c r="C639" s="1" t="n">
        <v>45890</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37300-2023</t>
        </is>
      </c>
      <c r="B640" s="1" t="n">
        <v>45156</v>
      </c>
      <c r="C640" s="1" t="n">
        <v>45890</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35644-2023</t>
        </is>
      </c>
      <c r="B641" s="1" t="n">
        <v>45147</v>
      </c>
      <c r="C641" s="1" t="n">
        <v>45890</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36795-2023</t>
        </is>
      </c>
      <c r="B642" s="1" t="n">
        <v>45154.38245370371</v>
      </c>
      <c r="C642" s="1" t="n">
        <v>45890</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46942-2024</t>
        </is>
      </c>
      <c r="B643" s="1" t="n">
        <v>45585.6684375</v>
      </c>
      <c r="C643" s="1" t="n">
        <v>45890</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43696-2024</t>
        </is>
      </c>
      <c r="B644" s="1" t="n">
        <v>45569.58855324074</v>
      </c>
      <c r="C644" s="1" t="n">
        <v>45890</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3123-2023</t>
        </is>
      </c>
      <c r="B645" s="1" t="n">
        <v>44946.4925</v>
      </c>
      <c r="C645" s="1" t="n">
        <v>45890</v>
      </c>
      <c r="D645" t="inlineStr">
        <is>
          <t>SKÅNE LÄN</t>
        </is>
      </c>
      <c r="E645" t="inlineStr">
        <is>
          <t>HÄSSLEHOLM</t>
        </is>
      </c>
      <c r="G645" t="n">
        <v>3.5</v>
      </c>
      <c r="H645" t="n">
        <v>0</v>
      </c>
      <c r="I645" t="n">
        <v>0</v>
      </c>
      <c r="J645" t="n">
        <v>0</v>
      </c>
      <c r="K645" t="n">
        <v>0</v>
      </c>
      <c r="L645" t="n">
        <v>0</v>
      </c>
      <c r="M645" t="n">
        <v>0</v>
      </c>
      <c r="N645" t="n">
        <v>0</v>
      </c>
      <c r="O645" t="n">
        <v>0</v>
      </c>
      <c r="P645" t="n">
        <v>0</v>
      </c>
      <c r="Q645" t="n">
        <v>0</v>
      </c>
      <c r="R645" s="2" t="inlineStr"/>
    </row>
    <row r="646" ht="15" customHeight="1">
      <c r="A646" t="inlineStr">
        <is>
          <t>A 3126-2023</t>
        </is>
      </c>
      <c r="B646" s="1" t="n">
        <v>44946.49570601852</v>
      </c>
      <c r="C646" s="1" t="n">
        <v>45890</v>
      </c>
      <c r="D646" t="inlineStr">
        <is>
          <t>SKÅNE LÄN</t>
        </is>
      </c>
      <c r="E646" t="inlineStr">
        <is>
          <t>HÄSSLEHOLM</t>
        </is>
      </c>
      <c r="G646" t="n">
        <v>2.2</v>
      </c>
      <c r="H646" t="n">
        <v>0</v>
      </c>
      <c r="I646" t="n">
        <v>0</v>
      </c>
      <c r="J646" t="n">
        <v>0</v>
      </c>
      <c r="K646" t="n">
        <v>0</v>
      </c>
      <c r="L646" t="n">
        <v>0</v>
      </c>
      <c r="M646" t="n">
        <v>0</v>
      </c>
      <c r="N646" t="n">
        <v>0</v>
      </c>
      <c r="O646" t="n">
        <v>0</v>
      </c>
      <c r="P646" t="n">
        <v>0</v>
      </c>
      <c r="Q646" t="n">
        <v>0</v>
      </c>
      <c r="R646" s="2" t="inlineStr"/>
    </row>
    <row r="647" ht="15" customHeight="1">
      <c r="A647" t="inlineStr">
        <is>
          <t>A 36706-2022</t>
        </is>
      </c>
      <c r="B647" s="1" t="n">
        <v>44805.32891203704</v>
      </c>
      <c r="C647" s="1" t="n">
        <v>45890</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22594-2024</t>
        </is>
      </c>
      <c r="B648" s="1" t="n">
        <v>45447.60892361111</v>
      </c>
      <c r="C648" s="1" t="n">
        <v>45890</v>
      </c>
      <c r="D648" t="inlineStr">
        <is>
          <t>SKÅNE LÄN</t>
        </is>
      </c>
      <c r="E648" t="inlineStr">
        <is>
          <t>HÄSSLEHOLM</t>
        </is>
      </c>
      <c r="G648" t="n">
        <v>1.1</v>
      </c>
      <c r="H648" t="n">
        <v>0</v>
      </c>
      <c r="I648" t="n">
        <v>0</v>
      </c>
      <c r="J648" t="n">
        <v>0</v>
      </c>
      <c r="K648" t="n">
        <v>0</v>
      </c>
      <c r="L648" t="n">
        <v>0</v>
      </c>
      <c r="M648" t="n">
        <v>0</v>
      </c>
      <c r="N648" t="n">
        <v>0</v>
      </c>
      <c r="O648" t="n">
        <v>0</v>
      </c>
      <c r="P648" t="n">
        <v>0</v>
      </c>
      <c r="Q648" t="n">
        <v>0</v>
      </c>
      <c r="R648" s="2" t="inlineStr"/>
    </row>
    <row r="649" ht="15" customHeight="1">
      <c r="A649" t="inlineStr">
        <is>
          <t>A 37318-2024</t>
        </is>
      </c>
      <c r="B649" s="1" t="n">
        <v>45540</v>
      </c>
      <c r="C649" s="1" t="n">
        <v>45890</v>
      </c>
      <c r="D649" t="inlineStr">
        <is>
          <t>SKÅNE LÄN</t>
        </is>
      </c>
      <c r="E649" t="inlineStr">
        <is>
          <t>HÄSSLEHOLM</t>
        </is>
      </c>
      <c r="G649" t="n">
        <v>3.9</v>
      </c>
      <c r="H649" t="n">
        <v>0</v>
      </c>
      <c r="I649" t="n">
        <v>0</v>
      </c>
      <c r="J649" t="n">
        <v>0</v>
      </c>
      <c r="K649" t="n">
        <v>0</v>
      </c>
      <c r="L649" t="n">
        <v>0</v>
      </c>
      <c r="M649" t="n">
        <v>0</v>
      </c>
      <c r="N649" t="n">
        <v>0</v>
      </c>
      <c r="O649" t="n">
        <v>0</v>
      </c>
      <c r="P649" t="n">
        <v>0</v>
      </c>
      <c r="Q649" t="n">
        <v>0</v>
      </c>
      <c r="R649" s="2" t="inlineStr"/>
    </row>
    <row r="650" ht="15" customHeight="1">
      <c r="A650" t="inlineStr">
        <is>
          <t>A 37324-2024</t>
        </is>
      </c>
      <c r="B650" s="1" t="n">
        <v>45540.50104166667</v>
      </c>
      <c r="C650" s="1" t="n">
        <v>45890</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7681-2025</t>
        </is>
      </c>
      <c r="B651" s="1" t="n">
        <v>45706.36758101852</v>
      </c>
      <c r="C651" s="1" t="n">
        <v>45890</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25213-2023</t>
        </is>
      </c>
      <c r="B652" s="1" t="n">
        <v>45086.60010416667</v>
      </c>
      <c r="C652" s="1" t="n">
        <v>45890</v>
      </c>
      <c r="D652" t="inlineStr">
        <is>
          <t>SKÅNE LÄN</t>
        </is>
      </c>
      <c r="E652" t="inlineStr">
        <is>
          <t>HÄSSLEHOLM</t>
        </is>
      </c>
      <c r="G652" t="n">
        <v>7.2</v>
      </c>
      <c r="H652" t="n">
        <v>0</v>
      </c>
      <c r="I652" t="n">
        <v>0</v>
      </c>
      <c r="J652" t="n">
        <v>0</v>
      </c>
      <c r="K652" t="n">
        <v>0</v>
      </c>
      <c r="L652" t="n">
        <v>0</v>
      </c>
      <c r="M652" t="n">
        <v>0</v>
      </c>
      <c r="N652" t="n">
        <v>0</v>
      </c>
      <c r="O652" t="n">
        <v>0</v>
      </c>
      <c r="P652" t="n">
        <v>0</v>
      </c>
      <c r="Q652" t="n">
        <v>0</v>
      </c>
      <c r="R652" s="2" t="inlineStr"/>
    </row>
    <row r="653" ht="15" customHeight="1">
      <c r="A653" t="inlineStr">
        <is>
          <t>A 18063-2023</t>
        </is>
      </c>
      <c r="B653" s="1" t="n">
        <v>45040.62850694444</v>
      </c>
      <c r="C653" s="1" t="n">
        <v>45890</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57656-2022</t>
        </is>
      </c>
      <c r="B654" s="1" t="n">
        <v>44897.4325925926</v>
      </c>
      <c r="C654" s="1" t="n">
        <v>45890</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32881-2024</t>
        </is>
      </c>
      <c r="B655" s="1" t="n">
        <v>45516</v>
      </c>
      <c r="C655" s="1" t="n">
        <v>45890</v>
      </c>
      <c r="D655" t="inlineStr">
        <is>
          <t>SKÅNE LÄN</t>
        </is>
      </c>
      <c r="E655" t="inlineStr">
        <is>
          <t>HÄSSLEHOLM</t>
        </is>
      </c>
      <c r="G655" t="n">
        <v>6.3</v>
      </c>
      <c r="H655" t="n">
        <v>0</v>
      </c>
      <c r="I655" t="n">
        <v>0</v>
      </c>
      <c r="J655" t="n">
        <v>0</v>
      </c>
      <c r="K655" t="n">
        <v>0</v>
      </c>
      <c r="L655" t="n">
        <v>0</v>
      </c>
      <c r="M655" t="n">
        <v>0</v>
      </c>
      <c r="N655" t="n">
        <v>0</v>
      </c>
      <c r="O655" t="n">
        <v>0</v>
      </c>
      <c r="P655" t="n">
        <v>0</v>
      </c>
      <c r="Q655" t="n">
        <v>0</v>
      </c>
      <c r="R655" s="2" t="inlineStr"/>
    </row>
    <row r="656" ht="15" customHeight="1">
      <c r="A656" t="inlineStr">
        <is>
          <t>A 24032-2025</t>
        </is>
      </c>
      <c r="B656" s="1" t="n">
        <v>45796.478125</v>
      </c>
      <c r="C656" s="1" t="n">
        <v>45890</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6596-2021</t>
        </is>
      </c>
      <c r="B657" s="1" t="n">
        <v>44236</v>
      </c>
      <c r="C657" s="1" t="n">
        <v>45890</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23860-2024</t>
        </is>
      </c>
      <c r="B658" s="1" t="n">
        <v>45455</v>
      </c>
      <c r="C658" s="1" t="n">
        <v>45890</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23864-2024</t>
        </is>
      </c>
      <c r="B659" s="1" t="n">
        <v>45455</v>
      </c>
      <c r="C659" s="1" t="n">
        <v>45890</v>
      </c>
      <c r="D659" t="inlineStr">
        <is>
          <t>SKÅNE LÄN</t>
        </is>
      </c>
      <c r="E659" t="inlineStr">
        <is>
          <t>HÄSSLEHOLM</t>
        </is>
      </c>
      <c r="G659" t="n">
        <v>6.2</v>
      </c>
      <c r="H659" t="n">
        <v>0</v>
      </c>
      <c r="I659" t="n">
        <v>0</v>
      </c>
      <c r="J659" t="n">
        <v>0</v>
      </c>
      <c r="K659" t="n">
        <v>0</v>
      </c>
      <c r="L659" t="n">
        <v>0</v>
      </c>
      <c r="M659" t="n">
        <v>0</v>
      </c>
      <c r="N659" t="n">
        <v>0</v>
      </c>
      <c r="O659" t="n">
        <v>0</v>
      </c>
      <c r="P659" t="n">
        <v>0</v>
      </c>
      <c r="Q659" t="n">
        <v>0</v>
      </c>
      <c r="R659" s="2" t="inlineStr"/>
    </row>
    <row r="660" ht="15" customHeight="1">
      <c r="A660" t="inlineStr">
        <is>
          <t>A 7192-2025</t>
        </is>
      </c>
      <c r="B660" s="1" t="n">
        <v>45702.44746527778</v>
      </c>
      <c r="C660" s="1" t="n">
        <v>45890</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61524-2022</t>
        </is>
      </c>
      <c r="B661" s="1" t="n">
        <v>44910</v>
      </c>
      <c r="C661" s="1" t="n">
        <v>45890</v>
      </c>
      <c r="D661" t="inlineStr">
        <is>
          <t>SKÅNE LÄN</t>
        </is>
      </c>
      <c r="E661" t="inlineStr">
        <is>
          <t>HÄSSLEHOLM</t>
        </is>
      </c>
      <c r="F661" t="inlineStr">
        <is>
          <t>Kyrkan</t>
        </is>
      </c>
      <c r="G661" t="n">
        <v>2.1</v>
      </c>
      <c r="H661" t="n">
        <v>0</v>
      </c>
      <c r="I661" t="n">
        <v>0</v>
      </c>
      <c r="J661" t="n">
        <v>0</v>
      </c>
      <c r="K661" t="n">
        <v>0</v>
      </c>
      <c r="L661" t="n">
        <v>0</v>
      </c>
      <c r="M661" t="n">
        <v>0</v>
      </c>
      <c r="N661" t="n">
        <v>0</v>
      </c>
      <c r="O661" t="n">
        <v>0</v>
      </c>
      <c r="P661" t="n">
        <v>0</v>
      </c>
      <c r="Q661" t="n">
        <v>0</v>
      </c>
      <c r="R661" s="2" t="inlineStr"/>
    </row>
    <row r="662" ht="15" customHeight="1">
      <c r="A662" t="inlineStr">
        <is>
          <t>A 61578-2023</t>
        </is>
      </c>
      <c r="B662" s="1" t="n">
        <v>45265.47399305556</v>
      </c>
      <c r="C662" s="1" t="n">
        <v>45890</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25542-2024</t>
        </is>
      </c>
      <c r="B663" s="1" t="n">
        <v>45463</v>
      </c>
      <c r="C663" s="1" t="n">
        <v>45890</v>
      </c>
      <c r="D663" t="inlineStr">
        <is>
          <t>SKÅNE LÄN</t>
        </is>
      </c>
      <c r="E663" t="inlineStr">
        <is>
          <t>HÄSSLEHOLM</t>
        </is>
      </c>
      <c r="G663" t="n">
        <v>6.9</v>
      </c>
      <c r="H663" t="n">
        <v>0</v>
      </c>
      <c r="I663" t="n">
        <v>0</v>
      </c>
      <c r="J663" t="n">
        <v>0</v>
      </c>
      <c r="K663" t="n">
        <v>0</v>
      </c>
      <c r="L663" t="n">
        <v>0</v>
      </c>
      <c r="M663" t="n">
        <v>0</v>
      </c>
      <c r="N663" t="n">
        <v>0</v>
      </c>
      <c r="O663" t="n">
        <v>0</v>
      </c>
      <c r="P663" t="n">
        <v>0</v>
      </c>
      <c r="Q663" t="n">
        <v>0</v>
      </c>
      <c r="R663" s="2" t="inlineStr"/>
    </row>
    <row r="664" ht="15" customHeight="1">
      <c r="A664" t="inlineStr">
        <is>
          <t>A 60789-2024</t>
        </is>
      </c>
      <c r="B664" s="1" t="n">
        <v>45644</v>
      </c>
      <c r="C664" s="1" t="n">
        <v>45890</v>
      </c>
      <c r="D664" t="inlineStr">
        <is>
          <t>SKÅNE LÄN</t>
        </is>
      </c>
      <c r="E664" t="inlineStr">
        <is>
          <t>HÄSSLEHOLM</t>
        </is>
      </c>
      <c r="G664" t="n">
        <v>3</v>
      </c>
      <c r="H664" t="n">
        <v>0</v>
      </c>
      <c r="I664" t="n">
        <v>0</v>
      </c>
      <c r="J664" t="n">
        <v>0</v>
      </c>
      <c r="K664" t="n">
        <v>0</v>
      </c>
      <c r="L664" t="n">
        <v>0</v>
      </c>
      <c r="M664" t="n">
        <v>0</v>
      </c>
      <c r="N664" t="n">
        <v>0</v>
      </c>
      <c r="O664" t="n">
        <v>0</v>
      </c>
      <c r="P664" t="n">
        <v>0</v>
      </c>
      <c r="Q664" t="n">
        <v>0</v>
      </c>
      <c r="R664" s="2" t="inlineStr"/>
    </row>
    <row r="665" ht="15" customHeight="1">
      <c r="A665" t="inlineStr">
        <is>
          <t>A 42370-2023</t>
        </is>
      </c>
      <c r="B665" s="1" t="n">
        <v>45180</v>
      </c>
      <c r="C665" s="1" t="n">
        <v>45890</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11798-2022</t>
        </is>
      </c>
      <c r="B666" s="1" t="n">
        <v>44634.64900462963</v>
      </c>
      <c r="C666" s="1" t="n">
        <v>45890</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56881-2021</t>
        </is>
      </c>
      <c r="B667" s="1" t="n">
        <v>44481</v>
      </c>
      <c r="C667" s="1" t="n">
        <v>45890</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5252-2025</t>
        </is>
      </c>
      <c r="B668" s="1" t="n">
        <v>45692.3449537037</v>
      </c>
      <c r="C668" s="1" t="n">
        <v>45890</v>
      </c>
      <c r="D668" t="inlineStr">
        <is>
          <t>SKÅNE LÄN</t>
        </is>
      </c>
      <c r="E668" t="inlineStr">
        <is>
          <t>HÄSSLEHOLM</t>
        </is>
      </c>
      <c r="G668" t="n">
        <v>2.1</v>
      </c>
      <c r="H668" t="n">
        <v>0</v>
      </c>
      <c r="I668" t="n">
        <v>0</v>
      </c>
      <c r="J668" t="n">
        <v>0</v>
      </c>
      <c r="K668" t="n">
        <v>0</v>
      </c>
      <c r="L668" t="n">
        <v>0</v>
      </c>
      <c r="M668" t="n">
        <v>0</v>
      </c>
      <c r="N668" t="n">
        <v>0</v>
      </c>
      <c r="O668" t="n">
        <v>0</v>
      </c>
      <c r="P668" t="n">
        <v>0</v>
      </c>
      <c r="Q668" t="n">
        <v>0</v>
      </c>
      <c r="R668" s="2" t="inlineStr"/>
    </row>
    <row r="669" ht="15" customHeight="1">
      <c r="A669" t="inlineStr">
        <is>
          <t>A 5242-2025</t>
        </is>
      </c>
      <c r="B669" s="1" t="n">
        <v>45692.32883101852</v>
      </c>
      <c r="C669" s="1" t="n">
        <v>45890</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24034-2025</t>
        </is>
      </c>
      <c r="B670" s="1" t="n">
        <v>45796.48251157408</v>
      </c>
      <c r="C670" s="1" t="n">
        <v>45890</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11422-2025</t>
        </is>
      </c>
      <c r="B671" s="1" t="n">
        <v>45726</v>
      </c>
      <c r="C671" s="1" t="n">
        <v>45890</v>
      </c>
      <c r="D671" t="inlineStr">
        <is>
          <t>SKÅNE LÄN</t>
        </is>
      </c>
      <c r="E671" t="inlineStr">
        <is>
          <t>HÄSSLEHOLM</t>
        </is>
      </c>
      <c r="G671" t="n">
        <v>14.9</v>
      </c>
      <c r="H671" t="n">
        <v>0</v>
      </c>
      <c r="I671" t="n">
        <v>0</v>
      </c>
      <c r="J671" t="n">
        <v>0</v>
      </c>
      <c r="K671" t="n">
        <v>0</v>
      </c>
      <c r="L671" t="n">
        <v>0</v>
      </c>
      <c r="M671" t="n">
        <v>0</v>
      </c>
      <c r="N671" t="n">
        <v>0</v>
      </c>
      <c r="O671" t="n">
        <v>0</v>
      </c>
      <c r="P671" t="n">
        <v>0</v>
      </c>
      <c r="Q671" t="n">
        <v>0</v>
      </c>
      <c r="R671" s="2" t="inlineStr"/>
    </row>
    <row r="672" ht="15" customHeight="1">
      <c r="A672" t="inlineStr">
        <is>
          <t>A 7604-2024</t>
        </is>
      </c>
      <c r="B672" s="1" t="n">
        <v>45348</v>
      </c>
      <c r="C672" s="1" t="n">
        <v>45890</v>
      </c>
      <c r="D672" t="inlineStr">
        <is>
          <t>SKÅNE LÄN</t>
        </is>
      </c>
      <c r="E672" t="inlineStr">
        <is>
          <t>HÄSSLEHOLM</t>
        </is>
      </c>
      <c r="G672" t="n">
        <v>11.1</v>
      </c>
      <c r="H672" t="n">
        <v>0</v>
      </c>
      <c r="I672" t="n">
        <v>0</v>
      </c>
      <c r="J672" t="n">
        <v>0</v>
      </c>
      <c r="K672" t="n">
        <v>0</v>
      </c>
      <c r="L672" t="n">
        <v>0</v>
      </c>
      <c r="M672" t="n">
        <v>0</v>
      </c>
      <c r="N672" t="n">
        <v>0</v>
      </c>
      <c r="O672" t="n">
        <v>0</v>
      </c>
      <c r="P672" t="n">
        <v>0</v>
      </c>
      <c r="Q672" t="n">
        <v>0</v>
      </c>
      <c r="R672" s="2" t="inlineStr"/>
    </row>
    <row r="673" ht="15" customHeight="1">
      <c r="A673" t="inlineStr">
        <is>
          <t>A 29853-2024</t>
        </is>
      </c>
      <c r="B673" s="1" t="n">
        <v>45485.65844907407</v>
      </c>
      <c r="C673" s="1" t="n">
        <v>45890</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29287-2023</t>
        </is>
      </c>
      <c r="B674" s="1" t="n">
        <v>45098</v>
      </c>
      <c r="C674" s="1" t="n">
        <v>45890</v>
      </c>
      <c r="D674" t="inlineStr">
        <is>
          <t>SKÅNE LÄN</t>
        </is>
      </c>
      <c r="E674" t="inlineStr">
        <is>
          <t>HÄSSLEHOLM</t>
        </is>
      </c>
      <c r="G674" t="n">
        <v>5.7</v>
      </c>
      <c r="H674" t="n">
        <v>0</v>
      </c>
      <c r="I674" t="n">
        <v>0</v>
      </c>
      <c r="J674" t="n">
        <v>0</v>
      </c>
      <c r="K674" t="n">
        <v>0</v>
      </c>
      <c r="L674" t="n">
        <v>0</v>
      </c>
      <c r="M674" t="n">
        <v>0</v>
      </c>
      <c r="N674" t="n">
        <v>0</v>
      </c>
      <c r="O674" t="n">
        <v>0</v>
      </c>
      <c r="P674" t="n">
        <v>0</v>
      </c>
      <c r="Q674" t="n">
        <v>0</v>
      </c>
      <c r="R674" s="2" t="inlineStr"/>
    </row>
    <row r="675" ht="15" customHeight="1">
      <c r="A675" t="inlineStr">
        <is>
          <t>A 13673-2023</t>
        </is>
      </c>
      <c r="B675" s="1" t="n">
        <v>45006.87957175926</v>
      </c>
      <c r="C675" s="1" t="n">
        <v>45890</v>
      </c>
      <c r="D675" t="inlineStr">
        <is>
          <t>SKÅNE LÄN</t>
        </is>
      </c>
      <c r="E675" t="inlineStr">
        <is>
          <t>HÄSSLEHOLM</t>
        </is>
      </c>
      <c r="G675" t="n">
        <v>3.2</v>
      </c>
      <c r="H675" t="n">
        <v>0</v>
      </c>
      <c r="I675" t="n">
        <v>0</v>
      </c>
      <c r="J675" t="n">
        <v>0</v>
      </c>
      <c r="K675" t="n">
        <v>0</v>
      </c>
      <c r="L675" t="n">
        <v>0</v>
      </c>
      <c r="M675" t="n">
        <v>0</v>
      </c>
      <c r="N675" t="n">
        <v>0</v>
      </c>
      <c r="O675" t="n">
        <v>0</v>
      </c>
      <c r="P675" t="n">
        <v>0</v>
      </c>
      <c r="Q675" t="n">
        <v>0</v>
      </c>
      <c r="R675" s="2" t="inlineStr"/>
    </row>
    <row r="676" ht="15" customHeight="1">
      <c r="A676" t="inlineStr">
        <is>
          <t>A 5992-2022</t>
        </is>
      </c>
      <c r="B676" s="1" t="n">
        <v>44599</v>
      </c>
      <c r="C676" s="1" t="n">
        <v>45890</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38306-2022</t>
        </is>
      </c>
      <c r="B677" s="1" t="n">
        <v>44812.57515046297</v>
      </c>
      <c r="C677" s="1" t="n">
        <v>45890</v>
      </c>
      <c r="D677" t="inlineStr">
        <is>
          <t>SKÅNE LÄN</t>
        </is>
      </c>
      <c r="E677" t="inlineStr">
        <is>
          <t>HÄSSLEHOLM</t>
        </is>
      </c>
      <c r="G677" t="n">
        <v>2.2</v>
      </c>
      <c r="H677" t="n">
        <v>0</v>
      </c>
      <c r="I677" t="n">
        <v>0</v>
      </c>
      <c r="J677" t="n">
        <v>0</v>
      </c>
      <c r="K677" t="n">
        <v>0</v>
      </c>
      <c r="L677" t="n">
        <v>0</v>
      </c>
      <c r="M677" t="n">
        <v>0</v>
      </c>
      <c r="N677" t="n">
        <v>0</v>
      </c>
      <c r="O677" t="n">
        <v>0</v>
      </c>
      <c r="P677" t="n">
        <v>0</v>
      </c>
      <c r="Q677" t="n">
        <v>0</v>
      </c>
      <c r="R677" s="2" t="inlineStr"/>
    </row>
    <row r="678" ht="15" customHeight="1">
      <c r="A678" t="inlineStr">
        <is>
          <t>A 25324-2024</t>
        </is>
      </c>
      <c r="B678" s="1" t="n">
        <v>45462.804375</v>
      </c>
      <c r="C678" s="1" t="n">
        <v>45890</v>
      </c>
      <c r="D678" t="inlineStr">
        <is>
          <t>SKÅNE LÄN</t>
        </is>
      </c>
      <c r="E678" t="inlineStr">
        <is>
          <t>HÄSSLEHOLM</t>
        </is>
      </c>
      <c r="G678" t="n">
        <v>0.2</v>
      </c>
      <c r="H678" t="n">
        <v>0</v>
      </c>
      <c r="I678" t="n">
        <v>0</v>
      </c>
      <c r="J678" t="n">
        <v>0</v>
      </c>
      <c r="K678" t="n">
        <v>0</v>
      </c>
      <c r="L678" t="n">
        <v>0</v>
      </c>
      <c r="M678" t="n">
        <v>0</v>
      </c>
      <c r="N678" t="n">
        <v>0</v>
      </c>
      <c r="O678" t="n">
        <v>0</v>
      </c>
      <c r="P678" t="n">
        <v>0</v>
      </c>
      <c r="Q678" t="n">
        <v>0</v>
      </c>
      <c r="R678" s="2" t="inlineStr"/>
    </row>
    <row r="679" ht="15" customHeight="1">
      <c r="A679" t="inlineStr">
        <is>
          <t>A 8803-2023</t>
        </is>
      </c>
      <c r="B679" s="1" t="n">
        <v>44978.61712962963</v>
      </c>
      <c r="C679" s="1" t="n">
        <v>45890</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38712-2024</t>
        </is>
      </c>
      <c r="B680" s="1" t="n">
        <v>45547</v>
      </c>
      <c r="C680" s="1" t="n">
        <v>45890</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24250-2025</t>
        </is>
      </c>
      <c r="B681" s="1" t="n">
        <v>45797.40260416667</v>
      </c>
      <c r="C681" s="1" t="n">
        <v>45890</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13310-2025</t>
        </is>
      </c>
      <c r="B682" s="1" t="n">
        <v>45735.58814814815</v>
      </c>
      <c r="C682" s="1" t="n">
        <v>45890</v>
      </c>
      <c r="D682" t="inlineStr">
        <is>
          <t>SKÅNE LÄN</t>
        </is>
      </c>
      <c r="E682" t="inlineStr">
        <is>
          <t>HÄSSLEHOLM</t>
        </is>
      </c>
      <c r="G682" t="n">
        <v>2</v>
      </c>
      <c r="H682" t="n">
        <v>0</v>
      </c>
      <c r="I682" t="n">
        <v>0</v>
      </c>
      <c r="J682" t="n">
        <v>0</v>
      </c>
      <c r="K682" t="n">
        <v>0</v>
      </c>
      <c r="L682" t="n">
        <v>0</v>
      </c>
      <c r="M682" t="n">
        <v>0</v>
      </c>
      <c r="N682" t="n">
        <v>0</v>
      </c>
      <c r="O682" t="n">
        <v>0</v>
      </c>
      <c r="P682" t="n">
        <v>0</v>
      </c>
      <c r="Q682" t="n">
        <v>0</v>
      </c>
      <c r="R682" s="2" t="inlineStr"/>
    </row>
    <row r="683" ht="15" customHeight="1">
      <c r="A683" t="inlineStr">
        <is>
          <t>A 24029-2025</t>
        </is>
      </c>
      <c r="B683" s="1" t="n">
        <v>45796.47552083333</v>
      </c>
      <c r="C683" s="1" t="n">
        <v>45890</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24039-2025</t>
        </is>
      </c>
      <c r="B684" s="1" t="n">
        <v>45796.48675925926</v>
      </c>
      <c r="C684" s="1" t="n">
        <v>45890</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4809-2025</t>
        </is>
      </c>
      <c r="B685" s="1" t="n">
        <v>45688.60148148148</v>
      </c>
      <c r="C685" s="1" t="n">
        <v>45890</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12780-2024</t>
        </is>
      </c>
      <c r="B686" s="1" t="n">
        <v>45384.59726851852</v>
      </c>
      <c r="C686" s="1" t="n">
        <v>45890</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9375-2023</t>
        </is>
      </c>
      <c r="B687" s="1" t="n">
        <v>44981</v>
      </c>
      <c r="C687" s="1" t="n">
        <v>45890</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19666-2025</t>
        </is>
      </c>
      <c r="B688" s="1" t="n">
        <v>45770.69326388889</v>
      </c>
      <c r="C688" s="1" t="n">
        <v>45890</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3746-2024</t>
        </is>
      </c>
      <c r="B689" s="1" t="n">
        <v>45321.50745370371</v>
      </c>
      <c r="C689" s="1" t="n">
        <v>45890</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24047-2025</t>
        </is>
      </c>
      <c r="B690" s="1" t="n">
        <v>45796.49528935185</v>
      </c>
      <c r="C690" s="1" t="n">
        <v>45890</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26857-2025</t>
        </is>
      </c>
      <c r="B691" s="1" t="n">
        <v>45810</v>
      </c>
      <c r="C691" s="1" t="n">
        <v>45890</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24675-2025</t>
        </is>
      </c>
      <c r="B692" s="1" t="n">
        <v>45798.653125</v>
      </c>
      <c r="C692" s="1" t="n">
        <v>45890</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1616-2025</t>
        </is>
      </c>
      <c r="B693" s="1" t="n">
        <v>45670</v>
      </c>
      <c r="C693" s="1" t="n">
        <v>45890</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57649-2022</t>
        </is>
      </c>
      <c r="B694" s="1" t="n">
        <v>44897.42755787037</v>
      </c>
      <c r="C694" s="1" t="n">
        <v>45890</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57665-2022</t>
        </is>
      </c>
      <c r="B695" s="1" t="n">
        <v>44897.4494212963</v>
      </c>
      <c r="C695" s="1" t="n">
        <v>45890</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57676-2022</t>
        </is>
      </c>
      <c r="B696" s="1" t="n">
        <v>44897</v>
      </c>
      <c r="C696" s="1" t="n">
        <v>45890</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42735-2024</t>
        </is>
      </c>
      <c r="B697" s="1" t="n">
        <v>45566.47274305556</v>
      </c>
      <c r="C697" s="1" t="n">
        <v>45890</v>
      </c>
      <c r="D697" t="inlineStr">
        <is>
          <t>SKÅNE LÄN</t>
        </is>
      </c>
      <c r="E697" t="inlineStr">
        <is>
          <t>HÄSSLEHOLM</t>
        </is>
      </c>
      <c r="G697" t="n">
        <v>3.7</v>
      </c>
      <c r="H697" t="n">
        <v>0</v>
      </c>
      <c r="I697" t="n">
        <v>0</v>
      </c>
      <c r="J697" t="n">
        <v>0</v>
      </c>
      <c r="K697" t="n">
        <v>0</v>
      </c>
      <c r="L697" t="n">
        <v>0</v>
      </c>
      <c r="M697" t="n">
        <v>0</v>
      </c>
      <c r="N697" t="n">
        <v>0</v>
      </c>
      <c r="O697" t="n">
        <v>0</v>
      </c>
      <c r="P697" t="n">
        <v>0</v>
      </c>
      <c r="Q697" t="n">
        <v>0</v>
      </c>
      <c r="R697" s="2" t="inlineStr"/>
    </row>
    <row r="698" ht="15" customHeight="1">
      <c r="A698" t="inlineStr">
        <is>
          <t>A 14145-2023</t>
        </is>
      </c>
      <c r="B698" s="1" t="n">
        <v>45009</v>
      </c>
      <c r="C698" s="1" t="n">
        <v>45890</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8244-2023</t>
        </is>
      </c>
      <c r="B699" s="1" t="n">
        <v>44974</v>
      </c>
      <c r="C699" s="1" t="n">
        <v>45890</v>
      </c>
      <c r="D699" t="inlineStr">
        <is>
          <t>SKÅNE LÄN</t>
        </is>
      </c>
      <c r="E699" t="inlineStr">
        <is>
          <t>HÄSSLEHOLM</t>
        </is>
      </c>
      <c r="G699" t="n">
        <v>1.2</v>
      </c>
      <c r="H699" t="n">
        <v>0</v>
      </c>
      <c r="I699" t="n">
        <v>0</v>
      </c>
      <c r="J699" t="n">
        <v>0</v>
      </c>
      <c r="K699" t="n">
        <v>0</v>
      </c>
      <c r="L699" t="n">
        <v>0</v>
      </c>
      <c r="M699" t="n">
        <v>0</v>
      </c>
      <c r="N699" t="n">
        <v>0</v>
      </c>
      <c r="O699" t="n">
        <v>0</v>
      </c>
      <c r="P699" t="n">
        <v>0</v>
      </c>
      <c r="Q699" t="n">
        <v>0</v>
      </c>
      <c r="R699" s="2" t="inlineStr"/>
    </row>
    <row r="700" ht="15" customHeight="1">
      <c r="A700" t="inlineStr">
        <is>
          <t>A 8246-2023</t>
        </is>
      </c>
      <c r="B700" s="1" t="n">
        <v>44974</v>
      </c>
      <c r="C700" s="1" t="n">
        <v>45890</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55522-2024</t>
        </is>
      </c>
      <c r="B701" s="1" t="n">
        <v>45622</v>
      </c>
      <c r="C701" s="1" t="n">
        <v>45890</v>
      </c>
      <c r="D701" t="inlineStr">
        <is>
          <t>SKÅNE LÄN</t>
        </is>
      </c>
      <c r="E701" t="inlineStr">
        <is>
          <t>HÄSSLEHOLM</t>
        </is>
      </c>
      <c r="G701" t="n">
        <v>5.6</v>
      </c>
      <c r="H701" t="n">
        <v>0</v>
      </c>
      <c r="I701" t="n">
        <v>0</v>
      </c>
      <c r="J701" t="n">
        <v>0</v>
      </c>
      <c r="K701" t="n">
        <v>0</v>
      </c>
      <c r="L701" t="n">
        <v>0</v>
      </c>
      <c r="M701" t="n">
        <v>0</v>
      </c>
      <c r="N701" t="n">
        <v>0</v>
      </c>
      <c r="O701" t="n">
        <v>0</v>
      </c>
      <c r="P701" t="n">
        <v>0</v>
      </c>
      <c r="Q701" t="n">
        <v>0</v>
      </c>
      <c r="R701" s="2" t="inlineStr"/>
    </row>
    <row r="702" ht="15" customHeight="1">
      <c r="A702" t="inlineStr">
        <is>
          <t>A 32826-2024</t>
        </is>
      </c>
      <c r="B702" s="1" t="n">
        <v>45516.59056712963</v>
      </c>
      <c r="C702" s="1" t="n">
        <v>45890</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12584-2025</t>
        </is>
      </c>
      <c r="B703" s="1" t="n">
        <v>45732</v>
      </c>
      <c r="C703" s="1" t="n">
        <v>45890</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25606-2024</t>
        </is>
      </c>
      <c r="B704" s="1" t="n">
        <v>45463.63179398148</v>
      </c>
      <c r="C704" s="1" t="n">
        <v>45890</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30006-2023</t>
        </is>
      </c>
      <c r="B705" s="1" t="n">
        <v>45109.79962962963</v>
      </c>
      <c r="C705" s="1" t="n">
        <v>45890</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49167-2022</t>
        </is>
      </c>
      <c r="B706" s="1" t="n">
        <v>44860</v>
      </c>
      <c r="C706" s="1" t="n">
        <v>45890</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32512-2024</t>
        </is>
      </c>
      <c r="B707" s="1" t="n">
        <v>45513.45613425926</v>
      </c>
      <c r="C707" s="1" t="n">
        <v>45890</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14670-2025</t>
        </is>
      </c>
      <c r="B708" s="1" t="n">
        <v>45742.55079861111</v>
      </c>
      <c r="C708" s="1" t="n">
        <v>45890</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57963-2023</t>
        </is>
      </c>
      <c r="B709" s="1" t="n">
        <v>45247.57732638889</v>
      </c>
      <c r="C709" s="1" t="n">
        <v>45890</v>
      </c>
      <c r="D709" t="inlineStr">
        <is>
          <t>SKÅNE LÄN</t>
        </is>
      </c>
      <c r="E709" t="inlineStr">
        <is>
          <t>HÄSSLEHOLM</t>
        </is>
      </c>
      <c r="G709" t="n">
        <v>4.6</v>
      </c>
      <c r="H709" t="n">
        <v>0</v>
      </c>
      <c r="I709" t="n">
        <v>0</v>
      </c>
      <c r="J709" t="n">
        <v>0</v>
      </c>
      <c r="K709" t="n">
        <v>0</v>
      </c>
      <c r="L709" t="n">
        <v>0</v>
      </c>
      <c r="M709" t="n">
        <v>0</v>
      </c>
      <c r="N709" t="n">
        <v>0</v>
      </c>
      <c r="O709" t="n">
        <v>0</v>
      </c>
      <c r="P709" t="n">
        <v>0</v>
      </c>
      <c r="Q709" t="n">
        <v>0</v>
      </c>
      <c r="R709" s="2" t="inlineStr"/>
    </row>
    <row r="710" ht="15" customHeight="1">
      <c r="A710" t="inlineStr">
        <is>
          <t>A 24985-2025</t>
        </is>
      </c>
      <c r="B710" s="1" t="n">
        <v>45799.60256944445</v>
      </c>
      <c r="C710" s="1" t="n">
        <v>45890</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57033-2022</t>
        </is>
      </c>
      <c r="B711" s="1" t="n">
        <v>44895.31270833333</v>
      </c>
      <c r="C711" s="1" t="n">
        <v>45890</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10562-2025</t>
        </is>
      </c>
      <c r="B712" s="1" t="n">
        <v>45721.52913194444</v>
      </c>
      <c r="C712" s="1" t="n">
        <v>45890</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35845-2022</t>
        </is>
      </c>
      <c r="B713" s="1" t="n">
        <v>44802</v>
      </c>
      <c r="C713" s="1" t="n">
        <v>45890</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26403-2024</t>
        </is>
      </c>
      <c r="B714" s="1" t="n">
        <v>45469.44505787037</v>
      </c>
      <c r="C714" s="1" t="n">
        <v>45890</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22140-2023</t>
        </is>
      </c>
      <c r="B715" s="1" t="n">
        <v>45065</v>
      </c>
      <c r="C715" s="1" t="n">
        <v>45890</v>
      </c>
      <c r="D715" t="inlineStr">
        <is>
          <t>SKÅNE LÄN</t>
        </is>
      </c>
      <c r="E715" t="inlineStr">
        <is>
          <t>HÄSSLEHOLM</t>
        </is>
      </c>
      <c r="G715" t="n">
        <v>6.7</v>
      </c>
      <c r="H715" t="n">
        <v>0</v>
      </c>
      <c r="I715" t="n">
        <v>0</v>
      </c>
      <c r="J715" t="n">
        <v>0</v>
      </c>
      <c r="K715" t="n">
        <v>0</v>
      </c>
      <c r="L715" t="n">
        <v>0</v>
      </c>
      <c r="M715" t="n">
        <v>0</v>
      </c>
      <c r="N715" t="n">
        <v>0</v>
      </c>
      <c r="O715" t="n">
        <v>0</v>
      </c>
      <c r="P715" t="n">
        <v>0</v>
      </c>
      <c r="Q715" t="n">
        <v>0</v>
      </c>
      <c r="R715" s="2" t="inlineStr"/>
    </row>
    <row r="716" ht="15" customHeight="1">
      <c r="A716" t="inlineStr">
        <is>
          <t>A 24776-2025</t>
        </is>
      </c>
      <c r="B716" s="1" t="n">
        <v>45799.40640046296</v>
      </c>
      <c r="C716" s="1" t="n">
        <v>45890</v>
      </c>
      <c r="D716" t="inlineStr">
        <is>
          <t>SKÅNE LÄN</t>
        </is>
      </c>
      <c r="E716" t="inlineStr">
        <is>
          <t>HÄSSLEHOLM</t>
        </is>
      </c>
      <c r="G716" t="n">
        <v>5.4</v>
      </c>
      <c r="H716" t="n">
        <v>0</v>
      </c>
      <c r="I716" t="n">
        <v>0</v>
      </c>
      <c r="J716" t="n">
        <v>0</v>
      </c>
      <c r="K716" t="n">
        <v>0</v>
      </c>
      <c r="L716" t="n">
        <v>0</v>
      </c>
      <c r="M716" t="n">
        <v>0</v>
      </c>
      <c r="N716" t="n">
        <v>0</v>
      </c>
      <c r="O716" t="n">
        <v>0</v>
      </c>
      <c r="P716" t="n">
        <v>0</v>
      </c>
      <c r="Q716" t="n">
        <v>0</v>
      </c>
      <c r="R716" s="2" t="inlineStr"/>
    </row>
    <row r="717" ht="15" customHeight="1">
      <c r="A717" t="inlineStr">
        <is>
          <t>A 7653-2024</t>
        </is>
      </c>
      <c r="B717" s="1" t="n">
        <v>45348.69043981482</v>
      </c>
      <c r="C717" s="1" t="n">
        <v>45890</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69500-2020</t>
        </is>
      </c>
      <c r="B718" s="1" t="n">
        <v>44194</v>
      </c>
      <c r="C718" s="1" t="n">
        <v>45890</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24679-2023</t>
        </is>
      </c>
      <c r="B719" s="1" t="n">
        <v>45084</v>
      </c>
      <c r="C719" s="1" t="n">
        <v>45890</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24658-2025</t>
        </is>
      </c>
      <c r="B720" s="1" t="n">
        <v>45798.64134259259</v>
      </c>
      <c r="C720" s="1" t="n">
        <v>45890</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14939-2023</t>
        </is>
      </c>
      <c r="B721" s="1" t="n">
        <v>45014</v>
      </c>
      <c r="C721" s="1" t="n">
        <v>45890</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13345-2025</t>
        </is>
      </c>
      <c r="B722" s="1" t="n">
        <v>45735.63017361111</v>
      </c>
      <c r="C722" s="1" t="n">
        <v>45890</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25372-2025</t>
        </is>
      </c>
      <c r="B723" s="1" t="n">
        <v>45799</v>
      </c>
      <c r="C723" s="1" t="n">
        <v>45890</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4945-2022</t>
        </is>
      </c>
      <c r="B724" s="1" t="n">
        <v>44593</v>
      </c>
      <c r="C724" s="1" t="n">
        <v>45890</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9399-2025</t>
        </is>
      </c>
      <c r="B725" s="1" t="n">
        <v>45715.37861111111</v>
      </c>
      <c r="C725" s="1" t="n">
        <v>45890</v>
      </c>
      <c r="D725" t="inlineStr">
        <is>
          <t>SKÅNE LÄN</t>
        </is>
      </c>
      <c r="E725" t="inlineStr">
        <is>
          <t>HÄSSLEHOLM</t>
        </is>
      </c>
      <c r="G725" t="n">
        <v>5.2</v>
      </c>
      <c r="H725" t="n">
        <v>0</v>
      </c>
      <c r="I725" t="n">
        <v>0</v>
      </c>
      <c r="J725" t="n">
        <v>0</v>
      </c>
      <c r="K725" t="n">
        <v>0</v>
      </c>
      <c r="L725" t="n">
        <v>0</v>
      </c>
      <c r="M725" t="n">
        <v>0</v>
      </c>
      <c r="N725" t="n">
        <v>0</v>
      </c>
      <c r="O725" t="n">
        <v>0</v>
      </c>
      <c r="P725" t="n">
        <v>0</v>
      </c>
      <c r="Q725" t="n">
        <v>0</v>
      </c>
      <c r="R725" s="2" t="inlineStr"/>
    </row>
    <row r="726" ht="15" customHeight="1">
      <c r="A726" t="inlineStr">
        <is>
          <t>A 49219-2021</t>
        </is>
      </c>
      <c r="B726" s="1" t="n">
        <v>44454</v>
      </c>
      <c r="C726" s="1" t="n">
        <v>45890</v>
      </c>
      <c r="D726" t="inlineStr">
        <is>
          <t>SKÅNE LÄN</t>
        </is>
      </c>
      <c r="E726" t="inlineStr">
        <is>
          <t>HÄSSLEHOLM</t>
        </is>
      </c>
      <c r="G726" t="n">
        <v>7.8</v>
      </c>
      <c r="H726" t="n">
        <v>0</v>
      </c>
      <c r="I726" t="n">
        <v>0</v>
      </c>
      <c r="J726" t="n">
        <v>0</v>
      </c>
      <c r="K726" t="n">
        <v>0</v>
      </c>
      <c r="L726" t="n">
        <v>0</v>
      </c>
      <c r="M726" t="n">
        <v>0</v>
      </c>
      <c r="N726" t="n">
        <v>0</v>
      </c>
      <c r="O726" t="n">
        <v>0</v>
      </c>
      <c r="P726" t="n">
        <v>0</v>
      </c>
      <c r="Q726" t="n">
        <v>0</v>
      </c>
      <c r="R726" s="2" t="inlineStr"/>
    </row>
    <row r="727" ht="15" customHeight="1">
      <c r="A727" t="inlineStr">
        <is>
          <t>A 9668-2025</t>
        </is>
      </c>
      <c r="B727" s="1" t="n">
        <v>45716.3278587963</v>
      </c>
      <c r="C727" s="1" t="n">
        <v>45890</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5890-2023</t>
        </is>
      </c>
      <c r="B728" s="1" t="n">
        <v>44963.64527777778</v>
      </c>
      <c r="C728" s="1" t="n">
        <v>45890</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259-2024</t>
        </is>
      </c>
      <c r="B729" s="1" t="n">
        <v>45294</v>
      </c>
      <c r="C729" s="1" t="n">
        <v>45890</v>
      </c>
      <c r="D729" t="inlineStr">
        <is>
          <t>SKÅNE LÄN</t>
        </is>
      </c>
      <c r="E729" t="inlineStr">
        <is>
          <t>HÄSSLEHOLM</t>
        </is>
      </c>
      <c r="G729" t="n">
        <v>8</v>
      </c>
      <c r="H729" t="n">
        <v>0</v>
      </c>
      <c r="I729" t="n">
        <v>0</v>
      </c>
      <c r="J729" t="n">
        <v>0</v>
      </c>
      <c r="K729" t="n">
        <v>0</v>
      </c>
      <c r="L729" t="n">
        <v>0</v>
      </c>
      <c r="M729" t="n">
        <v>0</v>
      </c>
      <c r="N729" t="n">
        <v>0</v>
      </c>
      <c r="O729" t="n">
        <v>0</v>
      </c>
      <c r="P729" t="n">
        <v>0</v>
      </c>
      <c r="Q729" t="n">
        <v>0</v>
      </c>
      <c r="R729" s="2" t="inlineStr"/>
    </row>
    <row r="730" ht="15" customHeight="1">
      <c r="A730" t="inlineStr">
        <is>
          <t>A 29659-2024</t>
        </is>
      </c>
      <c r="B730" s="1" t="n">
        <v>45484.92587962963</v>
      </c>
      <c r="C730" s="1" t="n">
        <v>45890</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27837-2024</t>
        </is>
      </c>
      <c r="B731" s="1" t="n">
        <v>45475</v>
      </c>
      <c r="C731" s="1" t="n">
        <v>45890</v>
      </c>
      <c r="D731" t="inlineStr">
        <is>
          <t>SKÅNE LÄN</t>
        </is>
      </c>
      <c r="E731" t="inlineStr">
        <is>
          <t>HÄSSLEHOLM</t>
        </is>
      </c>
      <c r="F731" t="inlineStr">
        <is>
          <t>Kommuner</t>
        </is>
      </c>
      <c r="G731" t="n">
        <v>2.3</v>
      </c>
      <c r="H731" t="n">
        <v>0</v>
      </c>
      <c r="I731" t="n">
        <v>0</v>
      </c>
      <c r="J731" t="n">
        <v>0</v>
      </c>
      <c r="K731" t="n">
        <v>0</v>
      </c>
      <c r="L731" t="n">
        <v>0</v>
      </c>
      <c r="M731" t="n">
        <v>0</v>
      </c>
      <c r="N731" t="n">
        <v>0</v>
      </c>
      <c r="O731" t="n">
        <v>0</v>
      </c>
      <c r="P731" t="n">
        <v>0</v>
      </c>
      <c r="Q731" t="n">
        <v>0</v>
      </c>
      <c r="R731" s="2" t="inlineStr"/>
    </row>
    <row r="732" ht="15" customHeight="1">
      <c r="A732" t="inlineStr">
        <is>
          <t>A 12936-2025</t>
        </is>
      </c>
      <c r="B732" s="1" t="n">
        <v>45734</v>
      </c>
      <c r="C732" s="1" t="n">
        <v>45890</v>
      </c>
      <c r="D732" t="inlineStr">
        <is>
          <t>SKÅNE LÄN</t>
        </is>
      </c>
      <c r="E732" t="inlineStr">
        <is>
          <t>HÄSSLEHOLM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1679-2022</t>
        </is>
      </c>
      <c r="B733" s="1" t="n">
        <v>44573</v>
      </c>
      <c r="C733" s="1" t="n">
        <v>45890</v>
      </c>
      <c r="D733" t="inlineStr">
        <is>
          <t>SKÅNE LÄN</t>
        </is>
      </c>
      <c r="E733" t="inlineStr">
        <is>
          <t>HÄSSLEHOLM</t>
        </is>
      </c>
      <c r="F733" t="inlineStr">
        <is>
          <t>Kyrkan</t>
        </is>
      </c>
      <c r="G733" t="n">
        <v>4.3</v>
      </c>
      <c r="H733" t="n">
        <v>0</v>
      </c>
      <c r="I733" t="n">
        <v>0</v>
      </c>
      <c r="J733" t="n">
        <v>0</v>
      </c>
      <c r="K733" t="n">
        <v>0</v>
      </c>
      <c r="L733" t="n">
        <v>0</v>
      </c>
      <c r="M733" t="n">
        <v>0</v>
      </c>
      <c r="N733" t="n">
        <v>0</v>
      </c>
      <c r="O733" t="n">
        <v>0</v>
      </c>
      <c r="P733" t="n">
        <v>0</v>
      </c>
      <c r="Q733" t="n">
        <v>0</v>
      </c>
      <c r="R733" s="2" t="inlineStr"/>
    </row>
    <row r="734" ht="15" customHeight="1">
      <c r="A734" t="inlineStr">
        <is>
          <t>A 49865-2020</t>
        </is>
      </c>
      <c r="B734" s="1" t="n">
        <v>44107</v>
      </c>
      <c r="C734" s="1" t="n">
        <v>45890</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56062-2024</t>
        </is>
      </c>
      <c r="B735" s="1" t="n">
        <v>45624.37105324074</v>
      </c>
      <c r="C735" s="1" t="n">
        <v>45890</v>
      </c>
      <c r="D735" t="inlineStr">
        <is>
          <t>SKÅNE LÄN</t>
        </is>
      </c>
      <c r="E735" t="inlineStr">
        <is>
          <t>HÄSSLEHOLM</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11116-2023</t>
        </is>
      </c>
      <c r="B736" s="1" t="n">
        <v>44986</v>
      </c>
      <c r="C736" s="1" t="n">
        <v>45890</v>
      </c>
      <c r="D736" t="inlineStr">
        <is>
          <t>SKÅNE LÄN</t>
        </is>
      </c>
      <c r="E736" t="inlineStr">
        <is>
          <t>HÄSSLEHOLM</t>
        </is>
      </c>
      <c r="F736" t="inlineStr">
        <is>
          <t>Kommuner</t>
        </is>
      </c>
      <c r="G736" t="n">
        <v>15.1</v>
      </c>
      <c r="H736" t="n">
        <v>0</v>
      </c>
      <c r="I736" t="n">
        <v>0</v>
      </c>
      <c r="J736" t="n">
        <v>0</v>
      </c>
      <c r="K736" t="n">
        <v>0</v>
      </c>
      <c r="L736" t="n">
        <v>0</v>
      </c>
      <c r="M736" t="n">
        <v>0</v>
      </c>
      <c r="N736" t="n">
        <v>0</v>
      </c>
      <c r="O736" t="n">
        <v>0</v>
      </c>
      <c r="P736" t="n">
        <v>0</v>
      </c>
      <c r="Q736" t="n">
        <v>0</v>
      </c>
      <c r="R736" s="2" t="inlineStr"/>
    </row>
    <row r="737" ht="15" customHeight="1">
      <c r="A737" t="inlineStr">
        <is>
          <t>A 51565-2023</t>
        </is>
      </c>
      <c r="B737" s="1" t="n">
        <v>45222</v>
      </c>
      <c r="C737" s="1" t="n">
        <v>45890</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41209-2023</t>
        </is>
      </c>
      <c r="B738" s="1" t="n">
        <v>45174.43481481481</v>
      </c>
      <c r="C738" s="1" t="n">
        <v>45890</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25615-2025</t>
        </is>
      </c>
      <c r="B739" s="1" t="n">
        <v>45803</v>
      </c>
      <c r="C739" s="1" t="n">
        <v>45890</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11412-2025</t>
        </is>
      </c>
      <c r="B740" s="1" t="n">
        <v>45726</v>
      </c>
      <c r="C740" s="1" t="n">
        <v>45890</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25430-2025</t>
        </is>
      </c>
      <c r="B741" s="1" t="n">
        <v>45800.78212962963</v>
      </c>
      <c r="C741" s="1" t="n">
        <v>45890</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11121-2023</t>
        </is>
      </c>
      <c r="B742" s="1" t="n">
        <v>44986</v>
      </c>
      <c r="C742" s="1" t="n">
        <v>45890</v>
      </c>
      <c r="D742" t="inlineStr">
        <is>
          <t>SKÅNE LÄN</t>
        </is>
      </c>
      <c r="E742" t="inlineStr">
        <is>
          <t>HÄSSLEHOLM</t>
        </is>
      </c>
      <c r="F742" t="inlineStr">
        <is>
          <t>Kommuner</t>
        </is>
      </c>
      <c r="G742" t="n">
        <v>5.8</v>
      </c>
      <c r="H742" t="n">
        <v>0</v>
      </c>
      <c r="I742" t="n">
        <v>0</v>
      </c>
      <c r="J742" t="n">
        <v>0</v>
      </c>
      <c r="K742" t="n">
        <v>0</v>
      </c>
      <c r="L742" t="n">
        <v>0</v>
      </c>
      <c r="M742" t="n">
        <v>0</v>
      </c>
      <c r="N742" t="n">
        <v>0</v>
      </c>
      <c r="O742" t="n">
        <v>0</v>
      </c>
      <c r="P742" t="n">
        <v>0</v>
      </c>
      <c r="Q742" t="n">
        <v>0</v>
      </c>
      <c r="R742" s="2" t="inlineStr"/>
    </row>
    <row r="743" ht="15" customHeight="1">
      <c r="A743" t="inlineStr">
        <is>
          <t>A 57275-2023</t>
        </is>
      </c>
      <c r="B743" s="1" t="n">
        <v>45245.58886574074</v>
      </c>
      <c r="C743" s="1" t="n">
        <v>45890</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9678-2025</t>
        </is>
      </c>
      <c r="B744" s="1" t="n">
        <v>45716.34403935185</v>
      </c>
      <c r="C744" s="1" t="n">
        <v>45890</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11466-2025</t>
        </is>
      </c>
      <c r="B745" s="1" t="n">
        <v>45726</v>
      </c>
      <c r="C745" s="1" t="n">
        <v>45890</v>
      </c>
      <c r="D745" t="inlineStr">
        <is>
          <t>SKÅNE LÄN</t>
        </is>
      </c>
      <c r="E745" t="inlineStr">
        <is>
          <t>HÄSSLEHOLM</t>
        </is>
      </c>
      <c r="G745" t="n">
        <v>3.2</v>
      </c>
      <c r="H745" t="n">
        <v>0</v>
      </c>
      <c r="I745" t="n">
        <v>0</v>
      </c>
      <c r="J745" t="n">
        <v>0</v>
      </c>
      <c r="K745" t="n">
        <v>0</v>
      </c>
      <c r="L745" t="n">
        <v>0</v>
      </c>
      <c r="M745" t="n">
        <v>0</v>
      </c>
      <c r="N745" t="n">
        <v>0</v>
      </c>
      <c r="O745" t="n">
        <v>0</v>
      </c>
      <c r="P745" t="n">
        <v>0</v>
      </c>
      <c r="Q745" t="n">
        <v>0</v>
      </c>
      <c r="R745" s="2" t="inlineStr"/>
    </row>
    <row r="746" ht="15" customHeight="1">
      <c r="A746" t="inlineStr">
        <is>
          <t>A 12558-2023</t>
        </is>
      </c>
      <c r="B746" s="1" t="n">
        <v>45000.36103009259</v>
      </c>
      <c r="C746" s="1" t="n">
        <v>45890</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25431-2025</t>
        </is>
      </c>
      <c r="B747" s="1" t="n">
        <v>45800.78340277778</v>
      </c>
      <c r="C747" s="1" t="n">
        <v>45890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25432-2025</t>
        </is>
      </c>
      <c r="B748" s="1" t="n">
        <v>45800.7847800926</v>
      </c>
      <c r="C748" s="1" t="n">
        <v>45890</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11470-2025</t>
        </is>
      </c>
      <c r="B749" s="1" t="n">
        <v>45726</v>
      </c>
      <c r="C749" s="1" t="n">
        <v>45890</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53302-2022</t>
        </is>
      </c>
      <c r="B750" s="1" t="n">
        <v>44877</v>
      </c>
      <c r="C750" s="1" t="n">
        <v>45890</v>
      </c>
      <c r="D750" t="inlineStr">
        <is>
          <t>SKÅNE LÄN</t>
        </is>
      </c>
      <c r="E750" t="inlineStr">
        <is>
          <t>HÄSSLEHOLM</t>
        </is>
      </c>
      <c r="G750" t="n">
        <v>0.1</v>
      </c>
      <c r="H750" t="n">
        <v>0</v>
      </c>
      <c r="I750" t="n">
        <v>0</v>
      </c>
      <c r="J750" t="n">
        <v>0</v>
      </c>
      <c r="K750" t="n">
        <v>0</v>
      </c>
      <c r="L750" t="n">
        <v>0</v>
      </c>
      <c r="M750" t="n">
        <v>0</v>
      </c>
      <c r="N750" t="n">
        <v>0</v>
      </c>
      <c r="O750" t="n">
        <v>0</v>
      </c>
      <c r="P750" t="n">
        <v>0</v>
      </c>
      <c r="Q750" t="n">
        <v>0</v>
      </c>
      <c r="R750" s="2" t="inlineStr"/>
    </row>
    <row r="751" ht="15" customHeight="1">
      <c r="A751" t="inlineStr">
        <is>
          <t>A 27991-2024</t>
        </is>
      </c>
      <c r="B751" s="1" t="n">
        <v>45476</v>
      </c>
      <c r="C751" s="1" t="n">
        <v>45890</v>
      </c>
      <c r="D751" t="inlineStr">
        <is>
          <t>SKÅNE LÄN</t>
        </is>
      </c>
      <c r="E751" t="inlineStr">
        <is>
          <t>HÄSSLEHOLM</t>
        </is>
      </c>
      <c r="G751" t="n">
        <v>5.8</v>
      </c>
      <c r="H751" t="n">
        <v>0</v>
      </c>
      <c r="I751" t="n">
        <v>0</v>
      </c>
      <c r="J751" t="n">
        <v>0</v>
      </c>
      <c r="K751" t="n">
        <v>0</v>
      </c>
      <c r="L751" t="n">
        <v>0</v>
      </c>
      <c r="M751" t="n">
        <v>0</v>
      </c>
      <c r="N751" t="n">
        <v>0</v>
      </c>
      <c r="O751" t="n">
        <v>0</v>
      </c>
      <c r="P751" t="n">
        <v>0</v>
      </c>
      <c r="Q751" t="n">
        <v>0</v>
      </c>
      <c r="R751" s="2" t="inlineStr"/>
    </row>
    <row r="752" ht="15" customHeight="1">
      <c r="A752" t="inlineStr">
        <is>
          <t>A 4119-2024</t>
        </is>
      </c>
      <c r="B752" s="1" t="n">
        <v>45323.67920138889</v>
      </c>
      <c r="C752" s="1" t="n">
        <v>45890</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31946-2023</t>
        </is>
      </c>
      <c r="B753" s="1" t="n">
        <v>45119.35158564815</v>
      </c>
      <c r="C753" s="1" t="n">
        <v>45890</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6835-2023</t>
        </is>
      </c>
      <c r="B754" s="1" t="n">
        <v>44967</v>
      </c>
      <c r="C754" s="1" t="n">
        <v>45890</v>
      </c>
      <c r="D754" t="inlineStr">
        <is>
          <t>SKÅNE LÄN</t>
        </is>
      </c>
      <c r="E754" t="inlineStr">
        <is>
          <t>HÄSSLEHOLM</t>
        </is>
      </c>
      <c r="G754" t="n">
        <v>4.8</v>
      </c>
      <c r="H754" t="n">
        <v>0</v>
      </c>
      <c r="I754" t="n">
        <v>0</v>
      </c>
      <c r="J754" t="n">
        <v>0</v>
      </c>
      <c r="K754" t="n">
        <v>0</v>
      </c>
      <c r="L754" t="n">
        <v>0</v>
      </c>
      <c r="M754" t="n">
        <v>0</v>
      </c>
      <c r="N754" t="n">
        <v>0</v>
      </c>
      <c r="O754" t="n">
        <v>0</v>
      </c>
      <c r="P754" t="n">
        <v>0</v>
      </c>
      <c r="Q754" t="n">
        <v>0</v>
      </c>
      <c r="R754" s="2" t="inlineStr"/>
    </row>
    <row r="755" ht="15" customHeight="1">
      <c r="A755" t="inlineStr">
        <is>
          <t>A 47757-2024</t>
        </is>
      </c>
      <c r="B755" s="1" t="n">
        <v>45588.55075231481</v>
      </c>
      <c r="C755" s="1" t="n">
        <v>45890</v>
      </c>
      <c r="D755" t="inlineStr">
        <is>
          <t>SKÅNE LÄN</t>
        </is>
      </c>
      <c r="E755" t="inlineStr">
        <is>
          <t>HÄSSLEHOLM</t>
        </is>
      </c>
      <c r="G755" t="n">
        <v>5.5</v>
      </c>
      <c r="H755" t="n">
        <v>0</v>
      </c>
      <c r="I755" t="n">
        <v>0</v>
      </c>
      <c r="J755" t="n">
        <v>0</v>
      </c>
      <c r="K755" t="n">
        <v>0</v>
      </c>
      <c r="L755" t="n">
        <v>0</v>
      </c>
      <c r="M755" t="n">
        <v>0</v>
      </c>
      <c r="N755" t="n">
        <v>0</v>
      </c>
      <c r="O755" t="n">
        <v>0</v>
      </c>
      <c r="P755" t="n">
        <v>0</v>
      </c>
      <c r="Q755" t="n">
        <v>0</v>
      </c>
      <c r="R755" s="2" t="inlineStr"/>
    </row>
    <row r="756" ht="15" customHeight="1">
      <c r="A756" t="inlineStr">
        <is>
          <t>A 16550-2025</t>
        </is>
      </c>
      <c r="B756" s="1" t="n">
        <v>45751.69412037037</v>
      </c>
      <c r="C756" s="1" t="n">
        <v>45890</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48798-2023</t>
        </is>
      </c>
      <c r="B757" s="1" t="n">
        <v>45209.25318287037</v>
      </c>
      <c r="C757" s="1" t="n">
        <v>45890</v>
      </c>
      <c r="D757" t="inlineStr">
        <is>
          <t>SKÅNE LÄN</t>
        </is>
      </c>
      <c r="E757" t="inlineStr">
        <is>
          <t>HÄSSLEHOLM</t>
        </is>
      </c>
      <c r="G757" t="n">
        <v>2.1</v>
      </c>
      <c r="H757" t="n">
        <v>0</v>
      </c>
      <c r="I757" t="n">
        <v>0</v>
      </c>
      <c r="J757" t="n">
        <v>0</v>
      </c>
      <c r="K757" t="n">
        <v>0</v>
      </c>
      <c r="L757" t="n">
        <v>0</v>
      </c>
      <c r="M757" t="n">
        <v>0</v>
      </c>
      <c r="N757" t="n">
        <v>0</v>
      </c>
      <c r="O757" t="n">
        <v>0</v>
      </c>
      <c r="P757" t="n">
        <v>0</v>
      </c>
      <c r="Q757" t="n">
        <v>0</v>
      </c>
      <c r="R757" s="2" t="inlineStr"/>
    </row>
    <row r="758" ht="15" customHeight="1">
      <c r="A758" t="inlineStr">
        <is>
          <t>A 48844-2023</t>
        </is>
      </c>
      <c r="B758" s="1" t="n">
        <v>45209</v>
      </c>
      <c r="C758" s="1" t="n">
        <v>45890</v>
      </c>
      <c r="D758" t="inlineStr">
        <is>
          <t>SKÅNE LÄN</t>
        </is>
      </c>
      <c r="E758" t="inlineStr">
        <is>
          <t>HÄSSLEHOLM</t>
        </is>
      </c>
      <c r="G758" t="n">
        <v>4</v>
      </c>
      <c r="H758" t="n">
        <v>0</v>
      </c>
      <c r="I758" t="n">
        <v>0</v>
      </c>
      <c r="J758" t="n">
        <v>0</v>
      </c>
      <c r="K758" t="n">
        <v>0</v>
      </c>
      <c r="L758" t="n">
        <v>0</v>
      </c>
      <c r="M758" t="n">
        <v>0</v>
      </c>
      <c r="N758" t="n">
        <v>0</v>
      </c>
      <c r="O758" t="n">
        <v>0</v>
      </c>
      <c r="P758" t="n">
        <v>0</v>
      </c>
      <c r="Q758" t="n">
        <v>0</v>
      </c>
      <c r="R758" s="2" t="inlineStr"/>
    </row>
    <row r="759" ht="15" customHeight="1">
      <c r="A759" t="inlineStr">
        <is>
          <t>A 48877-2024</t>
        </is>
      </c>
      <c r="B759" s="1" t="n">
        <v>45594.31729166667</v>
      </c>
      <c r="C759" s="1" t="n">
        <v>45890</v>
      </c>
      <c r="D759" t="inlineStr">
        <is>
          <t>SKÅNE LÄN</t>
        </is>
      </c>
      <c r="E759" t="inlineStr">
        <is>
          <t>HÄSSLEHOLM</t>
        </is>
      </c>
      <c r="G759" t="n">
        <v>1.8</v>
      </c>
      <c r="H759" t="n">
        <v>0</v>
      </c>
      <c r="I759" t="n">
        <v>0</v>
      </c>
      <c r="J759" t="n">
        <v>0</v>
      </c>
      <c r="K759" t="n">
        <v>0</v>
      </c>
      <c r="L759" t="n">
        <v>0</v>
      </c>
      <c r="M759" t="n">
        <v>0</v>
      </c>
      <c r="N759" t="n">
        <v>0</v>
      </c>
      <c r="O759" t="n">
        <v>0</v>
      </c>
      <c r="P759" t="n">
        <v>0</v>
      </c>
      <c r="Q759" t="n">
        <v>0</v>
      </c>
      <c r="R759" s="2" t="inlineStr"/>
    </row>
    <row r="760" ht="15" customHeight="1">
      <c r="A760" t="inlineStr">
        <is>
          <t>A 45984-2021</t>
        </is>
      </c>
      <c r="B760" s="1" t="n">
        <v>44441</v>
      </c>
      <c r="C760" s="1" t="n">
        <v>45890</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8378-2023</t>
        </is>
      </c>
      <c r="B761" s="1" t="n">
        <v>44971</v>
      </c>
      <c r="C761" s="1" t="n">
        <v>45890</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26536-2022</t>
        </is>
      </c>
      <c r="B762" s="1" t="n">
        <v>44739.45496527778</v>
      </c>
      <c r="C762" s="1" t="n">
        <v>45890</v>
      </c>
      <c r="D762" t="inlineStr">
        <is>
          <t>SKÅNE LÄN</t>
        </is>
      </c>
      <c r="E762" t="inlineStr">
        <is>
          <t>HÄSSLEHOLM</t>
        </is>
      </c>
      <c r="G762" t="n">
        <v>3.1</v>
      </c>
      <c r="H762" t="n">
        <v>0</v>
      </c>
      <c r="I762" t="n">
        <v>0</v>
      </c>
      <c r="J762" t="n">
        <v>0</v>
      </c>
      <c r="K762" t="n">
        <v>0</v>
      </c>
      <c r="L762" t="n">
        <v>0</v>
      </c>
      <c r="M762" t="n">
        <v>0</v>
      </c>
      <c r="N762" t="n">
        <v>0</v>
      </c>
      <c r="O762" t="n">
        <v>0</v>
      </c>
      <c r="P762" t="n">
        <v>0</v>
      </c>
      <c r="Q762" t="n">
        <v>0</v>
      </c>
      <c r="R762" s="2" t="inlineStr"/>
    </row>
    <row r="763" ht="15" customHeight="1">
      <c r="A763" t="inlineStr">
        <is>
          <t>A 26232-2025</t>
        </is>
      </c>
      <c r="B763" s="1" t="n">
        <v>45805.56642361111</v>
      </c>
      <c r="C763" s="1" t="n">
        <v>45890</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26244-2025</t>
        </is>
      </c>
      <c r="B764" s="1" t="n">
        <v>45805.57364583333</v>
      </c>
      <c r="C764" s="1" t="n">
        <v>45890</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25057-2024</t>
        </is>
      </c>
      <c r="B765" s="1" t="n">
        <v>45462</v>
      </c>
      <c r="C765" s="1" t="n">
        <v>45890</v>
      </c>
      <c r="D765" t="inlineStr">
        <is>
          <t>SKÅNE LÄN</t>
        </is>
      </c>
      <c r="E765" t="inlineStr">
        <is>
          <t>HÄSSLEHOLM</t>
        </is>
      </c>
      <c r="G765" t="n">
        <v>4.3</v>
      </c>
      <c r="H765" t="n">
        <v>0</v>
      </c>
      <c r="I765" t="n">
        <v>0</v>
      </c>
      <c r="J765" t="n">
        <v>0</v>
      </c>
      <c r="K765" t="n">
        <v>0</v>
      </c>
      <c r="L765" t="n">
        <v>0</v>
      </c>
      <c r="M765" t="n">
        <v>0</v>
      </c>
      <c r="N765" t="n">
        <v>0</v>
      </c>
      <c r="O765" t="n">
        <v>0</v>
      </c>
      <c r="P765" t="n">
        <v>0</v>
      </c>
      <c r="Q765" t="n">
        <v>0</v>
      </c>
      <c r="R765" s="2" t="inlineStr"/>
    </row>
    <row r="766" ht="15" customHeight="1">
      <c r="A766" t="inlineStr">
        <is>
          <t>A 45398-2024</t>
        </is>
      </c>
      <c r="B766" s="1" t="n">
        <v>45576.56260416667</v>
      </c>
      <c r="C766" s="1" t="n">
        <v>45890</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4140-2023</t>
        </is>
      </c>
      <c r="B767" s="1" t="n">
        <v>44953</v>
      </c>
      <c r="C767" s="1" t="n">
        <v>45890</v>
      </c>
      <c r="D767" t="inlineStr">
        <is>
          <t>SKÅNE LÄN</t>
        </is>
      </c>
      <c r="E767" t="inlineStr">
        <is>
          <t>HÄSSLEHOLM</t>
        </is>
      </c>
      <c r="G767" t="n">
        <v>10.6</v>
      </c>
      <c r="H767" t="n">
        <v>0</v>
      </c>
      <c r="I767" t="n">
        <v>0</v>
      </c>
      <c r="J767" t="n">
        <v>0</v>
      </c>
      <c r="K767" t="n">
        <v>0</v>
      </c>
      <c r="L767" t="n">
        <v>0</v>
      </c>
      <c r="M767" t="n">
        <v>0</v>
      </c>
      <c r="N767" t="n">
        <v>0</v>
      </c>
      <c r="O767" t="n">
        <v>0</v>
      </c>
      <c r="P767" t="n">
        <v>0</v>
      </c>
      <c r="Q767" t="n">
        <v>0</v>
      </c>
      <c r="R767" s="2" t="inlineStr"/>
    </row>
    <row r="768" ht="15" customHeight="1">
      <c r="A768" t="inlineStr">
        <is>
          <t>A 50000-2023</t>
        </is>
      </c>
      <c r="B768" s="1" t="n">
        <v>45215.4434837963</v>
      </c>
      <c r="C768" s="1" t="n">
        <v>45890</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417-2022</t>
        </is>
      </c>
      <c r="B769" s="1" t="n">
        <v>44565.84615740741</v>
      </c>
      <c r="C769" s="1" t="n">
        <v>45890</v>
      </c>
      <c r="D769" t="inlineStr">
        <is>
          <t>SKÅNE LÄN</t>
        </is>
      </c>
      <c r="E769" t="inlineStr">
        <is>
          <t>HÄSSLEHOLM</t>
        </is>
      </c>
      <c r="G769" t="n">
        <v>0</v>
      </c>
      <c r="H769" t="n">
        <v>0</v>
      </c>
      <c r="I769" t="n">
        <v>0</v>
      </c>
      <c r="J769" t="n">
        <v>0</v>
      </c>
      <c r="K769" t="n">
        <v>0</v>
      </c>
      <c r="L769" t="n">
        <v>0</v>
      </c>
      <c r="M769" t="n">
        <v>0</v>
      </c>
      <c r="N769" t="n">
        <v>0</v>
      </c>
      <c r="O769" t="n">
        <v>0</v>
      </c>
      <c r="P769" t="n">
        <v>0</v>
      </c>
      <c r="Q769" t="n">
        <v>0</v>
      </c>
      <c r="R769" s="2" t="inlineStr"/>
    </row>
    <row r="770" ht="15" customHeight="1">
      <c r="A770" t="inlineStr">
        <is>
          <t>A 7494-2023</t>
        </is>
      </c>
      <c r="B770" s="1" t="n">
        <v>44971.70835648148</v>
      </c>
      <c r="C770" s="1" t="n">
        <v>45890</v>
      </c>
      <c r="D770" t="inlineStr">
        <is>
          <t>SKÅNE LÄN</t>
        </is>
      </c>
      <c r="E770" t="inlineStr">
        <is>
          <t>HÄSSLEHOLM</t>
        </is>
      </c>
      <c r="G770" t="n">
        <v>0.9</v>
      </c>
      <c r="H770" t="n">
        <v>0</v>
      </c>
      <c r="I770" t="n">
        <v>0</v>
      </c>
      <c r="J770" t="n">
        <v>0</v>
      </c>
      <c r="K770" t="n">
        <v>0</v>
      </c>
      <c r="L770" t="n">
        <v>0</v>
      </c>
      <c r="M770" t="n">
        <v>0</v>
      </c>
      <c r="N770" t="n">
        <v>0</v>
      </c>
      <c r="O770" t="n">
        <v>0</v>
      </c>
      <c r="P770" t="n">
        <v>0</v>
      </c>
      <c r="Q770" t="n">
        <v>0</v>
      </c>
      <c r="R770" s="2" t="inlineStr"/>
    </row>
    <row r="771" ht="15" customHeight="1">
      <c r="A771" t="inlineStr">
        <is>
          <t>A 51040-2024</t>
        </is>
      </c>
      <c r="B771" s="1" t="n">
        <v>45603.43222222223</v>
      </c>
      <c r="C771" s="1" t="n">
        <v>45890</v>
      </c>
      <c r="D771" t="inlineStr">
        <is>
          <t>SKÅNE LÄN</t>
        </is>
      </c>
      <c r="E771" t="inlineStr">
        <is>
          <t>HÄSSLEHOLM</t>
        </is>
      </c>
      <c r="G771" t="n">
        <v>2.7</v>
      </c>
      <c r="H771" t="n">
        <v>0</v>
      </c>
      <c r="I771" t="n">
        <v>0</v>
      </c>
      <c r="J771" t="n">
        <v>0</v>
      </c>
      <c r="K771" t="n">
        <v>0</v>
      </c>
      <c r="L771" t="n">
        <v>0</v>
      </c>
      <c r="M771" t="n">
        <v>0</v>
      </c>
      <c r="N771" t="n">
        <v>0</v>
      </c>
      <c r="O771" t="n">
        <v>0</v>
      </c>
      <c r="P771" t="n">
        <v>0</v>
      </c>
      <c r="Q771" t="n">
        <v>0</v>
      </c>
      <c r="R771" s="2" t="inlineStr"/>
    </row>
    <row r="772" ht="15" customHeight="1">
      <c r="A772" t="inlineStr">
        <is>
          <t>A 10115-2024</t>
        </is>
      </c>
      <c r="B772" s="1" t="n">
        <v>45364.55339120371</v>
      </c>
      <c r="C772" s="1" t="n">
        <v>45890</v>
      </c>
      <c r="D772" t="inlineStr">
        <is>
          <t>SKÅNE LÄN</t>
        </is>
      </c>
      <c r="E772" t="inlineStr">
        <is>
          <t>HÄSSLEHOLM</t>
        </is>
      </c>
      <c r="G772" t="n">
        <v>7</v>
      </c>
      <c r="H772" t="n">
        <v>0</v>
      </c>
      <c r="I772" t="n">
        <v>0</v>
      </c>
      <c r="J772" t="n">
        <v>0</v>
      </c>
      <c r="K772" t="n">
        <v>0</v>
      </c>
      <c r="L772" t="n">
        <v>0</v>
      </c>
      <c r="M772" t="n">
        <v>0</v>
      </c>
      <c r="N772" t="n">
        <v>0</v>
      </c>
      <c r="O772" t="n">
        <v>0</v>
      </c>
      <c r="P772" t="n">
        <v>0</v>
      </c>
      <c r="Q772" t="n">
        <v>0</v>
      </c>
      <c r="R772" s="2" t="inlineStr"/>
    </row>
    <row r="773" ht="15" customHeight="1">
      <c r="A773" t="inlineStr">
        <is>
          <t>A 50249-2024</t>
        </is>
      </c>
      <c r="B773" s="1" t="n">
        <v>45600.56866898148</v>
      </c>
      <c r="C773" s="1" t="n">
        <v>45890</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54326-2022</t>
        </is>
      </c>
      <c r="B774" s="1" t="n">
        <v>44882.42965277778</v>
      </c>
      <c r="C774" s="1" t="n">
        <v>45890</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54174-2022</t>
        </is>
      </c>
      <c r="B775" s="1" t="n">
        <v>44881</v>
      </c>
      <c r="C775" s="1" t="n">
        <v>45890</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38376-2022</t>
        </is>
      </c>
      <c r="B776" s="1" t="n">
        <v>44812</v>
      </c>
      <c r="C776" s="1" t="n">
        <v>45890</v>
      </c>
      <c r="D776" t="inlineStr">
        <is>
          <t>SKÅNE LÄN</t>
        </is>
      </c>
      <c r="E776" t="inlineStr">
        <is>
          <t>HÄSSLEHOLM</t>
        </is>
      </c>
      <c r="G776" t="n">
        <v>1.9</v>
      </c>
      <c r="H776" t="n">
        <v>0</v>
      </c>
      <c r="I776" t="n">
        <v>0</v>
      </c>
      <c r="J776" t="n">
        <v>0</v>
      </c>
      <c r="K776" t="n">
        <v>0</v>
      </c>
      <c r="L776" t="n">
        <v>0</v>
      </c>
      <c r="M776" t="n">
        <v>0</v>
      </c>
      <c r="N776" t="n">
        <v>0</v>
      </c>
      <c r="O776" t="n">
        <v>0</v>
      </c>
      <c r="P776" t="n">
        <v>0</v>
      </c>
      <c r="Q776" t="n">
        <v>0</v>
      </c>
      <c r="R776" s="2" t="inlineStr"/>
    </row>
    <row r="777" ht="15" customHeight="1">
      <c r="A777" t="inlineStr">
        <is>
          <t>A 27481-2023</t>
        </is>
      </c>
      <c r="B777" s="1" t="n">
        <v>45097</v>
      </c>
      <c r="C777" s="1" t="n">
        <v>45890</v>
      </c>
      <c r="D777" t="inlineStr">
        <is>
          <t>SKÅNE LÄN</t>
        </is>
      </c>
      <c r="E777" t="inlineStr">
        <is>
          <t>HÄSSLEHOLM</t>
        </is>
      </c>
      <c r="G777" t="n">
        <v>2.4</v>
      </c>
      <c r="H777" t="n">
        <v>0</v>
      </c>
      <c r="I777" t="n">
        <v>0</v>
      </c>
      <c r="J777" t="n">
        <v>0</v>
      </c>
      <c r="K777" t="n">
        <v>0</v>
      </c>
      <c r="L777" t="n">
        <v>0</v>
      </c>
      <c r="M777" t="n">
        <v>0</v>
      </c>
      <c r="N777" t="n">
        <v>0</v>
      </c>
      <c r="O777" t="n">
        <v>0</v>
      </c>
      <c r="P777" t="n">
        <v>0</v>
      </c>
      <c r="Q777" t="n">
        <v>0</v>
      </c>
      <c r="R777" s="2" t="inlineStr"/>
    </row>
    <row r="778" ht="15" customHeight="1">
      <c r="A778" t="inlineStr">
        <is>
          <t>A 54659-2023</t>
        </is>
      </c>
      <c r="B778" s="1" t="n">
        <v>45235</v>
      </c>
      <c r="C778" s="1" t="n">
        <v>45890</v>
      </c>
      <c r="D778" t="inlineStr">
        <is>
          <t>SKÅNE LÄN</t>
        </is>
      </c>
      <c r="E778" t="inlineStr">
        <is>
          <t>HÄSSLEHOLM</t>
        </is>
      </c>
      <c r="G778" t="n">
        <v>5</v>
      </c>
      <c r="H778" t="n">
        <v>0</v>
      </c>
      <c r="I778" t="n">
        <v>0</v>
      </c>
      <c r="J778" t="n">
        <v>0</v>
      </c>
      <c r="K778" t="n">
        <v>0</v>
      </c>
      <c r="L778" t="n">
        <v>0</v>
      </c>
      <c r="M778" t="n">
        <v>0</v>
      </c>
      <c r="N778" t="n">
        <v>0</v>
      </c>
      <c r="O778" t="n">
        <v>0</v>
      </c>
      <c r="P778" t="n">
        <v>0</v>
      </c>
      <c r="Q778" t="n">
        <v>0</v>
      </c>
      <c r="R778" s="2" t="inlineStr"/>
    </row>
    <row r="779" ht="15" customHeight="1">
      <c r="A779" t="inlineStr">
        <is>
          <t>A 49824-2024</t>
        </is>
      </c>
      <c r="B779" s="1" t="n">
        <v>45597</v>
      </c>
      <c r="C779" s="1" t="n">
        <v>45890</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21328-2023</t>
        </is>
      </c>
      <c r="B780" s="1" t="n">
        <v>45062</v>
      </c>
      <c r="C780" s="1" t="n">
        <v>45890</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3925-2021</t>
        </is>
      </c>
      <c r="B781" s="1" t="n">
        <v>44222</v>
      </c>
      <c r="C781" s="1" t="n">
        <v>45890</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15036-2024</t>
        </is>
      </c>
      <c r="B782" s="1" t="n">
        <v>45399.48100694444</v>
      </c>
      <c r="C782" s="1" t="n">
        <v>45890</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12570-2023</t>
        </is>
      </c>
      <c r="B783" s="1" t="n">
        <v>44999</v>
      </c>
      <c r="C783" s="1" t="n">
        <v>45890</v>
      </c>
      <c r="D783" t="inlineStr">
        <is>
          <t>SKÅNE LÄN</t>
        </is>
      </c>
      <c r="E783" t="inlineStr">
        <is>
          <t>HÄSSLEHOLM</t>
        </is>
      </c>
      <c r="G783" t="n">
        <v>3.4</v>
      </c>
      <c r="H783" t="n">
        <v>0</v>
      </c>
      <c r="I783" t="n">
        <v>0</v>
      </c>
      <c r="J783" t="n">
        <v>0</v>
      </c>
      <c r="K783" t="n">
        <v>0</v>
      </c>
      <c r="L783" t="n">
        <v>0</v>
      </c>
      <c r="M783" t="n">
        <v>0</v>
      </c>
      <c r="N783" t="n">
        <v>0</v>
      </c>
      <c r="O783" t="n">
        <v>0</v>
      </c>
      <c r="P783" t="n">
        <v>0</v>
      </c>
      <c r="Q783" t="n">
        <v>0</v>
      </c>
      <c r="R783" s="2" t="inlineStr"/>
    </row>
    <row r="784" ht="15" customHeight="1">
      <c r="A784" t="inlineStr">
        <is>
          <t>A 20435-2021</t>
        </is>
      </c>
      <c r="B784" s="1" t="n">
        <v>44315.5793287037</v>
      </c>
      <c r="C784" s="1" t="n">
        <v>45890</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25219-2023</t>
        </is>
      </c>
      <c r="B785" s="1" t="n">
        <v>45086.60541666667</v>
      </c>
      <c r="C785" s="1" t="n">
        <v>45890</v>
      </c>
      <c r="D785" t="inlineStr">
        <is>
          <t>SKÅNE LÄN</t>
        </is>
      </c>
      <c r="E785" t="inlineStr">
        <is>
          <t>HÄSSLEHOLM</t>
        </is>
      </c>
      <c r="G785" t="n">
        <v>6.9</v>
      </c>
      <c r="H785" t="n">
        <v>0</v>
      </c>
      <c r="I785" t="n">
        <v>0</v>
      </c>
      <c r="J785" t="n">
        <v>0</v>
      </c>
      <c r="K785" t="n">
        <v>0</v>
      </c>
      <c r="L785" t="n">
        <v>0</v>
      </c>
      <c r="M785" t="n">
        <v>0</v>
      </c>
      <c r="N785" t="n">
        <v>0</v>
      </c>
      <c r="O785" t="n">
        <v>0</v>
      </c>
      <c r="P785" t="n">
        <v>0</v>
      </c>
      <c r="Q785" t="n">
        <v>0</v>
      </c>
      <c r="R785" s="2" t="inlineStr"/>
    </row>
    <row r="786" ht="15" customHeight="1">
      <c r="A786" t="inlineStr">
        <is>
          <t>A 16121-2025</t>
        </is>
      </c>
      <c r="B786" s="1" t="n">
        <v>45750.40384259259</v>
      </c>
      <c r="C786" s="1" t="n">
        <v>45890</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7306-2025</t>
        </is>
      </c>
      <c r="B787" s="1" t="n">
        <v>45702</v>
      </c>
      <c r="C787" s="1" t="n">
        <v>45890</v>
      </c>
      <c r="D787" t="inlineStr">
        <is>
          <t>SKÅNE LÄN</t>
        </is>
      </c>
      <c r="E787" t="inlineStr">
        <is>
          <t>HÄSSLEHOLM</t>
        </is>
      </c>
      <c r="F787" t="inlineStr">
        <is>
          <t>Övriga Aktiebolag</t>
        </is>
      </c>
      <c r="G787" t="n">
        <v>3.3</v>
      </c>
      <c r="H787" t="n">
        <v>0</v>
      </c>
      <c r="I787" t="n">
        <v>0</v>
      </c>
      <c r="J787" t="n">
        <v>0</v>
      </c>
      <c r="K787" t="n">
        <v>0</v>
      </c>
      <c r="L787" t="n">
        <v>0</v>
      </c>
      <c r="M787" t="n">
        <v>0</v>
      </c>
      <c r="N787" t="n">
        <v>0</v>
      </c>
      <c r="O787" t="n">
        <v>0</v>
      </c>
      <c r="P787" t="n">
        <v>0</v>
      </c>
      <c r="Q787" t="n">
        <v>0</v>
      </c>
      <c r="R787" s="2" t="inlineStr"/>
    </row>
    <row r="788" ht="15" customHeight="1">
      <c r="A788" t="inlineStr">
        <is>
          <t>A 7308-2025</t>
        </is>
      </c>
      <c r="B788" s="1" t="n">
        <v>45702</v>
      </c>
      <c r="C788" s="1" t="n">
        <v>45890</v>
      </c>
      <c r="D788" t="inlineStr">
        <is>
          <t>SKÅNE LÄN</t>
        </is>
      </c>
      <c r="E788" t="inlineStr">
        <is>
          <t>HÄSSLEHOLM</t>
        </is>
      </c>
      <c r="F788" t="inlineStr">
        <is>
          <t>Övriga Aktiebolag</t>
        </is>
      </c>
      <c r="G788" t="n">
        <v>4.8</v>
      </c>
      <c r="H788" t="n">
        <v>0</v>
      </c>
      <c r="I788" t="n">
        <v>0</v>
      </c>
      <c r="J788" t="n">
        <v>0</v>
      </c>
      <c r="K788" t="n">
        <v>0</v>
      </c>
      <c r="L788" t="n">
        <v>0</v>
      </c>
      <c r="M788" t="n">
        <v>0</v>
      </c>
      <c r="N788" t="n">
        <v>0</v>
      </c>
      <c r="O788" t="n">
        <v>0</v>
      </c>
      <c r="P788" t="n">
        <v>0</v>
      </c>
      <c r="Q788" t="n">
        <v>0</v>
      </c>
      <c r="R788" s="2" t="inlineStr"/>
    </row>
    <row r="789" ht="15" customHeight="1">
      <c r="A789" t="inlineStr">
        <is>
          <t>A 7309-2025</t>
        </is>
      </c>
      <c r="B789" s="1" t="n">
        <v>45702</v>
      </c>
      <c r="C789" s="1" t="n">
        <v>45890</v>
      </c>
      <c r="D789" t="inlineStr">
        <is>
          <t>SKÅNE LÄN</t>
        </is>
      </c>
      <c r="E789" t="inlineStr">
        <is>
          <t>HÄSSLEHOLM</t>
        </is>
      </c>
      <c r="F789" t="inlineStr">
        <is>
          <t>Övriga Aktiebolag</t>
        </is>
      </c>
      <c r="G789" t="n">
        <v>0.6</v>
      </c>
      <c r="H789" t="n">
        <v>0</v>
      </c>
      <c r="I789" t="n">
        <v>0</v>
      </c>
      <c r="J789" t="n">
        <v>0</v>
      </c>
      <c r="K789" t="n">
        <v>0</v>
      </c>
      <c r="L789" t="n">
        <v>0</v>
      </c>
      <c r="M789" t="n">
        <v>0</v>
      </c>
      <c r="N789" t="n">
        <v>0</v>
      </c>
      <c r="O789" t="n">
        <v>0</v>
      </c>
      <c r="P789" t="n">
        <v>0</v>
      </c>
      <c r="Q789" t="n">
        <v>0</v>
      </c>
      <c r="R789" s="2" t="inlineStr"/>
    </row>
    <row r="790" ht="15" customHeight="1">
      <c r="A790" t="inlineStr">
        <is>
          <t>A 58250-2024</t>
        </is>
      </c>
      <c r="B790" s="1" t="n">
        <v>45632.55643518519</v>
      </c>
      <c r="C790" s="1" t="n">
        <v>45890</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54671-2022</t>
        </is>
      </c>
      <c r="B791" s="1" t="n">
        <v>44883</v>
      </c>
      <c r="C791" s="1" t="n">
        <v>45890</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9709-2023</t>
        </is>
      </c>
      <c r="B792" s="1" t="n">
        <v>44984.48376157408</v>
      </c>
      <c r="C792" s="1" t="n">
        <v>45890</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40739-2024</t>
        </is>
      </c>
      <c r="B793" s="1" t="n">
        <v>45558</v>
      </c>
      <c r="C793" s="1" t="n">
        <v>45890</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9615-2025</t>
        </is>
      </c>
      <c r="B794" s="1" t="n">
        <v>45715</v>
      </c>
      <c r="C794" s="1" t="n">
        <v>45890</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34869-2025</t>
        </is>
      </c>
      <c r="B795" s="1" t="n">
        <v>45849</v>
      </c>
      <c r="C795" s="1" t="n">
        <v>45890</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8524-2024</t>
        </is>
      </c>
      <c r="B796" s="1" t="n">
        <v>45355.48570601852</v>
      </c>
      <c r="C796" s="1" t="n">
        <v>45890</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38358-2024</t>
        </is>
      </c>
      <c r="B797" s="1" t="n">
        <v>45545.79068287037</v>
      </c>
      <c r="C797" s="1" t="n">
        <v>45890</v>
      </c>
      <c r="D797" t="inlineStr">
        <is>
          <t>SKÅNE LÄN</t>
        </is>
      </c>
      <c r="E797" t="inlineStr">
        <is>
          <t>HÄSSLEHOLM</t>
        </is>
      </c>
      <c r="G797" t="n">
        <v>9</v>
      </c>
      <c r="H797" t="n">
        <v>0</v>
      </c>
      <c r="I797" t="n">
        <v>0</v>
      </c>
      <c r="J797" t="n">
        <v>0</v>
      </c>
      <c r="K797" t="n">
        <v>0</v>
      </c>
      <c r="L797" t="n">
        <v>0</v>
      </c>
      <c r="M797" t="n">
        <v>0</v>
      </c>
      <c r="N797" t="n">
        <v>0</v>
      </c>
      <c r="O797" t="n">
        <v>0</v>
      </c>
      <c r="P797" t="n">
        <v>0</v>
      </c>
      <c r="Q797" t="n">
        <v>0</v>
      </c>
      <c r="R797" s="2" t="inlineStr"/>
    </row>
    <row r="798" ht="15" customHeight="1">
      <c r="A798" t="inlineStr">
        <is>
          <t>A 13932-2023</t>
        </is>
      </c>
      <c r="B798" s="1" t="n">
        <v>45008.43935185186</v>
      </c>
      <c r="C798" s="1" t="n">
        <v>45890</v>
      </c>
      <c r="D798" t="inlineStr">
        <is>
          <t>SKÅNE LÄN</t>
        </is>
      </c>
      <c r="E798" t="inlineStr">
        <is>
          <t>HÄSSLEHOLM</t>
        </is>
      </c>
      <c r="G798" t="n">
        <v>3.3</v>
      </c>
      <c r="H798" t="n">
        <v>0</v>
      </c>
      <c r="I798" t="n">
        <v>0</v>
      </c>
      <c r="J798" t="n">
        <v>0</v>
      </c>
      <c r="K798" t="n">
        <v>0</v>
      </c>
      <c r="L798" t="n">
        <v>0</v>
      </c>
      <c r="M798" t="n">
        <v>0</v>
      </c>
      <c r="N798" t="n">
        <v>0</v>
      </c>
      <c r="O798" t="n">
        <v>0</v>
      </c>
      <c r="P798" t="n">
        <v>0</v>
      </c>
      <c r="Q798" t="n">
        <v>0</v>
      </c>
      <c r="R798" s="2" t="inlineStr"/>
    </row>
    <row r="799" ht="15" customHeight="1">
      <c r="A799" t="inlineStr">
        <is>
          <t>A 35889-2023</t>
        </is>
      </c>
      <c r="B799" s="1" t="n">
        <v>45148</v>
      </c>
      <c r="C799" s="1" t="n">
        <v>45890</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35894-2023</t>
        </is>
      </c>
      <c r="B800" s="1" t="n">
        <v>45148</v>
      </c>
      <c r="C800" s="1" t="n">
        <v>45890</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23987-2024</t>
        </is>
      </c>
      <c r="B801" s="1" t="n">
        <v>45456</v>
      </c>
      <c r="C801" s="1" t="n">
        <v>45890</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4042-2023</t>
        </is>
      </c>
      <c r="B802" s="1" t="n">
        <v>44952.59950231481</v>
      </c>
      <c r="C802" s="1" t="n">
        <v>45890</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45299-2024</t>
        </is>
      </c>
      <c r="B803" s="1" t="n">
        <v>45576.40599537037</v>
      </c>
      <c r="C803" s="1" t="n">
        <v>45890</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27393-2025</t>
        </is>
      </c>
      <c r="B804" s="1" t="n">
        <v>45812.68295138889</v>
      </c>
      <c r="C804" s="1" t="n">
        <v>45890</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25176-2024</t>
        </is>
      </c>
      <c r="B805" s="1" t="n">
        <v>45462.54582175926</v>
      </c>
      <c r="C805" s="1" t="n">
        <v>45890</v>
      </c>
      <c r="D805" t="inlineStr">
        <is>
          <t>SKÅNE LÄN</t>
        </is>
      </c>
      <c r="E805" t="inlineStr">
        <is>
          <t>HÄSSLEHOLM</t>
        </is>
      </c>
      <c r="G805" t="n">
        <v>3.8</v>
      </c>
      <c r="H805" t="n">
        <v>0</v>
      </c>
      <c r="I805" t="n">
        <v>0</v>
      </c>
      <c r="J805" t="n">
        <v>0</v>
      </c>
      <c r="K805" t="n">
        <v>0</v>
      </c>
      <c r="L805" t="n">
        <v>0</v>
      </c>
      <c r="M805" t="n">
        <v>0</v>
      </c>
      <c r="N805" t="n">
        <v>0</v>
      </c>
      <c r="O805" t="n">
        <v>0</v>
      </c>
      <c r="P805" t="n">
        <v>0</v>
      </c>
      <c r="Q805" t="n">
        <v>0</v>
      </c>
      <c r="R805" s="2" t="inlineStr"/>
    </row>
    <row r="806" ht="15" customHeight="1">
      <c r="A806" t="inlineStr">
        <is>
          <t>A 7771-2021</t>
        </is>
      </c>
      <c r="B806" s="1" t="n">
        <v>44242</v>
      </c>
      <c r="C806" s="1" t="n">
        <v>45890</v>
      </c>
      <c r="D806" t="inlineStr">
        <is>
          <t>SKÅNE LÄN</t>
        </is>
      </c>
      <c r="E806" t="inlineStr">
        <is>
          <t>HÄSSLEHOLM</t>
        </is>
      </c>
      <c r="G806" t="n">
        <v>4.2</v>
      </c>
      <c r="H806" t="n">
        <v>0</v>
      </c>
      <c r="I806" t="n">
        <v>0</v>
      </c>
      <c r="J806" t="n">
        <v>0</v>
      </c>
      <c r="K806" t="n">
        <v>0</v>
      </c>
      <c r="L806" t="n">
        <v>0</v>
      </c>
      <c r="M806" t="n">
        <v>0</v>
      </c>
      <c r="N806" t="n">
        <v>0</v>
      </c>
      <c r="O806" t="n">
        <v>0</v>
      </c>
      <c r="P806" t="n">
        <v>0</v>
      </c>
      <c r="Q806" t="n">
        <v>0</v>
      </c>
      <c r="R806" s="2" t="inlineStr"/>
    </row>
    <row r="807" ht="15" customHeight="1">
      <c r="A807" t="inlineStr">
        <is>
          <t>A 16368-2025</t>
        </is>
      </c>
      <c r="B807" s="1" t="n">
        <v>45751</v>
      </c>
      <c r="C807" s="1" t="n">
        <v>45890</v>
      </c>
      <c r="D807" t="inlineStr">
        <is>
          <t>SKÅNE LÄN</t>
        </is>
      </c>
      <c r="E807" t="inlineStr">
        <is>
          <t>HÄSSLEHOLM</t>
        </is>
      </c>
      <c r="G807" t="n">
        <v>5</v>
      </c>
      <c r="H807" t="n">
        <v>0</v>
      </c>
      <c r="I807" t="n">
        <v>0</v>
      </c>
      <c r="J807" t="n">
        <v>0</v>
      </c>
      <c r="K807" t="n">
        <v>0</v>
      </c>
      <c r="L807" t="n">
        <v>0</v>
      </c>
      <c r="M807" t="n">
        <v>0</v>
      </c>
      <c r="N807" t="n">
        <v>0</v>
      </c>
      <c r="O807" t="n">
        <v>0</v>
      </c>
      <c r="P807" t="n">
        <v>0</v>
      </c>
      <c r="Q807" t="n">
        <v>0</v>
      </c>
      <c r="R807" s="2" t="inlineStr"/>
    </row>
    <row r="808" ht="15" customHeight="1">
      <c r="A808" t="inlineStr">
        <is>
          <t>A 27349-2025</t>
        </is>
      </c>
      <c r="B808" s="1" t="n">
        <v>45812</v>
      </c>
      <c r="C808" s="1" t="n">
        <v>45890</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44741-2023</t>
        </is>
      </c>
      <c r="B809" s="1" t="n">
        <v>45190.38804398148</v>
      </c>
      <c r="C809" s="1" t="n">
        <v>45890</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7476-2025</t>
        </is>
      </c>
      <c r="B810" s="1" t="n">
        <v>45702</v>
      </c>
      <c r="C810" s="1" t="n">
        <v>45890</v>
      </c>
      <c r="D810" t="inlineStr">
        <is>
          <t>SKÅNE LÄN</t>
        </is>
      </c>
      <c r="E810" t="inlineStr">
        <is>
          <t>HÄSSLEHOLM</t>
        </is>
      </c>
      <c r="F810" t="inlineStr">
        <is>
          <t>Övriga Aktiebolag</t>
        </is>
      </c>
      <c r="G810" t="n">
        <v>2.1</v>
      </c>
      <c r="H810" t="n">
        <v>0</v>
      </c>
      <c r="I810" t="n">
        <v>0</v>
      </c>
      <c r="J810" t="n">
        <v>0</v>
      </c>
      <c r="K810" t="n">
        <v>0</v>
      </c>
      <c r="L810" t="n">
        <v>0</v>
      </c>
      <c r="M810" t="n">
        <v>0</v>
      </c>
      <c r="N810" t="n">
        <v>0</v>
      </c>
      <c r="O810" t="n">
        <v>0</v>
      </c>
      <c r="P810" t="n">
        <v>0</v>
      </c>
      <c r="Q810" t="n">
        <v>0</v>
      </c>
      <c r="R810" s="2" t="inlineStr"/>
    </row>
    <row r="811" ht="15" customHeight="1">
      <c r="A811" t="inlineStr">
        <is>
          <t>A 7513-2025</t>
        </is>
      </c>
      <c r="B811" s="1" t="n">
        <v>45702</v>
      </c>
      <c r="C811" s="1" t="n">
        <v>45890</v>
      </c>
      <c r="D811" t="inlineStr">
        <is>
          <t>SKÅNE LÄN</t>
        </is>
      </c>
      <c r="E811" t="inlineStr">
        <is>
          <t>HÄSSLEHOLM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31160-2024</t>
        </is>
      </c>
      <c r="B812" s="1" t="n">
        <v>45503</v>
      </c>
      <c r="C812" s="1" t="n">
        <v>45890</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31161-2024</t>
        </is>
      </c>
      <c r="B813" s="1" t="n">
        <v>45503</v>
      </c>
      <c r="C813" s="1" t="n">
        <v>45890</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5054-2022</t>
        </is>
      </c>
      <c r="B814" s="1" t="n">
        <v>44593.69065972222</v>
      </c>
      <c r="C814" s="1" t="n">
        <v>45890</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35259-2025</t>
        </is>
      </c>
      <c r="B815" s="1" t="n">
        <v>45853.76912037037</v>
      </c>
      <c r="C815" s="1" t="n">
        <v>45890</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22157-2024</t>
        </is>
      </c>
      <c r="B816" s="1" t="n">
        <v>45445.85290509259</v>
      </c>
      <c r="C816" s="1" t="n">
        <v>45890</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31391-2023</t>
        </is>
      </c>
      <c r="B817" s="1" t="n">
        <v>45114.56143518518</v>
      </c>
      <c r="C817" s="1" t="n">
        <v>45890</v>
      </c>
      <c r="D817" t="inlineStr">
        <is>
          <t>SKÅNE LÄN</t>
        </is>
      </c>
      <c r="E817" t="inlineStr">
        <is>
          <t>HÄSSLEHOLM</t>
        </is>
      </c>
      <c r="G817" t="n">
        <v>3.1</v>
      </c>
      <c r="H817" t="n">
        <v>0</v>
      </c>
      <c r="I817" t="n">
        <v>0</v>
      </c>
      <c r="J817" t="n">
        <v>0</v>
      </c>
      <c r="K817" t="n">
        <v>0</v>
      </c>
      <c r="L817" t="n">
        <v>0</v>
      </c>
      <c r="M817" t="n">
        <v>0</v>
      </c>
      <c r="N817" t="n">
        <v>0</v>
      </c>
      <c r="O817" t="n">
        <v>0</v>
      </c>
      <c r="P817" t="n">
        <v>0</v>
      </c>
      <c r="Q817" t="n">
        <v>0</v>
      </c>
      <c r="R817" s="2" t="inlineStr"/>
    </row>
    <row r="818" ht="15" customHeight="1">
      <c r="A818" t="inlineStr">
        <is>
          <t>A 13316-2023</t>
        </is>
      </c>
      <c r="B818" s="1" t="n">
        <v>45005.39013888889</v>
      </c>
      <c r="C818" s="1" t="n">
        <v>45890</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13358-2023</t>
        </is>
      </c>
      <c r="B819" s="1" t="n">
        <v>45005</v>
      </c>
      <c r="C819" s="1" t="n">
        <v>45890</v>
      </c>
      <c r="D819" t="inlineStr">
        <is>
          <t>SKÅNE LÄN</t>
        </is>
      </c>
      <c r="E819" t="inlineStr">
        <is>
          <t>HÄSSLEHOLM</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23723-2023</t>
        </is>
      </c>
      <c r="B820" s="1" t="n">
        <v>45077</v>
      </c>
      <c r="C820" s="1" t="n">
        <v>45890</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3245-2022</t>
        </is>
      </c>
      <c r="B821" s="1" t="n">
        <v>44583.39136574074</v>
      </c>
      <c r="C821" s="1" t="n">
        <v>45890</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31933-2024</t>
        </is>
      </c>
      <c r="B822" s="1" t="n">
        <v>45510.41123842593</v>
      </c>
      <c r="C822" s="1" t="n">
        <v>45890</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31581-2023</t>
        </is>
      </c>
      <c r="B823" s="1" t="n">
        <v>45117.45165509259</v>
      </c>
      <c r="C823" s="1" t="n">
        <v>45890</v>
      </c>
      <c r="D823" t="inlineStr">
        <is>
          <t>SKÅNE LÄN</t>
        </is>
      </c>
      <c r="E823" t="inlineStr">
        <is>
          <t>HÄSSLEHOLM</t>
        </is>
      </c>
      <c r="G823" t="n">
        <v>1.7</v>
      </c>
      <c r="H823" t="n">
        <v>0</v>
      </c>
      <c r="I823" t="n">
        <v>0</v>
      </c>
      <c r="J823" t="n">
        <v>0</v>
      </c>
      <c r="K823" t="n">
        <v>0</v>
      </c>
      <c r="L823" t="n">
        <v>0</v>
      </c>
      <c r="M823" t="n">
        <v>0</v>
      </c>
      <c r="N823" t="n">
        <v>0</v>
      </c>
      <c r="O823" t="n">
        <v>0</v>
      </c>
      <c r="P823" t="n">
        <v>0</v>
      </c>
      <c r="Q823" t="n">
        <v>0</v>
      </c>
      <c r="R823" s="2" t="inlineStr"/>
    </row>
    <row r="824" ht="15" customHeight="1">
      <c r="A824" t="inlineStr">
        <is>
          <t>A 28240-2025</t>
        </is>
      </c>
      <c r="B824" s="1" t="n">
        <v>45817</v>
      </c>
      <c r="C824" s="1" t="n">
        <v>45890</v>
      </c>
      <c r="D824" t="inlineStr">
        <is>
          <t>SKÅNE LÄN</t>
        </is>
      </c>
      <c r="E824" t="inlineStr">
        <is>
          <t>HÄSSLEHOLM</t>
        </is>
      </c>
      <c r="G824" t="n">
        <v>7.7</v>
      </c>
      <c r="H824" t="n">
        <v>0</v>
      </c>
      <c r="I824" t="n">
        <v>0</v>
      </c>
      <c r="J824" t="n">
        <v>0</v>
      </c>
      <c r="K824" t="n">
        <v>0</v>
      </c>
      <c r="L824" t="n">
        <v>0</v>
      </c>
      <c r="M824" t="n">
        <v>0</v>
      </c>
      <c r="N824" t="n">
        <v>0</v>
      </c>
      <c r="O824" t="n">
        <v>0</v>
      </c>
      <c r="P824" t="n">
        <v>0</v>
      </c>
      <c r="Q824" t="n">
        <v>0</v>
      </c>
      <c r="R824" s="2" t="inlineStr"/>
    </row>
    <row r="825" ht="15" customHeight="1">
      <c r="A825" t="inlineStr">
        <is>
          <t>A 38228-2021</t>
        </is>
      </c>
      <c r="B825" s="1" t="n">
        <v>44405</v>
      </c>
      <c r="C825" s="1" t="n">
        <v>45890</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27940-2025</t>
        </is>
      </c>
      <c r="B826" s="1" t="n">
        <v>45817.50439814815</v>
      </c>
      <c r="C826" s="1" t="n">
        <v>45890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27934-2025</t>
        </is>
      </c>
      <c r="B827" s="1" t="n">
        <v>45817.49761574074</v>
      </c>
      <c r="C827" s="1" t="n">
        <v>45890</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55303-2024</t>
        </is>
      </c>
      <c r="B828" s="1" t="n">
        <v>45621.6434837963</v>
      </c>
      <c r="C828" s="1" t="n">
        <v>45890</v>
      </c>
      <c r="D828" t="inlineStr">
        <is>
          <t>SKÅNE LÄN</t>
        </is>
      </c>
      <c r="E828" t="inlineStr">
        <is>
          <t>HÄSSLEHOLM</t>
        </is>
      </c>
      <c r="G828" t="n">
        <v>3.3</v>
      </c>
      <c r="H828" t="n">
        <v>0</v>
      </c>
      <c r="I828" t="n">
        <v>0</v>
      </c>
      <c r="J828" t="n">
        <v>0</v>
      </c>
      <c r="K828" t="n">
        <v>0</v>
      </c>
      <c r="L828" t="n">
        <v>0</v>
      </c>
      <c r="M828" t="n">
        <v>0</v>
      </c>
      <c r="N828" t="n">
        <v>0</v>
      </c>
      <c r="O828" t="n">
        <v>0</v>
      </c>
      <c r="P828" t="n">
        <v>0</v>
      </c>
      <c r="Q828" t="n">
        <v>0</v>
      </c>
      <c r="R828" s="2" t="inlineStr"/>
    </row>
    <row r="829" ht="15" customHeight="1">
      <c r="A829" t="inlineStr">
        <is>
          <t>A 3248-2022</t>
        </is>
      </c>
      <c r="B829" s="1" t="n">
        <v>44583</v>
      </c>
      <c r="C829" s="1" t="n">
        <v>45890</v>
      </c>
      <c r="D829" t="inlineStr">
        <is>
          <t>SKÅNE LÄN</t>
        </is>
      </c>
      <c r="E829" t="inlineStr">
        <is>
          <t>HÄSSLEHOLM</t>
        </is>
      </c>
      <c r="G829" t="n">
        <v>3</v>
      </c>
      <c r="H829" t="n">
        <v>0</v>
      </c>
      <c r="I829" t="n">
        <v>0</v>
      </c>
      <c r="J829" t="n">
        <v>0</v>
      </c>
      <c r="K829" t="n">
        <v>0</v>
      </c>
      <c r="L829" t="n">
        <v>0</v>
      </c>
      <c r="M829" t="n">
        <v>0</v>
      </c>
      <c r="N829" t="n">
        <v>0</v>
      </c>
      <c r="O829" t="n">
        <v>0</v>
      </c>
      <c r="P829" t="n">
        <v>0</v>
      </c>
      <c r="Q829" t="n">
        <v>0</v>
      </c>
      <c r="R829" s="2" t="inlineStr"/>
    </row>
    <row r="830" ht="15" customHeight="1">
      <c r="A830" t="inlineStr">
        <is>
          <t>A 25538-2024</t>
        </is>
      </c>
      <c r="B830" s="1" t="n">
        <v>45463</v>
      </c>
      <c r="C830" s="1" t="n">
        <v>45890</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28251-2025</t>
        </is>
      </c>
      <c r="B831" s="1" t="n">
        <v>45817</v>
      </c>
      <c r="C831" s="1" t="n">
        <v>45890</v>
      </c>
      <c r="D831" t="inlineStr">
        <is>
          <t>SKÅNE LÄN</t>
        </is>
      </c>
      <c r="E831" t="inlineStr">
        <is>
          <t>HÄSSLEHOLM</t>
        </is>
      </c>
      <c r="G831" t="n">
        <v>7.2</v>
      </c>
      <c r="H831" t="n">
        <v>0</v>
      </c>
      <c r="I831" t="n">
        <v>0</v>
      </c>
      <c r="J831" t="n">
        <v>0</v>
      </c>
      <c r="K831" t="n">
        <v>0</v>
      </c>
      <c r="L831" t="n">
        <v>0</v>
      </c>
      <c r="M831" t="n">
        <v>0</v>
      </c>
      <c r="N831" t="n">
        <v>0</v>
      </c>
      <c r="O831" t="n">
        <v>0</v>
      </c>
      <c r="P831" t="n">
        <v>0</v>
      </c>
      <c r="Q831" t="n">
        <v>0</v>
      </c>
      <c r="R831" s="2" t="inlineStr"/>
    </row>
    <row r="832" ht="15" customHeight="1">
      <c r="A832" t="inlineStr">
        <is>
          <t>A 28122-2025</t>
        </is>
      </c>
      <c r="B832" s="1" t="n">
        <v>45817</v>
      </c>
      <c r="C832" s="1" t="n">
        <v>45890</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40202-2022</t>
        </is>
      </c>
      <c r="B833" s="1" t="n">
        <v>44820.60614583334</v>
      </c>
      <c r="C833" s="1" t="n">
        <v>45890</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27887-2025</t>
        </is>
      </c>
      <c r="B834" s="1" t="n">
        <v>45817.45994212963</v>
      </c>
      <c r="C834" s="1" t="n">
        <v>45890</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36733-2023</t>
        </is>
      </c>
      <c r="B835" s="1" t="n">
        <v>45153.69989583334</v>
      </c>
      <c r="C835" s="1" t="n">
        <v>45890</v>
      </c>
      <c r="D835" t="inlineStr">
        <is>
          <t>SKÅNE LÄN</t>
        </is>
      </c>
      <c r="E835" t="inlineStr">
        <is>
          <t>HÄSSLEHOLM</t>
        </is>
      </c>
      <c r="G835" t="n">
        <v>4.8</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44955.61152777778</v>
      </c>
      <c r="C836" s="1" t="n">
        <v>45890</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60509-2023</t>
        </is>
      </c>
      <c r="B837" s="1" t="n">
        <v>45259</v>
      </c>
      <c r="C837" s="1" t="n">
        <v>45890</v>
      </c>
      <c r="D837" t="inlineStr">
        <is>
          <t>SKÅNE LÄN</t>
        </is>
      </c>
      <c r="E837" t="inlineStr">
        <is>
          <t>HÄSSLEHOLM</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1562-2023</t>
        </is>
      </c>
      <c r="B838" s="1" t="n">
        <v>44937.60450231482</v>
      </c>
      <c r="C838" s="1" t="n">
        <v>45890</v>
      </c>
      <c r="D838" t="inlineStr">
        <is>
          <t>SKÅNE LÄN</t>
        </is>
      </c>
      <c r="E838" t="inlineStr">
        <is>
          <t>HÄSSLEHOLM</t>
        </is>
      </c>
      <c r="G838" t="n">
        <v>2.7</v>
      </c>
      <c r="H838" t="n">
        <v>0</v>
      </c>
      <c r="I838" t="n">
        <v>0</v>
      </c>
      <c r="J838" t="n">
        <v>0</v>
      </c>
      <c r="K838" t="n">
        <v>0</v>
      </c>
      <c r="L838" t="n">
        <v>0</v>
      </c>
      <c r="M838" t="n">
        <v>0</v>
      </c>
      <c r="N838" t="n">
        <v>0</v>
      </c>
      <c r="O838" t="n">
        <v>0</v>
      </c>
      <c r="P838" t="n">
        <v>0</v>
      </c>
      <c r="Q838" t="n">
        <v>0</v>
      </c>
      <c r="R838" s="2" t="inlineStr"/>
    </row>
    <row r="839" ht="15" customHeight="1">
      <c r="A839" t="inlineStr">
        <is>
          <t>A 45220-2023</t>
        </is>
      </c>
      <c r="B839" s="1" t="n">
        <v>45191</v>
      </c>
      <c r="C839" s="1" t="n">
        <v>45890</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32967-2023</t>
        </is>
      </c>
      <c r="B840" s="1" t="n">
        <v>45125</v>
      </c>
      <c r="C840" s="1" t="n">
        <v>45890</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32968-2023</t>
        </is>
      </c>
      <c r="B841" s="1" t="n">
        <v>45125</v>
      </c>
      <c r="C841" s="1" t="n">
        <v>45890</v>
      </c>
      <c r="D841" t="inlineStr">
        <is>
          <t>SKÅNE LÄN</t>
        </is>
      </c>
      <c r="E841" t="inlineStr">
        <is>
          <t>HÄSSLEHOLM</t>
        </is>
      </c>
      <c r="G841" t="n">
        <v>1.7</v>
      </c>
      <c r="H841" t="n">
        <v>0</v>
      </c>
      <c r="I841" t="n">
        <v>0</v>
      </c>
      <c r="J841" t="n">
        <v>0</v>
      </c>
      <c r="K841" t="n">
        <v>0</v>
      </c>
      <c r="L841" t="n">
        <v>0</v>
      </c>
      <c r="M841" t="n">
        <v>0</v>
      </c>
      <c r="N841" t="n">
        <v>0</v>
      </c>
      <c r="O841" t="n">
        <v>0</v>
      </c>
      <c r="P841" t="n">
        <v>0</v>
      </c>
      <c r="Q841" t="n">
        <v>0</v>
      </c>
      <c r="R841" s="2" t="inlineStr"/>
    </row>
    <row r="842" ht="15" customHeight="1">
      <c r="A842" t="inlineStr">
        <is>
          <t>A 10277-2023</t>
        </is>
      </c>
      <c r="B842" s="1" t="n">
        <v>44986</v>
      </c>
      <c r="C842" s="1" t="n">
        <v>45890</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10290-2023</t>
        </is>
      </c>
      <c r="B843" s="1" t="n">
        <v>44986</v>
      </c>
      <c r="C843" s="1" t="n">
        <v>45890</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52608-2023</t>
        </is>
      </c>
      <c r="B844" s="1" t="n">
        <v>45219</v>
      </c>
      <c r="C844" s="1" t="n">
        <v>45890</v>
      </c>
      <c r="D844" t="inlineStr">
        <is>
          <t>SKÅNE LÄN</t>
        </is>
      </c>
      <c r="E844" t="inlineStr">
        <is>
          <t>HÄSSLEHOLM</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28095-2025</t>
        </is>
      </c>
      <c r="B845" s="1" t="n">
        <v>45817</v>
      </c>
      <c r="C845" s="1" t="n">
        <v>45890</v>
      </c>
      <c r="D845" t="inlineStr">
        <is>
          <t>SKÅNE LÄN</t>
        </is>
      </c>
      <c r="E845" t="inlineStr">
        <is>
          <t>HÄSSLEHOLM</t>
        </is>
      </c>
      <c r="G845" t="n">
        <v>2.5</v>
      </c>
      <c r="H845" t="n">
        <v>0</v>
      </c>
      <c r="I845" t="n">
        <v>0</v>
      </c>
      <c r="J845" t="n">
        <v>0</v>
      </c>
      <c r="K845" t="n">
        <v>0</v>
      </c>
      <c r="L845" t="n">
        <v>0</v>
      </c>
      <c r="M845" t="n">
        <v>0</v>
      </c>
      <c r="N845" t="n">
        <v>0</v>
      </c>
      <c r="O845" t="n">
        <v>0</v>
      </c>
      <c r="P845" t="n">
        <v>0</v>
      </c>
      <c r="Q845" t="n">
        <v>0</v>
      </c>
      <c r="R845" s="2" t="inlineStr"/>
    </row>
    <row r="846" ht="15" customHeight="1">
      <c r="A846" t="inlineStr">
        <is>
          <t>A 27954-2022</t>
        </is>
      </c>
      <c r="B846" s="1" t="n">
        <v>44743</v>
      </c>
      <c r="C846" s="1" t="n">
        <v>45890</v>
      </c>
      <c r="D846" t="inlineStr">
        <is>
          <t>SKÅNE LÄN</t>
        </is>
      </c>
      <c r="E846" t="inlineStr">
        <is>
          <t>HÄSSLEHOLM</t>
        </is>
      </c>
      <c r="G846" t="n">
        <v>9.4</v>
      </c>
      <c r="H846" t="n">
        <v>0</v>
      </c>
      <c r="I846" t="n">
        <v>0</v>
      </c>
      <c r="J846" t="n">
        <v>0</v>
      </c>
      <c r="K846" t="n">
        <v>0</v>
      </c>
      <c r="L846" t="n">
        <v>0</v>
      </c>
      <c r="M846" t="n">
        <v>0</v>
      </c>
      <c r="N846" t="n">
        <v>0</v>
      </c>
      <c r="O846" t="n">
        <v>0</v>
      </c>
      <c r="P846" t="n">
        <v>0</v>
      </c>
      <c r="Q846" t="n">
        <v>0</v>
      </c>
      <c r="R846" s="2" t="inlineStr"/>
    </row>
    <row r="847" ht="15" customHeight="1">
      <c r="A847" t="inlineStr">
        <is>
          <t>A 20493-2024</t>
        </is>
      </c>
      <c r="B847" s="1" t="n">
        <v>45435</v>
      </c>
      <c r="C847" s="1" t="n">
        <v>45890</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35237-2023</t>
        </is>
      </c>
      <c r="B848" s="1" t="n">
        <v>45145.74532407407</v>
      </c>
      <c r="C848" s="1" t="n">
        <v>45890</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41873-2023</t>
        </is>
      </c>
      <c r="B849" s="1" t="n">
        <v>45176</v>
      </c>
      <c r="C849" s="1" t="n">
        <v>45890</v>
      </c>
      <c r="D849" t="inlineStr">
        <is>
          <t>SKÅNE LÄN</t>
        </is>
      </c>
      <c r="E849" t="inlineStr">
        <is>
          <t>HÄSSLEHOLM</t>
        </is>
      </c>
      <c r="G849" t="n">
        <v>2.8</v>
      </c>
      <c r="H849" t="n">
        <v>0</v>
      </c>
      <c r="I849" t="n">
        <v>0</v>
      </c>
      <c r="J849" t="n">
        <v>0</v>
      </c>
      <c r="K849" t="n">
        <v>0</v>
      </c>
      <c r="L849" t="n">
        <v>0</v>
      </c>
      <c r="M849" t="n">
        <v>0</v>
      </c>
      <c r="N849" t="n">
        <v>0</v>
      </c>
      <c r="O849" t="n">
        <v>0</v>
      </c>
      <c r="P849" t="n">
        <v>0</v>
      </c>
      <c r="Q849" t="n">
        <v>0</v>
      </c>
      <c r="R849" s="2" t="inlineStr"/>
    </row>
    <row r="850" ht="15" customHeight="1">
      <c r="A850" t="inlineStr">
        <is>
          <t>A 49827-2022</t>
        </is>
      </c>
      <c r="B850" s="1" t="n">
        <v>44859</v>
      </c>
      <c r="C850" s="1" t="n">
        <v>45890</v>
      </c>
      <c r="D850" t="inlineStr">
        <is>
          <t>SKÅNE LÄN</t>
        </is>
      </c>
      <c r="E850" t="inlineStr">
        <is>
          <t>HÄSSLEHOLM</t>
        </is>
      </c>
      <c r="G850" t="n">
        <v>6.1</v>
      </c>
      <c r="H850" t="n">
        <v>0</v>
      </c>
      <c r="I850" t="n">
        <v>0</v>
      </c>
      <c r="J850" t="n">
        <v>0</v>
      </c>
      <c r="K850" t="n">
        <v>0</v>
      </c>
      <c r="L850" t="n">
        <v>0</v>
      </c>
      <c r="M850" t="n">
        <v>0</v>
      </c>
      <c r="N850" t="n">
        <v>0</v>
      </c>
      <c r="O850" t="n">
        <v>0</v>
      </c>
      <c r="P850" t="n">
        <v>0</v>
      </c>
      <c r="Q850" t="n">
        <v>0</v>
      </c>
      <c r="R850" s="2" t="inlineStr"/>
    </row>
    <row r="851" ht="15" customHeight="1">
      <c r="A851" t="inlineStr">
        <is>
          <t>A 41998-2021</t>
        </is>
      </c>
      <c r="B851" s="1" t="n">
        <v>44425</v>
      </c>
      <c r="C851" s="1" t="n">
        <v>45890</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35712-2024</t>
        </is>
      </c>
      <c r="B852" s="1" t="n">
        <v>45532</v>
      </c>
      <c r="C852" s="1" t="n">
        <v>45890</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61691-2021</t>
        </is>
      </c>
      <c r="B853" s="1" t="n">
        <v>44501</v>
      </c>
      <c r="C853" s="1" t="n">
        <v>45890</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32008-2024</t>
        </is>
      </c>
      <c r="B854" s="1" t="n">
        <v>45510</v>
      </c>
      <c r="C854" s="1" t="n">
        <v>45890</v>
      </c>
      <c r="D854" t="inlineStr">
        <is>
          <t>SKÅNE LÄN</t>
        </is>
      </c>
      <c r="E854" t="inlineStr">
        <is>
          <t>HÄSSLEHOLM</t>
        </is>
      </c>
      <c r="G854" t="n">
        <v>5.1</v>
      </c>
      <c r="H854" t="n">
        <v>0</v>
      </c>
      <c r="I854" t="n">
        <v>0</v>
      </c>
      <c r="J854" t="n">
        <v>0</v>
      </c>
      <c r="K854" t="n">
        <v>0</v>
      </c>
      <c r="L854" t="n">
        <v>0</v>
      </c>
      <c r="M854" t="n">
        <v>0</v>
      </c>
      <c r="N854" t="n">
        <v>0</v>
      </c>
      <c r="O854" t="n">
        <v>0</v>
      </c>
      <c r="P854" t="n">
        <v>0</v>
      </c>
      <c r="Q854" t="n">
        <v>0</v>
      </c>
      <c r="R854" s="2" t="inlineStr"/>
    </row>
    <row r="855" ht="15" customHeight="1">
      <c r="A855" t="inlineStr">
        <is>
          <t>A 57647-2024</t>
        </is>
      </c>
      <c r="B855" s="1" t="n">
        <v>45630</v>
      </c>
      <c r="C855" s="1" t="n">
        <v>45890</v>
      </c>
      <c r="D855" t="inlineStr">
        <is>
          <t>SKÅNE LÄN</t>
        </is>
      </c>
      <c r="E855" t="inlineStr">
        <is>
          <t>HÄSSLEHOLM</t>
        </is>
      </c>
      <c r="G855" t="n">
        <v>2.9</v>
      </c>
      <c r="H855" t="n">
        <v>0</v>
      </c>
      <c r="I855" t="n">
        <v>0</v>
      </c>
      <c r="J855" t="n">
        <v>0</v>
      </c>
      <c r="K855" t="n">
        <v>0</v>
      </c>
      <c r="L855" t="n">
        <v>0</v>
      </c>
      <c r="M855" t="n">
        <v>0</v>
      </c>
      <c r="N855" t="n">
        <v>0</v>
      </c>
      <c r="O855" t="n">
        <v>0</v>
      </c>
      <c r="P855" t="n">
        <v>0</v>
      </c>
      <c r="Q855" t="n">
        <v>0</v>
      </c>
      <c r="R855" s="2" t="inlineStr"/>
    </row>
    <row r="856" ht="15" customHeight="1">
      <c r="A856" t="inlineStr">
        <is>
          <t>A 20564-2023</t>
        </is>
      </c>
      <c r="B856" s="1" t="n">
        <v>45057</v>
      </c>
      <c r="C856" s="1" t="n">
        <v>45890</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29170-2025</t>
        </is>
      </c>
      <c r="B857" s="1" t="n">
        <v>45821.69766203704</v>
      </c>
      <c r="C857" s="1" t="n">
        <v>45890</v>
      </c>
      <c r="D857" t="inlineStr">
        <is>
          <t>SKÅNE LÄN</t>
        </is>
      </c>
      <c r="E857" t="inlineStr">
        <is>
          <t>HÄSSLEHOLM</t>
        </is>
      </c>
      <c r="G857" t="n">
        <v>3.1</v>
      </c>
      <c r="H857" t="n">
        <v>0</v>
      </c>
      <c r="I857" t="n">
        <v>0</v>
      </c>
      <c r="J857" t="n">
        <v>0</v>
      </c>
      <c r="K857" t="n">
        <v>0</v>
      </c>
      <c r="L857" t="n">
        <v>0</v>
      </c>
      <c r="M857" t="n">
        <v>0</v>
      </c>
      <c r="N857" t="n">
        <v>0</v>
      </c>
      <c r="O857" t="n">
        <v>0</v>
      </c>
      <c r="P857" t="n">
        <v>0</v>
      </c>
      <c r="Q857" t="n">
        <v>0</v>
      </c>
      <c r="R857" s="2" t="inlineStr"/>
    </row>
    <row r="858" ht="15" customHeight="1">
      <c r="A858" t="inlineStr">
        <is>
          <t>A 57967-2023</t>
        </is>
      </c>
      <c r="B858" s="1" t="n">
        <v>45247.57984953704</v>
      </c>
      <c r="C858" s="1" t="n">
        <v>45890</v>
      </c>
      <c r="D858" t="inlineStr">
        <is>
          <t>SKÅNE LÄN</t>
        </is>
      </c>
      <c r="E858" t="inlineStr">
        <is>
          <t>HÄSSLEHOLM</t>
        </is>
      </c>
      <c r="G858" t="n">
        <v>8.6</v>
      </c>
      <c r="H858" t="n">
        <v>0</v>
      </c>
      <c r="I858" t="n">
        <v>0</v>
      </c>
      <c r="J858" t="n">
        <v>0</v>
      </c>
      <c r="K858" t="n">
        <v>0</v>
      </c>
      <c r="L858" t="n">
        <v>0</v>
      </c>
      <c r="M858" t="n">
        <v>0</v>
      </c>
      <c r="N858" t="n">
        <v>0</v>
      </c>
      <c r="O858" t="n">
        <v>0</v>
      </c>
      <c r="P858" t="n">
        <v>0</v>
      </c>
      <c r="Q858" t="n">
        <v>0</v>
      </c>
      <c r="R858" s="2" t="inlineStr"/>
    </row>
    <row r="859" ht="15" customHeight="1">
      <c r="A859" t="inlineStr">
        <is>
          <t>A 46641-2023</t>
        </is>
      </c>
      <c r="B859" s="1" t="n">
        <v>45198.44523148148</v>
      </c>
      <c r="C859" s="1" t="n">
        <v>45890</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8239-2025</t>
        </is>
      </c>
      <c r="B860" s="1" t="n">
        <v>45708.47984953703</v>
      </c>
      <c r="C860" s="1" t="n">
        <v>45890</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46645-2023</t>
        </is>
      </c>
      <c r="B861" s="1" t="n">
        <v>45198.44686342592</v>
      </c>
      <c r="C861" s="1" t="n">
        <v>45890</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62041-2022</t>
        </is>
      </c>
      <c r="B862" s="1" t="n">
        <v>44918.55743055556</v>
      </c>
      <c r="C862" s="1" t="n">
        <v>45890</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12468-2024</t>
        </is>
      </c>
      <c r="B863" s="1" t="n">
        <v>45379</v>
      </c>
      <c r="C863" s="1" t="n">
        <v>45890</v>
      </c>
      <c r="D863" t="inlineStr">
        <is>
          <t>SKÅNE LÄN</t>
        </is>
      </c>
      <c r="E863" t="inlineStr">
        <is>
          <t>HÄSSLEHOLM</t>
        </is>
      </c>
      <c r="G863" t="n">
        <v>15.5</v>
      </c>
      <c r="H863" t="n">
        <v>0</v>
      </c>
      <c r="I863" t="n">
        <v>0</v>
      </c>
      <c r="J863" t="n">
        <v>0</v>
      </c>
      <c r="K863" t="n">
        <v>0</v>
      </c>
      <c r="L863" t="n">
        <v>0</v>
      </c>
      <c r="M863" t="n">
        <v>0</v>
      </c>
      <c r="N863" t="n">
        <v>0</v>
      </c>
      <c r="O863" t="n">
        <v>0</v>
      </c>
      <c r="P863" t="n">
        <v>0</v>
      </c>
      <c r="Q863" t="n">
        <v>0</v>
      </c>
      <c r="R863" s="2" t="inlineStr"/>
    </row>
    <row r="864" ht="15" customHeight="1">
      <c r="A864" t="inlineStr">
        <is>
          <t>A 31986-2023</t>
        </is>
      </c>
      <c r="B864" s="1" t="n">
        <v>45119</v>
      </c>
      <c r="C864" s="1" t="n">
        <v>45890</v>
      </c>
      <c r="D864" t="inlineStr">
        <is>
          <t>SKÅNE LÄN</t>
        </is>
      </c>
      <c r="E864" t="inlineStr">
        <is>
          <t>HÄSSLEHOLM</t>
        </is>
      </c>
      <c r="G864" t="n">
        <v>1.7</v>
      </c>
      <c r="H864" t="n">
        <v>0</v>
      </c>
      <c r="I864" t="n">
        <v>0</v>
      </c>
      <c r="J864" t="n">
        <v>0</v>
      </c>
      <c r="K864" t="n">
        <v>0</v>
      </c>
      <c r="L864" t="n">
        <v>0</v>
      </c>
      <c r="M864" t="n">
        <v>0</v>
      </c>
      <c r="N864" t="n">
        <v>0</v>
      </c>
      <c r="O864" t="n">
        <v>0</v>
      </c>
      <c r="P864" t="n">
        <v>0</v>
      </c>
      <c r="Q864" t="n">
        <v>0</v>
      </c>
      <c r="R864" s="2" t="inlineStr"/>
    </row>
    <row r="865" ht="15" customHeight="1">
      <c r="A865" t="inlineStr">
        <is>
          <t>A 62044-2022</t>
        </is>
      </c>
      <c r="B865" s="1" t="n">
        <v>44918.55976851852</v>
      </c>
      <c r="C865" s="1" t="n">
        <v>45890</v>
      </c>
      <c r="D865" t="inlineStr">
        <is>
          <t>SKÅNE LÄN</t>
        </is>
      </c>
      <c r="E865" t="inlineStr">
        <is>
          <t>HÄSSLEHOLM</t>
        </is>
      </c>
      <c r="G865" t="n">
        <v>2.1</v>
      </c>
      <c r="H865" t="n">
        <v>0</v>
      </c>
      <c r="I865" t="n">
        <v>0</v>
      </c>
      <c r="J865" t="n">
        <v>0</v>
      </c>
      <c r="K865" t="n">
        <v>0</v>
      </c>
      <c r="L865" t="n">
        <v>0</v>
      </c>
      <c r="M865" t="n">
        <v>0</v>
      </c>
      <c r="N865" t="n">
        <v>0</v>
      </c>
      <c r="O865" t="n">
        <v>0</v>
      </c>
      <c r="P865" t="n">
        <v>0</v>
      </c>
      <c r="Q865" t="n">
        <v>0</v>
      </c>
      <c r="R865" s="2" t="inlineStr"/>
    </row>
    <row r="866" ht="15" customHeight="1">
      <c r="A866" t="inlineStr">
        <is>
          <t>A 29171-2025</t>
        </is>
      </c>
      <c r="B866" s="1" t="n">
        <v>45821.69863425926</v>
      </c>
      <c r="C866" s="1" t="n">
        <v>45890</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1553-2023</t>
        </is>
      </c>
      <c r="B867" s="1" t="n">
        <v>44937</v>
      </c>
      <c r="C867" s="1" t="n">
        <v>45890</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6619-2024</t>
        </is>
      </c>
      <c r="B868" s="1" t="n">
        <v>45341.6021412037</v>
      </c>
      <c r="C868" s="1" t="n">
        <v>45890</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22690-2022</t>
        </is>
      </c>
      <c r="B869" s="1" t="n">
        <v>44714.5421875</v>
      </c>
      <c r="C869" s="1" t="n">
        <v>45890</v>
      </c>
      <c r="D869" t="inlineStr">
        <is>
          <t>SKÅNE LÄN</t>
        </is>
      </c>
      <c r="E869" t="inlineStr">
        <is>
          <t>HÄSSLEHOLM</t>
        </is>
      </c>
      <c r="G869" t="n">
        <v>1.7</v>
      </c>
      <c r="H869" t="n">
        <v>0</v>
      </c>
      <c r="I869" t="n">
        <v>0</v>
      </c>
      <c r="J869" t="n">
        <v>0</v>
      </c>
      <c r="K869" t="n">
        <v>0</v>
      </c>
      <c r="L869" t="n">
        <v>0</v>
      </c>
      <c r="M869" t="n">
        <v>0</v>
      </c>
      <c r="N869" t="n">
        <v>0</v>
      </c>
      <c r="O869" t="n">
        <v>0</v>
      </c>
      <c r="P869" t="n">
        <v>0</v>
      </c>
      <c r="Q869" t="n">
        <v>0</v>
      </c>
      <c r="R869" s="2" t="inlineStr"/>
    </row>
    <row r="870" ht="15" customHeight="1">
      <c r="A870" t="inlineStr">
        <is>
          <t>A 53897-2023</t>
        </is>
      </c>
      <c r="B870" s="1" t="n">
        <v>45231.53934027778</v>
      </c>
      <c r="C870" s="1" t="n">
        <v>45890</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1170-2025</t>
        </is>
      </c>
      <c r="B871" s="1" t="n">
        <v>45667.29226851852</v>
      </c>
      <c r="C871" s="1" t="n">
        <v>45890</v>
      </c>
      <c r="D871" t="inlineStr">
        <is>
          <t>SKÅNE LÄN</t>
        </is>
      </c>
      <c r="E871" t="inlineStr">
        <is>
          <t>HÄSSLEHOLM</t>
        </is>
      </c>
      <c r="G871" t="n">
        <v>4.3</v>
      </c>
      <c r="H871" t="n">
        <v>0</v>
      </c>
      <c r="I871" t="n">
        <v>0</v>
      </c>
      <c r="J871" t="n">
        <v>0</v>
      </c>
      <c r="K871" t="n">
        <v>0</v>
      </c>
      <c r="L871" t="n">
        <v>0</v>
      </c>
      <c r="M871" t="n">
        <v>0</v>
      </c>
      <c r="N871" t="n">
        <v>0</v>
      </c>
      <c r="O871" t="n">
        <v>0</v>
      </c>
      <c r="P871" t="n">
        <v>0</v>
      </c>
      <c r="Q871" t="n">
        <v>0</v>
      </c>
      <c r="R871" s="2" t="inlineStr"/>
    </row>
    <row r="872" ht="15" customHeight="1">
      <c r="A872" t="inlineStr">
        <is>
          <t>A 29168-2025</t>
        </is>
      </c>
      <c r="B872" s="1" t="n">
        <v>45821.69547453704</v>
      </c>
      <c r="C872" s="1" t="n">
        <v>45890</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36085-2025</t>
        </is>
      </c>
      <c r="B873" s="1" t="n">
        <v>45866.46190972222</v>
      </c>
      <c r="C873" s="1" t="n">
        <v>45890</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22132-2024</t>
        </is>
      </c>
      <c r="B874" s="1" t="n">
        <v>45444.37234953704</v>
      </c>
      <c r="C874" s="1" t="n">
        <v>45890</v>
      </c>
      <c r="D874" t="inlineStr">
        <is>
          <t>SKÅNE LÄN</t>
        </is>
      </c>
      <c r="E874" t="inlineStr">
        <is>
          <t>HÄSSLEHOLM</t>
        </is>
      </c>
      <c r="G874" t="n">
        <v>3.1</v>
      </c>
      <c r="H874" t="n">
        <v>0</v>
      </c>
      <c r="I874" t="n">
        <v>0</v>
      </c>
      <c r="J874" t="n">
        <v>0</v>
      </c>
      <c r="K874" t="n">
        <v>0</v>
      </c>
      <c r="L874" t="n">
        <v>0</v>
      </c>
      <c r="M874" t="n">
        <v>0</v>
      </c>
      <c r="N874" t="n">
        <v>0</v>
      </c>
      <c r="O874" t="n">
        <v>0</v>
      </c>
      <c r="P874" t="n">
        <v>0</v>
      </c>
      <c r="Q874" t="n">
        <v>0</v>
      </c>
      <c r="R874" s="2" t="inlineStr"/>
    </row>
    <row r="875" ht="15" customHeight="1">
      <c r="A875" t="inlineStr">
        <is>
          <t>A 52341-2023</t>
        </is>
      </c>
      <c r="B875" s="1" t="n">
        <v>45224.67006944444</v>
      </c>
      <c r="C875" s="1" t="n">
        <v>45890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49389-2020</t>
        </is>
      </c>
      <c r="B876" s="1" t="n">
        <v>44105</v>
      </c>
      <c r="C876" s="1" t="n">
        <v>45890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32210-2024</t>
        </is>
      </c>
      <c r="B877" s="1" t="n">
        <v>45511.67777777778</v>
      </c>
      <c r="C877" s="1" t="n">
        <v>45890</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67974-2020</t>
        </is>
      </c>
      <c r="B878" s="1" t="n">
        <v>44182</v>
      </c>
      <c r="C878" s="1" t="n">
        <v>45890</v>
      </c>
      <c r="D878" t="inlineStr">
        <is>
          <t>SKÅNE LÄN</t>
        </is>
      </c>
      <c r="E878" t="inlineStr">
        <is>
          <t>HÄSSLEHOLM</t>
        </is>
      </c>
      <c r="G878" t="n">
        <v>9</v>
      </c>
      <c r="H878" t="n">
        <v>0</v>
      </c>
      <c r="I878" t="n">
        <v>0</v>
      </c>
      <c r="J878" t="n">
        <v>0</v>
      </c>
      <c r="K878" t="n">
        <v>0</v>
      </c>
      <c r="L878" t="n">
        <v>0</v>
      </c>
      <c r="M878" t="n">
        <v>0</v>
      </c>
      <c r="N878" t="n">
        <v>0</v>
      </c>
      <c r="O878" t="n">
        <v>0</v>
      </c>
      <c r="P878" t="n">
        <v>0</v>
      </c>
      <c r="Q878" t="n">
        <v>0</v>
      </c>
      <c r="R878" s="2" t="inlineStr"/>
    </row>
    <row r="879" ht="15" customHeight="1">
      <c r="A879" t="inlineStr">
        <is>
          <t>A 2743-2023</t>
        </is>
      </c>
      <c r="B879" s="1" t="n">
        <v>44944</v>
      </c>
      <c r="C879" s="1" t="n">
        <v>45890</v>
      </c>
      <c r="D879" t="inlineStr">
        <is>
          <t>SKÅNE LÄN</t>
        </is>
      </c>
      <c r="E879" t="inlineStr">
        <is>
          <t>HÄSSLEHOLM</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27464-2022</t>
        </is>
      </c>
      <c r="B880" s="1" t="n">
        <v>44742.58704861111</v>
      </c>
      <c r="C880" s="1" t="n">
        <v>45890</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8749-2024</t>
        </is>
      </c>
      <c r="B881" s="1" t="n">
        <v>45356.50387731481</v>
      </c>
      <c r="C881" s="1" t="n">
        <v>45890</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8752-2024</t>
        </is>
      </c>
      <c r="B882" s="1" t="n">
        <v>45356</v>
      </c>
      <c r="C882" s="1" t="n">
        <v>45890</v>
      </c>
      <c r="D882" t="inlineStr">
        <is>
          <t>SKÅNE LÄN</t>
        </is>
      </c>
      <c r="E882" t="inlineStr">
        <is>
          <t>HÄSSLEHOLM</t>
        </is>
      </c>
      <c r="G882" t="n">
        <v>3.4</v>
      </c>
      <c r="H882" t="n">
        <v>0</v>
      </c>
      <c r="I882" t="n">
        <v>0</v>
      </c>
      <c r="J882" t="n">
        <v>0</v>
      </c>
      <c r="K882" t="n">
        <v>0</v>
      </c>
      <c r="L882" t="n">
        <v>0</v>
      </c>
      <c r="M882" t="n">
        <v>0</v>
      </c>
      <c r="N882" t="n">
        <v>0</v>
      </c>
      <c r="O882" t="n">
        <v>0</v>
      </c>
      <c r="P882" t="n">
        <v>0</v>
      </c>
      <c r="Q882" t="n">
        <v>0</v>
      </c>
      <c r="R882" s="2" t="inlineStr"/>
    </row>
    <row r="883" ht="15" customHeight="1">
      <c r="A883" t="inlineStr">
        <is>
          <t>A 8759-2024</t>
        </is>
      </c>
      <c r="B883" s="1" t="n">
        <v>45356.52271990741</v>
      </c>
      <c r="C883" s="1" t="n">
        <v>45890</v>
      </c>
      <c r="D883" t="inlineStr">
        <is>
          <t>SKÅNE LÄN</t>
        </is>
      </c>
      <c r="E883" t="inlineStr">
        <is>
          <t>HÄSSLEHOLM</t>
        </is>
      </c>
      <c r="G883" t="n">
        <v>5.7</v>
      </c>
      <c r="H883" t="n">
        <v>0</v>
      </c>
      <c r="I883" t="n">
        <v>0</v>
      </c>
      <c r="J883" t="n">
        <v>0</v>
      </c>
      <c r="K883" t="n">
        <v>0</v>
      </c>
      <c r="L883" t="n">
        <v>0</v>
      </c>
      <c r="M883" t="n">
        <v>0</v>
      </c>
      <c r="N883" t="n">
        <v>0</v>
      </c>
      <c r="O883" t="n">
        <v>0</v>
      </c>
      <c r="P883" t="n">
        <v>0</v>
      </c>
      <c r="Q883" t="n">
        <v>0</v>
      </c>
      <c r="R883" s="2" t="inlineStr"/>
    </row>
    <row r="884" ht="15" customHeight="1">
      <c r="A884" t="inlineStr">
        <is>
          <t>A 48624-2021</t>
        </is>
      </c>
      <c r="B884" s="1" t="n">
        <v>44452</v>
      </c>
      <c r="C884" s="1" t="n">
        <v>45890</v>
      </c>
      <c r="D884" t="inlineStr">
        <is>
          <t>SKÅNE LÄN</t>
        </is>
      </c>
      <c r="E884" t="inlineStr">
        <is>
          <t>HÄSSLEHOLM</t>
        </is>
      </c>
      <c r="G884" t="n">
        <v>2.2</v>
      </c>
      <c r="H884" t="n">
        <v>0</v>
      </c>
      <c r="I884" t="n">
        <v>0</v>
      </c>
      <c r="J884" t="n">
        <v>0</v>
      </c>
      <c r="K884" t="n">
        <v>0</v>
      </c>
      <c r="L884" t="n">
        <v>0</v>
      </c>
      <c r="M884" t="n">
        <v>0</v>
      </c>
      <c r="N884" t="n">
        <v>0</v>
      </c>
      <c r="O884" t="n">
        <v>0</v>
      </c>
      <c r="P884" t="n">
        <v>0</v>
      </c>
      <c r="Q884" t="n">
        <v>0</v>
      </c>
      <c r="R884" s="2" t="inlineStr"/>
    </row>
    <row r="885" ht="15" customHeight="1">
      <c r="A885" t="inlineStr">
        <is>
          <t>A 6798-2025</t>
        </is>
      </c>
      <c r="B885" s="1" t="n">
        <v>45700.668125</v>
      </c>
      <c r="C885" s="1" t="n">
        <v>45890</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10752-2025</t>
        </is>
      </c>
      <c r="B886" s="1" t="n">
        <v>45722</v>
      </c>
      <c r="C886" s="1" t="n">
        <v>45890</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59434-2023</t>
        </is>
      </c>
      <c r="B887" s="1" t="n">
        <v>45254.30440972222</v>
      </c>
      <c r="C887" s="1" t="n">
        <v>45890</v>
      </c>
      <c r="D887" t="inlineStr">
        <is>
          <t>SKÅNE LÄN</t>
        </is>
      </c>
      <c r="E887" t="inlineStr">
        <is>
          <t>HÄSSLEHOLM</t>
        </is>
      </c>
      <c r="G887" t="n">
        <v>3.6</v>
      </c>
      <c r="H887" t="n">
        <v>0</v>
      </c>
      <c r="I887" t="n">
        <v>0</v>
      </c>
      <c r="J887" t="n">
        <v>0</v>
      </c>
      <c r="K887" t="n">
        <v>0</v>
      </c>
      <c r="L887" t="n">
        <v>0</v>
      </c>
      <c r="M887" t="n">
        <v>0</v>
      </c>
      <c r="N887" t="n">
        <v>0</v>
      </c>
      <c r="O887" t="n">
        <v>0</v>
      </c>
      <c r="P887" t="n">
        <v>0</v>
      </c>
      <c r="Q887" t="n">
        <v>0</v>
      </c>
      <c r="R887" s="2" t="inlineStr"/>
    </row>
    <row r="888" ht="15" customHeight="1">
      <c r="A888" t="inlineStr">
        <is>
          <t>A 36130-2025</t>
        </is>
      </c>
      <c r="B888" s="1" t="n">
        <v>45866.62273148148</v>
      </c>
      <c r="C888" s="1" t="n">
        <v>45890</v>
      </c>
      <c r="D888" t="inlineStr">
        <is>
          <t>SKÅNE LÄN</t>
        </is>
      </c>
      <c r="E888" t="inlineStr">
        <is>
          <t>HÄSSLEHOLM</t>
        </is>
      </c>
      <c r="G888" t="n">
        <v>4.7</v>
      </c>
      <c r="H888" t="n">
        <v>0</v>
      </c>
      <c r="I888" t="n">
        <v>0</v>
      </c>
      <c r="J888" t="n">
        <v>0</v>
      </c>
      <c r="K888" t="n">
        <v>0</v>
      </c>
      <c r="L888" t="n">
        <v>0</v>
      </c>
      <c r="M888" t="n">
        <v>0</v>
      </c>
      <c r="N888" t="n">
        <v>0</v>
      </c>
      <c r="O888" t="n">
        <v>0</v>
      </c>
      <c r="P888" t="n">
        <v>0</v>
      </c>
      <c r="Q888" t="n">
        <v>0</v>
      </c>
      <c r="R888" s="2" t="inlineStr"/>
    </row>
    <row r="889" ht="15" customHeight="1">
      <c r="A889" t="inlineStr">
        <is>
          <t>A 2290-2024</t>
        </is>
      </c>
      <c r="B889" s="1" t="n">
        <v>45310</v>
      </c>
      <c r="C889" s="1" t="n">
        <v>45890</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14008-2023</t>
        </is>
      </c>
      <c r="B890" s="1" t="n">
        <v>45008.56725694444</v>
      </c>
      <c r="C890" s="1" t="n">
        <v>45890</v>
      </c>
      <c r="D890" t="inlineStr">
        <is>
          <t>SKÅNE LÄN</t>
        </is>
      </c>
      <c r="E890" t="inlineStr">
        <is>
          <t>HÄSSLEHOLM</t>
        </is>
      </c>
      <c r="G890" t="n">
        <v>3.3</v>
      </c>
      <c r="H890" t="n">
        <v>0</v>
      </c>
      <c r="I890" t="n">
        <v>0</v>
      </c>
      <c r="J890" t="n">
        <v>0</v>
      </c>
      <c r="K890" t="n">
        <v>0</v>
      </c>
      <c r="L890" t="n">
        <v>0</v>
      </c>
      <c r="M890" t="n">
        <v>0</v>
      </c>
      <c r="N890" t="n">
        <v>0</v>
      </c>
      <c r="O890" t="n">
        <v>0</v>
      </c>
      <c r="P890" t="n">
        <v>0</v>
      </c>
      <c r="Q890" t="n">
        <v>0</v>
      </c>
      <c r="R890" s="2" t="inlineStr"/>
    </row>
    <row r="891" ht="15" customHeight="1">
      <c r="A891" t="inlineStr">
        <is>
          <t>A 33067-2024</t>
        </is>
      </c>
      <c r="B891" s="1" t="n">
        <v>45517.6520949074</v>
      </c>
      <c r="C891" s="1" t="n">
        <v>45890</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36259-2025</t>
        </is>
      </c>
      <c r="B892" s="1" t="n">
        <v>45867.59799768519</v>
      </c>
      <c r="C892" s="1" t="n">
        <v>45890</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315-2022</t>
        </is>
      </c>
      <c r="B893" s="1" t="n">
        <v>44565.55630787037</v>
      </c>
      <c r="C893" s="1" t="n">
        <v>45890</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42372-2024</t>
        </is>
      </c>
      <c r="B894" s="1" t="n">
        <v>45564.5127199074</v>
      </c>
      <c r="C894" s="1" t="n">
        <v>45890</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30010-2025</t>
        </is>
      </c>
      <c r="B895" s="1" t="n">
        <v>45826</v>
      </c>
      <c r="C895" s="1" t="n">
        <v>45890</v>
      </c>
      <c r="D895" t="inlineStr">
        <is>
          <t>SKÅNE LÄN</t>
        </is>
      </c>
      <c r="E895" t="inlineStr">
        <is>
          <t>HÄSSLEHOLM</t>
        </is>
      </c>
      <c r="G895" t="n">
        <v>4.5</v>
      </c>
      <c r="H895" t="n">
        <v>0</v>
      </c>
      <c r="I895" t="n">
        <v>0</v>
      </c>
      <c r="J895" t="n">
        <v>0</v>
      </c>
      <c r="K895" t="n">
        <v>0</v>
      </c>
      <c r="L895" t="n">
        <v>0</v>
      </c>
      <c r="M895" t="n">
        <v>0</v>
      </c>
      <c r="N895" t="n">
        <v>0</v>
      </c>
      <c r="O895" t="n">
        <v>0</v>
      </c>
      <c r="P895" t="n">
        <v>0</v>
      </c>
      <c r="Q895" t="n">
        <v>0</v>
      </c>
      <c r="R895" s="2" t="inlineStr"/>
    </row>
    <row r="896" ht="15" customHeight="1">
      <c r="A896" t="inlineStr">
        <is>
          <t>A 28236-2022</t>
        </is>
      </c>
      <c r="B896" s="1" t="n">
        <v>44746</v>
      </c>
      <c r="C896" s="1" t="n">
        <v>45890</v>
      </c>
      <c r="D896" t="inlineStr">
        <is>
          <t>SKÅNE LÄN</t>
        </is>
      </c>
      <c r="E896" t="inlineStr">
        <is>
          <t>HÄSSLEHOLM</t>
        </is>
      </c>
      <c r="G896" t="n">
        <v>3.5</v>
      </c>
      <c r="H896" t="n">
        <v>0</v>
      </c>
      <c r="I896" t="n">
        <v>0</v>
      </c>
      <c r="J896" t="n">
        <v>0</v>
      </c>
      <c r="K896" t="n">
        <v>0</v>
      </c>
      <c r="L896" t="n">
        <v>0</v>
      </c>
      <c r="M896" t="n">
        <v>0</v>
      </c>
      <c r="N896" t="n">
        <v>0</v>
      </c>
      <c r="O896" t="n">
        <v>0</v>
      </c>
      <c r="P896" t="n">
        <v>0</v>
      </c>
      <c r="Q896" t="n">
        <v>0</v>
      </c>
      <c r="R896" s="2" t="inlineStr"/>
    </row>
    <row r="897" ht="15" customHeight="1">
      <c r="A897" t="inlineStr">
        <is>
          <t>A 6180-2021</t>
        </is>
      </c>
      <c r="B897" s="1" t="n">
        <v>44232</v>
      </c>
      <c r="C897" s="1" t="n">
        <v>45890</v>
      </c>
      <c r="D897" t="inlineStr">
        <is>
          <t>SKÅNE LÄN</t>
        </is>
      </c>
      <c r="E897" t="inlineStr">
        <is>
          <t>HÄSSLEHOLM</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17138-2025</t>
        </is>
      </c>
      <c r="B898" s="1" t="n">
        <v>45755.80378472222</v>
      </c>
      <c r="C898" s="1" t="n">
        <v>45890</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61625-2022</t>
        </is>
      </c>
      <c r="B899" s="1" t="n">
        <v>44916</v>
      </c>
      <c r="C899" s="1" t="n">
        <v>45890</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36358-2025</t>
        </is>
      </c>
      <c r="B900" s="1" t="n">
        <v>45867</v>
      </c>
      <c r="C900" s="1" t="n">
        <v>45890</v>
      </c>
      <c r="D900" t="inlineStr">
        <is>
          <t>SKÅNE LÄN</t>
        </is>
      </c>
      <c r="E900" t="inlineStr">
        <is>
          <t>HÄSSLEHOLM</t>
        </is>
      </c>
      <c r="G900" t="n">
        <v>2.8</v>
      </c>
      <c r="H900" t="n">
        <v>0</v>
      </c>
      <c r="I900" t="n">
        <v>0</v>
      </c>
      <c r="J900" t="n">
        <v>0</v>
      </c>
      <c r="K900" t="n">
        <v>0</v>
      </c>
      <c r="L900" t="n">
        <v>0</v>
      </c>
      <c r="M900" t="n">
        <v>0</v>
      </c>
      <c r="N900" t="n">
        <v>0</v>
      </c>
      <c r="O900" t="n">
        <v>0</v>
      </c>
      <c r="P900" t="n">
        <v>0</v>
      </c>
      <c r="Q900" t="n">
        <v>0</v>
      </c>
      <c r="R900" s="2" t="inlineStr"/>
    </row>
    <row r="901" ht="15" customHeight="1">
      <c r="A901" t="inlineStr">
        <is>
          <t>A 38829-2024</t>
        </is>
      </c>
      <c r="B901" s="1" t="n">
        <v>45547.57247685185</v>
      </c>
      <c r="C901" s="1" t="n">
        <v>45890</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57695-2023</t>
        </is>
      </c>
      <c r="B902" s="1" t="n">
        <v>45246</v>
      </c>
      <c r="C902" s="1" t="n">
        <v>45890</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13890-2024</t>
        </is>
      </c>
      <c r="B903" s="1" t="n">
        <v>45391</v>
      </c>
      <c r="C903" s="1" t="n">
        <v>45890</v>
      </c>
      <c r="D903" t="inlineStr">
        <is>
          <t>SKÅNE LÄN</t>
        </is>
      </c>
      <c r="E903" t="inlineStr">
        <is>
          <t>HÄSSLEHOLM</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36359-2025</t>
        </is>
      </c>
      <c r="B904" s="1" t="n">
        <v>45867</v>
      </c>
      <c r="C904" s="1" t="n">
        <v>45890</v>
      </c>
      <c r="D904" t="inlineStr">
        <is>
          <t>SKÅNE LÄN</t>
        </is>
      </c>
      <c r="E904" t="inlineStr">
        <is>
          <t>HÄSSLEHOLM</t>
        </is>
      </c>
      <c r="G904" t="n">
        <v>2.2</v>
      </c>
      <c r="H904" t="n">
        <v>0</v>
      </c>
      <c r="I904" t="n">
        <v>0</v>
      </c>
      <c r="J904" t="n">
        <v>0</v>
      </c>
      <c r="K904" t="n">
        <v>0</v>
      </c>
      <c r="L904" t="n">
        <v>0</v>
      </c>
      <c r="M904" t="n">
        <v>0</v>
      </c>
      <c r="N904" t="n">
        <v>0</v>
      </c>
      <c r="O904" t="n">
        <v>0</v>
      </c>
      <c r="P904" t="n">
        <v>0</v>
      </c>
      <c r="Q904" t="n">
        <v>0</v>
      </c>
      <c r="R904" s="2" t="inlineStr"/>
    </row>
    <row r="905" ht="15" customHeight="1">
      <c r="A905" t="inlineStr">
        <is>
          <t>A 55218-2023</t>
        </is>
      </c>
      <c r="B905" s="1" t="n">
        <v>45237</v>
      </c>
      <c r="C905" s="1" t="n">
        <v>45890</v>
      </c>
      <c r="D905" t="inlineStr">
        <is>
          <t>SKÅNE LÄN</t>
        </is>
      </c>
      <c r="E905" t="inlineStr">
        <is>
          <t>HÄSSLEHOLM</t>
        </is>
      </c>
      <c r="G905" t="n">
        <v>2</v>
      </c>
      <c r="H905" t="n">
        <v>0</v>
      </c>
      <c r="I905" t="n">
        <v>0</v>
      </c>
      <c r="J905" t="n">
        <v>0</v>
      </c>
      <c r="K905" t="n">
        <v>0</v>
      </c>
      <c r="L905" t="n">
        <v>0</v>
      </c>
      <c r="M905" t="n">
        <v>0</v>
      </c>
      <c r="N905" t="n">
        <v>0</v>
      </c>
      <c r="O905" t="n">
        <v>0</v>
      </c>
      <c r="P905" t="n">
        <v>0</v>
      </c>
      <c r="Q905" t="n">
        <v>0</v>
      </c>
      <c r="R905" s="2" t="inlineStr"/>
    </row>
    <row r="906" ht="15" customHeight="1">
      <c r="A906" t="inlineStr">
        <is>
          <t>A 12162-2023</t>
        </is>
      </c>
      <c r="B906" s="1" t="n">
        <v>44998.49619212963</v>
      </c>
      <c r="C906" s="1" t="n">
        <v>45890</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36361-2025</t>
        </is>
      </c>
      <c r="B907" s="1" t="n">
        <v>45867</v>
      </c>
      <c r="C907" s="1" t="n">
        <v>45890</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46288-2023</t>
        </is>
      </c>
      <c r="B908" s="1" t="n">
        <v>45197.30221064815</v>
      </c>
      <c r="C908" s="1" t="n">
        <v>45890</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13347-2025</t>
        </is>
      </c>
      <c r="B909" s="1" t="n">
        <v>45735.63175925926</v>
      </c>
      <c r="C909" s="1" t="n">
        <v>45890</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49106-2023</t>
        </is>
      </c>
      <c r="B910" s="1" t="n">
        <v>45210</v>
      </c>
      <c r="C910" s="1" t="n">
        <v>45890</v>
      </c>
      <c r="D910" t="inlineStr">
        <is>
          <t>SKÅNE LÄN</t>
        </is>
      </c>
      <c r="E910" t="inlineStr">
        <is>
          <t>HÄSSLEHOLM</t>
        </is>
      </c>
      <c r="G910" t="n">
        <v>0.3</v>
      </c>
      <c r="H910" t="n">
        <v>0</v>
      </c>
      <c r="I910" t="n">
        <v>0</v>
      </c>
      <c r="J910" t="n">
        <v>0</v>
      </c>
      <c r="K910" t="n">
        <v>0</v>
      </c>
      <c r="L910" t="n">
        <v>0</v>
      </c>
      <c r="M910" t="n">
        <v>0</v>
      </c>
      <c r="N910" t="n">
        <v>0</v>
      </c>
      <c r="O910" t="n">
        <v>0</v>
      </c>
      <c r="P910" t="n">
        <v>0</v>
      </c>
      <c r="Q910" t="n">
        <v>0</v>
      </c>
      <c r="R910" s="2" t="inlineStr"/>
    </row>
    <row r="911" ht="15" customHeight="1">
      <c r="A911" t="inlineStr">
        <is>
          <t>A 4916-2024</t>
        </is>
      </c>
      <c r="B911" s="1" t="n">
        <v>45329</v>
      </c>
      <c r="C911" s="1" t="n">
        <v>45890</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27175-2024</t>
        </is>
      </c>
      <c r="B912" s="1" t="n">
        <v>45471.57111111111</v>
      </c>
      <c r="C912" s="1" t="n">
        <v>45890</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10409-2024</t>
        </is>
      </c>
      <c r="B913" s="1" t="n">
        <v>45365.6978125</v>
      </c>
      <c r="C913" s="1" t="n">
        <v>45890</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47248-2023</t>
        </is>
      </c>
      <c r="B914" s="1" t="n">
        <v>45202</v>
      </c>
      <c r="C914" s="1" t="n">
        <v>45890</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20990-2023</t>
        </is>
      </c>
      <c r="B915" s="1" t="n">
        <v>45061.46186342592</v>
      </c>
      <c r="C915" s="1" t="n">
        <v>45890</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9541-2025</t>
        </is>
      </c>
      <c r="B916" s="1" t="n">
        <v>45714</v>
      </c>
      <c r="C916" s="1" t="n">
        <v>45890</v>
      </c>
      <c r="D916" t="inlineStr">
        <is>
          <t>SKÅNE LÄN</t>
        </is>
      </c>
      <c r="E916" t="inlineStr">
        <is>
          <t>HÄSSLEHOLM</t>
        </is>
      </c>
      <c r="G916" t="n">
        <v>1.6</v>
      </c>
      <c r="H916" t="n">
        <v>0</v>
      </c>
      <c r="I916" t="n">
        <v>0</v>
      </c>
      <c r="J916" t="n">
        <v>0</v>
      </c>
      <c r="K916" t="n">
        <v>0</v>
      </c>
      <c r="L916" t="n">
        <v>0</v>
      </c>
      <c r="M916" t="n">
        <v>0</v>
      </c>
      <c r="N916" t="n">
        <v>0</v>
      </c>
      <c r="O916" t="n">
        <v>0</v>
      </c>
      <c r="P916" t="n">
        <v>0</v>
      </c>
      <c r="Q916" t="n">
        <v>0</v>
      </c>
      <c r="R916" s="2" t="inlineStr"/>
    </row>
    <row r="917" ht="15" customHeight="1">
      <c r="A917" t="inlineStr">
        <is>
          <t>A 54658-2023</t>
        </is>
      </c>
      <c r="B917" s="1" t="n">
        <v>45235</v>
      </c>
      <c r="C917" s="1" t="n">
        <v>45890</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53055-2021</t>
        </is>
      </c>
      <c r="B918" s="1" t="n">
        <v>44467</v>
      </c>
      <c r="C918" s="1" t="n">
        <v>45890</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23666-2023</t>
        </is>
      </c>
      <c r="B919" s="1" t="n">
        <v>45077</v>
      </c>
      <c r="C919" s="1" t="n">
        <v>45890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3726-2024</t>
        </is>
      </c>
      <c r="B920" s="1" t="n">
        <v>45321</v>
      </c>
      <c r="C920" s="1" t="n">
        <v>45890</v>
      </c>
      <c r="D920" t="inlineStr">
        <is>
          <t>SKÅNE LÄN</t>
        </is>
      </c>
      <c r="E920" t="inlineStr">
        <is>
          <t>HÄSSLEHOLM</t>
        </is>
      </c>
      <c r="G920" t="n">
        <v>0.3</v>
      </c>
      <c r="H920" t="n">
        <v>0</v>
      </c>
      <c r="I920" t="n">
        <v>0</v>
      </c>
      <c r="J920" t="n">
        <v>0</v>
      </c>
      <c r="K920" t="n">
        <v>0</v>
      </c>
      <c r="L920" t="n">
        <v>0</v>
      </c>
      <c r="M920" t="n">
        <v>0</v>
      </c>
      <c r="N920" t="n">
        <v>0</v>
      </c>
      <c r="O920" t="n">
        <v>0</v>
      </c>
      <c r="P920" t="n">
        <v>0</v>
      </c>
      <c r="Q920" t="n">
        <v>0</v>
      </c>
      <c r="R920" s="2" t="inlineStr"/>
    </row>
    <row r="921" ht="15" customHeight="1">
      <c r="A921" t="inlineStr">
        <is>
          <t>A 53085-2022</t>
        </is>
      </c>
      <c r="B921" s="1" t="n">
        <v>44873</v>
      </c>
      <c r="C921" s="1" t="n">
        <v>45890</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28211-2022</t>
        </is>
      </c>
      <c r="B922" s="1" t="n">
        <v>44746</v>
      </c>
      <c r="C922" s="1" t="n">
        <v>45890</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32154-2024</t>
        </is>
      </c>
      <c r="B923" s="1" t="n">
        <v>45511</v>
      </c>
      <c r="C923" s="1" t="n">
        <v>45890</v>
      </c>
      <c r="D923" t="inlineStr">
        <is>
          <t>SKÅNE LÄN</t>
        </is>
      </c>
      <c r="E923" t="inlineStr">
        <is>
          <t>HÄSSLEHOLM</t>
        </is>
      </c>
      <c r="G923" t="n">
        <v>6.4</v>
      </c>
      <c r="H923" t="n">
        <v>0</v>
      </c>
      <c r="I923" t="n">
        <v>0</v>
      </c>
      <c r="J923" t="n">
        <v>0</v>
      </c>
      <c r="K923" t="n">
        <v>0</v>
      </c>
      <c r="L923" t="n">
        <v>0</v>
      </c>
      <c r="M923" t="n">
        <v>0</v>
      </c>
      <c r="N923" t="n">
        <v>0</v>
      </c>
      <c r="O923" t="n">
        <v>0</v>
      </c>
      <c r="P923" t="n">
        <v>0</v>
      </c>
      <c r="Q923" t="n">
        <v>0</v>
      </c>
      <c r="R923" s="2" t="inlineStr"/>
    </row>
    <row r="924" ht="15" customHeight="1">
      <c r="A924" t="inlineStr">
        <is>
          <t>A 54171-2022</t>
        </is>
      </c>
      <c r="B924" s="1" t="n">
        <v>44881</v>
      </c>
      <c r="C924" s="1" t="n">
        <v>45890</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45023.39584490741</v>
      </c>
      <c r="C925" s="1" t="n">
        <v>45890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26207-2021</t>
        </is>
      </c>
      <c r="B926" s="1" t="n">
        <v>44347</v>
      </c>
      <c r="C926" s="1" t="n">
        <v>45890</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58883-2024</t>
        </is>
      </c>
      <c r="B927" s="1" t="n">
        <v>45636.44962962963</v>
      </c>
      <c r="C927" s="1" t="n">
        <v>45890</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62199-2022</t>
        </is>
      </c>
      <c r="B928" s="1" t="n">
        <v>44915</v>
      </c>
      <c r="C928" s="1" t="n">
        <v>45890</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31159-2025</t>
        </is>
      </c>
      <c r="B929" s="1" t="n">
        <v>45832.65322916667</v>
      </c>
      <c r="C929" s="1" t="n">
        <v>45890</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57277-2023</t>
        </is>
      </c>
      <c r="B930" s="1" t="n">
        <v>45245.59104166667</v>
      </c>
      <c r="C930" s="1" t="n">
        <v>45890</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9098-2022</t>
        </is>
      </c>
      <c r="B931" s="1" t="n">
        <v>44615</v>
      </c>
      <c r="C931" s="1" t="n">
        <v>45890</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19151-2023</t>
        </is>
      </c>
      <c r="B932" s="1" t="n">
        <v>45044</v>
      </c>
      <c r="C932" s="1" t="n">
        <v>45890</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2688-2024</t>
        </is>
      </c>
      <c r="B933" s="1" t="n">
        <v>45314</v>
      </c>
      <c r="C933" s="1" t="n">
        <v>45890</v>
      </c>
      <c r="D933" t="inlineStr">
        <is>
          <t>SKÅNE LÄN</t>
        </is>
      </c>
      <c r="E933" t="inlineStr">
        <is>
          <t>HÄSSLEHOLM</t>
        </is>
      </c>
      <c r="F933" t="inlineStr">
        <is>
          <t>Övriga Aktiebolag</t>
        </is>
      </c>
      <c r="G933" t="n">
        <v>2.8</v>
      </c>
      <c r="H933" t="n">
        <v>0</v>
      </c>
      <c r="I933" t="n">
        <v>0</v>
      </c>
      <c r="J933" t="n">
        <v>0</v>
      </c>
      <c r="K933" t="n">
        <v>0</v>
      </c>
      <c r="L933" t="n">
        <v>0</v>
      </c>
      <c r="M933" t="n">
        <v>0</v>
      </c>
      <c r="N933" t="n">
        <v>0</v>
      </c>
      <c r="O933" t="n">
        <v>0</v>
      </c>
      <c r="P933" t="n">
        <v>0</v>
      </c>
      <c r="Q933" t="n">
        <v>0</v>
      </c>
      <c r="R933" s="2" t="inlineStr"/>
    </row>
    <row r="934" ht="15" customHeight="1">
      <c r="A934" t="inlineStr">
        <is>
          <t>A 29850-2024</t>
        </is>
      </c>
      <c r="B934" s="1" t="n">
        <v>45485.64620370371</v>
      </c>
      <c r="C934" s="1" t="n">
        <v>45890</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30007-2023</t>
        </is>
      </c>
      <c r="B935" s="1" t="n">
        <v>45109.80349537037</v>
      </c>
      <c r="C935" s="1" t="n">
        <v>45890</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4187-2023</t>
        </is>
      </c>
      <c r="B936" s="1" t="n">
        <v>44953</v>
      </c>
      <c r="C936" s="1" t="n">
        <v>45890</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42231-2022</t>
        </is>
      </c>
      <c r="B937" s="1" t="n">
        <v>44830.77003472222</v>
      </c>
      <c r="C937" s="1" t="n">
        <v>45890</v>
      </c>
      <c r="D937" t="inlineStr">
        <is>
          <t>SKÅNE LÄN</t>
        </is>
      </c>
      <c r="E937" t="inlineStr">
        <is>
          <t>HÄSSLEHOLM</t>
        </is>
      </c>
      <c r="G937" t="n">
        <v>2.7</v>
      </c>
      <c r="H937" t="n">
        <v>0</v>
      </c>
      <c r="I937" t="n">
        <v>0</v>
      </c>
      <c r="J937" t="n">
        <v>0</v>
      </c>
      <c r="K937" t="n">
        <v>0</v>
      </c>
      <c r="L937" t="n">
        <v>0</v>
      </c>
      <c r="M937" t="n">
        <v>0</v>
      </c>
      <c r="N937" t="n">
        <v>0</v>
      </c>
      <c r="O937" t="n">
        <v>0</v>
      </c>
      <c r="P937" t="n">
        <v>0</v>
      </c>
      <c r="Q937" t="n">
        <v>0</v>
      </c>
      <c r="R937" s="2" t="inlineStr"/>
    </row>
    <row r="938" ht="15" customHeight="1">
      <c r="A938" t="inlineStr">
        <is>
          <t>A 59390-2021</t>
        </is>
      </c>
      <c r="B938" s="1" t="n">
        <v>44490</v>
      </c>
      <c r="C938" s="1" t="n">
        <v>45890</v>
      </c>
      <c r="D938" t="inlineStr">
        <is>
          <t>SKÅNE LÄN</t>
        </is>
      </c>
      <c r="E938" t="inlineStr">
        <is>
          <t>HÄSSLEHOLM</t>
        </is>
      </c>
      <c r="G938" t="n">
        <v>7.1</v>
      </c>
      <c r="H938" t="n">
        <v>0</v>
      </c>
      <c r="I938" t="n">
        <v>0</v>
      </c>
      <c r="J938" t="n">
        <v>0</v>
      </c>
      <c r="K938" t="n">
        <v>0</v>
      </c>
      <c r="L938" t="n">
        <v>0</v>
      </c>
      <c r="M938" t="n">
        <v>0</v>
      </c>
      <c r="N938" t="n">
        <v>0</v>
      </c>
      <c r="O938" t="n">
        <v>0</v>
      </c>
      <c r="P938" t="n">
        <v>0</v>
      </c>
      <c r="Q938" t="n">
        <v>0</v>
      </c>
      <c r="R938" s="2" t="inlineStr"/>
    </row>
    <row r="939" ht="15" customHeight="1">
      <c r="A939" t="inlineStr">
        <is>
          <t>A 36938-2025</t>
        </is>
      </c>
      <c r="B939" s="1" t="n">
        <v>45874.58476851852</v>
      </c>
      <c r="C939" s="1" t="n">
        <v>45890</v>
      </c>
      <c r="D939" t="inlineStr">
        <is>
          <t>SKÅNE LÄN</t>
        </is>
      </c>
      <c r="E939" t="inlineStr">
        <is>
          <t>HÄSSLEHOLM</t>
        </is>
      </c>
      <c r="G939" t="n">
        <v>3.7</v>
      </c>
      <c r="H939" t="n">
        <v>0</v>
      </c>
      <c r="I939" t="n">
        <v>0</v>
      </c>
      <c r="J939" t="n">
        <v>0</v>
      </c>
      <c r="K939" t="n">
        <v>0</v>
      </c>
      <c r="L939" t="n">
        <v>0</v>
      </c>
      <c r="M939" t="n">
        <v>0</v>
      </c>
      <c r="N939" t="n">
        <v>0</v>
      </c>
      <c r="O939" t="n">
        <v>0</v>
      </c>
      <c r="P939" t="n">
        <v>0</v>
      </c>
      <c r="Q939" t="n">
        <v>0</v>
      </c>
      <c r="R939" s="2" t="inlineStr"/>
    </row>
    <row r="940" ht="15" customHeight="1">
      <c r="A940" t="inlineStr">
        <is>
          <t>A 35150-2023</t>
        </is>
      </c>
      <c r="B940" s="1" t="n">
        <v>45145</v>
      </c>
      <c r="C940" s="1" t="n">
        <v>45890</v>
      </c>
      <c r="D940" t="inlineStr">
        <is>
          <t>SKÅNE LÄN</t>
        </is>
      </c>
      <c r="E940" t="inlineStr">
        <is>
          <t>HÄSSLEHOLM</t>
        </is>
      </c>
      <c r="G940" t="n">
        <v>4.9</v>
      </c>
      <c r="H940" t="n">
        <v>0</v>
      </c>
      <c r="I940" t="n">
        <v>0</v>
      </c>
      <c r="J940" t="n">
        <v>0</v>
      </c>
      <c r="K940" t="n">
        <v>0</v>
      </c>
      <c r="L940" t="n">
        <v>0</v>
      </c>
      <c r="M940" t="n">
        <v>0</v>
      </c>
      <c r="N940" t="n">
        <v>0</v>
      </c>
      <c r="O940" t="n">
        <v>0</v>
      </c>
      <c r="P940" t="n">
        <v>0</v>
      </c>
      <c r="Q940" t="n">
        <v>0</v>
      </c>
      <c r="R940" s="2" t="inlineStr"/>
    </row>
    <row r="941" ht="15" customHeight="1">
      <c r="A941" t="inlineStr">
        <is>
          <t>A 37271-2025</t>
        </is>
      </c>
      <c r="B941" s="1" t="n">
        <v>45876.47828703704</v>
      </c>
      <c r="C941" s="1" t="n">
        <v>45890</v>
      </c>
      <c r="D941" t="inlineStr">
        <is>
          <t>SKÅNE LÄN</t>
        </is>
      </c>
      <c r="E941" t="inlineStr">
        <is>
          <t>HÄSSLEHOLM</t>
        </is>
      </c>
      <c r="G941" t="n">
        <v>4.1</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45890</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3452-2023</t>
        </is>
      </c>
      <c r="B943" s="1" t="n">
        <v>44949</v>
      </c>
      <c r="C943" s="1" t="n">
        <v>45890</v>
      </c>
      <c r="D943" t="inlineStr">
        <is>
          <t>SKÅNE LÄN</t>
        </is>
      </c>
      <c r="E943" t="inlineStr">
        <is>
          <t>HÄSSLEHOLM</t>
        </is>
      </c>
      <c r="G943" t="n">
        <v>1.3</v>
      </c>
      <c r="H943" t="n">
        <v>0</v>
      </c>
      <c r="I943" t="n">
        <v>0</v>
      </c>
      <c r="J943" t="n">
        <v>0</v>
      </c>
      <c r="K943" t="n">
        <v>0</v>
      </c>
      <c r="L943" t="n">
        <v>0</v>
      </c>
      <c r="M943" t="n">
        <v>0</v>
      </c>
      <c r="N943" t="n">
        <v>0</v>
      </c>
      <c r="O943" t="n">
        <v>0</v>
      </c>
      <c r="P943" t="n">
        <v>0</v>
      </c>
      <c r="Q943" t="n">
        <v>0</v>
      </c>
      <c r="R943" s="2" t="inlineStr"/>
    </row>
    <row r="944" ht="15" customHeight="1">
      <c r="A944" t="inlineStr">
        <is>
          <t>A 50525-2024</t>
        </is>
      </c>
      <c r="B944" s="1" t="n">
        <v>45601</v>
      </c>
      <c r="C944" s="1" t="n">
        <v>45890</v>
      </c>
      <c r="D944" t="inlineStr">
        <is>
          <t>SKÅNE LÄN</t>
        </is>
      </c>
      <c r="E944" t="inlineStr">
        <is>
          <t>HÄSSLEHOLM</t>
        </is>
      </c>
      <c r="G944" t="n">
        <v>2.6</v>
      </c>
      <c r="H944" t="n">
        <v>0</v>
      </c>
      <c r="I944" t="n">
        <v>0</v>
      </c>
      <c r="J944" t="n">
        <v>0</v>
      </c>
      <c r="K944" t="n">
        <v>0</v>
      </c>
      <c r="L944" t="n">
        <v>0</v>
      </c>
      <c r="M944" t="n">
        <v>0</v>
      </c>
      <c r="N944" t="n">
        <v>0</v>
      </c>
      <c r="O944" t="n">
        <v>0</v>
      </c>
      <c r="P944" t="n">
        <v>0</v>
      </c>
      <c r="Q944" t="n">
        <v>0</v>
      </c>
      <c r="R944" s="2" t="inlineStr"/>
    </row>
    <row r="945" ht="15" customHeight="1">
      <c r="A945" t="inlineStr">
        <is>
          <t>A 260-2024</t>
        </is>
      </c>
      <c r="B945" s="1" t="n">
        <v>45294</v>
      </c>
      <c r="C945" s="1" t="n">
        <v>45890</v>
      </c>
      <c r="D945" t="inlineStr">
        <is>
          <t>SKÅNE LÄN</t>
        </is>
      </c>
      <c r="E945" t="inlineStr">
        <is>
          <t>HÄSSLEHOLM</t>
        </is>
      </c>
      <c r="G945" t="n">
        <v>0.2</v>
      </c>
      <c r="H945" t="n">
        <v>0</v>
      </c>
      <c r="I945" t="n">
        <v>0</v>
      </c>
      <c r="J945" t="n">
        <v>0</v>
      </c>
      <c r="K945" t="n">
        <v>0</v>
      </c>
      <c r="L945" t="n">
        <v>0</v>
      </c>
      <c r="M945" t="n">
        <v>0</v>
      </c>
      <c r="N945" t="n">
        <v>0</v>
      </c>
      <c r="O945" t="n">
        <v>0</v>
      </c>
      <c r="P945" t="n">
        <v>0</v>
      </c>
      <c r="Q945" t="n">
        <v>0</v>
      </c>
      <c r="R945" s="2" t="inlineStr"/>
    </row>
    <row r="946" ht="15" customHeight="1">
      <c r="A946" t="inlineStr">
        <is>
          <t>A 5016-2024</t>
        </is>
      </c>
      <c r="B946" s="1" t="n">
        <v>45329</v>
      </c>
      <c r="C946" s="1" t="n">
        <v>45890</v>
      </c>
      <c r="D946" t="inlineStr">
        <is>
          <t>SKÅNE LÄN</t>
        </is>
      </c>
      <c r="E946" t="inlineStr">
        <is>
          <t>HÄSSLEHOLM</t>
        </is>
      </c>
      <c r="G946" t="n">
        <v>3.2</v>
      </c>
      <c r="H946" t="n">
        <v>0</v>
      </c>
      <c r="I946" t="n">
        <v>0</v>
      </c>
      <c r="J946" t="n">
        <v>0</v>
      </c>
      <c r="K946" t="n">
        <v>0</v>
      </c>
      <c r="L946" t="n">
        <v>0</v>
      </c>
      <c r="M946" t="n">
        <v>0</v>
      </c>
      <c r="N946" t="n">
        <v>0</v>
      </c>
      <c r="O946" t="n">
        <v>0</v>
      </c>
      <c r="P946" t="n">
        <v>0</v>
      </c>
      <c r="Q946" t="n">
        <v>0</v>
      </c>
      <c r="R946" s="2" t="inlineStr"/>
    </row>
    <row r="947" ht="15" customHeight="1">
      <c r="A947" t="inlineStr">
        <is>
          <t>A 49250-2022</t>
        </is>
      </c>
      <c r="B947" s="1" t="n">
        <v>44858</v>
      </c>
      <c r="C947" s="1" t="n">
        <v>45890</v>
      </c>
      <c r="D947" t="inlineStr">
        <is>
          <t>SKÅNE LÄN</t>
        </is>
      </c>
      <c r="E947" t="inlineStr">
        <is>
          <t>HÄSSLEHOLM</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11603-2025</t>
        </is>
      </c>
      <c r="B948" s="1" t="n">
        <v>45727</v>
      </c>
      <c r="C948" s="1" t="n">
        <v>45890</v>
      </c>
      <c r="D948" t="inlineStr">
        <is>
          <t>SKÅNE LÄN</t>
        </is>
      </c>
      <c r="E948" t="inlineStr">
        <is>
          <t>HÄSSLEHOLM</t>
        </is>
      </c>
      <c r="G948" t="n">
        <v>5.6</v>
      </c>
      <c r="H948" t="n">
        <v>0</v>
      </c>
      <c r="I948" t="n">
        <v>0</v>
      </c>
      <c r="J948" t="n">
        <v>0</v>
      </c>
      <c r="K948" t="n">
        <v>0</v>
      </c>
      <c r="L948" t="n">
        <v>0</v>
      </c>
      <c r="M948" t="n">
        <v>0</v>
      </c>
      <c r="N948" t="n">
        <v>0</v>
      </c>
      <c r="O948" t="n">
        <v>0</v>
      </c>
      <c r="P948" t="n">
        <v>0</v>
      </c>
      <c r="Q948" t="n">
        <v>0</v>
      </c>
      <c r="R948" s="2" t="inlineStr"/>
    </row>
    <row r="949" ht="15" customHeight="1">
      <c r="A949" t="inlineStr">
        <is>
          <t>A 37286-2025</t>
        </is>
      </c>
      <c r="B949" s="1" t="n">
        <v>45876.50116898148</v>
      </c>
      <c r="C949" s="1" t="n">
        <v>45890</v>
      </c>
      <c r="D949" t="inlineStr">
        <is>
          <t>SKÅNE LÄN</t>
        </is>
      </c>
      <c r="E949" t="inlineStr">
        <is>
          <t>HÄSSLEHOLM</t>
        </is>
      </c>
      <c r="G949" t="n">
        <v>2.9</v>
      </c>
      <c r="H949" t="n">
        <v>0</v>
      </c>
      <c r="I949" t="n">
        <v>0</v>
      </c>
      <c r="J949" t="n">
        <v>0</v>
      </c>
      <c r="K949" t="n">
        <v>0</v>
      </c>
      <c r="L949" t="n">
        <v>0</v>
      </c>
      <c r="M949" t="n">
        <v>0</v>
      </c>
      <c r="N949" t="n">
        <v>0</v>
      </c>
      <c r="O949" t="n">
        <v>0</v>
      </c>
      <c r="P949" t="n">
        <v>0</v>
      </c>
      <c r="Q949" t="n">
        <v>0</v>
      </c>
      <c r="R949" s="2" t="inlineStr"/>
    </row>
    <row r="950" ht="15" customHeight="1">
      <c r="A950" t="inlineStr">
        <is>
          <t>A 27197-2021</t>
        </is>
      </c>
      <c r="B950" s="1" t="n">
        <v>44350</v>
      </c>
      <c r="C950" s="1" t="n">
        <v>45890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25206-2023</t>
        </is>
      </c>
      <c r="B951" s="1" t="n">
        <v>45086.59318287037</v>
      </c>
      <c r="C951" s="1" t="n">
        <v>45890</v>
      </c>
      <c r="D951" t="inlineStr">
        <is>
          <t>SKÅNE LÄN</t>
        </is>
      </c>
      <c r="E951" t="inlineStr">
        <is>
          <t>HÄSSLEHOLM</t>
        </is>
      </c>
      <c r="G951" t="n">
        <v>2.9</v>
      </c>
      <c r="H951" t="n">
        <v>0</v>
      </c>
      <c r="I951" t="n">
        <v>0</v>
      </c>
      <c r="J951" t="n">
        <v>0</v>
      </c>
      <c r="K951" t="n">
        <v>0</v>
      </c>
      <c r="L951" t="n">
        <v>0</v>
      </c>
      <c r="M951" t="n">
        <v>0</v>
      </c>
      <c r="N951" t="n">
        <v>0</v>
      </c>
      <c r="O951" t="n">
        <v>0</v>
      </c>
      <c r="P951" t="n">
        <v>0</v>
      </c>
      <c r="Q951" t="n">
        <v>0</v>
      </c>
      <c r="R951" s="2" t="inlineStr"/>
    </row>
    <row r="952" ht="15" customHeight="1">
      <c r="A952" t="inlineStr">
        <is>
          <t>A 25221-2023</t>
        </is>
      </c>
      <c r="B952" s="1" t="n">
        <v>45086.60842592592</v>
      </c>
      <c r="C952" s="1" t="n">
        <v>45890</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45222-2023</t>
        </is>
      </c>
      <c r="B953" s="1" t="n">
        <v>45191</v>
      </c>
      <c r="C953" s="1" t="n">
        <v>45890</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57272-2023</t>
        </is>
      </c>
      <c r="B954" s="1" t="n">
        <v>45245</v>
      </c>
      <c r="C954" s="1" t="n">
        <v>45890</v>
      </c>
      <c r="D954" t="inlineStr">
        <is>
          <t>SKÅNE LÄN</t>
        </is>
      </c>
      <c r="E954" t="inlineStr">
        <is>
          <t>HÄSSLEHOLM</t>
        </is>
      </c>
      <c r="G954" t="n">
        <v>2.3</v>
      </c>
      <c r="H954" t="n">
        <v>0</v>
      </c>
      <c r="I954" t="n">
        <v>0</v>
      </c>
      <c r="J954" t="n">
        <v>0</v>
      </c>
      <c r="K954" t="n">
        <v>0</v>
      </c>
      <c r="L954" t="n">
        <v>0</v>
      </c>
      <c r="M954" t="n">
        <v>0</v>
      </c>
      <c r="N954" t="n">
        <v>0</v>
      </c>
      <c r="O954" t="n">
        <v>0</v>
      </c>
      <c r="P954" t="n">
        <v>0</v>
      </c>
      <c r="Q954" t="n">
        <v>0</v>
      </c>
      <c r="R954" s="2" t="inlineStr"/>
    </row>
    <row r="955" ht="15" customHeight="1">
      <c r="A955" t="inlineStr">
        <is>
          <t>A 35890-2023</t>
        </is>
      </c>
      <c r="B955" s="1" t="n">
        <v>45148</v>
      </c>
      <c r="C955" s="1" t="n">
        <v>45890</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35895-2023</t>
        </is>
      </c>
      <c r="B956" s="1" t="n">
        <v>45148</v>
      </c>
      <c r="C956" s="1" t="n">
        <v>45890</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61569-2023</t>
        </is>
      </c>
      <c r="B957" s="1" t="n">
        <v>45265</v>
      </c>
      <c r="C957" s="1" t="n">
        <v>45890</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13856-2025</t>
        </is>
      </c>
      <c r="B958" s="1" t="n">
        <v>45737.57289351852</v>
      </c>
      <c r="C958" s="1" t="n">
        <v>45890</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52235-2021</t>
        </is>
      </c>
      <c r="B959" s="1" t="n">
        <v>44463.60085648148</v>
      </c>
      <c r="C959" s="1" t="n">
        <v>45890</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9239-2025</t>
        </is>
      </c>
      <c r="B960" s="1" t="n">
        <v>45714</v>
      </c>
      <c r="C960" s="1" t="n">
        <v>45890</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29649-2025</t>
        </is>
      </c>
      <c r="B961" s="1" t="n">
        <v>45825.47446759259</v>
      </c>
      <c r="C961" s="1" t="n">
        <v>45890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54359-2020</t>
        </is>
      </c>
      <c r="B962" s="1" t="n">
        <v>44126</v>
      </c>
      <c r="C962" s="1" t="n">
        <v>45890</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48889-2024</t>
        </is>
      </c>
      <c r="B963" s="1" t="n">
        <v>45594.33754629629</v>
      </c>
      <c r="C963" s="1" t="n">
        <v>45890</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8209-2025</t>
        </is>
      </c>
      <c r="B964" s="1" t="n">
        <v>45708.44244212963</v>
      </c>
      <c r="C964" s="1" t="n">
        <v>45890</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8263-2025</t>
        </is>
      </c>
      <c r="B965" s="1" t="n">
        <v>45708.50398148148</v>
      </c>
      <c r="C965" s="1" t="n">
        <v>45890</v>
      </c>
      <c r="D965" t="inlineStr">
        <is>
          <t>SKÅNE LÄN</t>
        </is>
      </c>
      <c r="E965" t="inlineStr">
        <is>
          <t>HÄSSLEHOLM</t>
        </is>
      </c>
      <c r="G965" t="n">
        <v>2.9</v>
      </c>
      <c r="H965" t="n">
        <v>0</v>
      </c>
      <c r="I965" t="n">
        <v>0</v>
      </c>
      <c r="J965" t="n">
        <v>0</v>
      </c>
      <c r="K965" t="n">
        <v>0</v>
      </c>
      <c r="L965" t="n">
        <v>0</v>
      </c>
      <c r="M965" t="n">
        <v>0</v>
      </c>
      <c r="N965" t="n">
        <v>0</v>
      </c>
      <c r="O965" t="n">
        <v>0</v>
      </c>
      <c r="P965" t="n">
        <v>0</v>
      </c>
      <c r="Q965" t="n">
        <v>0</v>
      </c>
      <c r="R965" s="2" t="inlineStr"/>
    </row>
    <row r="966" ht="15" customHeight="1">
      <c r="A966" t="inlineStr">
        <is>
          <t>A 54471-2023</t>
        </is>
      </c>
      <c r="B966" s="1" t="n">
        <v>45233.4640162037</v>
      </c>
      <c r="C966" s="1" t="n">
        <v>45890</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29275-2023</t>
        </is>
      </c>
      <c r="B967" s="1" t="n">
        <v>45105</v>
      </c>
      <c r="C967" s="1" t="n">
        <v>45890</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13018-2024</t>
        </is>
      </c>
      <c r="B968" s="1" t="n">
        <v>45385.58274305556</v>
      </c>
      <c r="C968" s="1" t="n">
        <v>45890</v>
      </c>
      <c r="D968" t="inlineStr">
        <is>
          <t>SKÅNE LÄN</t>
        </is>
      </c>
      <c r="E968" t="inlineStr">
        <is>
          <t>HÄSSLEHOLM</t>
        </is>
      </c>
      <c r="G968" t="n">
        <v>4.8</v>
      </c>
      <c r="H968" t="n">
        <v>0</v>
      </c>
      <c r="I968" t="n">
        <v>0</v>
      </c>
      <c r="J968" t="n">
        <v>0</v>
      </c>
      <c r="K968" t="n">
        <v>0</v>
      </c>
      <c r="L968" t="n">
        <v>0</v>
      </c>
      <c r="M968" t="n">
        <v>0</v>
      </c>
      <c r="N968" t="n">
        <v>0</v>
      </c>
      <c r="O968" t="n">
        <v>0</v>
      </c>
      <c r="P968" t="n">
        <v>0</v>
      </c>
      <c r="Q968" t="n">
        <v>0</v>
      </c>
      <c r="R968" s="2" t="inlineStr"/>
    </row>
    <row r="969" ht="15" customHeight="1">
      <c r="A969" t="inlineStr">
        <is>
          <t>A 22595-2024</t>
        </is>
      </c>
      <c r="B969" s="1" t="n">
        <v>45447.61053240741</v>
      </c>
      <c r="C969" s="1" t="n">
        <v>45890</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50607-2023</t>
        </is>
      </c>
      <c r="B970" s="1" t="n">
        <v>45210</v>
      </c>
      <c r="C970" s="1" t="n">
        <v>45890</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38148-2022</t>
        </is>
      </c>
      <c r="B971" s="1" t="n">
        <v>44811</v>
      </c>
      <c r="C971" s="1" t="n">
        <v>45890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31944-2023</t>
        </is>
      </c>
      <c r="B972" s="1" t="n">
        <v>45119.34895833334</v>
      </c>
      <c r="C972" s="1" t="n">
        <v>45890</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1706-2025</t>
        </is>
      </c>
      <c r="B973" s="1" t="n">
        <v>45670</v>
      </c>
      <c r="C973" s="1" t="n">
        <v>45890</v>
      </c>
      <c r="D973" t="inlineStr">
        <is>
          <t>SKÅNE LÄN</t>
        </is>
      </c>
      <c r="E973" t="inlineStr">
        <is>
          <t>HÄSSLEHOLM</t>
        </is>
      </c>
      <c r="G973" t="n">
        <v>5</v>
      </c>
      <c r="H973" t="n">
        <v>0</v>
      </c>
      <c r="I973" t="n">
        <v>0</v>
      </c>
      <c r="J973" t="n">
        <v>0</v>
      </c>
      <c r="K973" t="n">
        <v>0</v>
      </c>
      <c r="L973" t="n">
        <v>0</v>
      </c>
      <c r="M973" t="n">
        <v>0</v>
      </c>
      <c r="N973" t="n">
        <v>0</v>
      </c>
      <c r="O973" t="n">
        <v>0</v>
      </c>
      <c r="P973" t="n">
        <v>0</v>
      </c>
      <c r="Q973" t="n">
        <v>0</v>
      </c>
      <c r="R973" s="2" t="inlineStr"/>
    </row>
    <row r="974" ht="15" customHeight="1">
      <c r="A974" t="inlineStr">
        <is>
          <t>A 32585-2025</t>
        </is>
      </c>
      <c r="B974" s="1" t="n">
        <v>45838.60021990741</v>
      </c>
      <c r="C974" s="1" t="n">
        <v>45890</v>
      </c>
      <c r="D974" t="inlineStr">
        <is>
          <t>SKÅNE LÄN</t>
        </is>
      </c>
      <c r="E974" t="inlineStr">
        <is>
          <t>HÄSSLEHOLM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32592-2025</t>
        </is>
      </c>
      <c r="B975" s="1" t="n">
        <v>45838.61020833333</v>
      </c>
      <c r="C975" s="1" t="n">
        <v>45890</v>
      </c>
      <c r="D975" t="inlineStr">
        <is>
          <t>SKÅNE LÄN</t>
        </is>
      </c>
      <c r="E975" t="inlineStr">
        <is>
          <t>HÄSSLEHOLM</t>
        </is>
      </c>
      <c r="G975" t="n">
        <v>2.1</v>
      </c>
      <c r="H975" t="n">
        <v>0</v>
      </c>
      <c r="I975" t="n">
        <v>0</v>
      </c>
      <c r="J975" t="n">
        <v>0</v>
      </c>
      <c r="K975" t="n">
        <v>0</v>
      </c>
      <c r="L975" t="n">
        <v>0</v>
      </c>
      <c r="M975" t="n">
        <v>0</v>
      </c>
      <c r="N975" t="n">
        <v>0</v>
      </c>
      <c r="O975" t="n">
        <v>0</v>
      </c>
      <c r="P975" t="n">
        <v>0</v>
      </c>
      <c r="Q975" t="n">
        <v>0</v>
      </c>
      <c r="R975" s="2" t="inlineStr"/>
    </row>
    <row r="976" ht="15" customHeight="1">
      <c r="A976" t="inlineStr">
        <is>
          <t>A 60704-2023</t>
        </is>
      </c>
      <c r="B976" s="1" t="n">
        <v>45260.51340277777</v>
      </c>
      <c r="C976" s="1" t="n">
        <v>45890</v>
      </c>
      <c r="D976" t="inlineStr">
        <is>
          <t>SKÅNE LÄN</t>
        </is>
      </c>
      <c r="E976" t="inlineStr">
        <is>
          <t>HÄSSLEHOLM</t>
        </is>
      </c>
      <c r="G976" t="n">
        <v>2.1</v>
      </c>
      <c r="H976" t="n">
        <v>0</v>
      </c>
      <c r="I976" t="n">
        <v>0</v>
      </c>
      <c r="J976" t="n">
        <v>0</v>
      </c>
      <c r="K976" t="n">
        <v>0</v>
      </c>
      <c r="L976" t="n">
        <v>0</v>
      </c>
      <c r="M976" t="n">
        <v>0</v>
      </c>
      <c r="N976" t="n">
        <v>0</v>
      </c>
      <c r="O976" t="n">
        <v>0</v>
      </c>
      <c r="P976" t="n">
        <v>0</v>
      </c>
      <c r="Q976" t="n">
        <v>0</v>
      </c>
      <c r="R976" s="2" t="inlineStr"/>
    </row>
    <row r="977" ht="15" customHeight="1">
      <c r="A977" t="inlineStr">
        <is>
          <t>A 55056-2021</t>
        </is>
      </c>
      <c r="B977" s="1" t="n">
        <v>44474.62072916667</v>
      </c>
      <c r="C977" s="1" t="n">
        <v>45890</v>
      </c>
      <c r="D977" t="inlineStr">
        <is>
          <t>SKÅNE LÄN</t>
        </is>
      </c>
      <c r="E977" t="inlineStr">
        <is>
          <t>HÄSSLEHOLM</t>
        </is>
      </c>
      <c r="G977" t="n">
        <v>2.5</v>
      </c>
      <c r="H977" t="n">
        <v>0</v>
      </c>
      <c r="I977" t="n">
        <v>0</v>
      </c>
      <c r="J977" t="n">
        <v>0</v>
      </c>
      <c r="K977" t="n">
        <v>0</v>
      </c>
      <c r="L977" t="n">
        <v>0</v>
      </c>
      <c r="M977" t="n">
        <v>0</v>
      </c>
      <c r="N977" t="n">
        <v>0</v>
      </c>
      <c r="O977" t="n">
        <v>0</v>
      </c>
      <c r="P977" t="n">
        <v>0</v>
      </c>
      <c r="Q977" t="n">
        <v>0</v>
      </c>
      <c r="R977" s="2" t="inlineStr"/>
    </row>
    <row r="978" ht="15" customHeight="1">
      <c r="A978" t="inlineStr">
        <is>
          <t>A 13544-2025</t>
        </is>
      </c>
      <c r="B978" s="1" t="n">
        <v>45736</v>
      </c>
      <c r="C978" s="1" t="n">
        <v>45890</v>
      </c>
      <c r="D978" t="inlineStr">
        <is>
          <t>SKÅNE LÄN</t>
        </is>
      </c>
      <c r="E978" t="inlineStr">
        <is>
          <t>HÄSSLEHOLM</t>
        </is>
      </c>
      <c r="G978" t="n">
        <v>2.5</v>
      </c>
      <c r="H978" t="n">
        <v>0</v>
      </c>
      <c r="I978" t="n">
        <v>0</v>
      </c>
      <c r="J978" t="n">
        <v>0</v>
      </c>
      <c r="K978" t="n">
        <v>0</v>
      </c>
      <c r="L978" t="n">
        <v>0</v>
      </c>
      <c r="M978" t="n">
        <v>0</v>
      </c>
      <c r="N978" t="n">
        <v>0</v>
      </c>
      <c r="O978" t="n">
        <v>0</v>
      </c>
      <c r="P978" t="n">
        <v>0</v>
      </c>
      <c r="Q978" t="n">
        <v>0</v>
      </c>
      <c r="R978" s="2" t="inlineStr"/>
    </row>
    <row r="979" ht="15" customHeight="1">
      <c r="A979" t="inlineStr">
        <is>
          <t>A 33562-2025</t>
        </is>
      </c>
      <c r="B979" s="1" t="n">
        <v>45841.57803240741</v>
      </c>
      <c r="C979" s="1" t="n">
        <v>45890</v>
      </c>
      <c r="D979" t="inlineStr">
        <is>
          <t>SKÅNE LÄN</t>
        </is>
      </c>
      <c r="E979" t="inlineStr">
        <is>
          <t>HÄSSLEHOLM</t>
        </is>
      </c>
      <c r="G979" t="n">
        <v>2.8</v>
      </c>
      <c r="H979" t="n">
        <v>0</v>
      </c>
      <c r="I979" t="n">
        <v>0</v>
      </c>
      <c r="J979" t="n">
        <v>0</v>
      </c>
      <c r="K979" t="n">
        <v>0</v>
      </c>
      <c r="L979" t="n">
        <v>0</v>
      </c>
      <c r="M979" t="n">
        <v>0</v>
      </c>
      <c r="N979" t="n">
        <v>0</v>
      </c>
      <c r="O979" t="n">
        <v>0</v>
      </c>
      <c r="P979" t="n">
        <v>0</v>
      </c>
      <c r="Q979" t="n">
        <v>0</v>
      </c>
      <c r="R979" s="2" t="inlineStr"/>
    </row>
    <row r="980" ht="15" customHeight="1">
      <c r="A980" t="inlineStr">
        <is>
          <t>A 20279-2025</t>
        </is>
      </c>
      <c r="B980" s="1" t="n">
        <v>45774.38643518519</v>
      </c>
      <c r="C980" s="1" t="n">
        <v>45890</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59431-2023</t>
        </is>
      </c>
      <c r="B981" s="1" t="n">
        <v>45254.29207175926</v>
      </c>
      <c r="C981" s="1" t="n">
        <v>45890</v>
      </c>
      <c r="D981" t="inlineStr">
        <is>
          <t>SKÅNE LÄN</t>
        </is>
      </c>
      <c r="E981" t="inlineStr">
        <is>
          <t>HÄSSLEHOLM</t>
        </is>
      </c>
      <c r="G981" t="n">
        <v>1.7</v>
      </c>
      <c r="H981" t="n">
        <v>0</v>
      </c>
      <c r="I981" t="n">
        <v>0</v>
      </c>
      <c r="J981" t="n">
        <v>0</v>
      </c>
      <c r="K981" t="n">
        <v>0</v>
      </c>
      <c r="L981" t="n">
        <v>0</v>
      </c>
      <c r="M981" t="n">
        <v>0</v>
      </c>
      <c r="N981" t="n">
        <v>0</v>
      </c>
      <c r="O981" t="n">
        <v>0</v>
      </c>
      <c r="P981" t="n">
        <v>0</v>
      </c>
      <c r="Q981" t="n">
        <v>0</v>
      </c>
      <c r="R981" s="2" t="inlineStr"/>
    </row>
    <row r="982" ht="15" customHeight="1">
      <c r="A982" t="inlineStr">
        <is>
          <t>A 59433-2023</t>
        </is>
      </c>
      <c r="B982" s="1" t="n">
        <v>45254.29768518519</v>
      </c>
      <c r="C982" s="1" t="n">
        <v>45890</v>
      </c>
      <c r="D982" t="inlineStr">
        <is>
          <t>SKÅNE LÄN</t>
        </is>
      </c>
      <c r="E982" t="inlineStr">
        <is>
          <t>HÄSSLEHOLM</t>
        </is>
      </c>
      <c r="G982" t="n">
        <v>3.1</v>
      </c>
      <c r="H982" t="n">
        <v>0</v>
      </c>
      <c r="I982" t="n">
        <v>0</v>
      </c>
      <c r="J982" t="n">
        <v>0</v>
      </c>
      <c r="K982" t="n">
        <v>0</v>
      </c>
      <c r="L982" t="n">
        <v>0</v>
      </c>
      <c r="M982" t="n">
        <v>0</v>
      </c>
      <c r="N982" t="n">
        <v>0</v>
      </c>
      <c r="O982" t="n">
        <v>0</v>
      </c>
      <c r="P982" t="n">
        <v>0</v>
      </c>
      <c r="Q982" t="n">
        <v>0</v>
      </c>
      <c r="R982" s="2" t="inlineStr"/>
    </row>
    <row r="983" ht="15" customHeight="1">
      <c r="A983" t="inlineStr">
        <is>
          <t>A 32981-2025</t>
        </is>
      </c>
      <c r="B983" s="1" t="n">
        <v>45839.86820601852</v>
      </c>
      <c r="C983" s="1" t="n">
        <v>45890</v>
      </c>
      <c r="D983" t="inlineStr">
        <is>
          <t>SKÅNE LÄN</t>
        </is>
      </c>
      <c r="E983" t="inlineStr">
        <is>
          <t>HÄSSLEHOLM</t>
        </is>
      </c>
      <c r="G983" t="n">
        <v>2.7</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45890</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8755-2024</t>
        </is>
      </c>
      <c r="B985" s="1" t="n">
        <v>45356</v>
      </c>
      <c r="C985" s="1" t="n">
        <v>45890</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8760-2024</t>
        </is>
      </c>
      <c r="B986" s="1" t="n">
        <v>45356.53420138889</v>
      </c>
      <c r="C986" s="1" t="n">
        <v>45890</v>
      </c>
      <c r="D986" t="inlineStr">
        <is>
          <t>SKÅNE LÄN</t>
        </is>
      </c>
      <c r="E986" t="inlineStr">
        <is>
          <t>HÄSSLEHOLM</t>
        </is>
      </c>
      <c r="G986" t="n">
        <v>6.1</v>
      </c>
      <c r="H986" t="n">
        <v>0</v>
      </c>
      <c r="I986" t="n">
        <v>0</v>
      </c>
      <c r="J986" t="n">
        <v>0</v>
      </c>
      <c r="K986" t="n">
        <v>0</v>
      </c>
      <c r="L986" t="n">
        <v>0</v>
      </c>
      <c r="M986" t="n">
        <v>0</v>
      </c>
      <c r="N986" t="n">
        <v>0</v>
      </c>
      <c r="O986" t="n">
        <v>0</v>
      </c>
      <c r="P986" t="n">
        <v>0</v>
      </c>
      <c r="Q986" t="n">
        <v>0</v>
      </c>
      <c r="R986" s="2" t="inlineStr"/>
    </row>
    <row r="987" ht="15" customHeight="1">
      <c r="A987" t="inlineStr">
        <is>
          <t>A 4579-2025</t>
        </is>
      </c>
      <c r="B987" s="1" t="n">
        <v>45687.5009375</v>
      </c>
      <c r="C987" s="1" t="n">
        <v>45890</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21141-2024</t>
        </is>
      </c>
      <c r="B988" s="1" t="n">
        <v>45440.39012731481</v>
      </c>
      <c r="C988" s="1" t="n">
        <v>45890</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49379-2021</t>
        </is>
      </c>
      <c r="B989" s="1" t="n">
        <v>44454</v>
      </c>
      <c r="C989" s="1" t="n">
        <v>45890</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36240-2023</t>
        </is>
      </c>
      <c r="B990" s="1" t="n">
        <v>45150.89295138889</v>
      </c>
      <c r="C990" s="1" t="n">
        <v>45890</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33257-2024</t>
        </is>
      </c>
      <c r="B991" s="1" t="n">
        <v>45518</v>
      </c>
      <c r="C991" s="1" t="n">
        <v>45890</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13851-2025</t>
        </is>
      </c>
      <c r="B992" s="1" t="n">
        <v>45737.56777777777</v>
      </c>
      <c r="C992" s="1" t="n">
        <v>45890</v>
      </c>
      <c r="D992" t="inlineStr">
        <is>
          <t>SKÅNE LÄN</t>
        </is>
      </c>
      <c r="E992" t="inlineStr">
        <is>
          <t>HÄSSLEHOLM</t>
        </is>
      </c>
      <c r="G992" t="n">
        <v>3</v>
      </c>
      <c r="H992" t="n">
        <v>0</v>
      </c>
      <c r="I992" t="n">
        <v>0</v>
      </c>
      <c r="J992" t="n">
        <v>0</v>
      </c>
      <c r="K992" t="n">
        <v>0</v>
      </c>
      <c r="L992" t="n">
        <v>0</v>
      </c>
      <c r="M992" t="n">
        <v>0</v>
      </c>
      <c r="N992" t="n">
        <v>0</v>
      </c>
      <c r="O992" t="n">
        <v>0</v>
      </c>
      <c r="P992" t="n">
        <v>0</v>
      </c>
      <c r="Q992" t="n">
        <v>0</v>
      </c>
      <c r="R992" s="2" t="inlineStr"/>
    </row>
    <row r="993" ht="15" customHeight="1">
      <c r="A993" t="inlineStr">
        <is>
          <t>A 12469-2023</t>
        </is>
      </c>
      <c r="B993" s="1" t="n">
        <v>44999.62109953703</v>
      </c>
      <c r="C993" s="1" t="n">
        <v>45890</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45400-2022</t>
        </is>
      </c>
      <c r="B994" s="1" t="n">
        <v>44844.713125</v>
      </c>
      <c r="C994" s="1" t="n">
        <v>45890</v>
      </c>
      <c r="D994" t="inlineStr">
        <is>
          <t>SKÅNE LÄN</t>
        </is>
      </c>
      <c r="E994" t="inlineStr">
        <is>
          <t>HÄSSLEHOLM</t>
        </is>
      </c>
      <c r="G994" t="n">
        <v>1.6</v>
      </c>
      <c r="H994" t="n">
        <v>0</v>
      </c>
      <c r="I994" t="n">
        <v>0</v>
      </c>
      <c r="J994" t="n">
        <v>0</v>
      </c>
      <c r="K994" t="n">
        <v>0</v>
      </c>
      <c r="L994" t="n">
        <v>0</v>
      </c>
      <c r="M994" t="n">
        <v>0</v>
      </c>
      <c r="N994" t="n">
        <v>0</v>
      </c>
      <c r="O994" t="n">
        <v>0</v>
      </c>
      <c r="P994" t="n">
        <v>0</v>
      </c>
      <c r="Q994" t="n">
        <v>0</v>
      </c>
      <c r="R994" s="2" t="inlineStr"/>
    </row>
    <row r="995" ht="15" customHeight="1">
      <c r="A995" t="inlineStr">
        <is>
          <t>A 40319-2020</t>
        </is>
      </c>
      <c r="B995" s="1" t="n">
        <v>44068</v>
      </c>
      <c r="C995" s="1" t="n">
        <v>45890</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13961-2023</t>
        </is>
      </c>
      <c r="B996" s="1" t="n">
        <v>45008</v>
      </c>
      <c r="C996" s="1" t="n">
        <v>45890</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7581-2023</t>
        </is>
      </c>
      <c r="B997" s="1" t="n">
        <v>44972.39556712963</v>
      </c>
      <c r="C997" s="1" t="n">
        <v>45890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48191-2021</t>
        </is>
      </c>
      <c r="B998" s="1" t="n">
        <v>44449</v>
      </c>
      <c r="C998" s="1" t="n">
        <v>45890</v>
      </c>
      <c r="D998" t="inlineStr">
        <is>
          <t>SKÅNE LÄN</t>
        </is>
      </c>
      <c r="E998" t="inlineStr">
        <is>
          <t>HÄSSLEHOLM</t>
        </is>
      </c>
      <c r="G998" t="n">
        <v>6</v>
      </c>
      <c r="H998" t="n">
        <v>0</v>
      </c>
      <c r="I998" t="n">
        <v>0</v>
      </c>
      <c r="J998" t="n">
        <v>0</v>
      </c>
      <c r="K998" t="n">
        <v>0</v>
      </c>
      <c r="L998" t="n">
        <v>0</v>
      </c>
      <c r="M998" t="n">
        <v>0</v>
      </c>
      <c r="N998" t="n">
        <v>0</v>
      </c>
      <c r="O998" t="n">
        <v>0</v>
      </c>
      <c r="P998" t="n">
        <v>0</v>
      </c>
      <c r="Q998" t="n">
        <v>0</v>
      </c>
      <c r="R998" s="2" t="inlineStr"/>
    </row>
    <row r="999" ht="15" customHeight="1">
      <c r="A999" t="inlineStr">
        <is>
          <t>A 24865-2024</t>
        </is>
      </c>
      <c r="B999" s="1" t="n">
        <v>45461.48974537037</v>
      </c>
      <c r="C999" s="1" t="n">
        <v>45890</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5282-2023</t>
        </is>
      </c>
      <c r="B1000" s="1" t="n">
        <v>44959.50471064815</v>
      </c>
      <c r="C1000" s="1" t="n">
        <v>45890</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28599-2024</t>
        </is>
      </c>
      <c r="B1001" s="1" t="n">
        <v>45478.4247800926</v>
      </c>
      <c r="C1001" s="1" t="n">
        <v>45890</v>
      </c>
      <c r="D1001" t="inlineStr">
        <is>
          <t>SKÅNE LÄN</t>
        </is>
      </c>
      <c r="E1001" t="inlineStr">
        <is>
          <t>HÄSSLEHOLM</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52548-2023</t>
        </is>
      </c>
      <c r="B1002" s="1" t="n">
        <v>45218</v>
      </c>
      <c r="C1002" s="1" t="n">
        <v>45890</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33875-2025</t>
        </is>
      </c>
      <c r="B1003" s="1" t="n">
        <v>45842.55300925926</v>
      </c>
      <c r="C1003" s="1" t="n">
        <v>45890</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12503-2022</t>
        </is>
      </c>
      <c r="B1004" s="1" t="n">
        <v>44638</v>
      </c>
      <c r="C1004" s="1" t="n">
        <v>45890</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58272-2024</t>
        </is>
      </c>
      <c r="B1005" s="1" t="n">
        <v>45632.57025462963</v>
      </c>
      <c r="C1005" s="1" t="n">
        <v>45890</v>
      </c>
      <c r="D1005" t="inlineStr">
        <is>
          <t>SKÅNE LÄN</t>
        </is>
      </c>
      <c r="E1005" t="inlineStr">
        <is>
          <t>HÄSSLEHOLM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33877-2025</t>
        </is>
      </c>
      <c r="B1006" s="1" t="n">
        <v>45842.55564814815</v>
      </c>
      <c r="C1006" s="1" t="n">
        <v>45890</v>
      </c>
      <c r="D1006" t="inlineStr">
        <is>
          <t>SKÅNE LÄN</t>
        </is>
      </c>
      <c r="E1006" t="inlineStr">
        <is>
          <t>HÄSSLEHOLM</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33879-2025</t>
        </is>
      </c>
      <c r="B1007" s="1" t="n">
        <v>45842.55766203703</v>
      </c>
      <c r="C1007" s="1" t="n">
        <v>45890</v>
      </c>
      <c r="D1007" t="inlineStr">
        <is>
          <t>SKÅNE LÄN</t>
        </is>
      </c>
      <c r="E1007" t="inlineStr">
        <is>
          <t>HÄSSLEHOLM</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18580-2023</t>
        </is>
      </c>
      <c r="B1008" s="1" t="n">
        <v>45043.37037037037</v>
      </c>
      <c r="C1008" s="1" t="n">
        <v>45890</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9555-2025</t>
        </is>
      </c>
      <c r="B1009" s="1" t="n">
        <v>45714</v>
      </c>
      <c r="C1009" s="1" t="n">
        <v>45890</v>
      </c>
      <c r="D1009" t="inlineStr">
        <is>
          <t>SKÅNE LÄN</t>
        </is>
      </c>
      <c r="E1009" t="inlineStr">
        <is>
          <t>HÄSSLEHOLM</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9485-2023</t>
        </is>
      </c>
      <c r="B1010" s="1" t="n">
        <v>44981.60901620371</v>
      </c>
      <c r="C1010" s="1" t="n">
        <v>45890</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9611-2025</t>
        </is>
      </c>
      <c r="B1011" s="1" t="n">
        <v>45715</v>
      </c>
      <c r="C1011" s="1" t="n">
        <v>45890</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33948-2025</t>
        </is>
      </c>
      <c r="B1012" s="1" t="n">
        <v>45842.65945601852</v>
      </c>
      <c r="C1012" s="1" t="n">
        <v>45890</v>
      </c>
      <c r="D1012" t="inlineStr">
        <is>
          <t>SKÅNE LÄN</t>
        </is>
      </c>
      <c r="E1012" t="inlineStr">
        <is>
          <t>HÄSSLEHOLM</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24906-2022</t>
        </is>
      </c>
      <c r="B1013" s="1" t="n">
        <v>44728</v>
      </c>
      <c r="C1013" s="1" t="n">
        <v>45890</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54777-2022</t>
        </is>
      </c>
      <c r="B1014" s="1" t="n">
        <v>44883</v>
      </c>
      <c r="C1014" s="1" t="n">
        <v>45890</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61929-2023</t>
        </is>
      </c>
      <c r="B1015" s="1" t="n">
        <v>45266</v>
      </c>
      <c r="C1015" s="1" t="n">
        <v>45890</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13555-2025</t>
        </is>
      </c>
      <c r="B1016" s="1" t="n">
        <v>45736</v>
      </c>
      <c r="C1016" s="1" t="n">
        <v>45890</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4734-2025</t>
        </is>
      </c>
      <c r="B1017" s="1" t="n">
        <v>45688.44030092593</v>
      </c>
      <c r="C1017" s="1" t="n">
        <v>45890</v>
      </c>
      <c r="D1017" t="inlineStr">
        <is>
          <t>SKÅNE LÄN</t>
        </is>
      </c>
      <c r="E1017" t="inlineStr">
        <is>
          <t>HÄSSLEHOLM</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3890-2024</t>
        </is>
      </c>
      <c r="B1018" s="1" t="n">
        <v>45322.45366898148</v>
      </c>
      <c r="C1018" s="1" t="n">
        <v>45890</v>
      </c>
      <c r="D1018" t="inlineStr">
        <is>
          <t>SKÅNE LÄN</t>
        </is>
      </c>
      <c r="E1018" t="inlineStr">
        <is>
          <t>HÄSSLEHOLM</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22678-2025</t>
        </is>
      </c>
      <c r="B1019" s="1" t="n">
        <v>45789.49725694444</v>
      </c>
      <c r="C1019" s="1" t="n">
        <v>45890</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25726-2025</t>
        </is>
      </c>
      <c r="B1020" s="1" t="n">
        <v>45803</v>
      </c>
      <c r="C1020" s="1" t="n">
        <v>45890</v>
      </c>
      <c r="D1020" t="inlineStr">
        <is>
          <t>SKÅNE LÄN</t>
        </is>
      </c>
      <c r="E1020" t="inlineStr">
        <is>
          <t>HÄSSLEHOLM</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15800-2025</t>
        </is>
      </c>
      <c r="B1021" s="1" t="n">
        <v>45748.64831018518</v>
      </c>
      <c r="C1021" s="1" t="n">
        <v>45890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44940-2023</t>
        </is>
      </c>
      <c r="B1022" s="1" t="n">
        <v>45190.68653935185</v>
      </c>
      <c r="C1022" s="1" t="n">
        <v>45890</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25533-2024</t>
        </is>
      </c>
      <c r="B1023" s="1" t="n">
        <v>45463</v>
      </c>
      <c r="C1023" s="1" t="n">
        <v>45890</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61498-2022</t>
        </is>
      </c>
      <c r="B1024" s="1" t="n">
        <v>44910</v>
      </c>
      <c r="C1024" s="1" t="n">
        <v>45890</v>
      </c>
      <c r="D1024" t="inlineStr">
        <is>
          <t>SKÅNE LÄN</t>
        </is>
      </c>
      <c r="E1024" t="inlineStr">
        <is>
          <t>HÄSSLEHOLM</t>
        </is>
      </c>
      <c r="F1024" t="inlineStr">
        <is>
          <t>Kyrkan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32958-2023</t>
        </is>
      </c>
      <c r="B1025" s="1" t="n">
        <v>45125.52142361111</v>
      </c>
      <c r="C1025" s="1" t="n">
        <v>45890</v>
      </c>
      <c r="D1025" t="inlineStr">
        <is>
          <t>SKÅNE LÄN</t>
        </is>
      </c>
      <c r="E1025" t="inlineStr">
        <is>
          <t>HÄSSLEHOLM</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22696-2023</t>
        </is>
      </c>
      <c r="B1026" s="1" t="n">
        <v>45071.69464120371</v>
      </c>
      <c r="C1026" s="1" t="n">
        <v>45890</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52337-2023</t>
        </is>
      </c>
      <c r="B1027" s="1" t="n">
        <v>45224.66359953704</v>
      </c>
      <c r="C1027" s="1" t="n">
        <v>45890</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34174-2025</t>
        </is>
      </c>
      <c r="B1028" s="1" t="n">
        <v>45844</v>
      </c>
      <c r="C1028" s="1" t="n">
        <v>45890</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23955-2023</t>
        </is>
      </c>
      <c r="B1029" s="1" t="n">
        <v>45078.62217592593</v>
      </c>
      <c r="C1029" s="1" t="n">
        <v>45890</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34177-2025</t>
        </is>
      </c>
      <c r="B1030" s="1" t="n">
        <v>45844</v>
      </c>
      <c r="C1030" s="1" t="n">
        <v>45890</v>
      </c>
      <c r="D1030" t="inlineStr">
        <is>
          <t>SKÅNE LÄN</t>
        </is>
      </c>
      <c r="E1030" t="inlineStr">
        <is>
          <t>HÄSSLEHOLM</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10897-2023</t>
        </is>
      </c>
      <c r="B1031" s="1" t="n">
        <v>44985</v>
      </c>
      <c r="C1031" s="1" t="n">
        <v>45890</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50571-2023</t>
        </is>
      </c>
      <c r="B1032" s="1" t="n">
        <v>45217.38359953704</v>
      </c>
      <c r="C1032" s="1" t="n">
        <v>45890</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33950-2025</t>
        </is>
      </c>
      <c r="B1033" s="1" t="n">
        <v>45842</v>
      </c>
      <c r="C1033" s="1" t="n">
        <v>45890</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18908-2023</t>
        </is>
      </c>
      <c r="B1034" s="1" t="n">
        <v>45044</v>
      </c>
      <c r="C1034" s="1" t="n">
        <v>45890</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10028-2024</t>
        </is>
      </c>
      <c r="B1035" s="1" t="n">
        <v>45363.97292824074</v>
      </c>
      <c r="C1035" s="1" t="n">
        <v>45890</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13084-2025</t>
        </is>
      </c>
      <c r="B1036" s="1" t="n">
        <v>45734</v>
      </c>
      <c r="C1036" s="1" t="n">
        <v>45890</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16285-2025</t>
        </is>
      </c>
      <c r="B1037" s="1" t="n">
        <v>45751.30045138889</v>
      </c>
      <c r="C1037" s="1" t="n">
        <v>45890</v>
      </c>
      <c r="D1037" t="inlineStr">
        <is>
          <t>SKÅNE LÄN</t>
        </is>
      </c>
      <c r="E1037" t="inlineStr">
        <is>
          <t>HÄSSLEHOLM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13897-2024</t>
        </is>
      </c>
      <c r="B1038" s="1" t="n">
        <v>45391</v>
      </c>
      <c r="C1038" s="1" t="n">
        <v>45890</v>
      </c>
      <c r="D1038" t="inlineStr">
        <is>
          <t>SKÅNE LÄN</t>
        </is>
      </c>
      <c r="E1038" t="inlineStr">
        <is>
          <t>HÄSSLEHOLM</t>
        </is>
      </c>
      <c r="F1038" t="inlineStr">
        <is>
          <t>Kommuner</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56355-2023</t>
        </is>
      </c>
      <c r="B1039" s="1" t="n">
        <v>45243.3702662037</v>
      </c>
      <c r="C1039" s="1" t="n">
        <v>45890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46000-2021</t>
        </is>
      </c>
      <c r="B1040" s="1" t="n">
        <v>44441</v>
      </c>
      <c r="C1040" s="1" t="n">
        <v>45890</v>
      </c>
      <c r="D1040" t="inlineStr">
        <is>
          <t>SKÅNE LÄN</t>
        </is>
      </c>
      <c r="E1040" t="inlineStr">
        <is>
          <t>HÄSSLEHOLM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39366-2025</t>
        </is>
      </c>
      <c r="B1041" s="1" t="n">
        <v>45889</v>
      </c>
      <c r="C1041" s="1" t="n">
        <v>45890</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39400-2025</t>
        </is>
      </c>
      <c r="B1042" s="1" t="n">
        <v>45889</v>
      </c>
      <c r="C1042" s="1" t="n">
        <v>45890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4009-2024</t>
        </is>
      </c>
      <c r="B1043" s="1" t="n">
        <v>45323</v>
      </c>
      <c r="C1043" s="1" t="n">
        <v>45890</v>
      </c>
      <c r="D1043" t="inlineStr">
        <is>
          <t>SKÅNE LÄN</t>
        </is>
      </c>
      <c r="E1043" t="inlineStr">
        <is>
          <t>HÄSSLEHOLM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10928-2024</t>
        </is>
      </c>
      <c r="B1044" s="1" t="n">
        <v>45370</v>
      </c>
      <c r="C1044" s="1" t="n">
        <v>45890</v>
      </c>
      <c r="D1044" t="inlineStr">
        <is>
          <t>SKÅNE LÄN</t>
        </is>
      </c>
      <c r="E1044" t="inlineStr">
        <is>
          <t>HÄSSLEHOLM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10944-2024</t>
        </is>
      </c>
      <c r="B1045" s="1" t="n">
        <v>45370</v>
      </c>
      <c r="C1045" s="1" t="n">
        <v>45890</v>
      </c>
      <c r="D1045" t="inlineStr">
        <is>
          <t>SKÅNE LÄN</t>
        </is>
      </c>
      <c r="E1045" t="inlineStr">
        <is>
          <t>HÄSSLEHOLM</t>
        </is>
      </c>
      <c r="F1045" t="inlineStr">
        <is>
          <t>Övriga Aktiebolag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39453-2025</t>
        </is>
      </c>
      <c r="B1046" s="1" t="n">
        <v>45889</v>
      </c>
      <c r="C1046" s="1" t="n">
        <v>45890</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59246-2024</t>
        </is>
      </c>
      <c r="B1047" s="1" t="n">
        <v>45636</v>
      </c>
      <c r="C1047" s="1" t="n">
        <v>45890</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20800-2023</t>
        </is>
      </c>
      <c r="B1048" s="1" t="n">
        <v>45058.61640046296</v>
      </c>
      <c r="C1048" s="1" t="n">
        <v>45890</v>
      </c>
      <c r="D1048" t="inlineStr">
        <is>
          <t>SKÅNE LÄN</t>
        </is>
      </c>
      <c r="E1048" t="inlineStr">
        <is>
          <t>HÄSSLEHOLM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6087-2025</t>
        </is>
      </c>
      <c r="B1049" s="1" t="n">
        <v>45697.69782407407</v>
      </c>
      <c r="C1049" s="1" t="n">
        <v>45890</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33466-2024</t>
        </is>
      </c>
      <c r="B1050" s="1" t="n">
        <v>45519</v>
      </c>
      <c r="C1050" s="1" t="n">
        <v>45890</v>
      </c>
      <c r="D1050" t="inlineStr">
        <is>
          <t>SKÅNE LÄN</t>
        </is>
      </c>
      <c r="E1050" t="inlineStr">
        <is>
          <t>HÄSSLEHOLM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11019-2025</t>
        </is>
      </c>
      <c r="B1051" s="1" t="n">
        <v>45723</v>
      </c>
      <c r="C1051" s="1" t="n">
        <v>45890</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6612-2024</t>
        </is>
      </c>
      <c r="B1052" s="1" t="n">
        <v>45341.58859953703</v>
      </c>
      <c r="C1052" s="1" t="n">
        <v>45890</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39457-2025</t>
        </is>
      </c>
      <c r="B1053" s="1" t="n">
        <v>45889.76887731482</v>
      </c>
      <c r="C1053" s="1" t="n">
        <v>45890</v>
      </c>
      <c r="D1053" t="inlineStr">
        <is>
          <t>SKÅNE LÄN</t>
        </is>
      </c>
      <c r="E1053" t="inlineStr">
        <is>
          <t>HÄSSLEHOLM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1886-2025</t>
        </is>
      </c>
      <c r="B1054" s="1" t="n">
        <v>45671</v>
      </c>
      <c r="C1054" s="1" t="n">
        <v>45890</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11681-2023</t>
        </is>
      </c>
      <c r="B1055" s="1" t="n">
        <v>44992</v>
      </c>
      <c r="C1055" s="1" t="n">
        <v>45890</v>
      </c>
      <c r="D1055" t="inlineStr">
        <is>
          <t>SKÅNE LÄN</t>
        </is>
      </c>
      <c r="E1055" t="inlineStr">
        <is>
          <t>HÄSSLEHOLM</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26879-2024</t>
        </is>
      </c>
      <c r="B1056" s="1" t="n">
        <v>45470</v>
      </c>
      <c r="C1056" s="1" t="n">
        <v>45890</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33927-2021</t>
        </is>
      </c>
      <c r="B1057" s="1" t="n">
        <v>44378</v>
      </c>
      <c r="C1057" s="1" t="n">
        <v>45890</v>
      </c>
      <c r="D1057" t="inlineStr">
        <is>
          <t>SKÅNE LÄN</t>
        </is>
      </c>
      <c r="E1057" t="inlineStr">
        <is>
          <t>HÄSSLEHOLM</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7305-2025</t>
        </is>
      </c>
      <c r="B1058" s="1" t="n">
        <v>45702</v>
      </c>
      <c r="C1058" s="1" t="n">
        <v>45890</v>
      </c>
      <c r="D1058" t="inlineStr">
        <is>
          <t>SKÅNE LÄN</t>
        </is>
      </c>
      <c r="E1058" t="inlineStr">
        <is>
          <t>HÄSSLEHOLM</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54473-2023</t>
        </is>
      </c>
      <c r="B1059" s="1" t="n">
        <v>45233</v>
      </c>
      <c r="C1059" s="1" t="n">
        <v>45890</v>
      </c>
      <c r="D1059" t="inlineStr">
        <is>
          <t>SKÅNE LÄN</t>
        </is>
      </c>
      <c r="E1059" t="inlineStr">
        <is>
          <t>HÄSSLEHOLM</t>
        </is>
      </c>
      <c r="G1059" t="n">
        <v>24.5</v>
      </c>
      <c r="H1059" t="n">
        <v>0</v>
      </c>
      <c r="I1059" t="n">
        <v>0</v>
      </c>
      <c r="J1059" t="n">
        <v>0</v>
      </c>
      <c r="K1059" t="n">
        <v>0</v>
      </c>
      <c r="L1059" t="n">
        <v>0</v>
      </c>
      <c r="M1059" t="n">
        <v>0</v>
      </c>
      <c r="N1059" t="n">
        <v>0</v>
      </c>
      <c r="O1059" t="n">
        <v>0</v>
      </c>
      <c r="P1059" t="n">
        <v>0</v>
      </c>
      <c r="Q1059" t="n">
        <v>0</v>
      </c>
      <c r="R1059" s="2" t="inlineStr"/>
    </row>
    <row r="1060" ht="15" customHeight="1">
      <c r="A1060" t="inlineStr">
        <is>
          <t>A 11240-2023</t>
        </is>
      </c>
      <c r="B1060" s="1" t="n">
        <v>44992</v>
      </c>
      <c r="C1060" s="1" t="n">
        <v>45890</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5116-2023</t>
        </is>
      </c>
      <c r="B1061" s="1" t="n">
        <v>44958.67546296296</v>
      </c>
      <c r="C1061" s="1" t="n">
        <v>45890</v>
      </c>
      <c r="D1061" t="inlineStr">
        <is>
          <t>SKÅNE LÄN</t>
        </is>
      </c>
      <c r="E1061" t="inlineStr">
        <is>
          <t>HÄSSLEHOLM</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16108-2025</t>
        </is>
      </c>
      <c r="B1062" s="1" t="n">
        <v>45750.34667824074</v>
      </c>
      <c r="C1062" s="1" t="n">
        <v>45890</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48326-2023</t>
        </is>
      </c>
      <c r="B1063" s="1" t="n">
        <v>45205</v>
      </c>
      <c r="C1063" s="1" t="n">
        <v>45890</v>
      </c>
      <c r="D1063" t="inlineStr">
        <is>
          <t>SKÅNE LÄN</t>
        </is>
      </c>
      <c r="E1063" t="inlineStr">
        <is>
          <t>HÄSSLEHOLM</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42364-2023</t>
        </is>
      </c>
      <c r="B1064" s="1" t="n">
        <v>45180.54754629629</v>
      </c>
      <c r="C1064" s="1" t="n">
        <v>45890</v>
      </c>
      <c r="D1064" t="inlineStr">
        <is>
          <t>SKÅNE LÄN</t>
        </is>
      </c>
      <c r="E1064" t="inlineStr">
        <is>
          <t>HÄSSLEHOLM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54408-2024</t>
        </is>
      </c>
      <c r="B1065" s="1" t="n">
        <v>45617.47263888889</v>
      </c>
      <c r="C1065" s="1" t="n">
        <v>45890</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54518-2022</t>
        </is>
      </c>
      <c r="B1066" s="1" t="n">
        <v>44882</v>
      </c>
      <c r="C1066" s="1" t="n">
        <v>45890</v>
      </c>
      <c r="D1066" t="inlineStr">
        <is>
          <t>SKÅNE LÄN</t>
        </is>
      </c>
      <c r="E1066" t="inlineStr">
        <is>
          <t>HÄSSLEHOLM</t>
        </is>
      </c>
      <c r="F1066" t="inlineStr">
        <is>
          <t>Övriga Aktiebolag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57491-2024</t>
        </is>
      </c>
      <c r="B1067" s="1" t="n">
        <v>45629</v>
      </c>
      <c r="C1067" s="1" t="n">
        <v>45890</v>
      </c>
      <c r="D1067" t="inlineStr">
        <is>
          <t>SKÅNE LÄN</t>
        </is>
      </c>
      <c r="E1067" t="inlineStr">
        <is>
          <t>HÄSSLEHOLM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52912-2022</t>
        </is>
      </c>
      <c r="B1068" s="1" t="n">
        <v>44872</v>
      </c>
      <c r="C1068" s="1" t="n">
        <v>45890</v>
      </c>
      <c r="D1068" t="inlineStr">
        <is>
          <t>SKÅNE LÄN</t>
        </is>
      </c>
      <c r="E1068" t="inlineStr">
        <is>
          <t>HÄSSLEHOLM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5780-2024</t>
        </is>
      </c>
      <c r="B1069" s="1" t="n">
        <v>45335.41983796296</v>
      </c>
      <c r="C1069" s="1" t="n">
        <v>45890</v>
      </c>
      <c r="D1069" t="inlineStr">
        <is>
          <t>SKÅNE LÄN</t>
        </is>
      </c>
      <c r="E1069" t="inlineStr">
        <is>
          <t>HÄSSLEHOLM</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16950-2025</t>
        </is>
      </c>
      <c r="B1070" s="1" t="n">
        <v>45755</v>
      </c>
      <c r="C1070" s="1" t="n">
        <v>45890</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27502-2023</t>
        </is>
      </c>
      <c r="B1071" s="1" t="n">
        <v>45092</v>
      </c>
      <c r="C1071" s="1" t="n">
        <v>45890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56158-2020</t>
        </is>
      </c>
      <c r="B1072" s="1" t="n">
        <v>44133</v>
      </c>
      <c r="C1072" s="1" t="n">
        <v>45890</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7481-2023</t>
        </is>
      </c>
      <c r="B1073" s="1" t="n">
        <v>44971</v>
      </c>
      <c r="C1073" s="1" t="n">
        <v>45890</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6836-2023</t>
        </is>
      </c>
      <c r="B1074" s="1" t="n">
        <v>44967</v>
      </c>
      <c r="C1074" s="1" t="n">
        <v>45890</v>
      </c>
      <c r="D1074" t="inlineStr">
        <is>
          <t>SKÅNE LÄN</t>
        </is>
      </c>
      <c r="E1074" t="inlineStr">
        <is>
          <t>HÄSSLEHOLM</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6845-2023</t>
        </is>
      </c>
      <c r="B1075" s="1" t="n">
        <v>44967</v>
      </c>
      <c r="C1075" s="1" t="n">
        <v>45890</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59728-2022</t>
        </is>
      </c>
      <c r="B1076" s="1" t="n">
        <v>44900</v>
      </c>
      <c r="C1076" s="1" t="n">
        <v>45890</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6791-2021</t>
        </is>
      </c>
      <c r="B1077" s="1" t="n">
        <v>44236</v>
      </c>
      <c r="C1077" s="1" t="n">
        <v>45890</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53887-2023</t>
        </is>
      </c>
      <c r="B1078" s="1" t="n">
        <v>45231.52675925926</v>
      </c>
      <c r="C1078" s="1" t="n">
        <v>45890</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23683-2023</t>
        </is>
      </c>
      <c r="B1079" s="1" t="n">
        <v>45077</v>
      </c>
      <c r="C1079" s="1" t="n">
        <v>45890</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2663-2023</t>
        </is>
      </c>
      <c r="B1080" s="1" t="n">
        <v>44942</v>
      </c>
      <c r="C1080" s="1" t="n">
        <v>45890</v>
      </c>
      <c r="D1080" t="inlineStr">
        <is>
          <t>SKÅNE LÄN</t>
        </is>
      </c>
      <c r="E1080" t="inlineStr">
        <is>
          <t>HÄSSLEHOLM</t>
        </is>
      </c>
      <c r="F1080" t="inlineStr">
        <is>
          <t>Kyrkan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23172-2022</t>
        </is>
      </c>
      <c r="B1081" s="1" t="n">
        <v>44719</v>
      </c>
      <c r="C1081" s="1" t="n">
        <v>45890</v>
      </c>
      <c r="D1081" t="inlineStr">
        <is>
          <t>SKÅNE LÄN</t>
        </is>
      </c>
      <c r="E1081" t="inlineStr">
        <is>
          <t>HÄSSLEHOLM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23173-2022</t>
        </is>
      </c>
      <c r="B1082" s="1" t="n">
        <v>44719.72155092593</v>
      </c>
      <c r="C1082" s="1" t="n">
        <v>45890</v>
      </c>
      <c r="D1082" t="inlineStr">
        <is>
          <t>SKÅNE LÄN</t>
        </is>
      </c>
      <c r="E1082" t="inlineStr">
        <is>
          <t>HÄSSLEHOLM</t>
        </is>
      </c>
      <c r="F1082" t="inlineStr">
        <is>
          <t>Övriga Aktiebolag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21329-2023</t>
        </is>
      </c>
      <c r="B1083" s="1" t="n">
        <v>45062</v>
      </c>
      <c r="C1083" s="1" t="n">
        <v>45890</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1543-2024</t>
        </is>
      </c>
      <c r="B1084" s="1" t="n">
        <v>45306</v>
      </c>
      <c r="C1084" s="1" t="n">
        <v>45890</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18800-2023</t>
        </is>
      </c>
      <c r="B1085" s="1" t="n">
        <v>45044</v>
      </c>
      <c r="C1085" s="1" t="n">
        <v>45890</v>
      </c>
      <c r="D1085" t="inlineStr">
        <is>
          <t>SKÅNE LÄN</t>
        </is>
      </c>
      <c r="E1085" t="inlineStr">
        <is>
          <t>HÄSSLEHOLM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17492-2025</t>
        </is>
      </c>
      <c r="B1086" s="1" t="n">
        <v>45747</v>
      </c>
      <c r="C1086" s="1" t="n">
        <v>45890</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16357-2025</t>
        </is>
      </c>
      <c r="B1087" s="1" t="n">
        <v>45751.38916666667</v>
      </c>
      <c r="C1087" s="1" t="n">
        <v>45890</v>
      </c>
      <c r="D1087" t="inlineStr">
        <is>
          <t>SKÅNE LÄN</t>
        </is>
      </c>
      <c r="E1087" t="inlineStr">
        <is>
          <t>HÄSSLEHOLM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25077-2024</t>
        </is>
      </c>
      <c r="B1088" s="1" t="n">
        <v>45462</v>
      </c>
      <c r="C1088" s="1" t="n">
        <v>45890</v>
      </c>
      <c r="D1088" t="inlineStr">
        <is>
          <t>SKÅNE LÄN</t>
        </is>
      </c>
      <c r="E1088" t="inlineStr">
        <is>
          <t>HÄSSLEHOLM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22535-2024</t>
        </is>
      </c>
      <c r="B1089" s="1" t="n">
        <v>45447</v>
      </c>
      <c r="C1089" s="1" t="n">
        <v>45890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50664-2023</t>
        </is>
      </c>
      <c r="B1090" s="1" t="n">
        <v>45217</v>
      </c>
      <c r="C1090" s="1" t="n">
        <v>45890</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15060-2023</t>
        </is>
      </c>
      <c r="B1091" s="1" t="n">
        <v>45015.69832175926</v>
      </c>
      <c r="C1091" s="1" t="n">
        <v>45890</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4787-2023</t>
        </is>
      </c>
      <c r="B1092" s="1" t="n">
        <v>44957.60079861111</v>
      </c>
      <c r="C1092" s="1" t="n">
        <v>45890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4788-2023</t>
        </is>
      </c>
      <c r="B1093" s="1" t="n">
        <v>44957.60130787037</v>
      </c>
      <c r="C1093" s="1" t="n">
        <v>45890</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34348-2022</t>
        </is>
      </c>
      <c r="B1094" s="1" t="n">
        <v>44792</v>
      </c>
      <c r="C1094" s="1" t="n">
        <v>45890</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45399-2022</t>
        </is>
      </c>
      <c r="B1095" s="1" t="n">
        <v>44844.70513888889</v>
      </c>
      <c r="C1095" s="1" t="n">
        <v>45890</v>
      </c>
      <c r="D1095" t="inlineStr">
        <is>
          <t>SKÅNE LÄN</t>
        </is>
      </c>
      <c r="E1095" t="inlineStr">
        <is>
          <t>HÄSSLEHOLM</t>
        </is>
      </c>
      <c r="G1095" t="n">
        <v>0</v>
      </c>
      <c r="H1095" t="n">
        <v>0</v>
      </c>
      <c r="I1095" t="n">
        <v>0</v>
      </c>
      <c r="J1095" t="n">
        <v>0</v>
      </c>
      <c r="K1095" t="n">
        <v>0</v>
      </c>
      <c r="L1095" t="n">
        <v>0</v>
      </c>
      <c r="M1095" t="n">
        <v>0</v>
      </c>
      <c r="N1095" t="n">
        <v>0</v>
      </c>
      <c r="O1095" t="n">
        <v>0</v>
      </c>
      <c r="P1095" t="n">
        <v>0</v>
      </c>
      <c r="Q1095" t="n">
        <v>0</v>
      </c>
      <c r="R1095" s="2" t="inlineStr"/>
    </row>
    <row r="1096" ht="15" customHeight="1">
      <c r="A1096" t="inlineStr">
        <is>
          <t>A 35640-2023</t>
        </is>
      </c>
      <c r="B1096" s="1" t="n">
        <v>45147</v>
      </c>
      <c r="C1096" s="1" t="n">
        <v>45890</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42428-2022</t>
        </is>
      </c>
      <c r="B1097" s="1" t="n">
        <v>44831</v>
      </c>
      <c r="C1097" s="1" t="n">
        <v>45890</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2681-2024</t>
        </is>
      </c>
      <c r="B1098" s="1" t="n">
        <v>45314</v>
      </c>
      <c r="C1098" s="1" t="n">
        <v>45890</v>
      </c>
      <c r="D1098" t="inlineStr">
        <is>
          <t>SKÅNE LÄN</t>
        </is>
      </c>
      <c r="E1098" t="inlineStr">
        <is>
          <t>HÄSSLEHOLM</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62171-2022</t>
        </is>
      </c>
      <c r="B1099" s="1" t="n">
        <v>44915</v>
      </c>
      <c r="C1099" s="1" t="n">
        <v>45890</v>
      </c>
      <c r="D1099" t="inlineStr">
        <is>
          <t>SKÅNE LÄN</t>
        </is>
      </c>
      <c r="E1099" t="inlineStr">
        <is>
          <t>HÄSSLEHOLM</t>
        </is>
      </c>
      <c r="F1099" t="inlineStr">
        <is>
          <t>Kyrkan</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27177-2024</t>
        </is>
      </c>
      <c r="B1100" s="1" t="n">
        <v>45471.57201388889</v>
      </c>
      <c r="C1100" s="1" t="n">
        <v>45890</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56956-2024</t>
        </is>
      </c>
      <c r="B1101" s="1" t="n">
        <v>45626</v>
      </c>
      <c r="C1101" s="1" t="n">
        <v>45890</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9885-2021</t>
        </is>
      </c>
      <c r="B1102" s="1" t="n">
        <v>44253</v>
      </c>
      <c r="C1102" s="1" t="n">
        <v>45890</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35711-2024</t>
        </is>
      </c>
      <c r="B1103" s="1" t="n">
        <v>45532</v>
      </c>
      <c r="C1103" s="1" t="n">
        <v>45890</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56490-2021</t>
        </is>
      </c>
      <c r="B1104" s="1" t="n">
        <v>44480</v>
      </c>
      <c r="C1104" s="1" t="n">
        <v>45890</v>
      </c>
      <c r="D1104" t="inlineStr">
        <is>
          <t>SKÅNE LÄN</t>
        </is>
      </c>
      <c r="E1104" t="inlineStr">
        <is>
          <t>HÄSSLEHOLM</t>
        </is>
      </c>
      <c r="F1104" t="inlineStr">
        <is>
          <t>Kyrkan</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61680-2022</t>
        </is>
      </c>
      <c r="B1105" s="1" t="n">
        <v>44917.36372685185</v>
      </c>
      <c r="C1105" s="1" t="n">
        <v>45890</v>
      </c>
      <c r="D1105" t="inlineStr">
        <is>
          <t>SKÅNE LÄN</t>
        </is>
      </c>
      <c r="E1105" t="inlineStr">
        <is>
          <t>HÄSSLEHOLM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61489-2024</t>
        </is>
      </c>
      <c r="B1106" s="1" t="n">
        <v>45646.54875</v>
      </c>
      <c r="C1106" s="1" t="n">
        <v>45890</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17699-2024</t>
        </is>
      </c>
      <c r="B1107" s="1" t="n">
        <v>45418.46094907408</v>
      </c>
      <c r="C1107" s="1" t="n">
        <v>45890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17702-2024</t>
        </is>
      </c>
      <c r="B1108" s="1" t="n">
        <v>45418.46534722222</v>
      </c>
      <c r="C1108" s="1" t="n">
        <v>45890</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6101-2022</t>
        </is>
      </c>
      <c r="B1109" s="1" t="n">
        <v>44599.63016203704</v>
      </c>
      <c r="C1109" s="1" t="n">
        <v>45890</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16951-2025</t>
        </is>
      </c>
      <c r="B1110" s="1" t="n">
        <v>45755</v>
      </c>
      <c r="C1110" s="1" t="n">
        <v>45890</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16614-2025</t>
        </is>
      </c>
      <c r="B1111" s="1" t="n">
        <v>45754.283125</v>
      </c>
      <c r="C1111" s="1" t="n">
        <v>45890</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3888-2024</t>
        </is>
      </c>
      <c r="B1112" s="1" t="n">
        <v>45322.45089120371</v>
      </c>
      <c r="C1112" s="1" t="n">
        <v>45890</v>
      </c>
      <c r="D1112" t="inlineStr">
        <is>
          <t>SKÅNE LÄN</t>
        </is>
      </c>
      <c r="E1112" t="inlineStr">
        <is>
          <t>HÄSSLEHOLM</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3889-2024</t>
        </is>
      </c>
      <c r="B1113" s="1" t="n">
        <v>45322.45234953704</v>
      </c>
      <c r="C1113" s="1" t="n">
        <v>45890</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3294-2025</t>
        </is>
      </c>
      <c r="B1114" s="1" t="n">
        <v>45679.64125</v>
      </c>
      <c r="C1114" s="1" t="n">
        <v>45890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9669-2025</t>
        </is>
      </c>
      <c r="B1115" s="1" t="n">
        <v>45716.32921296296</v>
      </c>
      <c r="C1115" s="1" t="n">
        <v>45890</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31995-2023</t>
        </is>
      </c>
      <c r="B1116" s="1" t="n">
        <v>45107</v>
      </c>
      <c r="C1116" s="1" t="n">
        <v>45890</v>
      </c>
      <c r="D1116" t="inlineStr">
        <is>
          <t>SKÅNE LÄN</t>
        </is>
      </c>
      <c r="E1116" t="inlineStr">
        <is>
          <t>HÄSSLEHOLM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31998-2023</t>
        </is>
      </c>
      <c r="B1117" s="1" t="n">
        <v>45119</v>
      </c>
      <c r="C1117" s="1" t="n">
        <v>45890</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5478-2021</t>
        </is>
      </c>
      <c r="B1118" s="1" t="n">
        <v>44230</v>
      </c>
      <c r="C1118" s="1" t="n">
        <v>45890</v>
      </c>
      <c r="D1118" t="inlineStr">
        <is>
          <t>SKÅNE LÄN</t>
        </is>
      </c>
      <c r="E1118" t="inlineStr">
        <is>
          <t>HÄSSLEHOLM</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7150-2025</t>
        </is>
      </c>
      <c r="B1119" s="1" t="n">
        <v>45702.38239583333</v>
      </c>
      <c r="C1119" s="1" t="n">
        <v>45890</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c r="A1120" t="inlineStr">
        <is>
          <t>A 20185-2023</t>
        </is>
      </c>
      <c r="B1120" s="1" t="n">
        <v>45055.56795138889</v>
      </c>
      <c r="C1120" s="1" t="n">
        <v>45890</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2025-08-21T08:28:49Z</dcterms:created>
  <dcterms:modified xmlns:dcterms="http://purl.org/dc/terms/" xmlns:xsi="http://www.w3.org/2001/XMLSchema-instance" xsi:type="dcterms:W3CDTF">2025-08-21T08:28:50Z</dcterms:modified>
</cp:coreProperties>
</file>