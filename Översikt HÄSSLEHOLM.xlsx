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45926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45926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45926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45926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45926</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45926</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45926</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45926</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45926</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45926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45926</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45926</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45926</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45926</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45926</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45926</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45926</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45926</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45926</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61707-2024</t>
        </is>
      </c>
      <c r="B21" s="1" t="n">
        <v>45648.61747685185</v>
      </c>
      <c r="C21" s="1" t="n">
        <v>45926</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16107-2025</t>
        </is>
      </c>
      <c r="B22" s="1" t="n">
        <v>45750.34537037037</v>
      </c>
      <c r="C22" s="1" t="n">
        <v>45926</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43874-2022</t>
        </is>
      </c>
      <c r="B23" s="1" t="n">
        <v>44838.44738425926</v>
      </c>
      <c r="C23" s="1" t="n">
        <v>45926</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6634-2024</t>
        </is>
      </c>
      <c r="B24" s="1" t="n">
        <v>45341</v>
      </c>
      <c r="C24" s="1" t="n">
        <v>45926</v>
      </c>
      <c r="D24" t="inlineStr">
        <is>
          <t>SKÅNE LÄN</t>
        </is>
      </c>
      <c r="E24" t="inlineStr">
        <is>
          <t>HÄSSLEHOLM</t>
        </is>
      </c>
      <c r="G24" t="n">
        <v>1.9</v>
      </c>
      <c r="H24" t="n">
        <v>0</v>
      </c>
      <c r="I24" t="n">
        <v>0</v>
      </c>
      <c r="J24" t="n">
        <v>0</v>
      </c>
      <c r="K24" t="n">
        <v>1</v>
      </c>
      <c r="L24" t="n">
        <v>0</v>
      </c>
      <c r="M24" t="n">
        <v>0</v>
      </c>
      <c r="N24" t="n">
        <v>0</v>
      </c>
      <c r="O24" t="n">
        <v>1</v>
      </c>
      <c r="P24" t="n">
        <v>1</v>
      </c>
      <c r="Q24" t="n">
        <v>1</v>
      </c>
      <c r="R24" s="2" t="inlineStr">
        <is>
          <t>Revig blodrot</t>
        </is>
      </c>
      <c r="S24">
        <f>HYPERLINK("https://klasma.github.io/Logging_1293/artfynd/A 6634-2024 artfynd.xlsx", "A 6634-2024")</f>
        <v/>
      </c>
      <c r="T24">
        <f>HYPERLINK("https://klasma.github.io/Logging_1293/kartor/A 6634-2024 karta.png", "A 6634-2024")</f>
        <v/>
      </c>
      <c r="V24">
        <f>HYPERLINK("https://klasma.github.io/Logging_1293/klagomål/A 6634-2024 FSC-klagomål.docx", "A 6634-2024")</f>
        <v/>
      </c>
      <c r="W24">
        <f>HYPERLINK("https://klasma.github.io/Logging_1293/klagomålsmail/A 6634-2024 FSC-klagomål mail.docx", "A 6634-2024")</f>
        <v/>
      </c>
      <c r="X24">
        <f>HYPERLINK("https://klasma.github.io/Logging_1293/tillsyn/A 6634-2024 tillsynsbegäran.docx", "A 6634-2024")</f>
        <v/>
      </c>
      <c r="Y24">
        <f>HYPERLINK("https://klasma.github.io/Logging_1293/tillsynsmail/A 6634-2024 tillsynsbegäran mail.docx", "A 6634-2024")</f>
        <v/>
      </c>
    </row>
    <row r="25" ht="15" customHeight="1">
      <c r="A25" t="inlineStr">
        <is>
          <t>A 60925-2024</t>
        </is>
      </c>
      <c r="B25" s="1" t="n">
        <v>45645.3550462963</v>
      </c>
      <c r="C25" s="1" t="n">
        <v>45926</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54523-2024</t>
        </is>
      </c>
      <c r="B26" s="1" t="n">
        <v>45617</v>
      </c>
      <c r="C26" s="1" t="n">
        <v>45926</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45926</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9289-2025</t>
        </is>
      </c>
      <c r="B28" s="1" t="n">
        <v>45714</v>
      </c>
      <c r="C28" s="1" t="n">
        <v>45926</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4619-2025</t>
        </is>
      </c>
      <c r="B29" s="1" t="n">
        <v>45687</v>
      </c>
      <c r="C29" s="1" t="n">
        <v>45926</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45926</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45926</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7862-2024</t>
        </is>
      </c>
      <c r="B32" s="1" t="n">
        <v>45348</v>
      </c>
      <c r="C32" s="1" t="n">
        <v>45926</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40613-2025</t>
        </is>
      </c>
      <c r="B33" s="1" t="n">
        <v>45896</v>
      </c>
      <c r="C33" s="1" t="n">
        <v>45926</v>
      </c>
      <c r="D33" t="inlineStr">
        <is>
          <t>SKÅNE LÄN</t>
        </is>
      </c>
      <c r="E33" t="inlineStr">
        <is>
          <t>HÄSSLEHOLM</t>
        </is>
      </c>
      <c r="F33" t="inlineStr">
        <is>
          <t>Kyrkan</t>
        </is>
      </c>
      <c r="G33" t="n">
        <v>3.4</v>
      </c>
      <c r="H33" t="n">
        <v>1</v>
      </c>
      <c r="I33" t="n">
        <v>0</v>
      </c>
      <c r="J33" t="n">
        <v>0</v>
      </c>
      <c r="K33" t="n">
        <v>0</v>
      </c>
      <c r="L33" t="n">
        <v>0</v>
      </c>
      <c r="M33" t="n">
        <v>0</v>
      </c>
      <c r="N33" t="n">
        <v>0</v>
      </c>
      <c r="O33" t="n">
        <v>0</v>
      </c>
      <c r="P33" t="n">
        <v>0</v>
      </c>
      <c r="Q33" t="n">
        <v>1</v>
      </c>
      <c r="R33" s="2" t="inlineStr">
        <is>
          <t>Revlummer</t>
        </is>
      </c>
      <c r="S33">
        <f>HYPERLINK("https://klasma.github.io/Logging_1293/artfynd/A 40613-2025 artfynd.xlsx", "A 40613-2025")</f>
        <v/>
      </c>
      <c r="T33">
        <f>HYPERLINK("https://klasma.github.io/Logging_1293/kartor/A 40613-2025 karta.png", "A 40613-2025")</f>
        <v/>
      </c>
      <c r="V33">
        <f>HYPERLINK("https://klasma.github.io/Logging_1293/klagomål/A 40613-2025 FSC-klagomål.docx", "A 40613-2025")</f>
        <v/>
      </c>
      <c r="W33">
        <f>HYPERLINK("https://klasma.github.io/Logging_1293/klagomålsmail/A 40613-2025 FSC-klagomål mail.docx", "A 40613-2025")</f>
        <v/>
      </c>
      <c r="X33">
        <f>HYPERLINK("https://klasma.github.io/Logging_1293/tillsyn/A 40613-2025 tillsynsbegäran.docx", "A 40613-2025")</f>
        <v/>
      </c>
      <c r="Y33">
        <f>HYPERLINK("https://klasma.github.io/Logging_1293/tillsynsmail/A 40613-2025 tillsynsbegäran mail.docx", "A 40613-2025")</f>
        <v/>
      </c>
    </row>
    <row r="34" ht="15" customHeight="1">
      <c r="A34" t="inlineStr">
        <is>
          <t>A 8223-2025</t>
        </is>
      </c>
      <c r="B34" s="1" t="n">
        <v>45708.46127314815</v>
      </c>
      <c r="C34" s="1" t="n">
        <v>45926</v>
      </c>
      <c r="D34" t="inlineStr">
        <is>
          <t>SKÅNE LÄN</t>
        </is>
      </c>
      <c r="E34" t="inlineStr">
        <is>
          <t>HÄSSLEHOLM</t>
        </is>
      </c>
      <c r="G34" t="n">
        <v>0.8</v>
      </c>
      <c r="H34" t="n">
        <v>1</v>
      </c>
      <c r="I34" t="n">
        <v>0</v>
      </c>
      <c r="J34" t="n">
        <v>0</v>
      </c>
      <c r="K34" t="n">
        <v>0</v>
      </c>
      <c r="L34" t="n">
        <v>0</v>
      </c>
      <c r="M34" t="n">
        <v>0</v>
      </c>
      <c r="N34" t="n">
        <v>0</v>
      </c>
      <c r="O34" t="n">
        <v>0</v>
      </c>
      <c r="P34" t="n">
        <v>0</v>
      </c>
      <c r="Q34" t="n">
        <v>1</v>
      </c>
      <c r="R34" s="2" t="inlineStr">
        <is>
          <t>Kungsfågel</t>
        </is>
      </c>
      <c r="S34">
        <f>HYPERLINK("https://klasma.github.io/Logging_1293/artfynd/A 8223-2025 artfynd.xlsx", "A 8223-2025")</f>
        <v/>
      </c>
      <c r="T34">
        <f>HYPERLINK("https://klasma.github.io/Logging_1293/kartor/A 8223-2025 karta.png", "A 8223-2025")</f>
        <v/>
      </c>
      <c r="V34">
        <f>HYPERLINK("https://klasma.github.io/Logging_1293/klagomål/A 8223-2025 FSC-klagomål.docx", "A 8223-2025")</f>
        <v/>
      </c>
      <c r="W34">
        <f>HYPERLINK("https://klasma.github.io/Logging_1293/klagomålsmail/A 8223-2025 FSC-klagomål mail.docx", "A 8223-2025")</f>
        <v/>
      </c>
      <c r="X34">
        <f>HYPERLINK("https://klasma.github.io/Logging_1293/tillsyn/A 8223-2025 tillsynsbegäran.docx", "A 8223-2025")</f>
        <v/>
      </c>
      <c r="Y34">
        <f>HYPERLINK("https://klasma.github.io/Logging_1293/tillsynsmail/A 8223-2025 tillsynsbegäran mail.docx", "A 8223-2025")</f>
        <v/>
      </c>
      <c r="Z34">
        <f>HYPERLINK("https://klasma.github.io/Logging_1293/fåglar/A 8223-2025 prioriterade fågelarter.docx", "A 8223-2025")</f>
        <v/>
      </c>
    </row>
    <row r="35" ht="15" customHeight="1">
      <c r="A35" t="inlineStr">
        <is>
          <t>A 20280-2025</t>
        </is>
      </c>
      <c r="B35" s="1" t="n">
        <v>45774.38790509259</v>
      </c>
      <c r="C35" s="1" t="n">
        <v>45926</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29272-2023</t>
        </is>
      </c>
      <c r="B36" s="1" t="n">
        <v>45105</v>
      </c>
      <c r="C36" s="1" t="n">
        <v>45926</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36690-2025</t>
        </is>
      </c>
      <c r="B37" s="1" t="n">
        <v>45873.42915509259</v>
      </c>
      <c r="C37" s="1" t="n">
        <v>45926</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46602-2023</t>
        </is>
      </c>
      <c r="B38" s="1" t="n">
        <v>45194</v>
      </c>
      <c r="C38" s="1" t="n">
        <v>45926</v>
      </c>
      <c r="D38" t="inlineStr">
        <is>
          <t>SKÅNE LÄN</t>
        </is>
      </c>
      <c r="E38" t="inlineStr">
        <is>
          <t>HÄSSLEHOLM</t>
        </is>
      </c>
      <c r="G38" t="n">
        <v>7.3</v>
      </c>
      <c r="H38" t="n">
        <v>0</v>
      </c>
      <c r="I38" t="n">
        <v>0</v>
      </c>
      <c r="J38" t="n">
        <v>0</v>
      </c>
      <c r="K38" t="n">
        <v>1</v>
      </c>
      <c r="L38" t="n">
        <v>0</v>
      </c>
      <c r="M38" t="n">
        <v>0</v>
      </c>
      <c r="N38" t="n">
        <v>0</v>
      </c>
      <c r="O38" t="n">
        <v>1</v>
      </c>
      <c r="P38" t="n">
        <v>1</v>
      </c>
      <c r="Q38" t="n">
        <v>1</v>
      </c>
      <c r="R38" s="2" t="inlineStr">
        <is>
          <t>Lungrot</t>
        </is>
      </c>
      <c r="S38">
        <f>HYPERLINK("https://klasma.github.io/Logging_1293/artfynd/A 46602-2023 artfynd.xlsx", "A 46602-2023")</f>
        <v/>
      </c>
      <c r="T38">
        <f>HYPERLINK("https://klasma.github.io/Logging_1293/kartor/A 46602-2023 karta.png", "A 46602-2023")</f>
        <v/>
      </c>
      <c r="V38">
        <f>HYPERLINK("https://klasma.github.io/Logging_1293/klagomål/A 46602-2023 FSC-klagomål.docx", "A 46602-2023")</f>
        <v/>
      </c>
      <c r="W38">
        <f>HYPERLINK("https://klasma.github.io/Logging_1293/klagomålsmail/A 46602-2023 FSC-klagomål mail.docx", "A 46602-2023")</f>
        <v/>
      </c>
      <c r="X38">
        <f>HYPERLINK("https://klasma.github.io/Logging_1293/tillsyn/A 46602-2023 tillsynsbegäran.docx", "A 46602-2023")</f>
        <v/>
      </c>
      <c r="Y38">
        <f>HYPERLINK("https://klasma.github.io/Logging_1293/tillsynsmail/A 46602-2023 tillsynsbegäran mail.docx", "A 46602-2023")</f>
        <v/>
      </c>
    </row>
    <row r="39" ht="15" customHeight="1">
      <c r="A39" t="inlineStr">
        <is>
          <t>A 37457-2022</t>
        </is>
      </c>
      <c r="B39" s="1" t="n">
        <v>44809</v>
      </c>
      <c r="C39" s="1" t="n">
        <v>45926</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45926</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45926</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45926</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45926</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45926</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45926</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45926</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45926</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45926</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45926</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45926</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45926</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45926</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45926</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45926</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45926</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45926</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45926</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45926</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45926</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45926</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45926</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45926</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45926</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45926</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45926</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45926</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45926</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45926</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45926</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45926</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45926</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45926</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24496-2021</t>
        </is>
      </c>
      <c r="B73" s="1" t="n">
        <v>44337</v>
      </c>
      <c r="C73" s="1" t="n">
        <v>45926</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45926</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32967-2021</t>
        </is>
      </c>
      <c r="B75" s="1" t="n">
        <v>44376.39391203703</v>
      </c>
      <c r="C75" s="1" t="n">
        <v>45926</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45926</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45926</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45926</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45926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45926</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45926</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45926</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45926</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45926</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45926</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45926</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3855-2022</t>
        </is>
      </c>
      <c r="B87" s="1" t="n">
        <v>44587</v>
      </c>
      <c r="C87" s="1" t="n">
        <v>45926</v>
      </c>
      <c r="D87" t="inlineStr">
        <is>
          <t>SKÅNE LÄN</t>
        </is>
      </c>
      <c r="E87" t="inlineStr">
        <is>
          <t>HÄSSLEHOLM</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45926</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45926</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45926</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45926</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45926</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45926</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48486-2020</t>
        </is>
      </c>
      <c r="B94" s="1" t="n">
        <v>44103.30351851852</v>
      </c>
      <c r="C94" s="1" t="n">
        <v>45926</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30992-2021</t>
        </is>
      </c>
      <c r="B95" s="1" t="n">
        <v>44366.36262731482</v>
      </c>
      <c r="C95" s="1" t="n">
        <v>45926</v>
      </c>
      <c r="D95" t="inlineStr">
        <is>
          <t>SKÅNE LÄN</t>
        </is>
      </c>
      <c r="E95" t="inlineStr">
        <is>
          <t>HÄSSLEHOLM</t>
        </is>
      </c>
      <c r="G95" t="n">
        <v>3.1</v>
      </c>
      <c r="H95" t="n">
        <v>0</v>
      </c>
      <c r="I95" t="n">
        <v>0</v>
      </c>
      <c r="J95" t="n">
        <v>0</v>
      </c>
      <c r="K95" t="n">
        <v>0</v>
      </c>
      <c r="L95" t="n">
        <v>0</v>
      </c>
      <c r="M95" t="n">
        <v>0</v>
      </c>
      <c r="N95" t="n">
        <v>0</v>
      </c>
      <c r="O95" t="n">
        <v>0</v>
      </c>
      <c r="P95" t="n">
        <v>0</v>
      </c>
      <c r="Q95" t="n">
        <v>0</v>
      </c>
      <c r="R95" s="2" t="inlineStr"/>
    </row>
    <row r="96" ht="15" customHeight="1">
      <c r="A96" t="inlineStr">
        <is>
          <t>A 38160-2021</t>
        </is>
      </c>
      <c r="B96" s="1" t="n">
        <v>44405.42719907407</v>
      </c>
      <c r="C96" s="1" t="n">
        <v>45926</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45926</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44755-2021</t>
        </is>
      </c>
      <c r="B98" s="1" t="n">
        <v>44438</v>
      </c>
      <c r="C98" s="1" t="n">
        <v>45926</v>
      </c>
      <c r="D98" t="inlineStr">
        <is>
          <t>SKÅNE LÄN</t>
        </is>
      </c>
      <c r="E98" t="inlineStr">
        <is>
          <t>HÄSSLEHOLM</t>
        </is>
      </c>
      <c r="G98" t="n">
        <v>0.3</v>
      </c>
      <c r="H98" t="n">
        <v>0</v>
      </c>
      <c r="I98" t="n">
        <v>0</v>
      </c>
      <c r="J98" t="n">
        <v>0</v>
      </c>
      <c r="K98" t="n">
        <v>0</v>
      </c>
      <c r="L98" t="n">
        <v>0</v>
      </c>
      <c r="M98" t="n">
        <v>0</v>
      </c>
      <c r="N98" t="n">
        <v>0</v>
      </c>
      <c r="O98" t="n">
        <v>0</v>
      </c>
      <c r="P98" t="n">
        <v>0</v>
      </c>
      <c r="Q98" t="n">
        <v>0</v>
      </c>
      <c r="R98" s="2" t="inlineStr"/>
    </row>
    <row r="99" ht="15" customHeight="1">
      <c r="A99" t="inlineStr">
        <is>
          <t>A 44770-2021</t>
        </is>
      </c>
      <c r="B99" s="1" t="n">
        <v>44438</v>
      </c>
      <c r="C99" s="1" t="n">
        <v>45926</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45926</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45926</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52561-2020</t>
        </is>
      </c>
      <c r="B102" s="1" t="n">
        <v>44116</v>
      </c>
      <c r="C102" s="1" t="n">
        <v>45926</v>
      </c>
      <c r="D102" t="inlineStr">
        <is>
          <t>SKÅNE LÄN</t>
        </is>
      </c>
      <c r="E102" t="inlineStr">
        <is>
          <t>HÄSSLEHOLM</t>
        </is>
      </c>
      <c r="G102" t="n">
        <v>6</v>
      </c>
      <c r="H102" t="n">
        <v>0</v>
      </c>
      <c r="I102" t="n">
        <v>0</v>
      </c>
      <c r="J102" t="n">
        <v>0</v>
      </c>
      <c r="K102" t="n">
        <v>0</v>
      </c>
      <c r="L102" t="n">
        <v>0</v>
      </c>
      <c r="M102" t="n">
        <v>0</v>
      </c>
      <c r="N102" t="n">
        <v>0</v>
      </c>
      <c r="O102" t="n">
        <v>0</v>
      </c>
      <c r="P102" t="n">
        <v>0</v>
      </c>
      <c r="Q102" t="n">
        <v>0</v>
      </c>
      <c r="R102" s="2" t="inlineStr"/>
    </row>
    <row r="103" ht="15" customHeight="1">
      <c r="A103" t="inlineStr">
        <is>
          <t>A 2765-2022</t>
        </is>
      </c>
      <c r="B103" s="1" t="n">
        <v>44580</v>
      </c>
      <c r="C103" s="1" t="n">
        <v>45926</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37181-2022</t>
        </is>
      </c>
      <c r="B104" s="1" t="n">
        <v>44806</v>
      </c>
      <c r="C104" s="1" t="n">
        <v>45926</v>
      </c>
      <c r="D104" t="inlineStr">
        <is>
          <t>SKÅNE LÄN</t>
        </is>
      </c>
      <c r="E104" t="inlineStr">
        <is>
          <t>HÄSSLEHOLM</t>
        </is>
      </c>
      <c r="F104" t="inlineStr">
        <is>
          <t>Kyrkan</t>
        </is>
      </c>
      <c r="G104" t="n">
        <v>3.5</v>
      </c>
      <c r="H104" t="n">
        <v>0</v>
      </c>
      <c r="I104" t="n">
        <v>0</v>
      </c>
      <c r="J104" t="n">
        <v>0</v>
      </c>
      <c r="K104" t="n">
        <v>0</v>
      </c>
      <c r="L104" t="n">
        <v>0</v>
      </c>
      <c r="M104" t="n">
        <v>0</v>
      </c>
      <c r="N104" t="n">
        <v>0</v>
      </c>
      <c r="O104" t="n">
        <v>0</v>
      </c>
      <c r="P104" t="n">
        <v>0</v>
      </c>
      <c r="Q104" t="n">
        <v>0</v>
      </c>
      <c r="R104" s="2" t="inlineStr"/>
    </row>
    <row r="105" ht="15" customHeight="1">
      <c r="A105" t="inlineStr">
        <is>
          <t>A 7857-2022</t>
        </is>
      </c>
      <c r="B105" s="1" t="n">
        <v>44607</v>
      </c>
      <c r="C105" s="1" t="n">
        <v>45926</v>
      </c>
      <c r="D105" t="inlineStr">
        <is>
          <t>SKÅNE LÄN</t>
        </is>
      </c>
      <c r="E105" t="inlineStr">
        <is>
          <t>HÄSSLEHOLM</t>
        </is>
      </c>
      <c r="F105" t="inlineStr">
        <is>
          <t>Kyrkan</t>
        </is>
      </c>
      <c r="G105" t="n">
        <v>12.2</v>
      </c>
      <c r="H105" t="n">
        <v>0</v>
      </c>
      <c r="I105" t="n">
        <v>0</v>
      </c>
      <c r="J105" t="n">
        <v>0</v>
      </c>
      <c r="K105" t="n">
        <v>0</v>
      </c>
      <c r="L105" t="n">
        <v>0</v>
      </c>
      <c r="M105" t="n">
        <v>0</v>
      </c>
      <c r="N105" t="n">
        <v>0</v>
      </c>
      <c r="O105" t="n">
        <v>0</v>
      </c>
      <c r="P105" t="n">
        <v>0</v>
      </c>
      <c r="Q105" t="n">
        <v>0</v>
      </c>
      <c r="R105" s="2" t="inlineStr"/>
    </row>
    <row r="106" ht="15" customHeight="1">
      <c r="A106" t="inlineStr">
        <is>
          <t>A 61072-2021</t>
        </is>
      </c>
      <c r="B106" s="1" t="n">
        <v>44497.83344907407</v>
      </c>
      <c r="C106" s="1" t="n">
        <v>45926</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34982-2022</t>
        </is>
      </c>
      <c r="B107" s="1" t="n">
        <v>44796.69055555556</v>
      </c>
      <c r="C107" s="1" t="n">
        <v>45926</v>
      </c>
      <c r="D107" t="inlineStr">
        <is>
          <t>SKÅNE LÄN</t>
        </is>
      </c>
      <c r="E107" t="inlineStr">
        <is>
          <t>HÄSSLEHOLM</t>
        </is>
      </c>
      <c r="F107" t="inlineStr">
        <is>
          <t>Kyrkan</t>
        </is>
      </c>
      <c r="G107" t="n">
        <v>3.4</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45926</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55425-2022</t>
        </is>
      </c>
      <c r="B109" s="1" t="n">
        <v>44887.60577546297</v>
      </c>
      <c r="C109" s="1" t="n">
        <v>45926</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54493-2020</t>
        </is>
      </c>
      <c r="B110" s="1" t="n">
        <v>44126</v>
      </c>
      <c r="C110" s="1" t="n">
        <v>45926</v>
      </c>
      <c r="D110" t="inlineStr">
        <is>
          <t>SKÅNE LÄN</t>
        </is>
      </c>
      <c r="E110" t="inlineStr">
        <is>
          <t>HÄSSLEHOLM</t>
        </is>
      </c>
      <c r="F110" t="inlineStr">
        <is>
          <t>Kyrkan</t>
        </is>
      </c>
      <c r="G110" t="n">
        <v>4.4</v>
      </c>
      <c r="H110" t="n">
        <v>0</v>
      </c>
      <c r="I110" t="n">
        <v>0</v>
      </c>
      <c r="J110" t="n">
        <v>0</v>
      </c>
      <c r="K110" t="n">
        <v>0</v>
      </c>
      <c r="L110" t="n">
        <v>0</v>
      </c>
      <c r="M110" t="n">
        <v>0</v>
      </c>
      <c r="N110" t="n">
        <v>0</v>
      </c>
      <c r="O110" t="n">
        <v>0</v>
      </c>
      <c r="P110" t="n">
        <v>0</v>
      </c>
      <c r="Q110" t="n">
        <v>0</v>
      </c>
      <c r="R110" s="2" t="inlineStr"/>
    </row>
    <row r="111" ht="15" customHeight="1">
      <c r="A111" t="inlineStr">
        <is>
          <t>A 59295-2020</t>
        </is>
      </c>
      <c r="B111" s="1" t="n">
        <v>44147</v>
      </c>
      <c r="C111" s="1" t="n">
        <v>45926</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45926</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3447-2021</t>
        </is>
      </c>
      <c r="B113" s="1" t="n">
        <v>44218</v>
      </c>
      <c r="C113" s="1" t="n">
        <v>45926</v>
      </c>
      <c r="D113" t="inlineStr">
        <is>
          <t>SKÅNE LÄN</t>
        </is>
      </c>
      <c r="E113" t="inlineStr">
        <is>
          <t>HÄSSLEHOLM</t>
        </is>
      </c>
      <c r="G113" t="n">
        <v>3.9</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45926</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68200-2020</t>
        </is>
      </c>
      <c r="B115" s="1" t="n">
        <v>44183</v>
      </c>
      <c r="C115" s="1" t="n">
        <v>45926</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45926</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45926</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44584.41274305555</v>
      </c>
      <c r="C118" s="1" t="n">
        <v>45926</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7522-2021</t>
        </is>
      </c>
      <c r="B119" s="1" t="n">
        <v>44238</v>
      </c>
      <c r="C119" s="1" t="n">
        <v>45926</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69201-2020</t>
        </is>
      </c>
      <c r="B120" s="1" t="n">
        <v>44191</v>
      </c>
      <c r="C120" s="1" t="n">
        <v>45926</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8278-2021</t>
        </is>
      </c>
      <c r="B121" s="1" t="n">
        <v>44244</v>
      </c>
      <c r="C121" s="1" t="n">
        <v>45926</v>
      </c>
      <c r="D121" t="inlineStr">
        <is>
          <t>SKÅNE LÄN</t>
        </is>
      </c>
      <c r="E121" t="inlineStr">
        <is>
          <t>HÄSSLEHOLM</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14054-2021</t>
        </is>
      </c>
      <c r="B122" s="1" t="n">
        <v>44277</v>
      </c>
      <c r="C122" s="1" t="n">
        <v>45926</v>
      </c>
      <c r="D122" t="inlineStr">
        <is>
          <t>SKÅNE LÄN</t>
        </is>
      </c>
      <c r="E122" t="inlineStr">
        <is>
          <t>HÄSSLEHOLM</t>
        </is>
      </c>
      <c r="G122" t="n">
        <v>2</v>
      </c>
      <c r="H122" t="n">
        <v>0</v>
      </c>
      <c r="I122" t="n">
        <v>0</v>
      </c>
      <c r="J122" t="n">
        <v>0</v>
      </c>
      <c r="K122" t="n">
        <v>0</v>
      </c>
      <c r="L122" t="n">
        <v>0</v>
      </c>
      <c r="M122" t="n">
        <v>0</v>
      </c>
      <c r="N122" t="n">
        <v>0</v>
      </c>
      <c r="O122" t="n">
        <v>0</v>
      </c>
      <c r="P122" t="n">
        <v>0</v>
      </c>
      <c r="Q122" t="n">
        <v>0</v>
      </c>
      <c r="R122" s="2" t="inlineStr"/>
    </row>
    <row r="123" ht="15" customHeight="1">
      <c r="A123" t="inlineStr">
        <is>
          <t>A 9257-2021</t>
        </is>
      </c>
      <c r="B123" s="1" t="n">
        <v>44250</v>
      </c>
      <c r="C123" s="1" t="n">
        <v>45926</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4156-2022</t>
        </is>
      </c>
      <c r="B124" s="1" t="n">
        <v>44588</v>
      </c>
      <c r="C124" s="1" t="n">
        <v>45926</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19449-2021</t>
        </is>
      </c>
      <c r="B125" s="1" t="n">
        <v>44310.88846064815</v>
      </c>
      <c r="C125" s="1" t="n">
        <v>45926</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41581-2021</t>
        </is>
      </c>
      <c r="B126" s="1" t="n">
        <v>44425.40167824074</v>
      </c>
      <c r="C126" s="1" t="n">
        <v>45926</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45926</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74293-2021</t>
        </is>
      </c>
      <c r="B128" s="1" t="n">
        <v>44558</v>
      </c>
      <c r="C128" s="1" t="n">
        <v>45926</v>
      </c>
      <c r="D128" t="inlineStr">
        <is>
          <t>SKÅNE LÄN</t>
        </is>
      </c>
      <c r="E128" t="inlineStr">
        <is>
          <t>HÄSSLEHOLM</t>
        </is>
      </c>
      <c r="F128" t="inlineStr">
        <is>
          <t>Kyrkan</t>
        </is>
      </c>
      <c r="G128" t="n">
        <v>3.3</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45926</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46217-2022</t>
        </is>
      </c>
      <c r="B130" s="1" t="n">
        <v>44846</v>
      </c>
      <c r="C130" s="1" t="n">
        <v>45926</v>
      </c>
      <c r="D130" t="inlineStr">
        <is>
          <t>SKÅNE LÄN</t>
        </is>
      </c>
      <c r="E130" t="inlineStr">
        <is>
          <t>HÄSSLEHOLM</t>
        </is>
      </c>
      <c r="G130" t="n">
        <v>3.1</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45926</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45349-2022</t>
        </is>
      </c>
      <c r="B132" s="1" t="n">
        <v>44844.6118287037</v>
      </c>
      <c r="C132" s="1" t="n">
        <v>45926</v>
      </c>
      <c r="D132" t="inlineStr">
        <is>
          <t>SKÅNE LÄN</t>
        </is>
      </c>
      <c r="E132" t="inlineStr">
        <is>
          <t>HÄSSLEHOLM</t>
        </is>
      </c>
      <c r="G132" t="n">
        <v>6.2</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45926</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45926</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7701-2021</t>
        </is>
      </c>
      <c r="B135" s="1" t="n">
        <v>44242</v>
      </c>
      <c r="C135" s="1" t="n">
        <v>45926</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48212-2020</t>
        </is>
      </c>
      <c r="B136" s="1" t="n">
        <v>44102</v>
      </c>
      <c r="C136" s="1" t="n">
        <v>45926</v>
      </c>
      <c r="D136" t="inlineStr">
        <is>
          <t>SKÅNE LÄN</t>
        </is>
      </c>
      <c r="E136" t="inlineStr">
        <is>
          <t>HÄSSLEHOLM</t>
        </is>
      </c>
      <c r="G136" t="n">
        <v>4.2</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44509.89649305555</v>
      </c>
      <c r="C137" s="1" t="n">
        <v>45926</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49786-2020</t>
        </is>
      </c>
      <c r="B138" s="1" t="n">
        <v>44103</v>
      </c>
      <c r="C138" s="1" t="n">
        <v>45926</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2952-2021</t>
        </is>
      </c>
      <c r="B139" s="1" t="n">
        <v>44216</v>
      </c>
      <c r="C139" s="1" t="n">
        <v>45926</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52852-2020</t>
        </is>
      </c>
      <c r="B140" s="1" t="n">
        <v>44119</v>
      </c>
      <c r="C140" s="1" t="n">
        <v>45926</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52461-2021</t>
        </is>
      </c>
      <c r="B141" s="1" t="n">
        <v>44466</v>
      </c>
      <c r="C141" s="1" t="n">
        <v>45926</v>
      </c>
      <c r="D141" t="inlineStr">
        <is>
          <t>SKÅNE LÄN</t>
        </is>
      </c>
      <c r="E141" t="inlineStr">
        <is>
          <t>HÄSSLEHOLM</t>
        </is>
      </c>
      <c r="G141" t="n">
        <v>2.7</v>
      </c>
      <c r="H141" t="n">
        <v>0</v>
      </c>
      <c r="I141" t="n">
        <v>0</v>
      </c>
      <c r="J141" t="n">
        <v>0</v>
      </c>
      <c r="K141" t="n">
        <v>0</v>
      </c>
      <c r="L141" t="n">
        <v>0</v>
      </c>
      <c r="M141" t="n">
        <v>0</v>
      </c>
      <c r="N141" t="n">
        <v>0</v>
      </c>
      <c r="O141" t="n">
        <v>0</v>
      </c>
      <c r="P141" t="n">
        <v>0</v>
      </c>
      <c r="Q141" t="n">
        <v>0</v>
      </c>
      <c r="R141" s="2" t="inlineStr"/>
    </row>
    <row r="142" ht="15" customHeight="1">
      <c r="A142" t="inlineStr">
        <is>
          <t>A 37334-2021</t>
        </is>
      </c>
      <c r="B142" s="1" t="n">
        <v>44397.57800925926</v>
      </c>
      <c r="C142" s="1" t="n">
        <v>45926</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5564-2022</t>
        </is>
      </c>
      <c r="B143" s="1" t="n">
        <v>44595</v>
      </c>
      <c r="C143" s="1" t="n">
        <v>45926</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20659-2021</t>
        </is>
      </c>
      <c r="B144" s="1" t="n">
        <v>44316</v>
      </c>
      <c r="C144" s="1" t="n">
        <v>45926</v>
      </c>
      <c r="D144" t="inlineStr">
        <is>
          <t>SKÅNE LÄN</t>
        </is>
      </c>
      <c r="E144" t="inlineStr">
        <is>
          <t>HÄSSLEHOLM</t>
        </is>
      </c>
      <c r="G144" t="n">
        <v>2.8</v>
      </c>
      <c r="H144" t="n">
        <v>0</v>
      </c>
      <c r="I144" t="n">
        <v>0</v>
      </c>
      <c r="J144" t="n">
        <v>0</v>
      </c>
      <c r="K144" t="n">
        <v>0</v>
      </c>
      <c r="L144" t="n">
        <v>0</v>
      </c>
      <c r="M144" t="n">
        <v>0</v>
      </c>
      <c r="N144" t="n">
        <v>0</v>
      </c>
      <c r="O144" t="n">
        <v>0</v>
      </c>
      <c r="P144" t="n">
        <v>0</v>
      </c>
      <c r="Q144" t="n">
        <v>0</v>
      </c>
      <c r="R144" s="2" t="inlineStr"/>
    </row>
    <row r="145" ht="15" customHeight="1">
      <c r="A145" t="inlineStr">
        <is>
          <t>A 21535-2021</t>
        </is>
      </c>
      <c r="B145" s="1" t="n">
        <v>44321</v>
      </c>
      <c r="C145" s="1" t="n">
        <v>45926</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34027-2021</t>
        </is>
      </c>
      <c r="B146" s="1" t="n">
        <v>44379</v>
      </c>
      <c r="C146" s="1" t="n">
        <v>45926</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32792-2021</t>
        </is>
      </c>
      <c r="B147" s="1" t="n">
        <v>44375</v>
      </c>
      <c r="C147" s="1" t="n">
        <v>45926</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3167-2022</t>
        </is>
      </c>
      <c r="B148" s="1" t="n">
        <v>44582</v>
      </c>
      <c r="C148" s="1" t="n">
        <v>45926</v>
      </c>
      <c r="D148" t="inlineStr">
        <is>
          <t>SKÅNE LÄN</t>
        </is>
      </c>
      <c r="E148" t="inlineStr">
        <is>
          <t>HÄSSLEHOLM</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33736-2021</t>
        </is>
      </c>
      <c r="B149" s="1" t="n">
        <v>44378</v>
      </c>
      <c r="C149" s="1" t="n">
        <v>45926</v>
      </c>
      <c r="D149" t="inlineStr">
        <is>
          <t>SKÅNE LÄN</t>
        </is>
      </c>
      <c r="E149" t="inlineStr">
        <is>
          <t>HÄSSLEHOLM</t>
        </is>
      </c>
      <c r="G149" t="n">
        <v>7.6</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45926</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40702-2021</t>
        </is>
      </c>
      <c r="B151" s="1" t="n">
        <v>44420.61719907408</v>
      </c>
      <c r="C151" s="1" t="n">
        <v>45926</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1535-2022</t>
        </is>
      </c>
      <c r="B152" s="1" t="n">
        <v>44573</v>
      </c>
      <c r="C152" s="1" t="n">
        <v>45926</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13982-2021</t>
        </is>
      </c>
      <c r="B153" s="1" t="n">
        <v>44277.57800925926</v>
      </c>
      <c r="C153" s="1" t="n">
        <v>45926</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64211-2020</t>
        </is>
      </c>
      <c r="B154" s="1" t="n">
        <v>44168</v>
      </c>
      <c r="C154" s="1" t="n">
        <v>45926</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21029-2021</t>
        </is>
      </c>
      <c r="B155" s="1" t="n">
        <v>44319.63366898148</v>
      </c>
      <c r="C155" s="1" t="n">
        <v>45926</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4161-2022</t>
        </is>
      </c>
      <c r="B156" s="1" t="n">
        <v>44588</v>
      </c>
      <c r="C156" s="1" t="n">
        <v>45926</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45926</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66474-2020</t>
        </is>
      </c>
      <c r="B158" s="1" t="n">
        <v>44177</v>
      </c>
      <c r="C158" s="1" t="n">
        <v>45926</v>
      </c>
      <c r="D158" t="inlineStr">
        <is>
          <t>SKÅNE LÄN</t>
        </is>
      </c>
      <c r="E158" t="inlineStr">
        <is>
          <t>HÄSSLEHOLM</t>
        </is>
      </c>
      <c r="G158" t="n">
        <v>2.8</v>
      </c>
      <c r="H158" t="n">
        <v>0</v>
      </c>
      <c r="I158" t="n">
        <v>0</v>
      </c>
      <c r="J158" t="n">
        <v>0</v>
      </c>
      <c r="K158" t="n">
        <v>0</v>
      </c>
      <c r="L158" t="n">
        <v>0</v>
      </c>
      <c r="M158" t="n">
        <v>0</v>
      </c>
      <c r="N158" t="n">
        <v>0</v>
      </c>
      <c r="O158" t="n">
        <v>0</v>
      </c>
      <c r="P158" t="n">
        <v>0</v>
      </c>
      <c r="Q158" t="n">
        <v>0</v>
      </c>
      <c r="R158" s="2" t="inlineStr"/>
    </row>
    <row r="159" ht="15" customHeight="1">
      <c r="A159" t="inlineStr">
        <is>
          <t>A 18515-2021</t>
        </is>
      </c>
      <c r="B159" s="1" t="n">
        <v>44305</v>
      </c>
      <c r="C159" s="1" t="n">
        <v>45926</v>
      </c>
      <c r="D159" t="inlineStr">
        <is>
          <t>SKÅNE LÄN</t>
        </is>
      </c>
      <c r="E159" t="inlineStr">
        <is>
          <t>HÄSSLEHOLM</t>
        </is>
      </c>
      <c r="F159" t="inlineStr">
        <is>
          <t>Övriga Aktiebolag</t>
        </is>
      </c>
      <c r="G159" t="n">
        <v>0.5</v>
      </c>
      <c r="H159" t="n">
        <v>0</v>
      </c>
      <c r="I159" t="n">
        <v>0</v>
      </c>
      <c r="J159" t="n">
        <v>0</v>
      </c>
      <c r="K159" t="n">
        <v>0</v>
      </c>
      <c r="L159" t="n">
        <v>0</v>
      </c>
      <c r="M159" t="n">
        <v>0</v>
      </c>
      <c r="N159" t="n">
        <v>0</v>
      </c>
      <c r="O159" t="n">
        <v>0</v>
      </c>
      <c r="P159" t="n">
        <v>0</v>
      </c>
      <c r="Q159" t="n">
        <v>0</v>
      </c>
      <c r="R159" s="2" t="inlineStr"/>
    </row>
    <row r="160" ht="15" customHeight="1">
      <c r="A160" t="inlineStr">
        <is>
          <t>A 18523-2021</t>
        </is>
      </c>
      <c r="B160" s="1" t="n">
        <v>44305</v>
      </c>
      <c r="C160" s="1" t="n">
        <v>45926</v>
      </c>
      <c r="D160" t="inlineStr">
        <is>
          <t>SKÅNE LÄN</t>
        </is>
      </c>
      <c r="E160" t="inlineStr">
        <is>
          <t>HÄSSLEHOLM</t>
        </is>
      </c>
      <c r="F160" t="inlineStr">
        <is>
          <t>Övriga Aktiebolag</t>
        </is>
      </c>
      <c r="G160" t="n">
        <v>1.2</v>
      </c>
      <c r="H160" t="n">
        <v>0</v>
      </c>
      <c r="I160" t="n">
        <v>0</v>
      </c>
      <c r="J160" t="n">
        <v>0</v>
      </c>
      <c r="K160" t="n">
        <v>0</v>
      </c>
      <c r="L160" t="n">
        <v>0</v>
      </c>
      <c r="M160" t="n">
        <v>0</v>
      </c>
      <c r="N160" t="n">
        <v>0</v>
      </c>
      <c r="O160" t="n">
        <v>0</v>
      </c>
      <c r="P160" t="n">
        <v>0</v>
      </c>
      <c r="Q160" t="n">
        <v>0</v>
      </c>
      <c r="R160" s="2" t="inlineStr"/>
    </row>
    <row r="161" ht="15" customHeight="1">
      <c r="A161" t="inlineStr">
        <is>
          <t>A 12617-2021</t>
        </is>
      </c>
      <c r="B161" s="1" t="n">
        <v>44270.45030092593</v>
      </c>
      <c r="C161" s="1" t="n">
        <v>45926</v>
      </c>
      <c r="D161" t="inlineStr">
        <is>
          <t>SKÅNE LÄN</t>
        </is>
      </c>
      <c r="E161" t="inlineStr">
        <is>
          <t>HÄSSLEHOLM</t>
        </is>
      </c>
      <c r="G161" t="n">
        <v>1.2</v>
      </c>
      <c r="H161" t="n">
        <v>0</v>
      </c>
      <c r="I161" t="n">
        <v>0</v>
      </c>
      <c r="J161" t="n">
        <v>0</v>
      </c>
      <c r="K161" t="n">
        <v>0</v>
      </c>
      <c r="L161" t="n">
        <v>0</v>
      </c>
      <c r="M161" t="n">
        <v>0</v>
      </c>
      <c r="N161" t="n">
        <v>0</v>
      </c>
      <c r="O161" t="n">
        <v>0</v>
      </c>
      <c r="P161" t="n">
        <v>0</v>
      </c>
      <c r="Q161" t="n">
        <v>0</v>
      </c>
      <c r="R161" s="2" t="inlineStr"/>
    </row>
    <row r="162" ht="15" customHeight="1">
      <c r="A162" t="inlineStr">
        <is>
          <t>A 2631-2022</t>
        </is>
      </c>
      <c r="B162" s="1" t="n">
        <v>44580</v>
      </c>
      <c r="C162" s="1" t="n">
        <v>45926</v>
      </c>
      <c r="D162" t="inlineStr">
        <is>
          <t>SKÅNE LÄN</t>
        </is>
      </c>
      <c r="E162" t="inlineStr">
        <is>
          <t>HÄSSLEHOLM</t>
        </is>
      </c>
      <c r="G162" t="n">
        <v>0.9</v>
      </c>
      <c r="H162" t="n">
        <v>0</v>
      </c>
      <c r="I162" t="n">
        <v>0</v>
      </c>
      <c r="J162" t="n">
        <v>0</v>
      </c>
      <c r="K162" t="n">
        <v>0</v>
      </c>
      <c r="L162" t="n">
        <v>0</v>
      </c>
      <c r="M162" t="n">
        <v>0</v>
      </c>
      <c r="N162" t="n">
        <v>0</v>
      </c>
      <c r="O162" t="n">
        <v>0</v>
      </c>
      <c r="P162" t="n">
        <v>0</v>
      </c>
      <c r="Q162" t="n">
        <v>0</v>
      </c>
      <c r="R162" s="2" t="inlineStr"/>
    </row>
    <row r="163" ht="15" customHeight="1">
      <c r="A163" t="inlineStr">
        <is>
          <t>A 15423-2022</t>
        </is>
      </c>
      <c r="B163" s="1" t="n">
        <v>44659</v>
      </c>
      <c r="C163" s="1" t="n">
        <v>45926</v>
      </c>
      <c r="D163" t="inlineStr">
        <is>
          <t>SKÅNE LÄN</t>
        </is>
      </c>
      <c r="E163" t="inlineStr">
        <is>
          <t>HÄSSLEHOLM</t>
        </is>
      </c>
      <c r="F163" t="inlineStr">
        <is>
          <t>Kyrkan</t>
        </is>
      </c>
      <c r="G163" t="n">
        <v>0.9</v>
      </c>
      <c r="H163" t="n">
        <v>0</v>
      </c>
      <c r="I163" t="n">
        <v>0</v>
      </c>
      <c r="J163" t="n">
        <v>0</v>
      </c>
      <c r="K163" t="n">
        <v>0</v>
      </c>
      <c r="L163" t="n">
        <v>0</v>
      </c>
      <c r="M163" t="n">
        <v>0</v>
      </c>
      <c r="N163" t="n">
        <v>0</v>
      </c>
      <c r="O163" t="n">
        <v>0</v>
      </c>
      <c r="P163" t="n">
        <v>0</v>
      </c>
      <c r="Q163" t="n">
        <v>0</v>
      </c>
      <c r="R163" s="2" t="inlineStr"/>
    </row>
    <row r="164" ht="15" customHeight="1">
      <c r="A164" t="inlineStr">
        <is>
          <t>A 50371-2020</t>
        </is>
      </c>
      <c r="B164" s="1" t="n">
        <v>44110.44322916667</v>
      </c>
      <c r="C164" s="1" t="n">
        <v>45926</v>
      </c>
      <c r="D164" t="inlineStr">
        <is>
          <t>SKÅNE LÄN</t>
        </is>
      </c>
      <c r="E164" t="inlineStr">
        <is>
          <t>HÄSSLEHOLM</t>
        </is>
      </c>
      <c r="G164" t="n">
        <v>3.8</v>
      </c>
      <c r="H164" t="n">
        <v>0</v>
      </c>
      <c r="I164" t="n">
        <v>0</v>
      </c>
      <c r="J164" t="n">
        <v>0</v>
      </c>
      <c r="K164" t="n">
        <v>0</v>
      </c>
      <c r="L164" t="n">
        <v>0</v>
      </c>
      <c r="M164" t="n">
        <v>0</v>
      </c>
      <c r="N164" t="n">
        <v>0</v>
      </c>
      <c r="O164" t="n">
        <v>0</v>
      </c>
      <c r="P164" t="n">
        <v>0</v>
      </c>
      <c r="Q164" t="n">
        <v>0</v>
      </c>
      <c r="R164" s="2" t="inlineStr"/>
    </row>
    <row r="165" ht="15" customHeight="1">
      <c r="A165" t="inlineStr">
        <is>
          <t>A 62347-2020</t>
        </is>
      </c>
      <c r="B165" s="1" t="n">
        <v>44159</v>
      </c>
      <c r="C165" s="1" t="n">
        <v>45926</v>
      </c>
      <c r="D165" t="inlineStr">
        <is>
          <t>SKÅNE LÄN</t>
        </is>
      </c>
      <c r="E165" t="inlineStr">
        <is>
          <t>HÄSSLEHOLM</t>
        </is>
      </c>
      <c r="G165" t="n">
        <v>4</v>
      </c>
      <c r="H165" t="n">
        <v>0</v>
      </c>
      <c r="I165" t="n">
        <v>0</v>
      </c>
      <c r="J165" t="n">
        <v>0</v>
      </c>
      <c r="K165" t="n">
        <v>0</v>
      </c>
      <c r="L165" t="n">
        <v>0</v>
      </c>
      <c r="M165" t="n">
        <v>0</v>
      </c>
      <c r="N165" t="n">
        <v>0</v>
      </c>
      <c r="O165" t="n">
        <v>0</v>
      </c>
      <c r="P165" t="n">
        <v>0</v>
      </c>
      <c r="Q165" t="n">
        <v>0</v>
      </c>
      <c r="R165" s="2" t="inlineStr"/>
    </row>
    <row r="166" ht="15" customHeight="1">
      <c r="A166" t="inlineStr">
        <is>
          <t>A 6253-2022</t>
        </is>
      </c>
      <c r="B166" s="1" t="n">
        <v>44600</v>
      </c>
      <c r="C166" s="1" t="n">
        <v>45926</v>
      </c>
      <c r="D166" t="inlineStr">
        <is>
          <t>SKÅNE LÄN</t>
        </is>
      </c>
      <c r="E166" t="inlineStr">
        <is>
          <t>HÄSSLEHOLM</t>
        </is>
      </c>
      <c r="G166" t="n">
        <v>0.9</v>
      </c>
      <c r="H166" t="n">
        <v>0</v>
      </c>
      <c r="I166" t="n">
        <v>0</v>
      </c>
      <c r="J166" t="n">
        <v>0</v>
      </c>
      <c r="K166" t="n">
        <v>0</v>
      </c>
      <c r="L166" t="n">
        <v>0</v>
      </c>
      <c r="M166" t="n">
        <v>0</v>
      </c>
      <c r="N166" t="n">
        <v>0</v>
      </c>
      <c r="O166" t="n">
        <v>0</v>
      </c>
      <c r="P166" t="n">
        <v>0</v>
      </c>
      <c r="Q166" t="n">
        <v>0</v>
      </c>
      <c r="R166" s="2" t="inlineStr"/>
    </row>
    <row r="167" ht="15" customHeight="1">
      <c r="A167" t="inlineStr">
        <is>
          <t>A 23003-2021</t>
        </is>
      </c>
      <c r="B167" s="1" t="n">
        <v>44328</v>
      </c>
      <c r="C167" s="1" t="n">
        <v>45926</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5091-2022</t>
        </is>
      </c>
      <c r="B168" s="1" t="n">
        <v>44593.85114583333</v>
      </c>
      <c r="C168" s="1" t="n">
        <v>45926</v>
      </c>
      <c r="D168" t="inlineStr">
        <is>
          <t>SKÅNE LÄN</t>
        </is>
      </c>
      <c r="E168" t="inlineStr">
        <is>
          <t>HÄSSLEHOLM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57811-2020</t>
        </is>
      </c>
      <c r="B169" s="1" t="n">
        <v>44141</v>
      </c>
      <c r="C169" s="1" t="n">
        <v>45926</v>
      </c>
      <c r="D169" t="inlineStr">
        <is>
          <t>SKÅNE LÄN</t>
        </is>
      </c>
      <c r="E169" t="inlineStr">
        <is>
          <t>HÄSSLEHOLM</t>
        </is>
      </c>
      <c r="G169" t="n">
        <v>2</v>
      </c>
      <c r="H169" t="n">
        <v>0</v>
      </c>
      <c r="I169" t="n">
        <v>0</v>
      </c>
      <c r="J169" t="n">
        <v>0</v>
      </c>
      <c r="K169" t="n">
        <v>0</v>
      </c>
      <c r="L169" t="n">
        <v>0</v>
      </c>
      <c r="M169" t="n">
        <v>0</v>
      </c>
      <c r="N169" t="n">
        <v>0</v>
      </c>
      <c r="O169" t="n">
        <v>0</v>
      </c>
      <c r="P169" t="n">
        <v>0</v>
      </c>
      <c r="Q169" t="n">
        <v>0</v>
      </c>
      <c r="R169" s="2" t="inlineStr"/>
    </row>
    <row r="170" ht="15" customHeight="1">
      <c r="A170" t="inlineStr">
        <is>
          <t>A 59542-2020</t>
        </is>
      </c>
      <c r="B170" s="1" t="n">
        <v>44148</v>
      </c>
      <c r="C170" s="1" t="n">
        <v>45926</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23830-2021</t>
        </is>
      </c>
      <c r="B171" s="1" t="n">
        <v>44335</v>
      </c>
      <c r="C171" s="1" t="n">
        <v>45926</v>
      </c>
      <c r="D171" t="inlineStr">
        <is>
          <t>SKÅNE LÄN</t>
        </is>
      </c>
      <c r="E171" t="inlineStr">
        <is>
          <t>HÄSSLEHOLM</t>
        </is>
      </c>
      <c r="G171" t="n">
        <v>18.7</v>
      </c>
      <c r="H171" t="n">
        <v>0</v>
      </c>
      <c r="I171" t="n">
        <v>0</v>
      </c>
      <c r="J171" t="n">
        <v>0</v>
      </c>
      <c r="K171" t="n">
        <v>0</v>
      </c>
      <c r="L171" t="n">
        <v>0</v>
      </c>
      <c r="M171" t="n">
        <v>0</v>
      </c>
      <c r="N171" t="n">
        <v>0</v>
      </c>
      <c r="O171" t="n">
        <v>0</v>
      </c>
      <c r="P171" t="n">
        <v>0</v>
      </c>
      <c r="Q171" t="n">
        <v>0</v>
      </c>
      <c r="R171" s="2" t="inlineStr"/>
    </row>
    <row r="172" ht="15" customHeight="1">
      <c r="A172" t="inlineStr">
        <is>
          <t>A 56989-2021</t>
        </is>
      </c>
      <c r="B172" s="1" t="n">
        <v>44482</v>
      </c>
      <c r="C172" s="1" t="n">
        <v>45926</v>
      </c>
      <c r="D172" t="inlineStr">
        <is>
          <t>SKÅNE LÄN</t>
        </is>
      </c>
      <c r="E172" t="inlineStr">
        <is>
          <t>HÄSSLEHOLM</t>
        </is>
      </c>
      <c r="G172" t="n">
        <v>1.1</v>
      </c>
      <c r="H172" t="n">
        <v>0</v>
      </c>
      <c r="I172" t="n">
        <v>0</v>
      </c>
      <c r="J172" t="n">
        <v>0</v>
      </c>
      <c r="K172" t="n">
        <v>0</v>
      </c>
      <c r="L172" t="n">
        <v>0</v>
      </c>
      <c r="M172" t="n">
        <v>0</v>
      </c>
      <c r="N172" t="n">
        <v>0</v>
      </c>
      <c r="O172" t="n">
        <v>0</v>
      </c>
      <c r="P172" t="n">
        <v>0</v>
      </c>
      <c r="Q172" t="n">
        <v>0</v>
      </c>
      <c r="R172" s="2" t="inlineStr"/>
    </row>
    <row r="173" ht="15" customHeight="1">
      <c r="A173" t="inlineStr">
        <is>
          <t>A 51159-2021</t>
        </is>
      </c>
      <c r="B173" s="1" t="n">
        <v>44461</v>
      </c>
      <c r="C173" s="1" t="n">
        <v>45926</v>
      </c>
      <c r="D173" t="inlineStr">
        <is>
          <t>SKÅNE LÄN</t>
        </is>
      </c>
      <c r="E173" t="inlineStr">
        <is>
          <t>HÄSSLEHOLM</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25383-2021</t>
        </is>
      </c>
      <c r="B174" s="1" t="n">
        <v>44342</v>
      </c>
      <c r="C174" s="1" t="n">
        <v>45926</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7729-2021</t>
        </is>
      </c>
      <c r="B175" s="1" t="n">
        <v>44242</v>
      </c>
      <c r="C175" s="1" t="n">
        <v>45926</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197-2021</t>
        </is>
      </c>
      <c r="B176" s="1" t="n">
        <v>44200</v>
      </c>
      <c r="C176" s="1" t="n">
        <v>45926</v>
      </c>
      <c r="D176" t="inlineStr">
        <is>
          <t>SKÅNE LÄN</t>
        </is>
      </c>
      <c r="E176" t="inlineStr">
        <is>
          <t>HÄSSLEHOLM</t>
        </is>
      </c>
      <c r="G176" t="n">
        <v>12.9</v>
      </c>
      <c r="H176" t="n">
        <v>0</v>
      </c>
      <c r="I176" t="n">
        <v>0</v>
      </c>
      <c r="J176" t="n">
        <v>0</v>
      </c>
      <c r="K176" t="n">
        <v>0</v>
      </c>
      <c r="L176" t="n">
        <v>0</v>
      </c>
      <c r="M176" t="n">
        <v>0</v>
      </c>
      <c r="N176" t="n">
        <v>0</v>
      </c>
      <c r="O176" t="n">
        <v>0</v>
      </c>
      <c r="P176" t="n">
        <v>0</v>
      </c>
      <c r="Q176" t="n">
        <v>0</v>
      </c>
      <c r="R176" s="2" t="inlineStr"/>
    </row>
    <row r="177" ht="15" customHeight="1">
      <c r="A177" t="inlineStr">
        <is>
          <t>A 27330-2021</t>
        </is>
      </c>
      <c r="B177" s="1" t="n">
        <v>44351</v>
      </c>
      <c r="C177" s="1" t="n">
        <v>45926</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60260-2021</t>
        </is>
      </c>
      <c r="B178" s="1" t="n">
        <v>44495</v>
      </c>
      <c r="C178" s="1" t="n">
        <v>45926</v>
      </c>
      <c r="D178" t="inlineStr">
        <is>
          <t>SKÅNE LÄN</t>
        </is>
      </c>
      <c r="E178" t="inlineStr">
        <is>
          <t>HÄSSLEHOLM</t>
        </is>
      </c>
      <c r="G178" t="n">
        <v>2.1</v>
      </c>
      <c r="H178" t="n">
        <v>0</v>
      </c>
      <c r="I178" t="n">
        <v>0</v>
      </c>
      <c r="J178" t="n">
        <v>0</v>
      </c>
      <c r="K178" t="n">
        <v>0</v>
      </c>
      <c r="L178" t="n">
        <v>0</v>
      </c>
      <c r="M178" t="n">
        <v>0</v>
      </c>
      <c r="N178" t="n">
        <v>0</v>
      </c>
      <c r="O178" t="n">
        <v>0</v>
      </c>
      <c r="P178" t="n">
        <v>0</v>
      </c>
      <c r="Q178" t="n">
        <v>0</v>
      </c>
      <c r="R178" s="2" t="inlineStr"/>
    </row>
    <row r="179" ht="15" customHeight="1">
      <c r="A179" t="inlineStr">
        <is>
          <t>A 15986-2022</t>
        </is>
      </c>
      <c r="B179" s="1" t="n">
        <v>44664</v>
      </c>
      <c r="C179" s="1" t="n">
        <v>45926</v>
      </c>
      <c r="D179" t="inlineStr">
        <is>
          <t>SKÅNE LÄN</t>
        </is>
      </c>
      <c r="E179" t="inlineStr">
        <is>
          <t>HÄSSLEHOLM</t>
        </is>
      </c>
      <c r="F179" t="inlineStr">
        <is>
          <t>Kyrkan</t>
        </is>
      </c>
      <c r="G179" t="n">
        <v>6</v>
      </c>
      <c r="H179" t="n">
        <v>0</v>
      </c>
      <c r="I179" t="n">
        <v>0</v>
      </c>
      <c r="J179" t="n">
        <v>0</v>
      </c>
      <c r="K179" t="n">
        <v>0</v>
      </c>
      <c r="L179" t="n">
        <v>0</v>
      </c>
      <c r="M179" t="n">
        <v>0</v>
      </c>
      <c r="N179" t="n">
        <v>0</v>
      </c>
      <c r="O179" t="n">
        <v>0</v>
      </c>
      <c r="P179" t="n">
        <v>0</v>
      </c>
      <c r="Q179" t="n">
        <v>0</v>
      </c>
      <c r="R179" s="2" t="inlineStr"/>
    </row>
    <row r="180" ht="15" customHeight="1">
      <c r="A180" t="inlineStr">
        <is>
          <t>A 59302-2020</t>
        </is>
      </c>
      <c r="B180" s="1" t="n">
        <v>44147</v>
      </c>
      <c r="C180" s="1" t="n">
        <v>45926</v>
      </c>
      <c r="D180" t="inlineStr">
        <is>
          <t>SKÅNE LÄN</t>
        </is>
      </c>
      <c r="E180" t="inlineStr">
        <is>
          <t>HÄSSLEHOLM</t>
        </is>
      </c>
      <c r="G180" t="n">
        <v>11.2</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45926</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51888-2021</t>
        </is>
      </c>
      <c r="B182" s="1" t="n">
        <v>44462</v>
      </c>
      <c r="C182" s="1" t="n">
        <v>45926</v>
      </c>
      <c r="D182" t="inlineStr">
        <is>
          <t>SKÅNE LÄN</t>
        </is>
      </c>
      <c r="E182" t="inlineStr">
        <is>
          <t>HÄSSLEHOLM</t>
        </is>
      </c>
      <c r="G182" t="n">
        <v>5.6</v>
      </c>
      <c r="H182" t="n">
        <v>0</v>
      </c>
      <c r="I182" t="n">
        <v>0</v>
      </c>
      <c r="J182" t="n">
        <v>0</v>
      </c>
      <c r="K182" t="n">
        <v>0</v>
      </c>
      <c r="L182" t="n">
        <v>0</v>
      </c>
      <c r="M182" t="n">
        <v>0</v>
      </c>
      <c r="N182" t="n">
        <v>0</v>
      </c>
      <c r="O182" t="n">
        <v>0</v>
      </c>
      <c r="P182" t="n">
        <v>0</v>
      </c>
      <c r="Q182" t="n">
        <v>0</v>
      </c>
      <c r="R182" s="2" t="inlineStr"/>
    </row>
    <row r="183" ht="15" customHeight="1">
      <c r="A183" t="inlineStr">
        <is>
          <t>A 52786-2021</t>
        </is>
      </c>
      <c r="B183" s="1" t="n">
        <v>44467.36061342592</v>
      </c>
      <c r="C183" s="1" t="n">
        <v>45926</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51893-2021</t>
        </is>
      </c>
      <c r="B184" s="1" t="n">
        <v>44462</v>
      </c>
      <c r="C184" s="1" t="n">
        <v>45926</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55394-2022</t>
        </is>
      </c>
      <c r="B185" s="1" t="n">
        <v>44887.57112268519</v>
      </c>
      <c r="C185" s="1" t="n">
        <v>45926</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29143-2021</t>
        </is>
      </c>
      <c r="B186" s="1" t="n">
        <v>44358.6319212963</v>
      </c>
      <c r="C186" s="1" t="n">
        <v>45926</v>
      </c>
      <c r="D186" t="inlineStr">
        <is>
          <t>SKÅNE LÄN</t>
        </is>
      </c>
      <c r="E186" t="inlineStr">
        <is>
          <t>HÄSSLEHOLM</t>
        </is>
      </c>
      <c r="G186" t="n">
        <v>2.9</v>
      </c>
      <c r="H186" t="n">
        <v>0</v>
      </c>
      <c r="I186" t="n">
        <v>0</v>
      </c>
      <c r="J186" t="n">
        <v>0</v>
      </c>
      <c r="K186" t="n">
        <v>0</v>
      </c>
      <c r="L186" t="n">
        <v>0</v>
      </c>
      <c r="M186" t="n">
        <v>0</v>
      </c>
      <c r="N186" t="n">
        <v>0</v>
      </c>
      <c r="O186" t="n">
        <v>0</v>
      </c>
      <c r="P186" t="n">
        <v>0</v>
      </c>
      <c r="Q186" t="n">
        <v>0</v>
      </c>
      <c r="R186" s="2" t="inlineStr"/>
    </row>
    <row r="187" ht="15" customHeight="1">
      <c r="A187" t="inlineStr">
        <is>
          <t>A 66520-2020</t>
        </is>
      </c>
      <c r="B187" s="1" t="n">
        <v>44179</v>
      </c>
      <c r="C187" s="1" t="n">
        <v>45926</v>
      </c>
      <c r="D187" t="inlineStr">
        <is>
          <t>SKÅNE LÄN</t>
        </is>
      </c>
      <c r="E187" t="inlineStr">
        <is>
          <t>HÄSSLEHOLM</t>
        </is>
      </c>
      <c r="G187" t="n">
        <v>0.4</v>
      </c>
      <c r="H187" t="n">
        <v>0</v>
      </c>
      <c r="I187" t="n">
        <v>0</v>
      </c>
      <c r="J187" t="n">
        <v>0</v>
      </c>
      <c r="K187" t="n">
        <v>0</v>
      </c>
      <c r="L187" t="n">
        <v>0</v>
      </c>
      <c r="M187" t="n">
        <v>0</v>
      </c>
      <c r="N187" t="n">
        <v>0</v>
      </c>
      <c r="O187" t="n">
        <v>0</v>
      </c>
      <c r="P187" t="n">
        <v>0</v>
      </c>
      <c r="Q187" t="n">
        <v>0</v>
      </c>
      <c r="R187" s="2" t="inlineStr"/>
    </row>
    <row r="188" ht="15" customHeight="1">
      <c r="A188" t="inlineStr">
        <is>
          <t>A 354-2022</t>
        </is>
      </c>
      <c r="B188" s="1" t="n">
        <v>44565.62510416667</v>
      </c>
      <c r="C188" s="1" t="n">
        <v>45926</v>
      </c>
      <c r="D188" t="inlineStr">
        <is>
          <t>SKÅNE LÄN</t>
        </is>
      </c>
      <c r="E188" t="inlineStr">
        <is>
          <t>HÄSSLEHOLM</t>
        </is>
      </c>
      <c r="G188" t="n">
        <v>2.4</v>
      </c>
      <c r="H188" t="n">
        <v>0</v>
      </c>
      <c r="I188" t="n">
        <v>0</v>
      </c>
      <c r="J188" t="n">
        <v>0</v>
      </c>
      <c r="K188" t="n">
        <v>0</v>
      </c>
      <c r="L188" t="n">
        <v>0</v>
      </c>
      <c r="M188" t="n">
        <v>0</v>
      </c>
      <c r="N188" t="n">
        <v>0</v>
      </c>
      <c r="O188" t="n">
        <v>0</v>
      </c>
      <c r="P188" t="n">
        <v>0</v>
      </c>
      <c r="Q188" t="n">
        <v>0</v>
      </c>
      <c r="R188" s="2" t="inlineStr"/>
    </row>
    <row r="189" ht="15" customHeight="1">
      <c r="A189" t="inlineStr">
        <is>
          <t>A 44669-2022</t>
        </is>
      </c>
      <c r="B189" s="1" t="n">
        <v>44840</v>
      </c>
      <c r="C189" s="1" t="n">
        <v>45926</v>
      </c>
      <c r="D189" t="inlineStr">
        <is>
          <t>SKÅNE LÄN</t>
        </is>
      </c>
      <c r="E189" t="inlineStr">
        <is>
          <t>HÄSSLEHOLM</t>
        </is>
      </c>
      <c r="G189" t="n">
        <v>1.2</v>
      </c>
      <c r="H189" t="n">
        <v>0</v>
      </c>
      <c r="I189" t="n">
        <v>0</v>
      </c>
      <c r="J189" t="n">
        <v>0</v>
      </c>
      <c r="K189" t="n">
        <v>0</v>
      </c>
      <c r="L189" t="n">
        <v>0</v>
      </c>
      <c r="M189" t="n">
        <v>0</v>
      </c>
      <c r="N189" t="n">
        <v>0</v>
      </c>
      <c r="O189" t="n">
        <v>0</v>
      </c>
      <c r="P189" t="n">
        <v>0</v>
      </c>
      <c r="Q189" t="n">
        <v>0</v>
      </c>
      <c r="R189" s="2" t="inlineStr"/>
    </row>
    <row r="190" ht="15" customHeight="1">
      <c r="A190" t="inlineStr">
        <is>
          <t>A 45357-2022</t>
        </is>
      </c>
      <c r="B190" s="1" t="n">
        <v>44844.61952546296</v>
      </c>
      <c r="C190" s="1" t="n">
        <v>45926</v>
      </c>
      <c r="D190" t="inlineStr">
        <is>
          <t>SKÅNE LÄN</t>
        </is>
      </c>
      <c r="E190" t="inlineStr">
        <is>
          <t>HÄSSLEHOLM</t>
        </is>
      </c>
      <c r="G190" t="n">
        <v>5.8</v>
      </c>
      <c r="H190" t="n">
        <v>0</v>
      </c>
      <c r="I190" t="n">
        <v>0</v>
      </c>
      <c r="J190" t="n">
        <v>0</v>
      </c>
      <c r="K190" t="n">
        <v>0</v>
      </c>
      <c r="L190" t="n">
        <v>0</v>
      </c>
      <c r="M190" t="n">
        <v>0</v>
      </c>
      <c r="N190" t="n">
        <v>0</v>
      </c>
      <c r="O190" t="n">
        <v>0</v>
      </c>
      <c r="P190" t="n">
        <v>0</v>
      </c>
      <c r="Q190" t="n">
        <v>0</v>
      </c>
      <c r="R190" s="2" t="inlineStr"/>
    </row>
    <row r="191" ht="15" customHeight="1">
      <c r="A191" t="inlineStr">
        <is>
          <t>A 32892-2021</t>
        </is>
      </c>
      <c r="B191" s="1" t="n">
        <v>44375</v>
      </c>
      <c r="C191" s="1" t="n">
        <v>45926</v>
      </c>
      <c r="D191" t="inlineStr">
        <is>
          <t>SKÅNE LÄN</t>
        </is>
      </c>
      <c r="E191" t="inlineStr">
        <is>
          <t>HÄSSLEHOLM</t>
        </is>
      </c>
      <c r="G191" t="n">
        <v>2.9</v>
      </c>
      <c r="H191" t="n">
        <v>0</v>
      </c>
      <c r="I191" t="n">
        <v>0</v>
      </c>
      <c r="J191" t="n">
        <v>0</v>
      </c>
      <c r="K191" t="n">
        <v>0</v>
      </c>
      <c r="L191" t="n">
        <v>0</v>
      </c>
      <c r="M191" t="n">
        <v>0</v>
      </c>
      <c r="N191" t="n">
        <v>0</v>
      </c>
      <c r="O191" t="n">
        <v>0</v>
      </c>
      <c r="P191" t="n">
        <v>0</v>
      </c>
      <c r="Q191" t="n">
        <v>0</v>
      </c>
      <c r="R191" s="2" t="inlineStr"/>
    </row>
    <row r="192" ht="15" customHeight="1">
      <c r="A192" t="inlineStr">
        <is>
          <t>A 26386-2022</t>
        </is>
      </c>
      <c r="B192" s="1" t="n">
        <v>44735.6803125</v>
      </c>
      <c r="C192" s="1" t="n">
        <v>45926</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45989-2021</t>
        </is>
      </c>
      <c r="B193" s="1" t="n">
        <v>44441.74627314815</v>
      </c>
      <c r="C193" s="1" t="n">
        <v>45926</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58509-2020</t>
        </is>
      </c>
      <c r="B194" s="1" t="n">
        <v>44144</v>
      </c>
      <c r="C194" s="1" t="n">
        <v>45926</v>
      </c>
      <c r="D194" t="inlineStr">
        <is>
          <t>SKÅNE LÄN</t>
        </is>
      </c>
      <c r="E194" t="inlineStr">
        <is>
          <t>HÄSSLEHOLM</t>
        </is>
      </c>
      <c r="G194" t="n">
        <v>8.5</v>
      </c>
      <c r="H194" t="n">
        <v>0</v>
      </c>
      <c r="I194" t="n">
        <v>0</v>
      </c>
      <c r="J194" t="n">
        <v>0</v>
      </c>
      <c r="K194" t="n">
        <v>0</v>
      </c>
      <c r="L194" t="n">
        <v>0</v>
      </c>
      <c r="M194" t="n">
        <v>0</v>
      </c>
      <c r="N194" t="n">
        <v>0</v>
      </c>
      <c r="O194" t="n">
        <v>0</v>
      </c>
      <c r="P194" t="n">
        <v>0</v>
      </c>
      <c r="Q194" t="n">
        <v>0</v>
      </c>
      <c r="R194" s="2" t="inlineStr"/>
    </row>
    <row r="195" ht="15" customHeight="1">
      <c r="A195" t="inlineStr">
        <is>
          <t>A 25469-2022</t>
        </is>
      </c>
      <c r="B195" s="1" t="n">
        <v>44732</v>
      </c>
      <c r="C195" s="1" t="n">
        <v>45926</v>
      </c>
      <c r="D195" t="inlineStr">
        <is>
          <t>SKÅNE LÄN</t>
        </is>
      </c>
      <c r="E195" t="inlineStr">
        <is>
          <t>HÄSSLEHOLM</t>
        </is>
      </c>
      <c r="G195" t="n">
        <v>4.2</v>
      </c>
      <c r="H195" t="n">
        <v>0</v>
      </c>
      <c r="I195" t="n">
        <v>0</v>
      </c>
      <c r="J195" t="n">
        <v>0</v>
      </c>
      <c r="K195" t="n">
        <v>0</v>
      </c>
      <c r="L195" t="n">
        <v>0</v>
      </c>
      <c r="M195" t="n">
        <v>0</v>
      </c>
      <c r="N195" t="n">
        <v>0</v>
      </c>
      <c r="O195" t="n">
        <v>0</v>
      </c>
      <c r="P195" t="n">
        <v>0</v>
      </c>
      <c r="Q195" t="n">
        <v>0</v>
      </c>
      <c r="R195" s="2" t="inlineStr"/>
    </row>
    <row r="196" ht="15" customHeight="1">
      <c r="A196" t="inlineStr">
        <is>
          <t>A 73513-2021</t>
        </is>
      </c>
      <c r="B196" s="1" t="n">
        <v>44551.69012731482</v>
      </c>
      <c r="C196" s="1" t="n">
        <v>45926</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1461-2021</t>
        </is>
      </c>
      <c r="B197" s="1" t="n">
        <v>44208</v>
      </c>
      <c r="C197" s="1" t="n">
        <v>45926</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7248-2021</t>
        </is>
      </c>
      <c r="B198" s="1" t="n">
        <v>44236</v>
      </c>
      <c r="C198" s="1" t="n">
        <v>45926</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69198-2020</t>
        </is>
      </c>
      <c r="B199" s="1" t="n">
        <v>44191</v>
      </c>
      <c r="C199" s="1" t="n">
        <v>45926</v>
      </c>
      <c r="D199" t="inlineStr">
        <is>
          <t>SKÅNE LÄN</t>
        </is>
      </c>
      <c r="E199" t="inlineStr">
        <is>
          <t>HÄSSLEHOLM</t>
        </is>
      </c>
      <c r="G199" t="n">
        <v>6.6</v>
      </c>
      <c r="H199" t="n">
        <v>0</v>
      </c>
      <c r="I199" t="n">
        <v>0</v>
      </c>
      <c r="J199" t="n">
        <v>0</v>
      </c>
      <c r="K199" t="n">
        <v>0</v>
      </c>
      <c r="L199" t="n">
        <v>0</v>
      </c>
      <c r="M199" t="n">
        <v>0</v>
      </c>
      <c r="N199" t="n">
        <v>0</v>
      </c>
      <c r="O199" t="n">
        <v>0</v>
      </c>
      <c r="P199" t="n">
        <v>0</v>
      </c>
      <c r="Q199" t="n">
        <v>0</v>
      </c>
      <c r="R199" s="2" t="inlineStr"/>
    </row>
    <row r="200" ht="15" customHeight="1">
      <c r="A200" t="inlineStr">
        <is>
          <t>A 39102-2022</t>
        </is>
      </c>
      <c r="B200" s="1" t="n">
        <v>44817.43260416666</v>
      </c>
      <c r="C200" s="1" t="n">
        <v>45926</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47112-2021</t>
        </is>
      </c>
      <c r="B201" s="1" t="n">
        <v>44446</v>
      </c>
      <c r="C201" s="1" t="n">
        <v>45926</v>
      </c>
      <c r="D201" t="inlineStr">
        <is>
          <t>SKÅNE LÄN</t>
        </is>
      </c>
      <c r="E201" t="inlineStr">
        <is>
          <t>HÄSSLEHOLM</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48792-2020</t>
        </is>
      </c>
      <c r="B202" s="1" t="n">
        <v>44103</v>
      </c>
      <c r="C202" s="1" t="n">
        <v>45926</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2858-2022</t>
        </is>
      </c>
      <c r="B203" s="1" t="n">
        <v>44581</v>
      </c>
      <c r="C203" s="1" t="n">
        <v>45926</v>
      </c>
      <c r="D203" t="inlineStr">
        <is>
          <t>SKÅNE LÄN</t>
        </is>
      </c>
      <c r="E203" t="inlineStr">
        <is>
          <t>HÄSSLEHOLM</t>
        </is>
      </c>
      <c r="F203" t="inlineStr">
        <is>
          <t>Övriga Aktiebolag</t>
        </is>
      </c>
      <c r="G203" t="n">
        <v>1.3</v>
      </c>
      <c r="H203" t="n">
        <v>0</v>
      </c>
      <c r="I203" t="n">
        <v>0</v>
      </c>
      <c r="J203" t="n">
        <v>0</v>
      </c>
      <c r="K203" t="n">
        <v>0</v>
      </c>
      <c r="L203" t="n">
        <v>0</v>
      </c>
      <c r="M203" t="n">
        <v>0</v>
      </c>
      <c r="N203" t="n">
        <v>0</v>
      </c>
      <c r="O203" t="n">
        <v>0</v>
      </c>
      <c r="P203" t="n">
        <v>0</v>
      </c>
      <c r="Q203" t="n">
        <v>0</v>
      </c>
      <c r="R203" s="2" t="inlineStr"/>
    </row>
    <row r="204" ht="15" customHeight="1">
      <c r="A204" t="inlineStr">
        <is>
          <t>A 8695-2021</t>
        </is>
      </c>
      <c r="B204" s="1" t="n">
        <v>44246</v>
      </c>
      <c r="C204" s="1" t="n">
        <v>45926</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27959-2022</t>
        </is>
      </c>
      <c r="B205" s="1" t="n">
        <v>44744</v>
      </c>
      <c r="C205" s="1" t="n">
        <v>45926</v>
      </c>
      <c r="D205" t="inlineStr">
        <is>
          <t>SKÅNE LÄN</t>
        </is>
      </c>
      <c r="E205" t="inlineStr">
        <is>
          <t>HÄSSLEHOLM</t>
        </is>
      </c>
      <c r="G205" t="n">
        <v>3</v>
      </c>
      <c r="H205" t="n">
        <v>0</v>
      </c>
      <c r="I205" t="n">
        <v>0</v>
      </c>
      <c r="J205" t="n">
        <v>0</v>
      </c>
      <c r="K205" t="n">
        <v>0</v>
      </c>
      <c r="L205" t="n">
        <v>0</v>
      </c>
      <c r="M205" t="n">
        <v>0</v>
      </c>
      <c r="N205" t="n">
        <v>0</v>
      </c>
      <c r="O205" t="n">
        <v>0</v>
      </c>
      <c r="P205" t="n">
        <v>0</v>
      </c>
      <c r="Q205" t="n">
        <v>0</v>
      </c>
      <c r="R205" s="2" t="inlineStr"/>
    </row>
    <row r="206" ht="15" customHeight="1">
      <c r="A206" t="inlineStr">
        <is>
          <t>A 6414-2022</t>
        </is>
      </c>
      <c r="B206" s="1" t="n">
        <v>44600</v>
      </c>
      <c r="C206" s="1" t="n">
        <v>45926</v>
      </c>
      <c r="D206" t="inlineStr">
        <is>
          <t>SKÅNE LÄN</t>
        </is>
      </c>
      <c r="E206" t="inlineStr">
        <is>
          <t>HÄSSLEHOLM</t>
        </is>
      </c>
      <c r="G206" t="n">
        <v>2.9</v>
      </c>
      <c r="H206" t="n">
        <v>0</v>
      </c>
      <c r="I206" t="n">
        <v>0</v>
      </c>
      <c r="J206" t="n">
        <v>0</v>
      </c>
      <c r="K206" t="n">
        <v>0</v>
      </c>
      <c r="L206" t="n">
        <v>0</v>
      </c>
      <c r="M206" t="n">
        <v>0</v>
      </c>
      <c r="N206" t="n">
        <v>0</v>
      </c>
      <c r="O206" t="n">
        <v>0</v>
      </c>
      <c r="P206" t="n">
        <v>0</v>
      </c>
      <c r="Q206" t="n">
        <v>0</v>
      </c>
      <c r="R206" s="2" t="inlineStr"/>
    </row>
    <row r="207" ht="15" customHeight="1">
      <c r="A207" t="inlineStr">
        <is>
          <t>A 54079-2020</t>
        </is>
      </c>
      <c r="B207" s="1" t="n">
        <v>44125.61570601852</v>
      </c>
      <c r="C207" s="1" t="n">
        <v>45926</v>
      </c>
      <c r="D207" t="inlineStr">
        <is>
          <t>SKÅNE LÄN</t>
        </is>
      </c>
      <c r="E207" t="inlineStr">
        <is>
          <t>HÄSSLEHOLM</t>
        </is>
      </c>
      <c r="G207" t="n">
        <v>0.3</v>
      </c>
      <c r="H207" t="n">
        <v>0</v>
      </c>
      <c r="I207" t="n">
        <v>0</v>
      </c>
      <c r="J207" t="n">
        <v>0</v>
      </c>
      <c r="K207" t="n">
        <v>0</v>
      </c>
      <c r="L207" t="n">
        <v>0</v>
      </c>
      <c r="M207" t="n">
        <v>0</v>
      </c>
      <c r="N207" t="n">
        <v>0</v>
      </c>
      <c r="O207" t="n">
        <v>0</v>
      </c>
      <c r="P207" t="n">
        <v>0</v>
      </c>
      <c r="Q207" t="n">
        <v>0</v>
      </c>
      <c r="R207" s="2" t="inlineStr"/>
    </row>
    <row r="208" ht="15" customHeight="1">
      <c r="A208" t="inlineStr">
        <is>
          <t>A 13811-2021</t>
        </is>
      </c>
      <c r="B208" s="1" t="n">
        <v>44276</v>
      </c>
      <c r="C208" s="1" t="n">
        <v>45926</v>
      </c>
      <c r="D208" t="inlineStr">
        <is>
          <t>SKÅNE LÄN</t>
        </is>
      </c>
      <c r="E208" t="inlineStr">
        <is>
          <t>HÄSSLEHOLM</t>
        </is>
      </c>
      <c r="G208" t="n">
        <v>8</v>
      </c>
      <c r="H208" t="n">
        <v>0</v>
      </c>
      <c r="I208" t="n">
        <v>0</v>
      </c>
      <c r="J208" t="n">
        <v>0</v>
      </c>
      <c r="K208" t="n">
        <v>0</v>
      </c>
      <c r="L208" t="n">
        <v>0</v>
      </c>
      <c r="M208" t="n">
        <v>0</v>
      </c>
      <c r="N208" t="n">
        <v>0</v>
      </c>
      <c r="O208" t="n">
        <v>0</v>
      </c>
      <c r="P208" t="n">
        <v>0</v>
      </c>
      <c r="Q208" t="n">
        <v>0</v>
      </c>
      <c r="R208" s="2" t="inlineStr"/>
    </row>
    <row r="209" ht="15" customHeight="1">
      <c r="A209" t="inlineStr">
        <is>
          <t>A 56431-2021</t>
        </is>
      </c>
      <c r="B209" s="1" t="n">
        <v>44480</v>
      </c>
      <c r="C209" s="1" t="n">
        <v>45926</v>
      </c>
      <c r="D209" t="inlineStr">
        <is>
          <t>SKÅNE LÄN</t>
        </is>
      </c>
      <c r="E209" t="inlineStr">
        <is>
          <t>HÄSSLEHOLM</t>
        </is>
      </c>
      <c r="F209" t="inlineStr">
        <is>
          <t>Kyrkan</t>
        </is>
      </c>
      <c r="G209" t="n">
        <v>0.9</v>
      </c>
      <c r="H209" t="n">
        <v>0</v>
      </c>
      <c r="I209" t="n">
        <v>0</v>
      </c>
      <c r="J209" t="n">
        <v>0</v>
      </c>
      <c r="K209" t="n">
        <v>0</v>
      </c>
      <c r="L209" t="n">
        <v>0</v>
      </c>
      <c r="M209" t="n">
        <v>0</v>
      </c>
      <c r="N209" t="n">
        <v>0</v>
      </c>
      <c r="O209" t="n">
        <v>0</v>
      </c>
      <c r="P209" t="n">
        <v>0</v>
      </c>
      <c r="Q209" t="n">
        <v>0</v>
      </c>
      <c r="R209" s="2" t="inlineStr"/>
    </row>
    <row r="210" ht="15" customHeight="1">
      <c r="A210" t="inlineStr">
        <is>
          <t>A 62802-2020</t>
        </is>
      </c>
      <c r="B210" s="1" t="n">
        <v>44161</v>
      </c>
      <c r="C210" s="1" t="n">
        <v>45926</v>
      </c>
      <c r="D210" t="inlineStr">
        <is>
          <t>SKÅNE LÄN</t>
        </is>
      </c>
      <c r="E210" t="inlineStr">
        <is>
          <t>HÄSSLEHOLM</t>
        </is>
      </c>
      <c r="G210" t="n">
        <v>1.1</v>
      </c>
      <c r="H210" t="n">
        <v>0</v>
      </c>
      <c r="I210" t="n">
        <v>0</v>
      </c>
      <c r="J210" t="n">
        <v>0</v>
      </c>
      <c r="K210" t="n">
        <v>0</v>
      </c>
      <c r="L210" t="n">
        <v>0</v>
      </c>
      <c r="M210" t="n">
        <v>0</v>
      </c>
      <c r="N210" t="n">
        <v>0</v>
      </c>
      <c r="O210" t="n">
        <v>0</v>
      </c>
      <c r="P210" t="n">
        <v>0</v>
      </c>
      <c r="Q210" t="n">
        <v>0</v>
      </c>
      <c r="R210" s="2" t="inlineStr"/>
    </row>
    <row r="211" ht="15" customHeight="1">
      <c r="A211" t="inlineStr">
        <is>
          <t>A 52567-2021</t>
        </is>
      </c>
      <c r="B211" s="1" t="n">
        <v>44466</v>
      </c>
      <c r="C211" s="1" t="n">
        <v>45926</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62782-2020</t>
        </is>
      </c>
      <c r="B212" s="1" t="n">
        <v>44161</v>
      </c>
      <c r="C212" s="1" t="n">
        <v>45926</v>
      </c>
      <c r="D212" t="inlineStr">
        <is>
          <t>SKÅNE LÄN</t>
        </is>
      </c>
      <c r="E212" t="inlineStr">
        <is>
          <t>HÄSSLEHOLM</t>
        </is>
      </c>
      <c r="F212" t="inlineStr">
        <is>
          <t>Kyrkan</t>
        </is>
      </c>
      <c r="G212" t="n">
        <v>1.6</v>
      </c>
      <c r="H212" t="n">
        <v>0</v>
      </c>
      <c r="I212" t="n">
        <v>0</v>
      </c>
      <c r="J212" t="n">
        <v>0</v>
      </c>
      <c r="K212" t="n">
        <v>0</v>
      </c>
      <c r="L212" t="n">
        <v>0</v>
      </c>
      <c r="M212" t="n">
        <v>0</v>
      </c>
      <c r="N212" t="n">
        <v>0</v>
      </c>
      <c r="O212" t="n">
        <v>0</v>
      </c>
      <c r="P212" t="n">
        <v>0</v>
      </c>
      <c r="Q212" t="n">
        <v>0</v>
      </c>
      <c r="R212" s="2" t="inlineStr"/>
    </row>
    <row r="213" ht="15" customHeight="1">
      <c r="A213" t="inlineStr">
        <is>
          <t>A 74297-2021</t>
        </is>
      </c>
      <c r="B213" s="1" t="n">
        <v>44558</v>
      </c>
      <c r="C213" s="1" t="n">
        <v>45926</v>
      </c>
      <c r="D213" t="inlineStr">
        <is>
          <t>SKÅNE LÄN</t>
        </is>
      </c>
      <c r="E213" t="inlineStr">
        <is>
          <t>HÄSSLEHOLM</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2514-2021</t>
        </is>
      </c>
      <c r="B214" s="1" t="n">
        <v>44214</v>
      </c>
      <c r="C214" s="1" t="n">
        <v>45926</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57807-2020</t>
        </is>
      </c>
      <c r="B215" s="1" t="n">
        <v>44141</v>
      </c>
      <c r="C215" s="1" t="n">
        <v>45926</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52295-2021</t>
        </is>
      </c>
      <c r="B216" s="1" t="n">
        <v>44463</v>
      </c>
      <c r="C216" s="1" t="n">
        <v>45926</v>
      </c>
      <c r="D216" t="inlineStr">
        <is>
          <t>SKÅNE LÄN</t>
        </is>
      </c>
      <c r="E216" t="inlineStr">
        <is>
          <t>HÄSSLEHOLM</t>
        </is>
      </c>
      <c r="G216" t="n">
        <v>0.3</v>
      </c>
      <c r="H216" t="n">
        <v>0</v>
      </c>
      <c r="I216" t="n">
        <v>0</v>
      </c>
      <c r="J216" t="n">
        <v>0</v>
      </c>
      <c r="K216" t="n">
        <v>0</v>
      </c>
      <c r="L216" t="n">
        <v>0</v>
      </c>
      <c r="M216" t="n">
        <v>0</v>
      </c>
      <c r="N216" t="n">
        <v>0</v>
      </c>
      <c r="O216" t="n">
        <v>0</v>
      </c>
      <c r="P216" t="n">
        <v>0</v>
      </c>
      <c r="Q216" t="n">
        <v>0</v>
      </c>
      <c r="R216" s="2" t="inlineStr"/>
    </row>
    <row r="217" ht="15" customHeight="1">
      <c r="A217" t="inlineStr">
        <is>
          <t>A 6973-2021</t>
        </is>
      </c>
      <c r="B217" s="1" t="n">
        <v>44237</v>
      </c>
      <c r="C217" s="1" t="n">
        <v>45926</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68909-2021</t>
        </is>
      </c>
      <c r="B218" s="1" t="n">
        <v>44530.46730324074</v>
      </c>
      <c r="C218" s="1" t="n">
        <v>45926</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61216-2020</t>
        </is>
      </c>
      <c r="B219" s="1" t="n">
        <v>44155</v>
      </c>
      <c r="C219" s="1" t="n">
        <v>45926</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69505-2020</t>
        </is>
      </c>
      <c r="B220" s="1" t="n">
        <v>44194</v>
      </c>
      <c r="C220" s="1" t="n">
        <v>45926</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6967-2021</t>
        </is>
      </c>
      <c r="B221" s="1" t="n">
        <v>44237</v>
      </c>
      <c r="C221" s="1" t="n">
        <v>45926</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418-2022</t>
        </is>
      </c>
      <c r="B222" s="1" t="n">
        <v>44565.84958333334</v>
      </c>
      <c r="C222" s="1" t="n">
        <v>45926</v>
      </c>
      <c r="D222" t="inlineStr">
        <is>
          <t>SKÅNE LÄN</t>
        </is>
      </c>
      <c r="E222" t="inlineStr">
        <is>
          <t>HÄSSLEHOLM</t>
        </is>
      </c>
      <c r="G222" t="n">
        <v>0</v>
      </c>
      <c r="H222" t="n">
        <v>0</v>
      </c>
      <c r="I222" t="n">
        <v>0</v>
      </c>
      <c r="J222" t="n">
        <v>0</v>
      </c>
      <c r="K222" t="n">
        <v>0</v>
      </c>
      <c r="L222" t="n">
        <v>0</v>
      </c>
      <c r="M222" t="n">
        <v>0</v>
      </c>
      <c r="N222" t="n">
        <v>0</v>
      </c>
      <c r="O222" t="n">
        <v>0</v>
      </c>
      <c r="P222" t="n">
        <v>0</v>
      </c>
      <c r="Q222" t="n">
        <v>0</v>
      </c>
      <c r="R222" s="2" t="inlineStr"/>
    </row>
    <row r="223" ht="15" customHeight="1">
      <c r="A223" t="inlineStr">
        <is>
          <t>A 7904-2022</t>
        </is>
      </c>
      <c r="B223" s="1" t="n">
        <v>44607</v>
      </c>
      <c r="C223" s="1" t="n">
        <v>45926</v>
      </c>
      <c r="D223" t="inlineStr">
        <is>
          <t>SKÅNE LÄN</t>
        </is>
      </c>
      <c r="E223" t="inlineStr">
        <is>
          <t>HÄSSLEHOLM</t>
        </is>
      </c>
      <c r="F223" t="inlineStr">
        <is>
          <t>Kyrkan</t>
        </is>
      </c>
      <c r="G223" t="n">
        <v>3.9</v>
      </c>
      <c r="H223" t="n">
        <v>0</v>
      </c>
      <c r="I223" t="n">
        <v>0</v>
      </c>
      <c r="J223" t="n">
        <v>0</v>
      </c>
      <c r="K223" t="n">
        <v>0</v>
      </c>
      <c r="L223" t="n">
        <v>0</v>
      </c>
      <c r="M223" t="n">
        <v>0</v>
      </c>
      <c r="N223" t="n">
        <v>0</v>
      </c>
      <c r="O223" t="n">
        <v>0</v>
      </c>
      <c r="P223" t="n">
        <v>0</v>
      </c>
      <c r="Q223" t="n">
        <v>0</v>
      </c>
      <c r="R223" s="2" t="inlineStr"/>
    </row>
    <row r="224" ht="15" customHeight="1">
      <c r="A224" t="inlineStr">
        <is>
          <t>A 9453-2021</t>
        </is>
      </c>
      <c r="B224" s="1" t="n">
        <v>44251</v>
      </c>
      <c r="C224" s="1" t="n">
        <v>45926</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7250-2022</t>
        </is>
      </c>
      <c r="B225" s="1" t="n">
        <v>44606</v>
      </c>
      <c r="C225" s="1" t="n">
        <v>45926</v>
      </c>
      <c r="D225" t="inlineStr">
        <is>
          <t>SKÅNE LÄN</t>
        </is>
      </c>
      <c r="E225" t="inlineStr">
        <is>
          <t>HÄSSLEHOLM</t>
        </is>
      </c>
      <c r="F225" t="inlineStr">
        <is>
          <t>Övriga Aktiebolag</t>
        </is>
      </c>
      <c r="G225" t="n">
        <v>2.6</v>
      </c>
      <c r="H225" t="n">
        <v>0</v>
      </c>
      <c r="I225" t="n">
        <v>0</v>
      </c>
      <c r="J225" t="n">
        <v>0</v>
      </c>
      <c r="K225" t="n">
        <v>0</v>
      </c>
      <c r="L225" t="n">
        <v>0</v>
      </c>
      <c r="M225" t="n">
        <v>0</v>
      </c>
      <c r="N225" t="n">
        <v>0</v>
      </c>
      <c r="O225" t="n">
        <v>0</v>
      </c>
      <c r="P225" t="n">
        <v>0</v>
      </c>
      <c r="Q225" t="n">
        <v>0</v>
      </c>
      <c r="R225" s="2" t="inlineStr"/>
    </row>
    <row r="226" ht="15" customHeight="1">
      <c r="A226" t="inlineStr">
        <is>
          <t>A 51895-2021</t>
        </is>
      </c>
      <c r="B226" s="1" t="n">
        <v>44462</v>
      </c>
      <c r="C226" s="1" t="n">
        <v>45926</v>
      </c>
      <c r="D226" t="inlineStr">
        <is>
          <t>SKÅNE LÄN</t>
        </is>
      </c>
      <c r="E226" t="inlineStr">
        <is>
          <t>HÄSSLEHOLM</t>
        </is>
      </c>
      <c r="G226" t="n">
        <v>5.7</v>
      </c>
      <c r="H226" t="n">
        <v>0</v>
      </c>
      <c r="I226" t="n">
        <v>0</v>
      </c>
      <c r="J226" t="n">
        <v>0</v>
      </c>
      <c r="K226" t="n">
        <v>0</v>
      </c>
      <c r="L226" t="n">
        <v>0</v>
      </c>
      <c r="M226" t="n">
        <v>0</v>
      </c>
      <c r="N226" t="n">
        <v>0</v>
      </c>
      <c r="O226" t="n">
        <v>0</v>
      </c>
      <c r="P226" t="n">
        <v>0</v>
      </c>
      <c r="Q226" t="n">
        <v>0</v>
      </c>
      <c r="R226" s="2" t="inlineStr"/>
    </row>
    <row r="227" ht="15" customHeight="1">
      <c r="A227" t="inlineStr">
        <is>
          <t>A 219-2022</t>
        </is>
      </c>
      <c r="B227" s="1" t="n">
        <v>44564</v>
      </c>
      <c r="C227" s="1" t="n">
        <v>45926</v>
      </c>
      <c r="D227" t="inlineStr">
        <is>
          <t>SKÅNE LÄN</t>
        </is>
      </c>
      <c r="E227" t="inlineStr">
        <is>
          <t>HÄSSLEHOLM</t>
        </is>
      </c>
      <c r="G227" t="n">
        <v>0.8</v>
      </c>
      <c r="H227" t="n">
        <v>0</v>
      </c>
      <c r="I227" t="n">
        <v>0</v>
      </c>
      <c r="J227" t="n">
        <v>0</v>
      </c>
      <c r="K227" t="n">
        <v>0</v>
      </c>
      <c r="L227" t="n">
        <v>0</v>
      </c>
      <c r="M227" t="n">
        <v>0</v>
      </c>
      <c r="N227" t="n">
        <v>0</v>
      </c>
      <c r="O227" t="n">
        <v>0</v>
      </c>
      <c r="P227" t="n">
        <v>0</v>
      </c>
      <c r="Q227" t="n">
        <v>0</v>
      </c>
      <c r="R227" s="2" t="inlineStr"/>
    </row>
    <row r="228" ht="15" customHeight="1">
      <c r="A228" t="inlineStr">
        <is>
          <t>A 6048-2022</t>
        </is>
      </c>
      <c r="B228" s="1" t="n">
        <v>44599.5174537037</v>
      </c>
      <c r="C228" s="1" t="n">
        <v>45926</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55412-2022</t>
        </is>
      </c>
      <c r="B229" s="1" t="n">
        <v>44882</v>
      </c>
      <c r="C229" s="1" t="n">
        <v>45926</v>
      </c>
      <c r="D229" t="inlineStr">
        <is>
          <t>SKÅNE LÄN</t>
        </is>
      </c>
      <c r="E229" t="inlineStr">
        <is>
          <t>HÄSSLEHOLM</t>
        </is>
      </c>
      <c r="F229" t="inlineStr">
        <is>
          <t>Övriga Aktiebolag</t>
        </is>
      </c>
      <c r="G229" t="n">
        <v>4</v>
      </c>
      <c r="H229" t="n">
        <v>0</v>
      </c>
      <c r="I229" t="n">
        <v>0</v>
      </c>
      <c r="J229" t="n">
        <v>0</v>
      </c>
      <c r="K229" t="n">
        <v>0</v>
      </c>
      <c r="L229" t="n">
        <v>0</v>
      </c>
      <c r="M229" t="n">
        <v>0</v>
      </c>
      <c r="N229" t="n">
        <v>0</v>
      </c>
      <c r="O229" t="n">
        <v>0</v>
      </c>
      <c r="P229" t="n">
        <v>0</v>
      </c>
      <c r="Q229" t="n">
        <v>0</v>
      </c>
      <c r="R229" s="2" t="inlineStr"/>
    </row>
    <row r="230" ht="15" customHeight="1">
      <c r="A230" t="inlineStr">
        <is>
          <t>A 53576-2022</t>
        </is>
      </c>
      <c r="B230" s="1" t="n">
        <v>44875</v>
      </c>
      <c r="C230" s="1" t="n">
        <v>45926</v>
      </c>
      <c r="D230" t="inlineStr">
        <is>
          <t>SKÅNE LÄN</t>
        </is>
      </c>
      <c r="E230" t="inlineStr">
        <is>
          <t>HÄSSLEHOLM</t>
        </is>
      </c>
      <c r="F230" t="inlineStr">
        <is>
          <t>Övriga Aktiebolag</t>
        </is>
      </c>
      <c r="G230" t="n">
        <v>1.2</v>
      </c>
      <c r="H230" t="n">
        <v>0</v>
      </c>
      <c r="I230" t="n">
        <v>0</v>
      </c>
      <c r="J230" t="n">
        <v>0</v>
      </c>
      <c r="K230" t="n">
        <v>0</v>
      </c>
      <c r="L230" t="n">
        <v>0</v>
      </c>
      <c r="M230" t="n">
        <v>0</v>
      </c>
      <c r="N230" t="n">
        <v>0</v>
      </c>
      <c r="O230" t="n">
        <v>0</v>
      </c>
      <c r="P230" t="n">
        <v>0</v>
      </c>
      <c r="Q230" t="n">
        <v>0</v>
      </c>
      <c r="R230" s="2" t="inlineStr"/>
    </row>
    <row r="231" ht="15" customHeight="1">
      <c r="A231" t="inlineStr">
        <is>
          <t>A 3855-2023</t>
        </is>
      </c>
      <c r="B231" s="1" t="n">
        <v>44951.69708333333</v>
      </c>
      <c r="C231" s="1" t="n">
        <v>45926</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33481-2024</t>
        </is>
      </c>
      <c r="B232" s="1" t="n">
        <v>45519</v>
      </c>
      <c r="C232" s="1" t="n">
        <v>45926</v>
      </c>
      <c r="D232" t="inlineStr">
        <is>
          <t>SKÅNE LÄN</t>
        </is>
      </c>
      <c r="E232" t="inlineStr">
        <is>
          <t>HÄSSLEHOLM</t>
        </is>
      </c>
      <c r="G232" t="n">
        <v>3</v>
      </c>
      <c r="H232" t="n">
        <v>0</v>
      </c>
      <c r="I232" t="n">
        <v>0</v>
      </c>
      <c r="J232" t="n">
        <v>0</v>
      </c>
      <c r="K232" t="n">
        <v>0</v>
      </c>
      <c r="L232" t="n">
        <v>0</v>
      </c>
      <c r="M232" t="n">
        <v>0</v>
      </c>
      <c r="N232" t="n">
        <v>0</v>
      </c>
      <c r="O232" t="n">
        <v>0</v>
      </c>
      <c r="P232" t="n">
        <v>0</v>
      </c>
      <c r="Q232" t="n">
        <v>0</v>
      </c>
      <c r="R232" s="2" t="inlineStr"/>
    </row>
    <row r="233" ht="15" customHeight="1">
      <c r="A233" t="inlineStr">
        <is>
          <t>A 21867-2023</t>
        </is>
      </c>
      <c r="B233" s="1" t="n">
        <v>45063</v>
      </c>
      <c r="C233" s="1" t="n">
        <v>45926</v>
      </c>
      <c r="D233" t="inlineStr">
        <is>
          <t>SKÅNE LÄN</t>
        </is>
      </c>
      <c r="E233" t="inlineStr">
        <is>
          <t>HÄSSLEHOLM</t>
        </is>
      </c>
      <c r="G233" t="n">
        <v>7.6</v>
      </c>
      <c r="H233" t="n">
        <v>0</v>
      </c>
      <c r="I233" t="n">
        <v>0</v>
      </c>
      <c r="J233" t="n">
        <v>0</v>
      </c>
      <c r="K233" t="n">
        <v>0</v>
      </c>
      <c r="L233" t="n">
        <v>0</v>
      </c>
      <c r="M233" t="n">
        <v>0</v>
      </c>
      <c r="N233" t="n">
        <v>0</v>
      </c>
      <c r="O233" t="n">
        <v>0</v>
      </c>
      <c r="P233" t="n">
        <v>0</v>
      </c>
      <c r="Q233" t="n">
        <v>0</v>
      </c>
      <c r="R233" s="2" t="inlineStr"/>
    </row>
    <row r="234" ht="15" customHeight="1">
      <c r="A234" t="inlineStr">
        <is>
          <t>A 7153-2025</t>
        </is>
      </c>
      <c r="B234" s="1" t="n">
        <v>45702.38512731482</v>
      </c>
      <c r="C234" s="1" t="n">
        <v>45926</v>
      </c>
      <c r="D234" t="inlineStr">
        <is>
          <t>SKÅNE LÄN</t>
        </is>
      </c>
      <c r="E234" t="inlineStr">
        <is>
          <t>HÄSSLEHOLM</t>
        </is>
      </c>
      <c r="G234" t="n">
        <v>2.7</v>
      </c>
      <c r="H234" t="n">
        <v>0</v>
      </c>
      <c r="I234" t="n">
        <v>0</v>
      </c>
      <c r="J234" t="n">
        <v>0</v>
      </c>
      <c r="K234" t="n">
        <v>0</v>
      </c>
      <c r="L234" t="n">
        <v>0</v>
      </c>
      <c r="M234" t="n">
        <v>0</v>
      </c>
      <c r="N234" t="n">
        <v>0</v>
      </c>
      <c r="O234" t="n">
        <v>0</v>
      </c>
      <c r="P234" t="n">
        <v>0</v>
      </c>
      <c r="Q234" t="n">
        <v>0</v>
      </c>
      <c r="R234" s="2" t="inlineStr"/>
    </row>
    <row r="235" ht="15" customHeight="1">
      <c r="A235" t="inlineStr">
        <is>
          <t>A 10594-2025</t>
        </is>
      </c>
      <c r="B235" s="1" t="n">
        <v>45721</v>
      </c>
      <c r="C235" s="1" t="n">
        <v>45926</v>
      </c>
      <c r="D235" t="inlineStr">
        <is>
          <t>SKÅNE LÄN</t>
        </is>
      </c>
      <c r="E235" t="inlineStr">
        <is>
          <t>HÄSSLEHOLM</t>
        </is>
      </c>
      <c r="G235" t="n">
        <v>5.3</v>
      </c>
      <c r="H235" t="n">
        <v>0</v>
      </c>
      <c r="I235" t="n">
        <v>0</v>
      </c>
      <c r="J235" t="n">
        <v>0</v>
      </c>
      <c r="K235" t="n">
        <v>0</v>
      </c>
      <c r="L235" t="n">
        <v>0</v>
      </c>
      <c r="M235" t="n">
        <v>0</v>
      </c>
      <c r="N235" t="n">
        <v>0</v>
      </c>
      <c r="O235" t="n">
        <v>0</v>
      </c>
      <c r="P235" t="n">
        <v>0</v>
      </c>
      <c r="Q235" t="n">
        <v>0</v>
      </c>
      <c r="R235" s="2" t="inlineStr"/>
    </row>
    <row r="236" ht="15" customHeight="1">
      <c r="A236" t="inlineStr">
        <is>
          <t>A 48771-2024</t>
        </is>
      </c>
      <c r="B236" s="1" t="n">
        <v>45593.61284722222</v>
      </c>
      <c r="C236" s="1" t="n">
        <v>45926</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5284-2023</t>
        </is>
      </c>
      <c r="B237" s="1" t="n">
        <v>44959.50608796296</v>
      </c>
      <c r="C237" s="1" t="n">
        <v>45926</v>
      </c>
      <c r="D237" t="inlineStr">
        <is>
          <t>SKÅNE LÄN</t>
        </is>
      </c>
      <c r="E237" t="inlineStr">
        <is>
          <t>HÄSSLEHOLM</t>
        </is>
      </c>
      <c r="G237" t="n">
        <v>0.4</v>
      </c>
      <c r="H237" t="n">
        <v>0</v>
      </c>
      <c r="I237" t="n">
        <v>0</v>
      </c>
      <c r="J237" t="n">
        <v>0</v>
      </c>
      <c r="K237" t="n">
        <v>0</v>
      </c>
      <c r="L237" t="n">
        <v>0</v>
      </c>
      <c r="M237" t="n">
        <v>0</v>
      </c>
      <c r="N237" t="n">
        <v>0</v>
      </c>
      <c r="O237" t="n">
        <v>0</v>
      </c>
      <c r="P237" t="n">
        <v>0</v>
      </c>
      <c r="Q237" t="n">
        <v>0</v>
      </c>
      <c r="R237" s="2" t="inlineStr"/>
    </row>
    <row r="238" ht="15" customHeight="1">
      <c r="A238" t="inlineStr">
        <is>
          <t>A 5285-2023</t>
        </is>
      </c>
      <c r="B238" s="1" t="n">
        <v>44959.50783564815</v>
      </c>
      <c r="C238" s="1" t="n">
        <v>45926</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2813-2021</t>
        </is>
      </c>
      <c r="B239" s="1" t="n">
        <v>44215</v>
      </c>
      <c r="C239" s="1" t="n">
        <v>45926</v>
      </c>
      <c r="D239" t="inlineStr">
        <is>
          <t>SKÅNE LÄN</t>
        </is>
      </c>
      <c r="E239" t="inlineStr">
        <is>
          <t>HÄSSLEHOLM</t>
        </is>
      </c>
      <c r="G239" t="n">
        <v>7.1</v>
      </c>
      <c r="H239" t="n">
        <v>0</v>
      </c>
      <c r="I239" t="n">
        <v>0</v>
      </c>
      <c r="J239" t="n">
        <v>0</v>
      </c>
      <c r="K239" t="n">
        <v>0</v>
      </c>
      <c r="L239" t="n">
        <v>0</v>
      </c>
      <c r="M239" t="n">
        <v>0</v>
      </c>
      <c r="N239" t="n">
        <v>0</v>
      </c>
      <c r="O239" t="n">
        <v>0</v>
      </c>
      <c r="P239" t="n">
        <v>0</v>
      </c>
      <c r="Q239" t="n">
        <v>0</v>
      </c>
      <c r="R239" s="2" t="inlineStr"/>
    </row>
    <row r="240" ht="15" customHeight="1">
      <c r="A240" t="inlineStr">
        <is>
          <t>A 34888-2023</t>
        </is>
      </c>
      <c r="B240" s="1" t="n">
        <v>45142.388125</v>
      </c>
      <c r="C240" s="1" t="n">
        <v>45926</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1289-2024</t>
        </is>
      </c>
      <c r="B241" s="1" t="n">
        <v>45303.32234953704</v>
      </c>
      <c r="C241" s="1" t="n">
        <v>45926</v>
      </c>
      <c r="D241" t="inlineStr">
        <is>
          <t>SKÅNE LÄN</t>
        </is>
      </c>
      <c r="E241" t="inlineStr">
        <is>
          <t>HÄSSLEHOLM</t>
        </is>
      </c>
      <c r="G241" t="n">
        <v>4.6</v>
      </c>
      <c r="H241" t="n">
        <v>0</v>
      </c>
      <c r="I241" t="n">
        <v>0</v>
      </c>
      <c r="J241" t="n">
        <v>0</v>
      </c>
      <c r="K241" t="n">
        <v>0</v>
      </c>
      <c r="L241" t="n">
        <v>0</v>
      </c>
      <c r="M241" t="n">
        <v>0</v>
      </c>
      <c r="N241" t="n">
        <v>0</v>
      </c>
      <c r="O241" t="n">
        <v>0</v>
      </c>
      <c r="P241" t="n">
        <v>0</v>
      </c>
      <c r="Q241" t="n">
        <v>0</v>
      </c>
      <c r="R241" s="2" t="inlineStr"/>
    </row>
    <row r="242" ht="15" customHeight="1">
      <c r="A242" t="inlineStr">
        <is>
          <t>A 12344-2023</t>
        </is>
      </c>
      <c r="B242" s="1" t="n">
        <v>44999</v>
      </c>
      <c r="C242" s="1" t="n">
        <v>45926</v>
      </c>
      <c r="D242" t="inlineStr">
        <is>
          <t>SKÅNE LÄN</t>
        </is>
      </c>
      <c r="E242" t="inlineStr">
        <is>
          <t>HÄSSLEHOLM</t>
        </is>
      </c>
      <c r="G242" t="n">
        <v>2.4</v>
      </c>
      <c r="H242" t="n">
        <v>0</v>
      </c>
      <c r="I242" t="n">
        <v>0</v>
      </c>
      <c r="J242" t="n">
        <v>0</v>
      </c>
      <c r="K242" t="n">
        <v>0</v>
      </c>
      <c r="L242" t="n">
        <v>0</v>
      </c>
      <c r="M242" t="n">
        <v>0</v>
      </c>
      <c r="N242" t="n">
        <v>0</v>
      </c>
      <c r="O242" t="n">
        <v>0</v>
      </c>
      <c r="P242" t="n">
        <v>0</v>
      </c>
      <c r="Q242" t="n">
        <v>0</v>
      </c>
      <c r="R242" s="2" t="inlineStr"/>
    </row>
    <row r="243" ht="15" customHeight="1">
      <c r="A243" t="inlineStr">
        <is>
          <t>A 54176-2022</t>
        </is>
      </c>
      <c r="B243" s="1" t="n">
        <v>44881</v>
      </c>
      <c r="C243" s="1" t="n">
        <v>45926</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61197-2024</t>
        </is>
      </c>
      <c r="B244" s="1" t="n">
        <v>45645.63184027778</v>
      </c>
      <c r="C244" s="1" t="n">
        <v>45926</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54435-2024</t>
        </is>
      </c>
      <c r="B245" s="1" t="n">
        <v>45617.49494212963</v>
      </c>
      <c r="C245" s="1" t="n">
        <v>45926</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58886-2024</t>
        </is>
      </c>
      <c r="B246" s="1" t="n">
        <v>45636.45380787037</v>
      </c>
      <c r="C246" s="1" t="n">
        <v>45926</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13087-2023</t>
        </is>
      </c>
      <c r="B247" s="1" t="n">
        <v>45001</v>
      </c>
      <c r="C247" s="1" t="n">
        <v>45926</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6165-2023</t>
        </is>
      </c>
      <c r="B248" s="1" t="n">
        <v>44964.67114583333</v>
      </c>
      <c r="C248" s="1" t="n">
        <v>45926</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7152-2025</t>
        </is>
      </c>
      <c r="B249" s="1" t="n">
        <v>45702.3837037037</v>
      </c>
      <c r="C249" s="1" t="n">
        <v>45926</v>
      </c>
      <c r="D249" t="inlineStr">
        <is>
          <t>SKÅNE LÄN</t>
        </is>
      </c>
      <c r="E249" t="inlineStr">
        <is>
          <t>HÄSSLEHOLM</t>
        </is>
      </c>
      <c r="G249" t="n">
        <v>1.3</v>
      </c>
      <c r="H249" t="n">
        <v>0</v>
      </c>
      <c r="I249" t="n">
        <v>0</v>
      </c>
      <c r="J249" t="n">
        <v>0</v>
      </c>
      <c r="K249" t="n">
        <v>0</v>
      </c>
      <c r="L249" t="n">
        <v>0</v>
      </c>
      <c r="M249" t="n">
        <v>0</v>
      </c>
      <c r="N249" t="n">
        <v>0</v>
      </c>
      <c r="O249" t="n">
        <v>0</v>
      </c>
      <c r="P249" t="n">
        <v>0</v>
      </c>
      <c r="Q249" t="n">
        <v>0</v>
      </c>
      <c r="R249" s="2" t="inlineStr"/>
    </row>
    <row r="250" ht="15" customHeight="1">
      <c r="A250" t="inlineStr">
        <is>
          <t>A 6583-2021</t>
        </is>
      </c>
      <c r="B250" s="1" t="n">
        <v>44236</v>
      </c>
      <c r="C250" s="1" t="n">
        <v>45926</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7160-2025</t>
        </is>
      </c>
      <c r="B251" s="1" t="n">
        <v>45702.3875462963</v>
      </c>
      <c r="C251" s="1" t="n">
        <v>45926</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33938-2023</t>
        </is>
      </c>
      <c r="B252" s="1" t="n">
        <v>45124</v>
      </c>
      <c r="C252" s="1" t="n">
        <v>45926</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61533-2022</t>
        </is>
      </c>
      <c r="B253" s="1" t="n">
        <v>44910</v>
      </c>
      <c r="C253" s="1" t="n">
        <v>45926</v>
      </c>
      <c r="D253" t="inlineStr">
        <is>
          <t>SKÅNE LÄN</t>
        </is>
      </c>
      <c r="E253" t="inlineStr">
        <is>
          <t>HÄSSLEHOLM</t>
        </is>
      </c>
      <c r="F253" t="inlineStr">
        <is>
          <t>Kyrkan</t>
        </is>
      </c>
      <c r="G253" t="n">
        <v>1</v>
      </c>
      <c r="H253" t="n">
        <v>0</v>
      </c>
      <c r="I253" t="n">
        <v>0</v>
      </c>
      <c r="J253" t="n">
        <v>0</v>
      </c>
      <c r="K253" t="n">
        <v>0</v>
      </c>
      <c r="L253" t="n">
        <v>0</v>
      </c>
      <c r="M253" t="n">
        <v>0</v>
      </c>
      <c r="N253" t="n">
        <v>0</v>
      </c>
      <c r="O253" t="n">
        <v>0</v>
      </c>
      <c r="P253" t="n">
        <v>0</v>
      </c>
      <c r="Q253" t="n">
        <v>0</v>
      </c>
      <c r="R253" s="2" t="inlineStr"/>
    </row>
    <row r="254" ht="15" customHeight="1">
      <c r="A254" t="inlineStr">
        <is>
          <t>A 677-2024</t>
        </is>
      </c>
      <c r="B254" s="1" t="n">
        <v>45300</v>
      </c>
      <c r="C254" s="1" t="n">
        <v>45926</v>
      </c>
      <c r="D254" t="inlineStr">
        <is>
          <t>SKÅNE LÄN</t>
        </is>
      </c>
      <c r="E254" t="inlineStr">
        <is>
          <t>HÄSSLEHOLM</t>
        </is>
      </c>
      <c r="G254" t="n">
        <v>6.8</v>
      </c>
      <c r="H254" t="n">
        <v>0</v>
      </c>
      <c r="I254" t="n">
        <v>0</v>
      </c>
      <c r="J254" t="n">
        <v>0</v>
      </c>
      <c r="K254" t="n">
        <v>0</v>
      </c>
      <c r="L254" t="n">
        <v>0</v>
      </c>
      <c r="M254" t="n">
        <v>0</v>
      </c>
      <c r="N254" t="n">
        <v>0</v>
      </c>
      <c r="O254" t="n">
        <v>0</v>
      </c>
      <c r="P254" t="n">
        <v>0</v>
      </c>
      <c r="Q254" t="n">
        <v>0</v>
      </c>
      <c r="R254" s="2" t="inlineStr"/>
    </row>
    <row r="255" ht="15" customHeight="1">
      <c r="A255" t="inlineStr">
        <is>
          <t>A 27291-2023</t>
        </is>
      </c>
      <c r="B255" s="1" t="n">
        <v>45096</v>
      </c>
      <c r="C255" s="1" t="n">
        <v>45926</v>
      </c>
      <c r="D255" t="inlineStr">
        <is>
          <t>SKÅNE LÄN</t>
        </is>
      </c>
      <c r="E255" t="inlineStr">
        <is>
          <t>HÄSSLEHOLM</t>
        </is>
      </c>
      <c r="G255" t="n">
        <v>3.5</v>
      </c>
      <c r="H255" t="n">
        <v>0</v>
      </c>
      <c r="I255" t="n">
        <v>0</v>
      </c>
      <c r="J255" t="n">
        <v>0</v>
      </c>
      <c r="K255" t="n">
        <v>0</v>
      </c>
      <c r="L255" t="n">
        <v>0</v>
      </c>
      <c r="M255" t="n">
        <v>0</v>
      </c>
      <c r="N255" t="n">
        <v>0</v>
      </c>
      <c r="O255" t="n">
        <v>0</v>
      </c>
      <c r="P255" t="n">
        <v>0</v>
      </c>
      <c r="Q255" t="n">
        <v>0</v>
      </c>
      <c r="R255" s="2" t="inlineStr"/>
    </row>
    <row r="256" ht="15" customHeight="1">
      <c r="A256" t="inlineStr">
        <is>
          <t>A 20666-2023</t>
        </is>
      </c>
      <c r="B256" s="1" t="n">
        <v>45058.35664351852</v>
      </c>
      <c r="C256" s="1" t="n">
        <v>45926</v>
      </c>
      <c r="D256" t="inlineStr">
        <is>
          <t>SKÅNE LÄN</t>
        </is>
      </c>
      <c r="E256" t="inlineStr">
        <is>
          <t>HÄSSLEHOLM</t>
        </is>
      </c>
      <c r="F256" t="inlineStr">
        <is>
          <t>Kyrkan</t>
        </is>
      </c>
      <c r="G256" t="n">
        <v>1.3</v>
      </c>
      <c r="H256" t="n">
        <v>0</v>
      </c>
      <c r="I256" t="n">
        <v>0</v>
      </c>
      <c r="J256" t="n">
        <v>0</v>
      </c>
      <c r="K256" t="n">
        <v>0</v>
      </c>
      <c r="L256" t="n">
        <v>0</v>
      </c>
      <c r="M256" t="n">
        <v>0</v>
      </c>
      <c r="N256" t="n">
        <v>0</v>
      </c>
      <c r="O256" t="n">
        <v>0</v>
      </c>
      <c r="P256" t="n">
        <v>0</v>
      </c>
      <c r="Q256" t="n">
        <v>0</v>
      </c>
      <c r="R256" s="2" t="inlineStr"/>
    </row>
    <row r="257" ht="15" customHeight="1">
      <c r="A257" t="inlineStr">
        <is>
          <t>A 59028-2023</t>
        </is>
      </c>
      <c r="B257" s="1" t="n">
        <v>45252.67900462963</v>
      </c>
      <c r="C257" s="1" t="n">
        <v>45926</v>
      </c>
      <c r="D257" t="inlineStr">
        <is>
          <t>SKÅNE LÄN</t>
        </is>
      </c>
      <c r="E257" t="inlineStr">
        <is>
          <t>HÄSSLEHOLM</t>
        </is>
      </c>
      <c r="G257" t="n">
        <v>2.5</v>
      </c>
      <c r="H257" t="n">
        <v>0</v>
      </c>
      <c r="I257" t="n">
        <v>0</v>
      </c>
      <c r="J257" t="n">
        <v>0</v>
      </c>
      <c r="K257" t="n">
        <v>0</v>
      </c>
      <c r="L257" t="n">
        <v>0</v>
      </c>
      <c r="M257" t="n">
        <v>0</v>
      </c>
      <c r="N257" t="n">
        <v>0</v>
      </c>
      <c r="O257" t="n">
        <v>0</v>
      </c>
      <c r="P257" t="n">
        <v>0</v>
      </c>
      <c r="Q257" t="n">
        <v>0</v>
      </c>
      <c r="R257" s="2" t="inlineStr"/>
    </row>
    <row r="258" ht="15" customHeight="1">
      <c r="A258" t="inlineStr">
        <is>
          <t>A 20872-2025</t>
        </is>
      </c>
      <c r="B258" s="1" t="n">
        <v>45777.34688657407</v>
      </c>
      <c r="C258" s="1" t="n">
        <v>45926</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8250-2023</t>
        </is>
      </c>
      <c r="B259" s="1" t="n">
        <v>44974</v>
      </c>
      <c r="C259" s="1" t="n">
        <v>45926</v>
      </c>
      <c r="D259" t="inlineStr">
        <is>
          <t>SKÅNE LÄN</t>
        </is>
      </c>
      <c r="E259" t="inlineStr">
        <is>
          <t>HÄSSLEHOLM</t>
        </is>
      </c>
      <c r="G259" t="n">
        <v>3</v>
      </c>
      <c r="H259" t="n">
        <v>0</v>
      </c>
      <c r="I259" t="n">
        <v>0</v>
      </c>
      <c r="J259" t="n">
        <v>0</v>
      </c>
      <c r="K259" t="n">
        <v>0</v>
      </c>
      <c r="L259" t="n">
        <v>0</v>
      </c>
      <c r="M259" t="n">
        <v>0</v>
      </c>
      <c r="N259" t="n">
        <v>0</v>
      </c>
      <c r="O259" t="n">
        <v>0</v>
      </c>
      <c r="P259" t="n">
        <v>0</v>
      </c>
      <c r="Q259" t="n">
        <v>0</v>
      </c>
      <c r="R259" s="2" t="inlineStr"/>
    </row>
    <row r="260" ht="15" customHeight="1">
      <c r="A260" t="inlineStr">
        <is>
          <t>A 57079-2022</t>
        </is>
      </c>
      <c r="B260" s="1" t="n">
        <v>44895</v>
      </c>
      <c r="C260" s="1" t="n">
        <v>45926</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15698-2023</t>
        </is>
      </c>
      <c r="B261" s="1" t="n">
        <v>45021</v>
      </c>
      <c r="C261" s="1" t="n">
        <v>45926</v>
      </c>
      <c r="D261" t="inlineStr">
        <is>
          <t>SKÅNE LÄN</t>
        </is>
      </c>
      <c r="E261" t="inlineStr">
        <is>
          <t>HÄSSLEHOLM</t>
        </is>
      </c>
      <c r="F261" t="inlineStr">
        <is>
          <t>Kommuner</t>
        </is>
      </c>
      <c r="G261" t="n">
        <v>5.5</v>
      </c>
      <c r="H261" t="n">
        <v>0</v>
      </c>
      <c r="I261" t="n">
        <v>0</v>
      </c>
      <c r="J261" t="n">
        <v>0</v>
      </c>
      <c r="K261" t="n">
        <v>0</v>
      </c>
      <c r="L261" t="n">
        <v>0</v>
      </c>
      <c r="M261" t="n">
        <v>0</v>
      </c>
      <c r="N261" t="n">
        <v>0</v>
      </c>
      <c r="O261" t="n">
        <v>0</v>
      </c>
      <c r="P261" t="n">
        <v>0</v>
      </c>
      <c r="Q261" t="n">
        <v>0</v>
      </c>
      <c r="R261" s="2" t="inlineStr"/>
    </row>
    <row r="262" ht="15" customHeight="1">
      <c r="A262" t="inlineStr">
        <is>
          <t>A 20566-2023</t>
        </is>
      </c>
      <c r="B262" s="1" t="n">
        <v>45057</v>
      </c>
      <c r="C262" s="1" t="n">
        <v>45926</v>
      </c>
      <c r="D262" t="inlineStr">
        <is>
          <t>SKÅNE LÄN</t>
        </is>
      </c>
      <c r="E262" t="inlineStr">
        <is>
          <t>HÄSSLEHOLM</t>
        </is>
      </c>
      <c r="G262" t="n">
        <v>5.2</v>
      </c>
      <c r="H262" t="n">
        <v>0</v>
      </c>
      <c r="I262" t="n">
        <v>0</v>
      </c>
      <c r="J262" t="n">
        <v>0</v>
      </c>
      <c r="K262" t="n">
        <v>0</v>
      </c>
      <c r="L262" t="n">
        <v>0</v>
      </c>
      <c r="M262" t="n">
        <v>0</v>
      </c>
      <c r="N262" t="n">
        <v>0</v>
      </c>
      <c r="O262" t="n">
        <v>0</v>
      </c>
      <c r="P262" t="n">
        <v>0</v>
      </c>
      <c r="Q262" t="n">
        <v>0</v>
      </c>
      <c r="R262" s="2" t="inlineStr"/>
    </row>
    <row r="263" ht="15" customHeight="1">
      <c r="A263" t="inlineStr">
        <is>
          <t>A 29994-2023</t>
        </is>
      </c>
      <c r="B263" s="1" t="n">
        <v>45109.60038194444</v>
      </c>
      <c r="C263" s="1" t="n">
        <v>45926</v>
      </c>
      <c r="D263" t="inlineStr">
        <is>
          <t>SKÅNE LÄN</t>
        </is>
      </c>
      <c r="E263" t="inlineStr">
        <is>
          <t>HÄSSLEHOLM</t>
        </is>
      </c>
      <c r="G263" t="n">
        <v>2.8</v>
      </c>
      <c r="H263" t="n">
        <v>0</v>
      </c>
      <c r="I263" t="n">
        <v>0</v>
      </c>
      <c r="J263" t="n">
        <v>0</v>
      </c>
      <c r="K263" t="n">
        <v>0</v>
      </c>
      <c r="L263" t="n">
        <v>0</v>
      </c>
      <c r="M263" t="n">
        <v>0</v>
      </c>
      <c r="N263" t="n">
        <v>0</v>
      </c>
      <c r="O263" t="n">
        <v>0</v>
      </c>
      <c r="P263" t="n">
        <v>0</v>
      </c>
      <c r="Q263" t="n">
        <v>0</v>
      </c>
      <c r="R263" s="2" t="inlineStr"/>
    </row>
    <row r="264" ht="15" customHeight="1">
      <c r="A264" t="inlineStr">
        <is>
          <t>A 441-2022</t>
        </is>
      </c>
      <c r="B264" s="1" t="n">
        <v>44565.97125</v>
      </c>
      <c r="C264" s="1" t="n">
        <v>45926</v>
      </c>
      <c r="D264" t="inlineStr">
        <is>
          <t>SKÅNE LÄN</t>
        </is>
      </c>
      <c r="E264" t="inlineStr">
        <is>
          <t>HÄSSLEHOLM</t>
        </is>
      </c>
      <c r="G264" t="n">
        <v>2.1</v>
      </c>
      <c r="H264" t="n">
        <v>0</v>
      </c>
      <c r="I264" t="n">
        <v>0</v>
      </c>
      <c r="J264" t="n">
        <v>0</v>
      </c>
      <c r="K264" t="n">
        <v>0</v>
      </c>
      <c r="L264" t="n">
        <v>0</v>
      </c>
      <c r="M264" t="n">
        <v>0</v>
      </c>
      <c r="N264" t="n">
        <v>0</v>
      </c>
      <c r="O264" t="n">
        <v>0</v>
      </c>
      <c r="P264" t="n">
        <v>0</v>
      </c>
      <c r="Q264" t="n">
        <v>0</v>
      </c>
      <c r="R264" s="2" t="inlineStr"/>
    </row>
    <row r="265" ht="15" customHeight="1">
      <c r="A265" t="inlineStr">
        <is>
          <t>A 5887-2025</t>
        </is>
      </c>
      <c r="B265" s="1" t="n">
        <v>45695.37925925926</v>
      </c>
      <c r="C265" s="1" t="n">
        <v>45926</v>
      </c>
      <c r="D265" t="inlineStr">
        <is>
          <t>SKÅNE LÄN</t>
        </is>
      </c>
      <c r="E265" t="inlineStr">
        <is>
          <t>HÄSSLEHOLM</t>
        </is>
      </c>
      <c r="G265" t="n">
        <v>4.8</v>
      </c>
      <c r="H265" t="n">
        <v>0</v>
      </c>
      <c r="I265" t="n">
        <v>0</v>
      </c>
      <c r="J265" t="n">
        <v>0</v>
      </c>
      <c r="K265" t="n">
        <v>0</v>
      </c>
      <c r="L265" t="n">
        <v>0</v>
      </c>
      <c r="M265" t="n">
        <v>0</v>
      </c>
      <c r="N265" t="n">
        <v>0</v>
      </c>
      <c r="O265" t="n">
        <v>0</v>
      </c>
      <c r="P265" t="n">
        <v>0</v>
      </c>
      <c r="Q265" t="n">
        <v>0</v>
      </c>
      <c r="R265" s="2" t="inlineStr"/>
    </row>
    <row r="266" ht="15" customHeight="1">
      <c r="A266" t="inlineStr">
        <is>
          <t>A 34886-2023</t>
        </is>
      </c>
      <c r="B266" s="1" t="n">
        <v>45142.38450231482</v>
      </c>
      <c r="C266" s="1" t="n">
        <v>45926</v>
      </c>
      <c r="D266" t="inlineStr">
        <is>
          <t>SKÅNE LÄN</t>
        </is>
      </c>
      <c r="E266" t="inlineStr">
        <is>
          <t>HÄSSLEHOLM</t>
        </is>
      </c>
      <c r="G266" t="n">
        <v>1.3</v>
      </c>
      <c r="H266" t="n">
        <v>0</v>
      </c>
      <c r="I266" t="n">
        <v>0</v>
      </c>
      <c r="J266" t="n">
        <v>0</v>
      </c>
      <c r="K266" t="n">
        <v>0</v>
      </c>
      <c r="L266" t="n">
        <v>0</v>
      </c>
      <c r="M266" t="n">
        <v>0</v>
      </c>
      <c r="N266" t="n">
        <v>0</v>
      </c>
      <c r="O266" t="n">
        <v>0</v>
      </c>
      <c r="P266" t="n">
        <v>0</v>
      </c>
      <c r="Q266" t="n">
        <v>0</v>
      </c>
      <c r="R266" s="2" t="inlineStr"/>
    </row>
    <row r="267" ht="15" customHeight="1">
      <c r="A267" t="inlineStr">
        <is>
          <t>A 2596-2024</t>
        </is>
      </c>
      <c r="B267" s="1" t="n">
        <v>45313.69969907407</v>
      </c>
      <c r="C267" s="1" t="n">
        <v>45926</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21206-2025</t>
        </is>
      </c>
      <c r="B268" s="1" t="n">
        <v>45779.48318287037</v>
      </c>
      <c r="C268" s="1" t="n">
        <v>45926</v>
      </c>
      <c r="D268" t="inlineStr">
        <is>
          <t>SKÅNE LÄN</t>
        </is>
      </c>
      <c r="E268" t="inlineStr">
        <is>
          <t>HÄSSLEHOLM</t>
        </is>
      </c>
      <c r="G268" t="n">
        <v>2.2</v>
      </c>
      <c r="H268" t="n">
        <v>0</v>
      </c>
      <c r="I268" t="n">
        <v>0</v>
      </c>
      <c r="J268" t="n">
        <v>0</v>
      </c>
      <c r="K268" t="n">
        <v>0</v>
      </c>
      <c r="L268" t="n">
        <v>0</v>
      </c>
      <c r="M268" t="n">
        <v>0</v>
      </c>
      <c r="N268" t="n">
        <v>0</v>
      </c>
      <c r="O268" t="n">
        <v>0</v>
      </c>
      <c r="P268" t="n">
        <v>0</v>
      </c>
      <c r="Q268" t="n">
        <v>0</v>
      </c>
      <c r="R268" s="2" t="inlineStr"/>
    </row>
    <row r="269" ht="15" customHeight="1">
      <c r="A269" t="inlineStr">
        <is>
          <t>A 6842-2023</t>
        </is>
      </c>
      <c r="B269" s="1" t="n">
        <v>44967</v>
      </c>
      <c r="C269" s="1" t="n">
        <v>45926</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48747-2022</t>
        </is>
      </c>
      <c r="B270" s="1" t="n">
        <v>44859</v>
      </c>
      <c r="C270" s="1" t="n">
        <v>45926</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14157-2021</t>
        </is>
      </c>
      <c r="B271" s="1" t="n">
        <v>44278.43246527778</v>
      </c>
      <c r="C271" s="1" t="n">
        <v>45926</v>
      </c>
      <c r="D271" t="inlineStr">
        <is>
          <t>SKÅNE LÄN</t>
        </is>
      </c>
      <c r="E271" t="inlineStr">
        <is>
          <t>HÄSSLEHOLM</t>
        </is>
      </c>
      <c r="G271" t="n">
        <v>10.5</v>
      </c>
      <c r="H271" t="n">
        <v>0</v>
      </c>
      <c r="I271" t="n">
        <v>0</v>
      </c>
      <c r="J271" t="n">
        <v>0</v>
      </c>
      <c r="K271" t="n">
        <v>0</v>
      </c>
      <c r="L271" t="n">
        <v>0</v>
      </c>
      <c r="M271" t="n">
        <v>0</v>
      </c>
      <c r="N271" t="n">
        <v>0</v>
      </c>
      <c r="O271" t="n">
        <v>0</v>
      </c>
      <c r="P271" t="n">
        <v>0</v>
      </c>
      <c r="Q271" t="n">
        <v>0</v>
      </c>
      <c r="R271" s="2" t="inlineStr"/>
    </row>
    <row r="272" ht="15" customHeight="1">
      <c r="A272" t="inlineStr">
        <is>
          <t>A 54874-2022</t>
        </is>
      </c>
      <c r="B272" s="1" t="n">
        <v>44881</v>
      </c>
      <c r="C272" s="1" t="n">
        <v>45926</v>
      </c>
      <c r="D272" t="inlineStr">
        <is>
          <t>SKÅNE LÄN</t>
        </is>
      </c>
      <c r="E272" t="inlineStr">
        <is>
          <t>HÄSSLEHOLM</t>
        </is>
      </c>
      <c r="G272" t="n">
        <v>8.1</v>
      </c>
      <c r="H272" t="n">
        <v>0</v>
      </c>
      <c r="I272" t="n">
        <v>0</v>
      </c>
      <c r="J272" t="n">
        <v>0</v>
      </c>
      <c r="K272" t="n">
        <v>0</v>
      </c>
      <c r="L272" t="n">
        <v>0</v>
      </c>
      <c r="M272" t="n">
        <v>0</v>
      </c>
      <c r="N272" t="n">
        <v>0</v>
      </c>
      <c r="O272" t="n">
        <v>0</v>
      </c>
      <c r="P272" t="n">
        <v>0</v>
      </c>
      <c r="Q272" t="n">
        <v>0</v>
      </c>
      <c r="R272" s="2" t="inlineStr"/>
    </row>
    <row r="273" ht="15" customHeight="1">
      <c r="A273" t="inlineStr">
        <is>
          <t>A 21091-2025</t>
        </is>
      </c>
      <c r="B273" s="1" t="n">
        <v>45777</v>
      </c>
      <c r="C273" s="1" t="n">
        <v>45926</v>
      </c>
      <c r="D273" t="inlineStr">
        <is>
          <t>SKÅNE LÄN</t>
        </is>
      </c>
      <c r="E273" t="inlineStr">
        <is>
          <t>HÄSSLEHOLM</t>
        </is>
      </c>
      <c r="G273" t="n">
        <v>3.4</v>
      </c>
      <c r="H273" t="n">
        <v>0</v>
      </c>
      <c r="I273" t="n">
        <v>0</v>
      </c>
      <c r="J273" t="n">
        <v>0</v>
      </c>
      <c r="K273" t="n">
        <v>0</v>
      </c>
      <c r="L273" t="n">
        <v>0</v>
      </c>
      <c r="M273" t="n">
        <v>0</v>
      </c>
      <c r="N273" t="n">
        <v>0</v>
      </c>
      <c r="O273" t="n">
        <v>0</v>
      </c>
      <c r="P273" t="n">
        <v>0</v>
      </c>
      <c r="Q273" t="n">
        <v>0</v>
      </c>
      <c r="R273" s="2" t="inlineStr"/>
    </row>
    <row r="274" ht="15" customHeight="1">
      <c r="A274" t="inlineStr">
        <is>
          <t>A 317-2025</t>
        </is>
      </c>
      <c r="B274" s="1" t="n">
        <v>45660</v>
      </c>
      <c r="C274" s="1" t="n">
        <v>45926</v>
      </c>
      <c r="D274" t="inlineStr">
        <is>
          <t>SKÅNE LÄN</t>
        </is>
      </c>
      <c r="E274" t="inlineStr">
        <is>
          <t>HÄSSLEHOLM</t>
        </is>
      </c>
      <c r="G274" t="n">
        <v>1.6</v>
      </c>
      <c r="H274" t="n">
        <v>0</v>
      </c>
      <c r="I274" t="n">
        <v>0</v>
      </c>
      <c r="J274" t="n">
        <v>0</v>
      </c>
      <c r="K274" t="n">
        <v>0</v>
      </c>
      <c r="L274" t="n">
        <v>0</v>
      </c>
      <c r="M274" t="n">
        <v>0</v>
      </c>
      <c r="N274" t="n">
        <v>0</v>
      </c>
      <c r="O274" t="n">
        <v>0</v>
      </c>
      <c r="P274" t="n">
        <v>0</v>
      </c>
      <c r="Q274" t="n">
        <v>0</v>
      </c>
      <c r="R274" s="2" t="inlineStr"/>
    </row>
    <row r="275" ht="15" customHeight="1">
      <c r="A275" t="inlineStr">
        <is>
          <t>A 21638-2025</t>
        </is>
      </c>
      <c r="B275" s="1" t="n">
        <v>45783.43087962963</v>
      </c>
      <c r="C275" s="1" t="n">
        <v>45926</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7262-2022</t>
        </is>
      </c>
      <c r="B276" s="1" t="n">
        <v>44606</v>
      </c>
      <c r="C276" s="1" t="n">
        <v>45926</v>
      </c>
      <c r="D276" t="inlineStr">
        <is>
          <t>SKÅNE LÄN</t>
        </is>
      </c>
      <c r="E276" t="inlineStr">
        <is>
          <t>HÄSSLEHOLM</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50899-2024</t>
        </is>
      </c>
      <c r="B277" s="1" t="n">
        <v>45602.68584490741</v>
      </c>
      <c r="C277" s="1" t="n">
        <v>45926</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17152-2025</t>
        </is>
      </c>
      <c r="B278" s="1" t="n">
        <v>45756.33318287037</v>
      </c>
      <c r="C278" s="1" t="n">
        <v>45926</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39111-2023</t>
        </is>
      </c>
      <c r="B279" s="1" t="n">
        <v>45164.87140046297</v>
      </c>
      <c r="C279" s="1" t="n">
        <v>45926</v>
      </c>
      <c r="D279" t="inlineStr">
        <is>
          <t>SKÅNE LÄN</t>
        </is>
      </c>
      <c r="E279" t="inlineStr">
        <is>
          <t>HÄSSLEHOLM</t>
        </is>
      </c>
      <c r="G279" t="n">
        <v>0.9</v>
      </c>
      <c r="H279" t="n">
        <v>0</v>
      </c>
      <c r="I279" t="n">
        <v>0</v>
      </c>
      <c r="J279" t="n">
        <v>0</v>
      </c>
      <c r="K279" t="n">
        <v>0</v>
      </c>
      <c r="L279" t="n">
        <v>0</v>
      </c>
      <c r="M279" t="n">
        <v>0</v>
      </c>
      <c r="N279" t="n">
        <v>0</v>
      </c>
      <c r="O279" t="n">
        <v>0</v>
      </c>
      <c r="P279" t="n">
        <v>0</v>
      </c>
      <c r="Q279" t="n">
        <v>0</v>
      </c>
      <c r="R279" s="2" t="inlineStr"/>
    </row>
    <row r="280" ht="15" customHeight="1">
      <c r="A280" t="inlineStr">
        <is>
          <t>A 60851-2024</t>
        </is>
      </c>
      <c r="B280" s="1" t="n">
        <v>45644.66182870371</v>
      </c>
      <c r="C280" s="1" t="n">
        <v>45926</v>
      </c>
      <c r="D280" t="inlineStr">
        <is>
          <t>SKÅNE LÄN</t>
        </is>
      </c>
      <c r="E280" t="inlineStr">
        <is>
          <t>HÄSSLEHOLM</t>
        </is>
      </c>
      <c r="G280" t="n">
        <v>1.5</v>
      </c>
      <c r="H280" t="n">
        <v>0</v>
      </c>
      <c r="I280" t="n">
        <v>0</v>
      </c>
      <c r="J280" t="n">
        <v>0</v>
      </c>
      <c r="K280" t="n">
        <v>0</v>
      </c>
      <c r="L280" t="n">
        <v>0</v>
      </c>
      <c r="M280" t="n">
        <v>0</v>
      </c>
      <c r="N280" t="n">
        <v>0</v>
      </c>
      <c r="O280" t="n">
        <v>0</v>
      </c>
      <c r="P280" t="n">
        <v>0</v>
      </c>
      <c r="Q280" t="n">
        <v>0</v>
      </c>
      <c r="R280" s="2" t="inlineStr"/>
    </row>
    <row r="281" ht="15" customHeight="1">
      <c r="A281" t="inlineStr">
        <is>
          <t>A 34301-2024</t>
        </is>
      </c>
      <c r="B281" s="1" t="n">
        <v>45524</v>
      </c>
      <c r="C281" s="1" t="n">
        <v>45926</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27242-2022</t>
        </is>
      </c>
      <c r="B282" s="1" t="n">
        <v>44741</v>
      </c>
      <c r="C282" s="1" t="n">
        <v>45926</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13198-2025</t>
        </is>
      </c>
      <c r="B283" s="1" t="n">
        <v>45735</v>
      </c>
      <c r="C283" s="1" t="n">
        <v>45926</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61158-2022</t>
        </is>
      </c>
      <c r="B284" s="1" t="n">
        <v>44915.47112268519</v>
      </c>
      <c r="C284" s="1" t="n">
        <v>45926</v>
      </c>
      <c r="D284" t="inlineStr">
        <is>
          <t>SKÅNE LÄN</t>
        </is>
      </c>
      <c r="E284" t="inlineStr">
        <is>
          <t>HÄSSLEHOLM</t>
        </is>
      </c>
      <c r="G284" t="n">
        <v>8.4</v>
      </c>
      <c r="H284" t="n">
        <v>0</v>
      </c>
      <c r="I284" t="n">
        <v>0</v>
      </c>
      <c r="J284" t="n">
        <v>0</v>
      </c>
      <c r="K284" t="n">
        <v>0</v>
      </c>
      <c r="L284" t="n">
        <v>0</v>
      </c>
      <c r="M284" t="n">
        <v>0</v>
      </c>
      <c r="N284" t="n">
        <v>0</v>
      </c>
      <c r="O284" t="n">
        <v>0</v>
      </c>
      <c r="P284" t="n">
        <v>0</v>
      </c>
      <c r="Q284" t="n">
        <v>0</v>
      </c>
      <c r="R284" s="2" t="inlineStr"/>
    </row>
    <row r="285" ht="15" customHeight="1">
      <c r="A285" t="inlineStr">
        <is>
          <t>A 61186-2022</t>
        </is>
      </c>
      <c r="B285" s="1" t="n">
        <v>44915.50745370371</v>
      </c>
      <c r="C285" s="1" t="n">
        <v>45926</v>
      </c>
      <c r="D285" t="inlineStr">
        <is>
          <t>SKÅNE LÄN</t>
        </is>
      </c>
      <c r="E285" t="inlineStr">
        <is>
          <t>HÄSSLEHOLM</t>
        </is>
      </c>
      <c r="G285" t="n">
        <v>2.9</v>
      </c>
      <c r="H285" t="n">
        <v>0</v>
      </c>
      <c r="I285" t="n">
        <v>0</v>
      </c>
      <c r="J285" t="n">
        <v>0</v>
      </c>
      <c r="K285" t="n">
        <v>0</v>
      </c>
      <c r="L285" t="n">
        <v>0</v>
      </c>
      <c r="M285" t="n">
        <v>0</v>
      </c>
      <c r="N285" t="n">
        <v>0</v>
      </c>
      <c r="O285" t="n">
        <v>0</v>
      </c>
      <c r="P285" t="n">
        <v>0</v>
      </c>
      <c r="Q285" t="n">
        <v>0</v>
      </c>
      <c r="R285" s="2" t="inlineStr"/>
    </row>
    <row r="286" ht="15" customHeight="1">
      <c r="A286" t="inlineStr">
        <is>
          <t>A 21625-2025</t>
        </is>
      </c>
      <c r="B286" s="1" t="n">
        <v>45783.41252314814</v>
      </c>
      <c r="C286" s="1" t="n">
        <v>45926</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62055-2023</t>
        </is>
      </c>
      <c r="B287" s="1" t="n">
        <v>45266.70287037037</v>
      </c>
      <c r="C287" s="1" t="n">
        <v>45926</v>
      </c>
      <c r="D287" t="inlineStr">
        <is>
          <t>SKÅNE LÄN</t>
        </is>
      </c>
      <c r="E287" t="inlineStr">
        <is>
          <t>HÄSSLEHOLM</t>
        </is>
      </c>
      <c r="G287" t="n">
        <v>5.2</v>
      </c>
      <c r="H287" t="n">
        <v>0</v>
      </c>
      <c r="I287" t="n">
        <v>0</v>
      </c>
      <c r="J287" t="n">
        <v>0</v>
      </c>
      <c r="K287" t="n">
        <v>0</v>
      </c>
      <c r="L287" t="n">
        <v>0</v>
      </c>
      <c r="M287" t="n">
        <v>0</v>
      </c>
      <c r="N287" t="n">
        <v>0</v>
      </c>
      <c r="O287" t="n">
        <v>0</v>
      </c>
      <c r="P287" t="n">
        <v>0</v>
      </c>
      <c r="Q287" t="n">
        <v>0</v>
      </c>
      <c r="R287" s="2" t="inlineStr"/>
    </row>
    <row r="288" ht="15" customHeight="1">
      <c r="A288" t="inlineStr">
        <is>
          <t>A 7818-2024</t>
        </is>
      </c>
      <c r="B288" s="1" t="n">
        <v>45349.68872685185</v>
      </c>
      <c r="C288" s="1" t="n">
        <v>45926</v>
      </c>
      <c r="D288" t="inlineStr">
        <is>
          <t>SKÅNE LÄN</t>
        </is>
      </c>
      <c r="E288" t="inlineStr">
        <is>
          <t>HÄSSLEHOLM</t>
        </is>
      </c>
      <c r="G288" t="n">
        <v>2.5</v>
      </c>
      <c r="H288" t="n">
        <v>0</v>
      </c>
      <c r="I288" t="n">
        <v>0</v>
      </c>
      <c r="J288" t="n">
        <v>0</v>
      </c>
      <c r="K288" t="n">
        <v>0</v>
      </c>
      <c r="L288" t="n">
        <v>0</v>
      </c>
      <c r="M288" t="n">
        <v>0</v>
      </c>
      <c r="N288" t="n">
        <v>0</v>
      </c>
      <c r="O288" t="n">
        <v>0</v>
      </c>
      <c r="P288" t="n">
        <v>0</v>
      </c>
      <c r="Q288" t="n">
        <v>0</v>
      </c>
      <c r="R288" s="2" t="inlineStr"/>
    </row>
    <row r="289" ht="15" customHeight="1">
      <c r="A289" t="inlineStr">
        <is>
          <t>A 50616-2023</t>
        </is>
      </c>
      <c r="B289" s="1" t="n">
        <v>45210</v>
      </c>
      <c r="C289" s="1" t="n">
        <v>45926</v>
      </c>
      <c r="D289" t="inlineStr">
        <is>
          <t>SKÅNE LÄN</t>
        </is>
      </c>
      <c r="E289" t="inlineStr">
        <is>
          <t>HÄSSLEHOLM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45361-2023</t>
        </is>
      </c>
      <c r="B290" s="1" t="n">
        <v>45192.49068287037</v>
      </c>
      <c r="C290" s="1" t="n">
        <v>45926</v>
      </c>
      <c r="D290" t="inlineStr">
        <is>
          <t>SKÅNE LÄN</t>
        </is>
      </c>
      <c r="E290" t="inlineStr">
        <is>
          <t>HÄSSLEHOLM</t>
        </is>
      </c>
      <c r="G290" t="n">
        <v>1.9</v>
      </c>
      <c r="H290" t="n">
        <v>0</v>
      </c>
      <c r="I290" t="n">
        <v>0</v>
      </c>
      <c r="J290" t="n">
        <v>0</v>
      </c>
      <c r="K290" t="n">
        <v>0</v>
      </c>
      <c r="L290" t="n">
        <v>0</v>
      </c>
      <c r="M290" t="n">
        <v>0</v>
      </c>
      <c r="N290" t="n">
        <v>0</v>
      </c>
      <c r="O290" t="n">
        <v>0</v>
      </c>
      <c r="P290" t="n">
        <v>0</v>
      </c>
      <c r="Q290" t="n">
        <v>0</v>
      </c>
      <c r="R290" s="2" t="inlineStr"/>
    </row>
    <row r="291" ht="15" customHeight="1">
      <c r="A291" t="inlineStr">
        <is>
          <t>A 9747-2024</t>
        </is>
      </c>
      <c r="B291" s="1" t="n">
        <v>45362</v>
      </c>
      <c r="C291" s="1" t="n">
        <v>45926</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49107-2023</t>
        </is>
      </c>
      <c r="B292" s="1" t="n">
        <v>45210.44337962963</v>
      </c>
      <c r="C292" s="1" t="n">
        <v>45926</v>
      </c>
      <c r="D292" t="inlineStr">
        <is>
          <t>SKÅNE LÄN</t>
        </is>
      </c>
      <c r="E292" t="inlineStr">
        <is>
          <t>HÄSSLEHOLM</t>
        </is>
      </c>
      <c r="G292" t="n">
        <v>0.3</v>
      </c>
      <c r="H292" t="n">
        <v>0</v>
      </c>
      <c r="I292" t="n">
        <v>0</v>
      </c>
      <c r="J292" t="n">
        <v>0</v>
      </c>
      <c r="K292" t="n">
        <v>0</v>
      </c>
      <c r="L292" t="n">
        <v>0</v>
      </c>
      <c r="M292" t="n">
        <v>0</v>
      </c>
      <c r="N292" t="n">
        <v>0</v>
      </c>
      <c r="O292" t="n">
        <v>0</v>
      </c>
      <c r="P292" t="n">
        <v>0</v>
      </c>
      <c r="Q292" t="n">
        <v>0</v>
      </c>
      <c r="R292" s="2" t="inlineStr"/>
    </row>
    <row r="293" ht="15" customHeight="1">
      <c r="A293" t="inlineStr">
        <is>
          <t>A 13149-2024</t>
        </is>
      </c>
      <c r="B293" s="1" t="n">
        <v>45386</v>
      </c>
      <c r="C293" s="1" t="n">
        <v>45926</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33465-2024</t>
        </is>
      </c>
      <c r="B294" s="1" t="n">
        <v>45519.59619212963</v>
      </c>
      <c r="C294" s="1" t="n">
        <v>45926</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29845-2024</t>
        </is>
      </c>
      <c r="B295" s="1" t="n">
        <v>45485.6212037037</v>
      </c>
      <c r="C295" s="1" t="n">
        <v>45926</v>
      </c>
      <c r="D295" t="inlineStr">
        <is>
          <t>SKÅNE LÄN</t>
        </is>
      </c>
      <c r="E295" t="inlineStr">
        <is>
          <t>HÄSSLEHOLM</t>
        </is>
      </c>
      <c r="G295" t="n">
        <v>1.3</v>
      </c>
      <c r="H295" t="n">
        <v>0</v>
      </c>
      <c r="I295" t="n">
        <v>0</v>
      </c>
      <c r="J295" t="n">
        <v>0</v>
      </c>
      <c r="K295" t="n">
        <v>0</v>
      </c>
      <c r="L295" t="n">
        <v>0</v>
      </c>
      <c r="M295" t="n">
        <v>0</v>
      </c>
      <c r="N295" t="n">
        <v>0</v>
      </c>
      <c r="O295" t="n">
        <v>0</v>
      </c>
      <c r="P295" t="n">
        <v>0</v>
      </c>
      <c r="Q295" t="n">
        <v>0</v>
      </c>
      <c r="R295" s="2" t="inlineStr"/>
    </row>
    <row r="296" ht="15" customHeight="1">
      <c r="A296" t="inlineStr">
        <is>
          <t>A 30109-2025</t>
        </is>
      </c>
      <c r="B296" s="1" t="n">
        <v>45826</v>
      </c>
      <c r="C296" s="1" t="n">
        <v>45926</v>
      </c>
      <c r="D296" t="inlineStr">
        <is>
          <t>SKÅNE LÄN</t>
        </is>
      </c>
      <c r="E296" t="inlineStr">
        <is>
          <t>HÄSSLEHOLM</t>
        </is>
      </c>
      <c r="G296" t="n">
        <v>2.4</v>
      </c>
      <c r="H296" t="n">
        <v>0</v>
      </c>
      <c r="I296" t="n">
        <v>0</v>
      </c>
      <c r="J296" t="n">
        <v>0</v>
      </c>
      <c r="K296" t="n">
        <v>0</v>
      </c>
      <c r="L296" t="n">
        <v>0</v>
      </c>
      <c r="M296" t="n">
        <v>0</v>
      </c>
      <c r="N296" t="n">
        <v>0</v>
      </c>
      <c r="O296" t="n">
        <v>0</v>
      </c>
      <c r="P296" t="n">
        <v>0</v>
      </c>
      <c r="Q296" t="n">
        <v>0</v>
      </c>
      <c r="R296" s="2" t="inlineStr"/>
    </row>
    <row r="297" ht="15" customHeight="1">
      <c r="A297" t="inlineStr">
        <is>
          <t>A 1703-2025</t>
        </is>
      </c>
      <c r="B297" s="1" t="n">
        <v>45670.80732638889</v>
      </c>
      <c r="C297" s="1" t="n">
        <v>45926</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53466-2024</t>
        </is>
      </c>
      <c r="B298" s="1" t="n">
        <v>45614.55304398148</v>
      </c>
      <c r="C298" s="1" t="n">
        <v>45926</v>
      </c>
      <c r="D298" t="inlineStr">
        <is>
          <t>SKÅNE LÄN</t>
        </is>
      </c>
      <c r="E298" t="inlineStr">
        <is>
          <t>HÄSSLEHOLM</t>
        </is>
      </c>
      <c r="G298" t="n">
        <v>1.3</v>
      </c>
      <c r="H298" t="n">
        <v>0</v>
      </c>
      <c r="I298" t="n">
        <v>0</v>
      </c>
      <c r="J298" t="n">
        <v>0</v>
      </c>
      <c r="K298" t="n">
        <v>0</v>
      </c>
      <c r="L298" t="n">
        <v>0</v>
      </c>
      <c r="M298" t="n">
        <v>0</v>
      </c>
      <c r="N298" t="n">
        <v>0</v>
      </c>
      <c r="O298" t="n">
        <v>0</v>
      </c>
      <c r="P298" t="n">
        <v>0</v>
      </c>
      <c r="Q298" t="n">
        <v>0</v>
      </c>
      <c r="R298" s="2" t="inlineStr"/>
    </row>
    <row r="299" ht="15" customHeight="1">
      <c r="A299" t="inlineStr">
        <is>
          <t>A 61533-2024</t>
        </is>
      </c>
      <c r="B299" s="1" t="n">
        <v>45646</v>
      </c>
      <c r="C299" s="1" t="n">
        <v>45926</v>
      </c>
      <c r="D299" t="inlineStr">
        <is>
          <t>SKÅNE LÄN</t>
        </is>
      </c>
      <c r="E299" t="inlineStr">
        <is>
          <t>HÄSSLEHOLM</t>
        </is>
      </c>
      <c r="G299" t="n">
        <v>4.5</v>
      </c>
      <c r="H299" t="n">
        <v>0</v>
      </c>
      <c r="I299" t="n">
        <v>0</v>
      </c>
      <c r="J299" t="n">
        <v>0</v>
      </c>
      <c r="K299" t="n">
        <v>0</v>
      </c>
      <c r="L299" t="n">
        <v>0</v>
      </c>
      <c r="M299" t="n">
        <v>0</v>
      </c>
      <c r="N299" t="n">
        <v>0</v>
      </c>
      <c r="O299" t="n">
        <v>0</v>
      </c>
      <c r="P299" t="n">
        <v>0</v>
      </c>
      <c r="Q299" t="n">
        <v>0</v>
      </c>
      <c r="R299" s="2" t="inlineStr"/>
    </row>
    <row r="300" ht="15" customHeight="1">
      <c r="A300" t="inlineStr">
        <is>
          <t>A 19735-2023</t>
        </is>
      </c>
      <c r="B300" s="1" t="n">
        <v>45051.52199074074</v>
      </c>
      <c r="C300" s="1" t="n">
        <v>45926</v>
      </c>
      <c r="D300" t="inlineStr">
        <is>
          <t>SKÅNE LÄN</t>
        </is>
      </c>
      <c r="E300" t="inlineStr">
        <is>
          <t>HÄSSLEHOLM</t>
        </is>
      </c>
      <c r="G300" t="n">
        <v>4</v>
      </c>
      <c r="H300" t="n">
        <v>0</v>
      </c>
      <c r="I300" t="n">
        <v>0</v>
      </c>
      <c r="J300" t="n">
        <v>0</v>
      </c>
      <c r="K300" t="n">
        <v>0</v>
      </c>
      <c r="L300" t="n">
        <v>0</v>
      </c>
      <c r="M300" t="n">
        <v>0</v>
      </c>
      <c r="N300" t="n">
        <v>0</v>
      </c>
      <c r="O300" t="n">
        <v>0</v>
      </c>
      <c r="P300" t="n">
        <v>0</v>
      </c>
      <c r="Q300" t="n">
        <v>0</v>
      </c>
      <c r="R300" s="2" t="inlineStr"/>
    </row>
    <row r="301" ht="15" customHeight="1">
      <c r="A301" t="inlineStr">
        <is>
          <t>A 26642-2023</t>
        </is>
      </c>
      <c r="B301" s="1" t="n">
        <v>45092.8975</v>
      </c>
      <c r="C301" s="1" t="n">
        <v>45926</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65235-2021</t>
        </is>
      </c>
      <c r="B302" s="1" t="n">
        <v>44515</v>
      </c>
      <c r="C302" s="1" t="n">
        <v>45926</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2490-2024</t>
        </is>
      </c>
      <c r="B303" s="1" t="n">
        <v>45313.43649305555</v>
      </c>
      <c r="C303" s="1" t="n">
        <v>45926</v>
      </c>
      <c r="D303" t="inlineStr">
        <is>
          <t>SKÅNE LÄN</t>
        </is>
      </c>
      <c r="E303" t="inlineStr">
        <is>
          <t>HÄSSLEHOLM</t>
        </is>
      </c>
      <c r="G303" t="n">
        <v>4</v>
      </c>
      <c r="H303" t="n">
        <v>0</v>
      </c>
      <c r="I303" t="n">
        <v>0</v>
      </c>
      <c r="J303" t="n">
        <v>0</v>
      </c>
      <c r="K303" t="n">
        <v>0</v>
      </c>
      <c r="L303" t="n">
        <v>0</v>
      </c>
      <c r="M303" t="n">
        <v>0</v>
      </c>
      <c r="N303" t="n">
        <v>0</v>
      </c>
      <c r="O303" t="n">
        <v>0</v>
      </c>
      <c r="P303" t="n">
        <v>0</v>
      </c>
      <c r="Q303" t="n">
        <v>0</v>
      </c>
      <c r="R303" s="2" t="inlineStr"/>
    </row>
    <row r="304" ht="15" customHeight="1">
      <c r="A304" t="inlineStr">
        <is>
          <t>A 61537-2024</t>
        </is>
      </c>
      <c r="B304" s="1" t="n">
        <v>45646</v>
      </c>
      <c r="C304" s="1" t="n">
        <v>45926</v>
      </c>
      <c r="D304" t="inlineStr">
        <is>
          <t>SKÅNE LÄN</t>
        </is>
      </c>
      <c r="E304" t="inlineStr">
        <is>
          <t>HÄSSLEHOLM</t>
        </is>
      </c>
      <c r="G304" t="n">
        <v>3.7</v>
      </c>
      <c r="H304" t="n">
        <v>0</v>
      </c>
      <c r="I304" t="n">
        <v>0</v>
      </c>
      <c r="J304" t="n">
        <v>0</v>
      </c>
      <c r="K304" t="n">
        <v>0</v>
      </c>
      <c r="L304" t="n">
        <v>0</v>
      </c>
      <c r="M304" t="n">
        <v>0</v>
      </c>
      <c r="N304" t="n">
        <v>0</v>
      </c>
      <c r="O304" t="n">
        <v>0</v>
      </c>
      <c r="P304" t="n">
        <v>0</v>
      </c>
      <c r="Q304" t="n">
        <v>0</v>
      </c>
      <c r="R304" s="2" t="inlineStr"/>
    </row>
    <row r="305" ht="15" customHeight="1">
      <c r="A305" t="inlineStr">
        <is>
          <t>A 13549-2025</t>
        </is>
      </c>
      <c r="B305" s="1" t="n">
        <v>45736</v>
      </c>
      <c r="C305" s="1" t="n">
        <v>45926</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51245-2023</t>
        </is>
      </c>
      <c r="B306" s="1" t="n">
        <v>45212</v>
      </c>
      <c r="C306" s="1" t="n">
        <v>45926</v>
      </c>
      <c r="D306" t="inlineStr">
        <is>
          <t>SKÅNE LÄN</t>
        </is>
      </c>
      <c r="E306" t="inlineStr">
        <is>
          <t>HÄSSLEHOLM</t>
        </is>
      </c>
      <c r="G306" t="n">
        <v>2.1</v>
      </c>
      <c r="H306" t="n">
        <v>0</v>
      </c>
      <c r="I306" t="n">
        <v>0</v>
      </c>
      <c r="J306" t="n">
        <v>0</v>
      </c>
      <c r="K306" t="n">
        <v>0</v>
      </c>
      <c r="L306" t="n">
        <v>0</v>
      </c>
      <c r="M306" t="n">
        <v>0</v>
      </c>
      <c r="N306" t="n">
        <v>0</v>
      </c>
      <c r="O306" t="n">
        <v>0</v>
      </c>
      <c r="P306" t="n">
        <v>0</v>
      </c>
      <c r="Q306" t="n">
        <v>0</v>
      </c>
      <c r="R306" s="2" t="inlineStr"/>
    </row>
    <row r="307" ht="15" customHeight="1">
      <c r="A307" t="inlineStr">
        <is>
          <t>A 16860-2025</t>
        </is>
      </c>
      <c r="B307" s="1" t="n">
        <v>45751</v>
      </c>
      <c r="C307" s="1" t="n">
        <v>45926</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34890-2023</t>
        </is>
      </c>
      <c r="B308" s="1" t="n">
        <v>45142.39475694444</v>
      </c>
      <c r="C308" s="1" t="n">
        <v>45926</v>
      </c>
      <c r="D308" t="inlineStr">
        <is>
          <t>SKÅNE LÄN</t>
        </is>
      </c>
      <c r="E308" t="inlineStr">
        <is>
          <t>HÄSSLEHOLM</t>
        </is>
      </c>
      <c r="G308" t="n">
        <v>4</v>
      </c>
      <c r="H308" t="n">
        <v>0</v>
      </c>
      <c r="I308" t="n">
        <v>0</v>
      </c>
      <c r="J308" t="n">
        <v>0</v>
      </c>
      <c r="K308" t="n">
        <v>0</v>
      </c>
      <c r="L308" t="n">
        <v>0</v>
      </c>
      <c r="M308" t="n">
        <v>0</v>
      </c>
      <c r="N308" t="n">
        <v>0</v>
      </c>
      <c r="O308" t="n">
        <v>0</v>
      </c>
      <c r="P308" t="n">
        <v>0</v>
      </c>
      <c r="Q308" t="n">
        <v>0</v>
      </c>
      <c r="R308" s="2" t="inlineStr"/>
    </row>
    <row r="309" ht="15" customHeight="1">
      <c r="A309" t="inlineStr">
        <is>
          <t>A 66321-2021</t>
        </is>
      </c>
      <c r="B309" s="1" t="n">
        <v>44518</v>
      </c>
      <c r="C309" s="1" t="n">
        <v>45926</v>
      </c>
      <c r="D309" t="inlineStr">
        <is>
          <t>SKÅNE LÄN</t>
        </is>
      </c>
      <c r="E309" t="inlineStr">
        <is>
          <t>HÄSSLEHOLM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16668-2025</t>
        </is>
      </c>
      <c r="B310" s="1" t="n">
        <v>45754.43009259259</v>
      </c>
      <c r="C310" s="1" t="n">
        <v>45926</v>
      </c>
      <c r="D310" t="inlineStr">
        <is>
          <t>SKÅNE LÄN</t>
        </is>
      </c>
      <c r="E310" t="inlineStr">
        <is>
          <t>HÄSSLEHOLM</t>
        </is>
      </c>
      <c r="G310" t="n">
        <v>4</v>
      </c>
      <c r="H310" t="n">
        <v>0</v>
      </c>
      <c r="I310" t="n">
        <v>0</v>
      </c>
      <c r="J310" t="n">
        <v>0</v>
      </c>
      <c r="K310" t="n">
        <v>0</v>
      </c>
      <c r="L310" t="n">
        <v>0</v>
      </c>
      <c r="M310" t="n">
        <v>0</v>
      </c>
      <c r="N310" t="n">
        <v>0</v>
      </c>
      <c r="O310" t="n">
        <v>0</v>
      </c>
      <c r="P310" t="n">
        <v>0</v>
      </c>
      <c r="Q310" t="n">
        <v>0</v>
      </c>
      <c r="R310" s="2" t="inlineStr"/>
    </row>
    <row r="311" ht="15" customHeight="1">
      <c r="A311" t="inlineStr">
        <is>
          <t>A 23857-2024</t>
        </is>
      </c>
      <c r="B311" s="1" t="n">
        <v>45455</v>
      </c>
      <c r="C311" s="1" t="n">
        <v>45926</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31268-2024</t>
        </is>
      </c>
      <c r="B312" s="1" t="n">
        <v>45504</v>
      </c>
      <c r="C312" s="1" t="n">
        <v>45926</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51287-2022</t>
        </is>
      </c>
      <c r="B313" s="1" t="n">
        <v>44868.83146990741</v>
      </c>
      <c r="C313" s="1" t="n">
        <v>45926</v>
      </c>
      <c r="D313" t="inlineStr">
        <is>
          <t>SKÅNE LÄN</t>
        </is>
      </c>
      <c r="E313" t="inlineStr">
        <is>
          <t>HÄSSLEHOLM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22024-2025</t>
        </is>
      </c>
      <c r="B314" s="1" t="n">
        <v>45784.85322916666</v>
      </c>
      <c r="C314" s="1" t="n">
        <v>45926</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30092-2025</t>
        </is>
      </c>
      <c r="B315" s="1" t="n">
        <v>45826</v>
      </c>
      <c r="C315" s="1" t="n">
        <v>45926</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20006-2025</t>
        </is>
      </c>
      <c r="B316" s="1" t="n">
        <v>45772.05032407407</v>
      </c>
      <c r="C316" s="1" t="n">
        <v>45926</v>
      </c>
      <c r="D316" t="inlineStr">
        <is>
          <t>SKÅNE LÄN</t>
        </is>
      </c>
      <c r="E316" t="inlineStr">
        <is>
          <t>HÄSSLEHOLM</t>
        </is>
      </c>
      <c r="G316" t="n">
        <v>3.9</v>
      </c>
      <c r="H316" t="n">
        <v>0</v>
      </c>
      <c r="I316" t="n">
        <v>0</v>
      </c>
      <c r="J316" t="n">
        <v>0</v>
      </c>
      <c r="K316" t="n">
        <v>0</v>
      </c>
      <c r="L316" t="n">
        <v>0</v>
      </c>
      <c r="M316" t="n">
        <v>0</v>
      </c>
      <c r="N316" t="n">
        <v>0</v>
      </c>
      <c r="O316" t="n">
        <v>0</v>
      </c>
      <c r="P316" t="n">
        <v>0</v>
      </c>
      <c r="Q316" t="n">
        <v>0</v>
      </c>
      <c r="R316" s="2" t="inlineStr"/>
    </row>
    <row r="317" ht="15" customHeight="1">
      <c r="A317" t="inlineStr">
        <is>
          <t>A 56735-2024</t>
        </is>
      </c>
      <c r="B317" s="1" t="n">
        <v>45628.36234953703</v>
      </c>
      <c r="C317" s="1" t="n">
        <v>45926</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29844-2024</t>
        </is>
      </c>
      <c r="B318" s="1" t="n">
        <v>45485</v>
      </c>
      <c r="C318" s="1" t="n">
        <v>45926</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20494-2024</t>
        </is>
      </c>
      <c r="B319" s="1" t="n">
        <v>45435</v>
      </c>
      <c r="C319" s="1" t="n">
        <v>45926</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55454-2021</t>
        </is>
      </c>
      <c r="B320" s="1" t="n">
        <v>44475</v>
      </c>
      <c r="C320" s="1" t="n">
        <v>45926</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31934-2024</t>
        </is>
      </c>
      <c r="B321" s="1" t="n">
        <v>45510.41177083334</v>
      </c>
      <c r="C321" s="1" t="n">
        <v>45926</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31572-2022</t>
        </is>
      </c>
      <c r="B322" s="1" t="n">
        <v>44775</v>
      </c>
      <c r="C322" s="1" t="n">
        <v>45926</v>
      </c>
      <c r="D322" t="inlineStr">
        <is>
          <t>SKÅNE LÄN</t>
        </is>
      </c>
      <c r="E322" t="inlineStr">
        <is>
          <t>HÄSSLEHOLM</t>
        </is>
      </c>
      <c r="F322" t="inlineStr">
        <is>
          <t>Kommuner</t>
        </is>
      </c>
      <c r="G322" t="n">
        <v>1.2</v>
      </c>
      <c r="H322" t="n">
        <v>0</v>
      </c>
      <c r="I322" t="n">
        <v>0</v>
      </c>
      <c r="J322" t="n">
        <v>0</v>
      </c>
      <c r="K322" t="n">
        <v>0</v>
      </c>
      <c r="L322" t="n">
        <v>0</v>
      </c>
      <c r="M322" t="n">
        <v>0</v>
      </c>
      <c r="N322" t="n">
        <v>0</v>
      </c>
      <c r="O322" t="n">
        <v>0</v>
      </c>
      <c r="P322" t="n">
        <v>0</v>
      </c>
      <c r="Q322" t="n">
        <v>0</v>
      </c>
      <c r="R322" s="2" t="inlineStr"/>
    </row>
    <row r="323" ht="15" customHeight="1">
      <c r="A323" t="inlineStr">
        <is>
          <t>A 4356-2024</t>
        </is>
      </c>
      <c r="B323" s="1" t="n">
        <v>45325.36195601852</v>
      </c>
      <c r="C323" s="1" t="n">
        <v>45926</v>
      </c>
      <c r="D323" t="inlineStr">
        <is>
          <t>SKÅNE LÄN</t>
        </is>
      </c>
      <c r="E323" t="inlineStr">
        <is>
          <t>HÄSSLEHOLM</t>
        </is>
      </c>
      <c r="G323" t="n">
        <v>3.2</v>
      </c>
      <c r="H323" t="n">
        <v>0</v>
      </c>
      <c r="I323" t="n">
        <v>0</v>
      </c>
      <c r="J323" t="n">
        <v>0</v>
      </c>
      <c r="K323" t="n">
        <v>0</v>
      </c>
      <c r="L323" t="n">
        <v>0</v>
      </c>
      <c r="M323" t="n">
        <v>0</v>
      </c>
      <c r="N323" t="n">
        <v>0</v>
      </c>
      <c r="O323" t="n">
        <v>0</v>
      </c>
      <c r="P323" t="n">
        <v>0</v>
      </c>
      <c r="Q323" t="n">
        <v>0</v>
      </c>
      <c r="R323" s="2" t="inlineStr"/>
    </row>
    <row r="324" ht="15" customHeight="1">
      <c r="A324" t="inlineStr">
        <is>
          <t>A 8160-2024</t>
        </is>
      </c>
      <c r="B324" s="1" t="n">
        <v>45351</v>
      </c>
      <c r="C324" s="1" t="n">
        <v>45926</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46813-2024</t>
        </is>
      </c>
      <c r="B325" s="1" t="n">
        <v>45583</v>
      </c>
      <c r="C325" s="1" t="n">
        <v>45926</v>
      </c>
      <c r="D325" t="inlineStr">
        <is>
          <t>SKÅNE LÄN</t>
        </is>
      </c>
      <c r="E325" t="inlineStr">
        <is>
          <t>HÄSSLEHOLM</t>
        </is>
      </c>
      <c r="G325" t="n">
        <v>14.9</v>
      </c>
      <c r="H325" t="n">
        <v>0</v>
      </c>
      <c r="I325" t="n">
        <v>0</v>
      </c>
      <c r="J325" t="n">
        <v>0</v>
      </c>
      <c r="K325" t="n">
        <v>0</v>
      </c>
      <c r="L325" t="n">
        <v>0</v>
      </c>
      <c r="M325" t="n">
        <v>0</v>
      </c>
      <c r="N325" t="n">
        <v>0</v>
      </c>
      <c r="O325" t="n">
        <v>0</v>
      </c>
      <c r="P325" t="n">
        <v>0</v>
      </c>
      <c r="Q325" t="n">
        <v>0</v>
      </c>
      <c r="R325" s="2" t="inlineStr"/>
    </row>
    <row r="326" ht="15" customHeight="1">
      <c r="A326" t="inlineStr">
        <is>
          <t>A 3480-2024</t>
        </is>
      </c>
      <c r="B326" s="1" t="n">
        <v>45320.43998842593</v>
      </c>
      <c r="C326" s="1" t="n">
        <v>45926</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5980-2024</t>
        </is>
      </c>
      <c r="B327" s="1" t="n">
        <v>45335</v>
      </c>
      <c r="C327" s="1" t="n">
        <v>45926</v>
      </c>
      <c r="D327" t="inlineStr">
        <is>
          <t>SKÅNE LÄN</t>
        </is>
      </c>
      <c r="E327" t="inlineStr">
        <is>
          <t>HÄSSLEHOLM</t>
        </is>
      </c>
      <c r="G327" t="n">
        <v>1.2</v>
      </c>
      <c r="H327" t="n">
        <v>0</v>
      </c>
      <c r="I327" t="n">
        <v>0</v>
      </c>
      <c r="J327" t="n">
        <v>0</v>
      </c>
      <c r="K327" t="n">
        <v>0</v>
      </c>
      <c r="L327" t="n">
        <v>0</v>
      </c>
      <c r="M327" t="n">
        <v>0</v>
      </c>
      <c r="N327" t="n">
        <v>0</v>
      </c>
      <c r="O327" t="n">
        <v>0</v>
      </c>
      <c r="P327" t="n">
        <v>0</v>
      </c>
      <c r="Q327" t="n">
        <v>0</v>
      </c>
      <c r="R327" s="2" t="inlineStr"/>
    </row>
    <row r="328" ht="15" customHeight="1">
      <c r="A328" t="inlineStr">
        <is>
          <t>A 59429-2023</t>
        </is>
      </c>
      <c r="B328" s="1" t="n">
        <v>45254.2875</v>
      </c>
      <c r="C328" s="1" t="n">
        <v>45926</v>
      </c>
      <c r="D328" t="inlineStr">
        <is>
          <t>SKÅNE LÄN</t>
        </is>
      </c>
      <c r="E328" t="inlineStr">
        <is>
          <t>HÄSSLEHOLM</t>
        </is>
      </c>
      <c r="G328" t="n">
        <v>0</v>
      </c>
      <c r="H328" t="n">
        <v>0</v>
      </c>
      <c r="I328" t="n">
        <v>0</v>
      </c>
      <c r="J328" t="n">
        <v>0</v>
      </c>
      <c r="K328" t="n">
        <v>0</v>
      </c>
      <c r="L328" t="n">
        <v>0</v>
      </c>
      <c r="M328" t="n">
        <v>0</v>
      </c>
      <c r="N328" t="n">
        <v>0</v>
      </c>
      <c r="O328" t="n">
        <v>0</v>
      </c>
      <c r="P328" t="n">
        <v>0</v>
      </c>
      <c r="Q328" t="n">
        <v>0</v>
      </c>
      <c r="R328" s="2" t="inlineStr"/>
    </row>
    <row r="329" ht="15" customHeight="1">
      <c r="A329" t="inlineStr">
        <is>
          <t>A 55662-2022</t>
        </is>
      </c>
      <c r="B329" s="1" t="n">
        <v>44883</v>
      </c>
      <c r="C329" s="1" t="n">
        <v>45926</v>
      </c>
      <c r="D329" t="inlineStr">
        <is>
          <t>SKÅNE LÄN</t>
        </is>
      </c>
      <c r="E329" t="inlineStr">
        <is>
          <t>HÄSSLEHOLM</t>
        </is>
      </c>
      <c r="F329" t="inlineStr">
        <is>
          <t>Övriga Aktiebolag</t>
        </is>
      </c>
      <c r="G329" t="n">
        <v>2.6</v>
      </c>
      <c r="H329" t="n">
        <v>0</v>
      </c>
      <c r="I329" t="n">
        <v>0</v>
      </c>
      <c r="J329" t="n">
        <v>0</v>
      </c>
      <c r="K329" t="n">
        <v>0</v>
      </c>
      <c r="L329" t="n">
        <v>0</v>
      </c>
      <c r="M329" t="n">
        <v>0</v>
      </c>
      <c r="N329" t="n">
        <v>0</v>
      </c>
      <c r="O329" t="n">
        <v>0</v>
      </c>
      <c r="P329" t="n">
        <v>0</v>
      </c>
      <c r="Q329" t="n">
        <v>0</v>
      </c>
      <c r="R329" s="2" t="inlineStr"/>
    </row>
    <row r="330" ht="15" customHeight="1">
      <c r="A330" t="inlineStr">
        <is>
          <t>A 10802-2024</t>
        </is>
      </c>
      <c r="B330" s="1" t="n">
        <v>45369</v>
      </c>
      <c r="C330" s="1" t="n">
        <v>45926</v>
      </c>
      <c r="D330" t="inlineStr">
        <is>
          <t>SKÅNE LÄN</t>
        </is>
      </c>
      <c r="E330" t="inlineStr">
        <is>
          <t>HÄSSLEHOLM</t>
        </is>
      </c>
      <c r="G330" t="n">
        <v>3.4</v>
      </c>
      <c r="H330" t="n">
        <v>0</v>
      </c>
      <c r="I330" t="n">
        <v>0</v>
      </c>
      <c r="J330" t="n">
        <v>0</v>
      </c>
      <c r="K330" t="n">
        <v>0</v>
      </c>
      <c r="L330" t="n">
        <v>0</v>
      </c>
      <c r="M330" t="n">
        <v>0</v>
      </c>
      <c r="N330" t="n">
        <v>0</v>
      </c>
      <c r="O330" t="n">
        <v>0</v>
      </c>
      <c r="P330" t="n">
        <v>0</v>
      </c>
      <c r="Q330" t="n">
        <v>0</v>
      </c>
      <c r="R330" s="2" t="inlineStr"/>
    </row>
    <row r="331" ht="15" customHeight="1">
      <c r="A331" t="inlineStr">
        <is>
          <t>A 45653-2024</t>
        </is>
      </c>
      <c r="B331" s="1" t="n">
        <v>45579.48872685185</v>
      </c>
      <c r="C331" s="1" t="n">
        <v>45926</v>
      </c>
      <c r="D331" t="inlineStr">
        <is>
          <t>SKÅNE LÄN</t>
        </is>
      </c>
      <c r="E331" t="inlineStr">
        <is>
          <t>HÄSSLEHOLM</t>
        </is>
      </c>
      <c r="G331" t="n">
        <v>2.6</v>
      </c>
      <c r="H331" t="n">
        <v>0</v>
      </c>
      <c r="I331" t="n">
        <v>0</v>
      </c>
      <c r="J331" t="n">
        <v>0</v>
      </c>
      <c r="K331" t="n">
        <v>0</v>
      </c>
      <c r="L331" t="n">
        <v>0</v>
      </c>
      <c r="M331" t="n">
        <v>0</v>
      </c>
      <c r="N331" t="n">
        <v>0</v>
      </c>
      <c r="O331" t="n">
        <v>0</v>
      </c>
      <c r="P331" t="n">
        <v>0</v>
      </c>
      <c r="Q331" t="n">
        <v>0</v>
      </c>
      <c r="R331" s="2" t="inlineStr"/>
    </row>
    <row r="332" ht="15" customHeight="1">
      <c r="A332" t="inlineStr">
        <is>
          <t>A 3886-2024</t>
        </is>
      </c>
      <c r="B332" s="1" t="n">
        <v>45322.44539351852</v>
      </c>
      <c r="C332" s="1" t="n">
        <v>45926</v>
      </c>
      <c r="D332" t="inlineStr">
        <is>
          <t>SKÅNE LÄN</t>
        </is>
      </c>
      <c r="E332" t="inlineStr">
        <is>
          <t>HÄSSLEHOLM</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9924-2025</t>
        </is>
      </c>
      <c r="B333" s="1" t="n">
        <v>45717.72505787037</v>
      </c>
      <c r="C333" s="1" t="n">
        <v>45926</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22587-2025</t>
        </is>
      </c>
      <c r="B334" s="1" t="n">
        <v>45789.39974537037</v>
      </c>
      <c r="C334" s="1" t="n">
        <v>45926</v>
      </c>
      <c r="D334" t="inlineStr">
        <is>
          <t>SKÅNE LÄN</t>
        </is>
      </c>
      <c r="E334" t="inlineStr">
        <is>
          <t>HÄSSLEHOLM</t>
        </is>
      </c>
      <c r="G334" t="n">
        <v>5.7</v>
      </c>
      <c r="H334" t="n">
        <v>0</v>
      </c>
      <c r="I334" t="n">
        <v>0</v>
      </c>
      <c r="J334" t="n">
        <v>0</v>
      </c>
      <c r="K334" t="n">
        <v>0</v>
      </c>
      <c r="L334" t="n">
        <v>0</v>
      </c>
      <c r="M334" t="n">
        <v>0</v>
      </c>
      <c r="N334" t="n">
        <v>0</v>
      </c>
      <c r="O334" t="n">
        <v>0</v>
      </c>
      <c r="P334" t="n">
        <v>0</v>
      </c>
      <c r="Q334" t="n">
        <v>0</v>
      </c>
      <c r="R334" s="2" t="inlineStr"/>
    </row>
    <row r="335" ht="15" customHeight="1">
      <c r="A335" t="inlineStr">
        <is>
          <t>A 60920-2024</t>
        </is>
      </c>
      <c r="B335" s="1" t="n">
        <v>45645.34442129629</v>
      </c>
      <c r="C335" s="1" t="n">
        <v>45926</v>
      </c>
      <c r="D335" t="inlineStr">
        <is>
          <t>SKÅNE LÄN</t>
        </is>
      </c>
      <c r="E335" t="inlineStr">
        <is>
          <t>HÄSSLEHOLM</t>
        </is>
      </c>
      <c r="G335" t="n">
        <v>2.6</v>
      </c>
      <c r="H335" t="n">
        <v>0</v>
      </c>
      <c r="I335" t="n">
        <v>0</v>
      </c>
      <c r="J335" t="n">
        <v>0</v>
      </c>
      <c r="K335" t="n">
        <v>0</v>
      </c>
      <c r="L335" t="n">
        <v>0</v>
      </c>
      <c r="M335" t="n">
        <v>0</v>
      </c>
      <c r="N335" t="n">
        <v>0</v>
      </c>
      <c r="O335" t="n">
        <v>0</v>
      </c>
      <c r="P335" t="n">
        <v>0</v>
      </c>
      <c r="Q335" t="n">
        <v>0</v>
      </c>
      <c r="R335" s="2" t="inlineStr"/>
    </row>
    <row r="336" ht="15" customHeight="1">
      <c r="A336" t="inlineStr">
        <is>
          <t>A 40536-2024</t>
        </is>
      </c>
      <c r="B336" s="1" t="n">
        <v>45555.61314814815</v>
      </c>
      <c r="C336" s="1" t="n">
        <v>45926</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9322-2025</t>
        </is>
      </c>
      <c r="B337" s="1" t="n">
        <v>45714.72241898148</v>
      </c>
      <c r="C337" s="1" t="n">
        <v>45926</v>
      </c>
      <c r="D337" t="inlineStr">
        <is>
          <t>SKÅNE LÄN</t>
        </is>
      </c>
      <c r="E337" t="inlineStr">
        <is>
          <t>HÄSSLEHOLM</t>
        </is>
      </c>
      <c r="G337" t="n">
        <v>2.6</v>
      </c>
      <c r="H337" t="n">
        <v>0</v>
      </c>
      <c r="I337" t="n">
        <v>0</v>
      </c>
      <c r="J337" t="n">
        <v>0</v>
      </c>
      <c r="K337" t="n">
        <v>0</v>
      </c>
      <c r="L337" t="n">
        <v>0</v>
      </c>
      <c r="M337" t="n">
        <v>0</v>
      </c>
      <c r="N337" t="n">
        <v>0</v>
      </c>
      <c r="O337" t="n">
        <v>0</v>
      </c>
      <c r="P337" t="n">
        <v>0</v>
      </c>
      <c r="Q337" t="n">
        <v>0</v>
      </c>
      <c r="R337" s="2" t="inlineStr"/>
    </row>
    <row r="338" ht="15" customHeight="1">
      <c r="A338" t="inlineStr">
        <is>
          <t>A 60959-2022</t>
        </is>
      </c>
      <c r="B338" s="1" t="n">
        <v>44914.64777777778</v>
      </c>
      <c r="C338" s="1" t="n">
        <v>45926</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260-2024</t>
        </is>
      </c>
      <c r="B339" s="1" t="n">
        <v>45294</v>
      </c>
      <c r="C339" s="1" t="n">
        <v>45926</v>
      </c>
      <c r="D339" t="inlineStr">
        <is>
          <t>SKÅNE LÄN</t>
        </is>
      </c>
      <c r="E339" t="inlineStr">
        <is>
          <t>HÄSSLEHOLM</t>
        </is>
      </c>
      <c r="G339" t="n">
        <v>1</v>
      </c>
      <c r="H339" t="n">
        <v>0</v>
      </c>
      <c r="I339" t="n">
        <v>0</v>
      </c>
      <c r="J339" t="n">
        <v>0</v>
      </c>
      <c r="K339" t="n">
        <v>0</v>
      </c>
      <c r="L339" t="n">
        <v>0</v>
      </c>
      <c r="M339" t="n">
        <v>0</v>
      </c>
      <c r="N339" t="n">
        <v>0</v>
      </c>
      <c r="O339" t="n">
        <v>0</v>
      </c>
      <c r="P339" t="n">
        <v>0</v>
      </c>
      <c r="Q339" t="n">
        <v>0</v>
      </c>
      <c r="R339" s="2" t="inlineStr"/>
    </row>
    <row r="340" ht="15" customHeight="1">
      <c r="A340" t="inlineStr">
        <is>
          <t>A 40780-2022</t>
        </is>
      </c>
      <c r="B340" s="1" t="n">
        <v>44820</v>
      </c>
      <c r="C340" s="1" t="n">
        <v>45926</v>
      </c>
      <c r="D340" t="inlineStr">
        <is>
          <t>SKÅNE LÄN</t>
        </is>
      </c>
      <c r="E340" t="inlineStr">
        <is>
          <t>HÄSSLEHOLM</t>
        </is>
      </c>
      <c r="G340" t="n">
        <v>7.4</v>
      </c>
      <c r="H340" t="n">
        <v>0</v>
      </c>
      <c r="I340" t="n">
        <v>0</v>
      </c>
      <c r="J340" t="n">
        <v>0</v>
      </c>
      <c r="K340" t="n">
        <v>0</v>
      </c>
      <c r="L340" t="n">
        <v>0</v>
      </c>
      <c r="M340" t="n">
        <v>0</v>
      </c>
      <c r="N340" t="n">
        <v>0</v>
      </c>
      <c r="O340" t="n">
        <v>0</v>
      </c>
      <c r="P340" t="n">
        <v>0</v>
      </c>
      <c r="Q340" t="n">
        <v>0</v>
      </c>
      <c r="R340" s="2" t="inlineStr"/>
    </row>
    <row r="341" ht="15" customHeight="1">
      <c r="A341" t="inlineStr">
        <is>
          <t>A 5316-2023</t>
        </is>
      </c>
      <c r="B341" s="1" t="n">
        <v>44959</v>
      </c>
      <c r="C341" s="1" t="n">
        <v>45926</v>
      </c>
      <c r="D341" t="inlineStr">
        <is>
          <t>SKÅNE LÄN</t>
        </is>
      </c>
      <c r="E341" t="inlineStr">
        <is>
          <t>HÄSSLEHOLM</t>
        </is>
      </c>
      <c r="G341" t="n">
        <v>2.1</v>
      </c>
      <c r="H341" t="n">
        <v>0</v>
      </c>
      <c r="I341" t="n">
        <v>0</v>
      </c>
      <c r="J341" t="n">
        <v>0</v>
      </c>
      <c r="K341" t="n">
        <v>0</v>
      </c>
      <c r="L341" t="n">
        <v>0</v>
      </c>
      <c r="M341" t="n">
        <v>0</v>
      </c>
      <c r="N341" t="n">
        <v>0</v>
      </c>
      <c r="O341" t="n">
        <v>0</v>
      </c>
      <c r="P341" t="n">
        <v>0</v>
      </c>
      <c r="Q341" t="n">
        <v>0</v>
      </c>
      <c r="R341" s="2" t="inlineStr"/>
    </row>
    <row r="342" ht="15" customHeight="1">
      <c r="A342" t="inlineStr">
        <is>
          <t>A 56386-2023</t>
        </is>
      </c>
      <c r="B342" s="1" t="n">
        <v>45243</v>
      </c>
      <c r="C342" s="1" t="n">
        <v>45926</v>
      </c>
      <c r="D342" t="inlineStr">
        <is>
          <t>SKÅNE LÄN</t>
        </is>
      </c>
      <c r="E342" t="inlineStr">
        <is>
          <t>HÄSSLEHOLM</t>
        </is>
      </c>
      <c r="G342" t="n">
        <v>2</v>
      </c>
      <c r="H342" t="n">
        <v>0</v>
      </c>
      <c r="I342" t="n">
        <v>0</v>
      </c>
      <c r="J342" t="n">
        <v>0</v>
      </c>
      <c r="K342" t="n">
        <v>0</v>
      </c>
      <c r="L342" t="n">
        <v>0</v>
      </c>
      <c r="M342" t="n">
        <v>0</v>
      </c>
      <c r="N342" t="n">
        <v>0</v>
      </c>
      <c r="O342" t="n">
        <v>0</v>
      </c>
      <c r="P342" t="n">
        <v>0</v>
      </c>
      <c r="Q342" t="n">
        <v>0</v>
      </c>
      <c r="R342" s="2" t="inlineStr"/>
    </row>
    <row r="343" ht="15" customHeight="1">
      <c r="A343" t="inlineStr">
        <is>
          <t>A 42906-2022</t>
        </is>
      </c>
      <c r="B343" s="1" t="n">
        <v>44833</v>
      </c>
      <c r="C343" s="1" t="n">
        <v>45926</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20510-2021</t>
        </is>
      </c>
      <c r="B344" s="1" t="n">
        <v>44315</v>
      </c>
      <c r="C344" s="1" t="n">
        <v>45926</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54362-2020</t>
        </is>
      </c>
      <c r="B345" s="1" t="n">
        <v>44126</v>
      </c>
      <c r="C345" s="1" t="n">
        <v>45926</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31931-2024</t>
        </is>
      </c>
      <c r="B346" s="1" t="n">
        <v>45510.40878472223</v>
      </c>
      <c r="C346" s="1" t="n">
        <v>45926</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29274-2023</t>
        </is>
      </c>
      <c r="B347" s="1" t="n">
        <v>45105</v>
      </c>
      <c r="C347" s="1" t="n">
        <v>45926</v>
      </c>
      <c r="D347" t="inlineStr">
        <is>
          <t>SKÅNE LÄN</t>
        </is>
      </c>
      <c r="E347" t="inlineStr">
        <is>
          <t>HÄSSLEHOLM</t>
        </is>
      </c>
      <c r="G347" t="n">
        <v>3.4</v>
      </c>
      <c r="H347" t="n">
        <v>0</v>
      </c>
      <c r="I347" t="n">
        <v>0</v>
      </c>
      <c r="J347" t="n">
        <v>0</v>
      </c>
      <c r="K347" t="n">
        <v>0</v>
      </c>
      <c r="L347" t="n">
        <v>0</v>
      </c>
      <c r="M347" t="n">
        <v>0</v>
      </c>
      <c r="N347" t="n">
        <v>0</v>
      </c>
      <c r="O347" t="n">
        <v>0</v>
      </c>
      <c r="P347" t="n">
        <v>0</v>
      </c>
      <c r="Q347" t="n">
        <v>0</v>
      </c>
      <c r="R347" s="2" t="inlineStr"/>
    </row>
    <row r="348" ht="15" customHeight="1">
      <c r="A348" t="inlineStr">
        <is>
          <t>A 61932-2023</t>
        </is>
      </c>
      <c r="B348" s="1" t="n">
        <v>45266.53761574074</v>
      </c>
      <c r="C348" s="1" t="n">
        <v>45926</v>
      </c>
      <c r="D348" t="inlineStr">
        <is>
          <t>SKÅNE LÄN</t>
        </is>
      </c>
      <c r="E348" t="inlineStr">
        <is>
          <t>HÄSSLEHOLM</t>
        </is>
      </c>
      <c r="G348" t="n">
        <v>0.9</v>
      </c>
      <c r="H348" t="n">
        <v>0</v>
      </c>
      <c r="I348" t="n">
        <v>0</v>
      </c>
      <c r="J348" t="n">
        <v>0</v>
      </c>
      <c r="K348" t="n">
        <v>0</v>
      </c>
      <c r="L348" t="n">
        <v>0</v>
      </c>
      <c r="M348" t="n">
        <v>0</v>
      </c>
      <c r="N348" t="n">
        <v>0</v>
      </c>
      <c r="O348" t="n">
        <v>0</v>
      </c>
      <c r="P348" t="n">
        <v>0</v>
      </c>
      <c r="Q348" t="n">
        <v>0</v>
      </c>
      <c r="R348" s="2" t="inlineStr"/>
    </row>
    <row r="349" ht="15" customHeight="1">
      <c r="A349" t="inlineStr">
        <is>
          <t>A 27606-2024</t>
        </is>
      </c>
      <c r="B349" s="1" t="n">
        <v>45474</v>
      </c>
      <c r="C349" s="1" t="n">
        <v>45926</v>
      </c>
      <c r="D349" t="inlineStr">
        <is>
          <t>SKÅNE LÄN</t>
        </is>
      </c>
      <c r="E349" t="inlineStr">
        <is>
          <t>HÄSSLEHOLM</t>
        </is>
      </c>
      <c r="G349" t="n">
        <v>3.6</v>
      </c>
      <c r="H349" t="n">
        <v>0</v>
      </c>
      <c r="I349" t="n">
        <v>0</v>
      </c>
      <c r="J349" t="n">
        <v>0</v>
      </c>
      <c r="K349" t="n">
        <v>0</v>
      </c>
      <c r="L349" t="n">
        <v>0</v>
      </c>
      <c r="M349" t="n">
        <v>0</v>
      </c>
      <c r="N349" t="n">
        <v>0</v>
      </c>
      <c r="O349" t="n">
        <v>0</v>
      </c>
      <c r="P349" t="n">
        <v>0</v>
      </c>
      <c r="Q349" t="n">
        <v>0</v>
      </c>
      <c r="R349" s="2" t="inlineStr"/>
    </row>
    <row r="350" ht="15" customHeight="1">
      <c r="A350" t="inlineStr">
        <is>
          <t>A 15133-2023</t>
        </is>
      </c>
      <c r="B350" s="1" t="n">
        <v>45016</v>
      </c>
      <c r="C350" s="1" t="n">
        <v>45926</v>
      </c>
      <c r="D350" t="inlineStr">
        <is>
          <t>SKÅNE LÄN</t>
        </is>
      </c>
      <c r="E350" t="inlineStr">
        <is>
          <t>HÄSSLEHOLM</t>
        </is>
      </c>
      <c r="G350" t="n">
        <v>7.8</v>
      </c>
      <c r="H350" t="n">
        <v>0</v>
      </c>
      <c r="I350" t="n">
        <v>0</v>
      </c>
      <c r="J350" t="n">
        <v>0</v>
      </c>
      <c r="K350" t="n">
        <v>0</v>
      </c>
      <c r="L350" t="n">
        <v>0</v>
      </c>
      <c r="M350" t="n">
        <v>0</v>
      </c>
      <c r="N350" t="n">
        <v>0</v>
      </c>
      <c r="O350" t="n">
        <v>0</v>
      </c>
      <c r="P350" t="n">
        <v>0</v>
      </c>
      <c r="Q350" t="n">
        <v>0</v>
      </c>
      <c r="R350" s="2" t="inlineStr"/>
    </row>
    <row r="351" ht="15" customHeight="1">
      <c r="A351" t="inlineStr">
        <is>
          <t>A 50244-2024</t>
        </is>
      </c>
      <c r="B351" s="1" t="n">
        <v>45600.56502314815</v>
      </c>
      <c r="C351" s="1" t="n">
        <v>45926</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7221-2025</t>
        </is>
      </c>
      <c r="B352" s="1" t="n">
        <v>45701</v>
      </c>
      <c r="C352" s="1" t="n">
        <v>45926</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5532-2025</t>
        </is>
      </c>
      <c r="B353" s="1" t="n">
        <v>45693</v>
      </c>
      <c r="C353" s="1" t="n">
        <v>45926</v>
      </c>
      <c r="D353" t="inlineStr">
        <is>
          <t>SKÅNE LÄN</t>
        </is>
      </c>
      <c r="E353" t="inlineStr">
        <is>
          <t>HÄSSLEHOLM</t>
        </is>
      </c>
      <c r="G353" t="n">
        <v>2.4</v>
      </c>
      <c r="H353" t="n">
        <v>0</v>
      </c>
      <c r="I353" t="n">
        <v>0</v>
      </c>
      <c r="J353" t="n">
        <v>0</v>
      </c>
      <c r="K353" t="n">
        <v>0</v>
      </c>
      <c r="L353" t="n">
        <v>0</v>
      </c>
      <c r="M353" t="n">
        <v>0</v>
      </c>
      <c r="N353" t="n">
        <v>0</v>
      </c>
      <c r="O353" t="n">
        <v>0</v>
      </c>
      <c r="P353" t="n">
        <v>0</v>
      </c>
      <c r="Q353" t="n">
        <v>0</v>
      </c>
      <c r="R353" s="2" t="inlineStr"/>
    </row>
    <row r="354" ht="15" customHeight="1">
      <c r="A354" t="inlineStr">
        <is>
          <t>A 34883-2023</t>
        </is>
      </c>
      <c r="B354" s="1" t="n">
        <v>45142.37902777778</v>
      </c>
      <c r="C354" s="1" t="n">
        <v>45926</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20187-2023</t>
        </is>
      </c>
      <c r="B355" s="1" t="n">
        <v>45055.57027777778</v>
      </c>
      <c r="C355" s="1" t="n">
        <v>45926</v>
      </c>
      <c r="D355" t="inlineStr">
        <is>
          <t>SKÅNE LÄN</t>
        </is>
      </c>
      <c r="E355" t="inlineStr">
        <is>
          <t>HÄSSLEHOLM</t>
        </is>
      </c>
      <c r="G355" t="n">
        <v>1.8</v>
      </c>
      <c r="H355" t="n">
        <v>0</v>
      </c>
      <c r="I355" t="n">
        <v>0</v>
      </c>
      <c r="J355" t="n">
        <v>0</v>
      </c>
      <c r="K355" t="n">
        <v>0</v>
      </c>
      <c r="L355" t="n">
        <v>0</v>
      </c>
      <c r="M355" t="n">
        <v>0</v>
      </c>
      <c r="N355" t="n">
        <v>0</v>
      </c>
      <c r="O355" t="n">
        <v>0</v>
      </c>
      <c r="P355" t="n">
        <v>0</v>
      </c>
      <c r="Q355" t="n">
        <v>0</v>
      </c>
      <c r="R355" s="2" t="inlineStr"/>
    </row>
    <row r="356" ht="15" customHeight="1">
      <c r="A356" t="inlineStr">
        <is>
          <t>A 1557-2023</t>
        </is>
      </c>
      <c r="B356" s="1" t="n">
        <v>44937</v>
      </c>
      <c r="C356" s="1" t="n">
        <v>45926</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1560-2023</t>
        </is>
      </c>
      <c r="B357" s="1" t="n">
        <v>44937</v>
      </c>
      <c r="C357" s="1" t="n">
        <v>45926</v>
      </c>
      <c r="D357" t="inlineStr">
        <is>
          <t>SKÅNE LÄN</t>
        </is>
      </c>
      <c r="E357" t="inlineStr">
        <is>
          <t>HÄSSLEHOLM</t>
        </is>
      </c>
      <c r="G357" t="n">
        <v>6.8</v>
      </c>
      <c r="H357" t="n">
        <v>0</v>
      </c>
      <c r="I357" t="n">
        <v>0</v>
      </c>
      <c r="J357" t="n">
        <v>0</v>
      </c>
      <c r="K357" t="n">
        <v>0</v>
      </c>
      <c r="L357" t="n">
        <v>0</v>
      </c>
      <c r="M357" t="n">
        <v>0</v>
      </c>
      <c r="N357" t="n">
        <v>0</v>
      </c>
      <c r="O357" t="n">
        <v>0</v>
      </c>
      <c r="P357" t="n">
        <v>0</v>
      </c>
      <c r="Q357" t="n">
        <v>0</v>
      </c>
      <c r="R357" s="2" t="inlineStr"/>
    </row>
    <row r="358" ht="15" customHeight="1">
      <c r="A358" t="inlineStr">
        <is>
          <t>A 64826-2021</t>
        </is>
      </c>
      <c r="B358" s="1" t="n">
        <v>44512.55935185185</v>
      </c>
      <c r="C358" s="1" t="n">
        <v>45926</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58618-2024</t>
        </is>
      </c>
      <c r="B359" s="1" t="n">
        <v>45635.56150462963</v>
      </c>
      <c r="C359" s="1" t="n">
        <v>45926</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10230-2025</t>
        </is>
      </c>
      <c r="B360" s="1" t="n">
        <v>45720</v>
      </c>
      <c r="C360" s="1" t="n">
        <v>45926</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33266-2024</t>
        </is>
      </c>
      <c r="B361" s="1" t="n">
        <v>45518</v>
      </c>
      <c r="C361" s="1" t="n">
        <v>45926</v>
      </c>
      <c r="D361" t="inlineStr">
        <is>
          <t>SKÅNE LÄN</t>
        </is>
      </c>
      <c r="E361" t="inlineStr">
        <is>
          <t>HÄSSLEHOLM</t>
        </is>
      </c>
      <c r="G361" t="n">
        <v>3.2</v>
      </c>
      <c r="H361" t="n">
        <v>0</v>
      </c>
      <c r="I361" t="n">
        <v>0</v>
      </c>
      <c r="J361" t="n">
        <v>0</v>
      </c>
      <c r="K361" t="n">
        <v>0</v>
      </c>
      <c r="L361" t="n">
        <v>0</v>
      </c>
      <c r="M361" t="n">
        <v>0</v>
      </c>
      <c r="N361" t="n">
        <v>0</v>
      </c>
      <c r="O361" t="n">
        <v>0</v>
      </c>
      <c r="P361" t="n">
        <v>0</v>
      </c>
      <c r="Q361" t="n">
        <v>0</v>
      </c>
      <c r="R361" s="2" t="inlineStr"/>
    </row>
    <row r="362" ht="15" customHeight="1">
      <c r="A362" t="inlineStr">
        <is>
          <t>A 11266-2025</t>
        </is>
      </c>
      <c r="B362" s="1" t="n">
        <v>45726</v>
      </c>
      <c r="C362" s="1" t="n">
        <v>45926</v>
      </c>
      <c r="D362" t="inlineStr">
        <is>
          <t>SKÅNE LÄN</t>
        </is>
      </c>
      <c r="E362" t="inlineStr">
        <is>
          <t>HÄSSLEHOLM</t>
        </is>
      </c>
      <c r="G362" t="n">
        <v>0.3</v>
      </c>
      <c r="H362" t="n">
        <v>0</v>
      </c>
      <c r="I362" t="n">
        <v>0</v>
      </c>
      <c r="J362" t="n">
        <v>0</v>
      </c>
      <c r="K362" t="n">
        <v>0</v>
      </c>
      <c r="L362" t="n">
        <v>0</v>
      </c>
      <c r="M362" t="n">
        <v>0</v>
      </c>
      <c r="N362" t="n">
        <v>0</v>
      </c>
      <c r="O362" t="n">
        <v>0</v>
      </c>
      <c r="P362" t="n">
        <v>0</v>
      </c>
      <c r="Q362" t="n">
        <v>0</v>
      </c>
      <c r="R362" s="2" t="inlineStr"/>
    </row>
    <row r="363" ht="15" customHeight="1">
      <c r="A363" t="inlineStr">
        <is>
          <t>A 50372-2020</t>
        </is>
      </c>
      <c r="B363" s="1" t="n">
        <v>44110</v>
      </c>
      <c r="C363" s="1" t="n">
        <v>45926</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64884-2023</t>
        </is>
      </c>
      <c r="B364" s="1" t="n">
        <v>45282.57809027778</v>
      </c>
      <c r="C364" s="1" t="n">
        <v>45926</v>
      </c>
      <c r="D364" t="inlineStr">
        <is>
          <t>SKÅNE LÄN</t>
        </is>
      </c>
      <c r="E364" t="inlineStr">
        <is>
          <t>HÄSSLEHOLM</t>
        </is>
      </c>
      <c r="G364" t="n">
        <v>4.6</v>
      </c>
      <c r="H364" t="n">
        <v>0</v>
      </c>
      <c r="I364" t="n">
        <v>0</v>
      </c>
      <c r="J364" t="n">
        <v>0</v>
      </c>
      <c r="K364" t="n">
        <v>0</v>
      </c>
      <c r="L364" t="n">
        <v>0</v>
      </c>
      <c r="M364" t="n">
        <v>0</v>
      </c>
      <c r="N364" t="n">
        <v>0</v>
      </c>
      <c r="O364" t="n">
        <v>0</v>
      </c>
      <c r="P364" t="n">
        <v>0</v>
      </c>
      <c r="Q364" t="n">
        <v>0</v>
      </c>
      <c r="R364" s="2" t="inlineStr"/>
    </row>
    <row r="365" ht="15" customHeight="1">
      <c r="A365" t="inlineStr">
        <is>
          <t>A 48797-2023</t>
        </is>
      </c>
      <c r="B365" s="1" t="n">
        <v>45209.24986111111</v>
      </c>
      <c r="C365" s="1" t="n">
        <v>45926</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22592-2025</t>
        </is>
      </c>
      <c r="B366" s="1" t="n">
        <v>45789.40502314815</v>
      </c>
      <c r="C366" s="1" t="n">
        <v>45926</v>
      </c>
      <c r="D366" t="inlineStr">
        <is>
          <t>SKÅNE LÄN</t>
        </is>
      </c>
      <c r="E366" t="inlineStr">
        <is>
          <t>HÄSSLEHOLM</t>
        </is>
      </c>
      <c r="G366" t="n">
        <v>7.1</v>
      </c>
      <c r="H366" t="n">
        <v>0</v>
      </c>
      <c r="I366" t="n">
        <v>0</v>
      </c>
      <c r="J366" t="n">
        <v>0</v>
      </c>
      <c r="K366" t="n">
        <v>0</v>
      </c>
      <c r="L366" t="n">
        <v>0</v>
      </c>
      <c r="M366" t="n">
        <v>0</v>
      </c>
      <c r="N366" t="n">
        <v>0</v>
      </c>
      <c r="O366" t="n">
        <v>0</v>
      </c>
      <c r="P366" t="n">
        <v>0</v>
      </c>
      <c r="Q366" t="n">
        <v>0</v>
      </c>
      <c r="R366" s="2" t="inlineStr"/>
    </row>
    <row r="367" ht="15" customHeight="1">
      <c r="A367" t="inlineStr">
        <is>
          <t>A 48112-2024</t>
        </is>
      </c>
      <c r="B367" s="1" t="n">
        <v>45589.6295949074</v>
      </c>
      <c r="C367" s="1" t="n">
        <v>45926</v>
      </c>
      <c r="D367" t="inlineStr">
        <is>
          <t>SKÅNE LÄN</t>
        </is>
      </c>
      <c r="E367" t="inlineStr">
        <is>
          <t>HÄSSLEHOLM</t>
        </is>
      </c>
      <c r="G367" t="n">
        <v>1.1</v>
      </c>
      <c r="H367" t="n">
        <v>0</v>
      </c>
      <c r="I367" t="n">
        <v>0</v>
      </c>
      <c r="J367" t="n">
        <v>0</v>
      </c>
      <c r="K367" t="n">
        <v>0</v>
      </c>
      <c r="L367" t="n">
        <v>0</v>
      </c>
      <c r="M367" t="n">
        <v>0</v>
      </c>
      <c r="N367" t="n">
        <v>0</v>
      </c>
      <c r="O367" t="n">
        <v>0</v>
      </c>
      <c r="P367" t="n">
        <v>0</v>
      </c>
      <c r="Q367" t="n">
        <v>0</v>
      </c>
      <c r="R367" s="2" t="inlineStr"/>
    </row>
    <row r="368" ht="15" customHeight="1">
      <c r="A368" t="inlineStr">
        <is>
          <t>A 32794-2021</t>
        </is>
      </c>
      <c r="B368" s="1" t="n">
        <v>44375</v>
      </c>
      <c r="C368" s="1" t="n">
        <v>45926</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6309-2025</t>
        </is>
      </c>
      <c r="B369" s="1" t="n">
        <v>45698</v>
      </c>
      <c r="C369" s="1" t="n">
        <v>45926</v>
      </c>
      <c r="D369" t="inlineStr">
        <is>
          <t>SKÅNE LÄN</t>
        </is>
      </c>
      <c r="E369" t="inlineStr">
        <is>
          <t>HÄSSLEHOLM</t>
        </is>
      </c>
      <c r="G369" t="n">
        <v>2.7</v>
      </c>
      <c r="H369" t="n">
        <v>0</v>
      </c>
      <c r="I369" t="n">
        <v>0</v>
      </c>
      <c r="J369" t="n">
        <v>0</v>
      </c>
      <c r="K369" t="n">
        <v>0</v>
      </c>
      <c r="L369" t="n">
        <v>0</v>
      </c>
      <c r="M369" t="n">
        <v>0</v>
      </c>
      <c r="N369" t="n">
        <v>0</v>
      </c>
      <c r="O369" t="n">
        <v>0</v>
      </c>
      <c r="P369" t="n">
        <v>0</v>
      </c>
      <c r="Q369" t="n">
        <v>0</v>
      </c>
      <c r="R369" s="2" t="inlineStr"/>
    </row>
    <row r="370" ht="15" customHeight="1">
      <c r="A370" t="inlineStr">
        <is>
          <t>A 6310-2025</t>
        </is>
      </c>
      <c r="B370" s="1" t="n">
        <v>45698</v>
      </c>
      <c r="C370" s="1" t="n">
        <v>45926</v>
      </c>
      <c r="D370" t="inlineStr">
        <is>
          <t>SKÅNE LÄN</t>
        </is>
      </c>
      <c r="E370" t="inlineStr">
        <is>
          <t>HÄSSLEHOLM</t>
        </is>
      </c>
      <c r="G370" t="n">
        <v>2.7</v>
      </c>
      <c r="H370" t="n">
        <v>0</v>
      </c>
      <c r="I370" t="n">
        <v>0</v>
      </c>
      <c r="J370" t="n">
        <v>0</v>
      </c>
      <c r="K370" t="n">
        <v>0</v>
      </c>
      <c r="L370" t="n">
        <v>0</v>
      </c>
      <c r="M370" t="n">
        <v>0</v>
      </c>
      <c r="N370" t="n">
        <v>0</v>
      </c>
      <c r="O370" t="n">
        <v>0</v>
      </c>
      <c r="P370" t="n">
        <v>0</v>
      </c>
      <c r="Q370" t="n">
        <v>0</v>
      </c>
      <c r="R370" s="2" t="inlineStr"/>
    </row>
    <row r="371" ht="15" customHeight="1">
      <c r="A371" t="inlineStr">
        <is>
          <t>A 12843-2023</t>
        </is>
      </c>
      <c r="B371" s="1" t="n">
        <v>45001.48423611111</v>
      </c>
      <c r="C371" s="1" t="n">
        <v>45926</v>
      </c>
      <c r="D371" t="inlineStr">
        <is>
          <t>SKÅNE LÄN</t>
        </is>
      </c>
      <c r="E371" t="inlineStr">
        <is>
          <t>HÄSSLEHOLM</t>
        </is>
      </c>
      <c r="G371" t="n">
        <v>3.9</v>
      </c>
      <c r="H371" t="n">
        <v>0</v>
      </c>
      <c r="I371" t="n">
        <v>0</v>
      </c>
      <c r="J371" t="n">
        <v>0</v>
      </c>
      <c r="K371" t="n">
        <v>0</v>
      </c>
      <c r="L371" t="n">
        <v>0</v>
      </c>
      <c r="M371" t="n">
        <v>0</v>
      </c>
      <c r="N371" t="n">
        <v>0</v>
      </c>
      <c r="O371" t="n">
        <v>0</v>
      </c>
      <c r="P371" t="n">
        <v>0</v>
      </c>
      <c r="Q371" t="n">
        <v>0</v>
      </c>
      <c r="R371" s="2" t="inlineStr"/>
    </row>
    <row r="372" ht="15" customHeight="1">
      <c r="A372" t="inlineStr">
        <is>
          <t>A 47647-2024</t>
        </is>
      </c>
      <c r="B372" s="1" t="n">
        <v>45588</v>
      </c>
      <c r="C372" s="1" t="n">
        <v>45926</v>
      </c>
      <c r="D372" t="inlineStr">
        <is>
          <t>SKÅNE LÄN</t>
        </is>
      </c>
      <c r="E372" t="inlineStr">
        <is>
          <t>HÄSSLEHOLM</t>
        </is>
      </c>
      <c r="G372" t="n">
        <v>6.5</v>
      </c>
      <c r="H372" t="n">
        <v>0</v>
      </c>
      <c r="I372" t="n">
        <v>0</v>
      </c>
      <c r="J372" t="n">
        <v>0</v>
      </c>
      <c r="K372" t="n">
        <v>0</v>
      </c>
      <c r="L372" t="n">
        <v>0</v>
      </c>
      <c r="M372" t="n">
        <v>0</v>
      </c>
      <c r="N372" t="n">
        <v>0</v>
      </c>
      <c r="O372" t="n">
        <v>0</v>
      </c>
      <c r="P372" t="n">
        <v>0</v>
      </c>
      <c r="Q372" t="n">
        <v>0</v>
      </c>
      <c r="R372" s="2" t="inlineStr"/>
    </row>
    <row r="373" ht="15" customHeight="1">
      <c r="A373" t="inlineStr">
        <is>
          <t>A 23967-2022</t>
        </is>
      </c>
      <c r="B373" s="1" t="n">
        <v>44722.74079861111</v>
      </c>
      <c r="C373" s="1" t="n">
        <v>45926</v>
      </c>
      <c r="D373" t="inlineStr">
        <is>
          <t>SKÅNE LÄN</t>
        </is>
      </c>
      <c r="E373" t="inlineStr">
        <is>
          <t>HÄSSLEHOLM</t>
        </is>
      </c>
      <c r="F373" t="inlineStr">
        <is>
          <t>Kyrkan</t>
        </is>
      </c>
      <c r="G373" t="n">
        <v>12.4</v>
      </c>
      <c r="H373" t="n">
        <v>0</v>
      </c>
      <c r="I373" t="n">
        <v>0</v>
      </c>
      <c r="J373" t="n">
        <v>0</v>
      </c>
      <c r="K373" t="n">
        <v>0</v>
      </c>
      <c r="L373" t="n">
        <v>0</v>
      </c>
      <c r="M373" t="n">
        <v>0</v>
      </c>
      <c r="N373" t="n">
        <v>0</v>
      </c>
      <c r="O373" t="n">
        <v>0</v>
      </c>
      <c r="P373" t="n">
        <v>0</v>
      </c>
      <c r="Q373" t="n">
        <v>0</v>
      </c>
      <c r="R373" s="2" t="inlineStr"/>
    </row>
    <row r="374" ht="15" customHeight="1">
      <c r="A374" t="inlineStr">
        <is>
          <t>A 16474-2025</t>
        </is>
      </c>
      <c r="B374" s="1" t="n">
        <v>45751.56834490741</v>
      </c>
      <c r="C374" s="1" t="n">
        <v>45926</v>
      </c>
      <c r="D374" t="inlineStr">
        <is>
          <t>SKÅNE LÄN</t>
        </is>
      </c>
      <c r="E374" t="inlineStr">
        <is>
          <t>HÄSSLEHOLM</t>
        </is>
      </c>
      <c r="G374" t="n">
        <v>5.9</v>
      </c>
      <c r="H374" t="n">
        <v>0</v>
      </c>
      <c r="I374" t="n">
        <v>0</v>
      </c>
      <c r="J374" t="n">
        <v>0</v>
      </c>
      <c r="K374" t="n">
        <v>0</v>
      </c>
      <c r="L374" t="n">
        <v>0</v>
      </c>
      <c r="M374" t="n">
        <v>0</v>
      </c>
      <c r="N374" t="n">
        <v>0</v>
      </c>
      <c r="O374" t="n">
        <v>0</v>
      </c>
      <c r="P374" t="n">
        <v>0</v>
      </c>
      <c r="Q374" t="n">
        <v>0</v>
      </c>
      <c r="R374" s="2" t="inlineStr"/>
    </row>
    <row r="375" ht="15" customHeight="1">
      <c r="A375" t="inlineStr">
        <is>
          <t>A 9556-2025</t>
        </is>
      </c>
      <c r="B375" s="1" t="n">
        <v>45714</v>
      </c>
      <c r="C375" s="1" t="n">
        <v>45926</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60597-2020</t>
        </is>
      </c>
      <c r="B376" s="1" t="n">
        <v>44152</v>
      </c>
      <c r="C376" s="1" t="n">
        <v>45926</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2479-2024</t>
        </is>
      </c>
      <c r="B377" s="1" t="n">
        <v>45313.40148148148</v>
      </c>
      <c r="C377" s="1" t="n">
        <v>45926</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69504-2020</t>
        </is>
      </c>
      <c r="B378" s="1" t="n">
        <v>44194</v>
      </c>
      <c r="C378" s="1" t="n">
        <v>45926</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48097-2024</t>
        </is>
      </c>
      <c r="B379" s="1" t="n">
        <v>45589.61413194444</v>
      </c>
      <c r="C379" s="1" t="n">
        <v>45926</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26397-2023</t>
        </is>
      </c>
      <c r="B380" s="1" t="n">
        <v>45087</v>
      </c>
      <c r="C380" s="1" t="n">
        <v>45926</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1119-2024</t>
        </is>
      </c>
      <c r="B381" s="1" t="n">
        <v>45302</v>
      </c>
      <c r="C381" s="1" t="n">
        <v>45926</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60846-2022</t>
        </is>
      </c>
      <c r="B382" s="1" t="n">
        <v>44914</v>
      </c>
      <c r="C382" s="1" t="n">
        <v>45926</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58888-2024</t>
        </is>
      </c>
      <c r="B383" s="1" t="n">
        <v>45636.45962962963</v>
      </c>
      <c r="C383" s="1" t="n">
        <v>45926</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42776-2021</t>
        </is>
      </c>
      <c r="B384" s="1" t="n">
        <v>44428</v>
      </c>
      <c r="C384" s="1" t="n">
        <v>45926</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16334-2024</t>
        </is>
      </c>
      <c r="B385" s="1" t="n">
        <v>45407.54856481482</v>
      </c>
      <c r="C385" s="1" t="n">
        <v>45926</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3663-2024</t>
        </is>
      </c>
      <c r="B386" s="1" t="n">
        <v>45321.34775462963</v>
      </c>
      <c r="C386" s="1" t="n">
        <v>45926</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23007-2025</t>
        </is>
      </c>
      <c r="B387" s="1" t="n">
        <v>45790</v>
      </c>
      <c r="C387" s="1" t="n">
        <v>45926</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17171-2025</t>
        </is>
      </c>
      <c r="B388" s="1" t="n">
        <v>45755</v>
      </c>
      <c r="C388" s="1" t="n">
        <v>45926</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16930-2024</t>
        </is>
      </c>
      <c r="B389" s="1" t="n">
        <v>45411</v>
      </c>
      <c r="C389" s="1" t="n">
        <v>45926</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27825-2024</t>
        </is>
      </c>
      <c r="B390" s="1" t="n">
        <v>45475</v>
      </c>
      <c r="C390" s="1" t="n">
        <v>45926</v>
      </c>
      <c r="D390" t="inlineStr">
        <is>
          <t>SKÅNE LÄN</t>
        </is>
      </c>
      <c r="E390" t="inlineStr">
        <is>
          <t>HÄSSLEHOLM</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1344-2021</t>
        </is>
      </c>
      <c r="B391" s="1" t="n">
        <v>44208</v>
      </c>
      <c r="C391" s="1" t="n">
        <v>45926</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31254-2024</t>
        </is>
      </c>
      <c r="B392" s="1" t="n">
        <v>45503</v>
      </c>
      <c r="C392" s="1" t="n">
        <v>45926</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37486-2024</t>
        </is>
      </c>
      <c r="B393" s="1" t="n">
        <v>45541</v>
      </c>
      <c r="C393" s="1" t="n">
        <v>45926</v>
      </c>
      <c r="D393" t="inlineStr">
        <is>
          <t>SKÅNE LÄN</t>
        </is>
      </c>
      <c r="E393" t="inlineStr">
        <is>
          <t>HÄSSLEHOLM</t>
        </is>
      </c>
      <c r="G393" t="n">
        <v>8.5</v>
      </c>
      <c r="H393" t="n">
        <v>0</v>
      </c>
      <c r="I393" t="n">
        <v>0</v>
      </c>
      <c r="J393" t="n">
        <v>0</v>
      </c>
      <c r="K393" t="n">
        <v>0</v>
      </c>
      <c r="L393" t="n">
        <v>0</v>
      </c>
      <c r="M393" t="n">
        <v>0</v>
      </c>
      <c r="N393" t="n">
        <v>0</v>
      </c>
      <c r="O393" t="n">
        <v>0</v>
      </c>
      <c r="P393" t="n">
        <v>0</v>
      </c>
      <c r="Q393" t="n">
        <v>0</v>
      </c>
      <c r="R393" s="2" t="inlineStr"/>
    </row>
    <row r="394" ht="15" customHeight="1">
      <c r="A394" t="inlineStr">
        <is>
          <t>A 11753-2025</t>
        </is>
      </c>
      <c r="B394" s="1" t="n">
        <v>45727</v>
      </c>
      <c r="C394" s="1" t="n">
        <v>45926</v>
      </c>
      <c r="D394" t="inlineStr">
        <is>
          <t>SKÅNE LÄN</t>
        </is>
      </c>
      <c r="E394" t="inlineStr">
        <is>
          <t>HÄSSLEHOLM</t>
        </is>
      </c>
      <c r="G394" t="n">
        <v>2.7</v>
      </c>
      <c r="H394" t="n">
        <v>0</v>
      </c>
      <c r="I394" t="n">
        <v>0</v>
      </c>
      <c r="J394" t="n">
        <v>0</v>
      </c>
      <c r="K394" t="n">
        <v>0</v>
      </c>
      <c r="L394" t="n">
        <v>0</v>
      </c>
      <c r="M394" t="n">
        <v>0</v>
      </c>
      <c r="N394" t="n">
        <v>0</v>
      </c>
      <c r="O394" t="n">
        <v>0</v>
      </c>
      <c r="P394" t="n">
        <v>0</v>
      </c>
      <c r="Q394" t="n">
        <v>0</v>
      </c>
      <c r="R394" s="2" t="inlineStr"/>
    </row>
    <row r="395" ht="15" customHeight="1">
      <c r="A395" t="inlineStr">
        <is>
          <t>A 44838-2023</t>
        </is>
      </c>
      <c r="B395" s="1" t="n">
        <v>45190</v>
      </c>
      <c r="C395" s="1" t="n">
        <v>45926</v>
      </c>
      <c r="D395" t="inlineStr">
        <is>
          <t>SKÅNE LÄN</t>
        </is>
      </c>
      <c r="E395" t="inlineStr">
        <is>
          <t>HÄSSLEHOLM</t>
        </is>
      </c>
      <c r="F395" t="inlineStr">
        <is>
          <t>Kommuner</t>
        </is>
      </c>
      <c r="G395" t="n">
        <v>2</v>
      </c>
      <c r="H395" t="n">
        <v>0</v>
      </c>
      <c r="I395" t="n">
        <v>0</v>
      </c>
      <c r="J395" t="n">
        <v>0</v>
      </c>
      <c r="K395" t="n">
        <v>0</v>
      </c>
      <c r="L395" t="n">
        <v>0</v>
      </c>
      <c r="M395" t="n">
        <v>0</v>
      </c>
      <c r="N395" t="n">
        <v>0</v>
      </c>
      <c r="O395" t="n">
        <v>0</v>
      </c>
      <c r="P395" t="n">
        <v>0</v>
      </c>
      <c r="Q395" t="n">
        <v>0</v>
      </c>
      <c r="R395" s="2" t="inlineStr"/>
    </row>
    <row r="396" ht="15" customHeight="1">
      <c r="A396" t="inlineStr">
        <is>
          <t>A 13954-2023</t>
        </is>
      </c>
      <c r="B396" s="1" t="n">
        <v>45008</v>
      </c>
      <c r="C396" s="1" t="n">
        <v>45926</v>
      </c>
      <c r="D396" t="inlineStr">
        <is>
          <t>SKÅNE LÄN</t>
        </is>
      </c>
      <c r="E396" t="inlineStr">
        <is>
          <t>HÄSSLEHOLM</t>
        </is>
      </c>
      <c r="G396" t="n">
        <v>1.9</v>
      </c>
      <c r="H396" t="n">
        <v>0</v>
      </c>
      <c r="I396" t="n">
        <v>0</v>
      </c>
      <c r="J396" t="n">
        <v>0</v>
      </c>
      <c r="K396" t="n">
        <v>0</v>
      </c>
      <c r="L396" t="n">
        <v>0</v>
      </c>
      <c r="M396" t="n">
        <v>0</v>
      </c>
      <c r="N396" t="n">
        <v>0</v>
      </c>
      <c r="O396" t="n">
        <v>0</v>
      </c>
      <c r="P396" t="n">
        <v>0</v>
      </c>
      <c r="Q396" t="n">
        <v>0</v>
      </c>
      <c r="R396" s="2" t="inlineStr"/>
    </row>
    <row r="397" ht="15" customHeight="1">
      <c r="A397" t="inlineStr">
        <is>
          <t>A 13007-2024</t>
        </is>
      </c>
      <c r="B397" s="1" t="n">
        <v>45385.57092592592</v>
      </c>
      <c r="C397" s="1" t="n">
        <v>45926</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9393-2025</t>
        </is>
      </c>
      <c r="B398" s="1" t="n">
        <v>45715.36230324074</v>
      </c>
      <c r="C398" s="1" t="n">
        <v>45926</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40152-2024</t>
        </is>
      </c>
      <c r="B399" s="1" t="n">
        <v>45554</v>
      </c>
      <c r="C399" s="1" t="n">
        <v>45926</v>
      </c>
      <c r="D399" t="inlineStr">
        <is>
          <t>SKÅNE LÄN</t>
        </is>
      </c>
      <c r="E399" t="inlineStr">
        <is>
          <t>HÄSSLEHOLM</t>
        </is>
      </c>
      <c r="G399" t="n">
        <v>1.1</v>
      </c>
      <c r="H399" t="n">
        <v>0</v>
      </c>
      <c r="I399" t="n">
        <v>0</v>
      </c>
      <c r="J399" t="n">
        <v>0</v>
      </c>
      <c r="K399" t="n">
        <v>0</v>
      </c>
      <c r="L399" t="n">
        <v>0</v>
      </c>
      <c r="M399" t="n">
        <v>0</v>
      </c>
      <c r="N399" t="n">
        <v>0</v>
      </c>
      <c r="O399" t="n">
        <v>0</v>
      </c>
      <c r="P399" t="n">
        <v>0</v>
      </c>
      <c r="Q399" t="n">
        <v>0</v>
      </c>
      <c r="R399" s="2" t="inlineStr"/>
    </row>
    <row r="400" ht="15" customHeight="1">
      <c r="A400" t="inlineStr">
        <is>
          <t>A 74030-2021</t>
        </is>
      </c>
      <c r="B400" s="1" t="n">
        <v>44553</v>
      </c>
      <c r="C400" s="1" t="n">
        <v>45926</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15072-2024</t>
        </is>
      </c>
      <c r="B401" s="1" t="n">
        <v>45399.5996875</v>
      </c>
      <c r="C401" s="1" t="n">
        <v>45926</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11262-2025</t>
        </is>
      </c>
      <c r="B402" s="1" t="n">
        <v>45726</v>
      </c>
      <c r="C402" s="1" t="n">
        <v>45926</v>
      </c>
      <c r="D402" t="inlineStr">
        <is>
          <t>SKÅNE LÄN</t>
        </is>
      </c>
      <c r="E402" t="inlineStr">
        <is>
          <t>HÄSSLEHOLM</t>
        </is>
      </c>
      <c r="G402" t="n">
        <v>1.9</v>
      </c>
      <c r="H402" t="n">
        <v>0</v>
      </c>
      <c r="I402" t="n">
        <v>0</v>
      </c>
      <c r="J402" t="n">
        <v>0</v>
      </c>
      <c r="K402" t="n">
        <v>0</v>
      </c>
      <c r="L402" t="n">
        <v>0</v>
      </c>
      <c r="M402" t="n">
        <v>0</v>
      </c>
      <c r="N402" t="n">
        <v>0</v>
      </c>
      <c r="O402" t="n">
        <v>0</v>
      </c>
      <c r="P402" t="n">
        <v>0</v>
      </c>
      <c r="Q402" t="n">
        <v>0</v>
      </c>
      <c r="R402" s="2" t="inlineStr"/>
    </row>
    <row r="403" ht="15" customHeight="1">
      <c r="A403" t="inlineStr">
        <is>
          <t>A 5395-2024</t>
        </is>
      </c>
      <c r="B403" s="1" t="n">
        <v>45331</v>
      </c>
      <c r="C403" s="1" t="n">
        <v>45926</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2621-2025</t>
        </is>
      </c>
      <c r="B404" s="1" t="n">
        <v>45675.60765046296</v>
      </c>
      <c r="C404" s="1" t="n">
        <v>45926</v>
      </c>
      <c r="D404" t="inlineStr">
        <is>
          <t>SKÅNE LÄN</t>
        </is>
      </c>
      <c r="E404" t="inlineStr">
        <is>
          <t>HÄSSLEHOLM</t>
        </is>
      </c>
      <c r="F404" t="inlineStr">
        <is>
          <t>Kommuner</t>
        </is>
      </c>
      <c r="G404" t="n">
        <v>3</v>
      </c>
      <c r="H404" t="n">
        <v>0</v>
      </c>
      <c r="I404" t="n">
        <v>0</v>
      </c>
      <c r="J404" t="n">
        <v>0</v>
      </c>
      <c r="K404" t="n">
        <v>0</v>
      </c>
      <c r="L404" t="n">
        <v>0</v>
      </c>
      <c r="M404" t="n">
        <v>0</v>
      </c>
      <c r="N404" t="n">
        <v>0</v>
      </c>
      <c r="O404" t="n">
        <v>0</v>
      </c>
      <c r="P404" t="n">
        <v>0</v>
      </c>
      <c r="Q404" t="n">
        <v>0</v>
      </c>
      <c r="R404" s="2" t="inlineStr"/>
    </row>
    <row r="405" ht="15" customHeight="1">
      <c r="A405" t="inlineStr">
        <is>
          <t>A 8737-2025</t>
        </is>
      </c>
      <c r="B405" s="1" t="n">
        <v>45712.54578703704</v>
      </c>
      <c r="C405" s="1" t="n">
        <v>45926</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14700-2023</t>
        </is>
      </c>
      <c r="B406" s="1" t="n">
        <v>45014.38376157408</v>
      </c>
      <c r="C406" s="1" t="n">
        <v>45926</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8177-2022</t>
        </is>
      </c>
      <c r="B407" s="1" t="n">
        <v>44607</v>
      </c>
      <c r="C407" s="1" t="n">
        <v>45926</v>
      </c>
      <c r="D407" t="inlineStr">
        <is>
          <t>SKÅNE LÄN</t>
        </is>
      </c>
      <c r="E407" t="inlineStr">
        <is>
          <t>HÄSSLEHOLM</t>
        </is>
      </c>
      <c r="F407" t="inlineStr">
        <is>
          <t>Kyrkan</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25464-2022</t>
        </is>
      </c>
      <c r="B408" s="1" t="n">
        <v>44729</v>
      </c>
      <c r="C408" s="1" t="n">
        <v>45926</v>
      </c>
      <c r="D408" t="inlineStr">
        <is>
          <t>SKÅNE LÄN</t>
        </is>
      </c>
      <c r="E408" t="inlineStr">
        <is>
          <t>HÄSSLEHOLM</t>
        </is>
      </c>
      <c r="G408" t="n">
        <v>21</v>
      </c>
      <c r="H408" t="n">
        <v>0</v>
      </c>
      <c r="I408" t="n">
        <v>0</v>
      </c>
      <c r="J408" t="n">
        <v>0</v>
      </c>
      <c r="K408" t="n">
        <v>0</v>
      </c>
      <c r="L408" t="n">
        <v>0</v>
      </c>
      <c r="M408" t="n">
        <v>0</v>
      </c>
      <c r="N408" t="n">
        <v>0</v>
      </c>
      <c r="O408" t="n">
        <v>0</v>
      </c>
      <c r="P408" t="n">
        <v>0</v>
      </c>
      <c r="Q408" t="n">
        <v>0</v>
      </c>
      <c r="R408" s="2" t="inlineStr"/>
    </row>
    <row r="409" ht="15" customHeight="1">
      <c r="A409" t="inlineStr">
        <is>
          <t>A 15897-2025</t>
        </is>
      </c>
      <c r="B409" s="1" t="n">
        <v>45749.41598379629</v>
      </c>
      <c r="C409" s="1" t="n">
        <v>45926</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54982-2024</t>
        </is>
      </c>
      <c r="B410" s="1" t="n">
        <v>45620.7580787037</v>
      </c>
      <c r="C410" s="1" t="n">
        <v>45926</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61182-2024</t>
        </is>
      </c>
      <c r="B411" s="1" t="n">
        <v>45645</v>
      </c>
      <c r="C411" s="1" t="n">
        <v>45926</v>
      </c>
      <c r="D411" t="inlineStr">
        <is>
          <t>SKÅNE LÄN</t>
        </is>
      </c>
      <c r="E411" t="inlineStr">
        <is>
          <t>HÄSSLEHOLM</t>
        </is>
      </c>
      <c r="G411" t="n">
        <v>3.2</v>
      </c>
      <c r="H411" t="n">
        <v>0</v>
      </c>
      <c r="I411" t="n">
        <v>0</v>
      </c>
      <c r="J411" t="n">
        <v>0</v>
      </c>
      <c r="K411" t="n">
        <v>0</v>
      </c>
      <c r="L411" t="n">
        <v>0</v>
      </c>
      <c r="M411" t="n">
        <v>0</v>
      </c>
      <c r="N411" t="n">
        <v>0</v>
      </c>
      <c r="O411" t="n">
        <v>0</v>
      </c>
      <c r="P411" t="n">
        <v>0</v>
      </c>
      <c r="Q411" t="n">
        <v>0</v>
      </c>
      <c r="R411" s="2" t="inlineStr"/>
    </row>
    <row r="412" ht="15" customHeight="1">
      <c r="A412" t="inlineStr">
        <is>
          <t>A 37764-2022</t>
        </is>
      </c>
      <c r="B412" s="1" t="n">
        <v>44810</v>
      </c>
      <c r="C412" s="1" t="n">
        <v>45926</v>
      </c>
      <c r="D412" t="inlineStr">
        <is>
          <t>SKÅNE LÄN</t>
        </is>
      </c>
      <c r="E412" t="inlineStr">
        <is>
          <t>HÄSSLEHOLM</t>
        </is>
      </c>
      <c r="F412" t="inlineStr">
        <is>
          <t>Kyrkan</t>
        </is>
      </c>
      <c r="G412" t="n">
        <v>9.4</v>
      </c>
      <c r="H412" t="n">
        <v>0</v>
      </c>
      <c r="I412" t="n">
        <v>0</v>
      </c>
      <c r="J412" t="n">
        <v>0</v>
      </c>
      <c r="K412" t="n">
        <v>0</v>
      </c>
      <c r="L412" t="n">
        <v>0</v>
      </c>
      <c r="M412" t="n">
        <v>0</v>
      </c>
      <c r="N412" t="n">
        <v>0</v>
      </c>
      <c r="O412" t="n">
        <v>0</v>
      </c>
      <c r="P412" t="n">
        <v>0</v>
      </c>
      <c r="Q412" t="n">
        <v>0</v>
      </c>
      <c r="R412" s="2" t="inlineStr"/>
    </row>
    <row r="413" ht="15" customHeight="1">
      <c r="A413" t="inlineStr">
        <is>
          <t>A 51018-2023</t>
        </is>
      </c>
      <c r="B413" s="1" t="n">
        <v>45218</v>
      </c>
      <c r="C413" s="1" t="n">
        <v>45926</v>
      </c>
      <c r="D413" t="inlineStr">
        <is>
          <t>SKÅNE LÄN</t>
        </is>
      </c>
      <c r="E413" t="inlineStr">
        <is>
          <t>HÄSSLEHOLM</t>
        </is>
      </c>
      <c r="G413" t="n">
        <v>3.1</v>
      </c>
      <c r="H413" t="n">
        <v>0</v>
      </c>
      <c r="I413" t="n">
        <v>0</v>
      </c>
      <c r="J413" t="n">
        <v>0</v>
      </c>
      <c r="K413" t="n">
        <v>0</v>
      </c>
      <c r="L413" t="n">
        <v>0</v>
      </c>
      <c r="M413" t="n">
        <v>0</v>
      </c>
      <c r="N413" t="n">
        <v>0</v>
      </c>
      <c r="O413" t="n">
        <v>0</v>
      </c>
      <c r="P413" t="n">
        <v>0</v>
      </c>
      <c r="Q413" t="n">
        <v>0</v>
      </c>
      <c r="R413" s="2" t="inlineStr"/>
    </row>
    <row r="414" ht="15" customHeight="1">
      <c r="A414" t="inlineStr">
        <is>
          <t>A 23005-2025</t>
        </is>
      </c>
      <c r="B414" s="1" t="n">
        <v>45790</v>
      </c>
      <c r="C414" s="1" t="n">
        <v>45926</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60797-2024</t>
        </is>
      </c>
      <c r="B415" s="1" t="n">
        <v>45644</v>
      </c>
      <c r="C415" s="1" t="n">
        <v>45926</v>
      </c>
      <c r="D415" t="inlineStr">
        <is>
          <t>SKÅNE LÄN</t>
        </is>
      </c>
      <c r="E415" t="inlineStr">
        <is>
          <t>HÄSSLEHOLM</t>
        </is>
      </c>
      <c r="G415" t="n">
        <v>3.4</v>
      </c>
      <c r="H415" t="n">
        <v>0</v>
      </c>
      <c r="I415" t="n">
        <v>0</v>
      </c>
      <c r="J415" t="n">
        <v>0</v>
      </c>
      <c r="K415" t="n">
        <v>0</v>
      </c>
      <c r="L415" t="n">
        <v>0</v>
      </c>
      <c r="M415" t="n">
        <v>0</v>
      </c>
      <c r="N415" t="n">
        <v>0</v>
      </c>
      <c r="O415" t="n">
        <v>0</v>
      </c>
      <c r="P415" t="n">
        <v>0</v>
      </c>
      <c r="Q415" t="n">
        <v>0</v>
      </c>
      <c r="R415" s="2" t="inlineStr"/>
    </row>
    <row r="416" ht="15" customHeight="1">
      <c r="A416" t="inlineStr">
        <is>
          <t>A 6965-2021</t>
        </is>
      </c>
      <c r="B416" s="1" t="n">
        <v>44237</v>
      </c>
      <c r="C416" s="1" t="n">
        <v>45926</v>
      </c>
      <c r="D416" t="inlineStr">
        <is>
          <t>SKÅNE LÄN</t>
        </is>
      </c>
      <c r="E416" t="inlineStr">
        <is>
          <t>HÄSSLEHOLM</t>
        </is>
      </c>
      <c r="G416" t="n">
        <v>0.3</v>
      </c>
      <c r="H416" t="n">
        <v>0</v>
      </c>
      <c r="I416" t="n">
        <v>0</v>
      </c>
      <c r="J416" t="n">
        <v>0</v>
      </c>
      <c r="K416" t="n">
        <v>0</v>
      </c>
      <c r="L416" t="n">
        <v>0</v>
      </c>
      <c r="M416" t="n">
        <v>0</v>
      </c>
      <c r="N416" t="n">
        <v>0</v>
      </c>
      <c r="O416" t="n">
        <v>0</v>
      </c>
      <c r="P416" t="n">
        <v>0</v>
      </c>
      <c r="Q416" t="n">
        <v>0</v>
      </c>
      <c r="R416" s="2" t="inlineStr"/>
    </row>
    <row r="417" ht="15" customHeight="1">
      <c r="A417" t="inlineStr">
        <is>
          <t>A 56069-2024</t>
        </is>
      </c>
      <c r="B417" s="1" t="n">
        <v>45624.38006944444</v>
      </c>
      <c r="C417" s="1" t="n">
        <v>45926</v>
      </c>
      <c r="D417" t="inlineStr">
        <is>
          <t>SKÅNE LÄN</t>
        </is>
      </c>
      <c r="E417" t="inlineStr">
        <is>
          <t>HÄSSLEHOLM</t>
        </is>
      </c>
      <c r="F417" t="inlineStr">
        <is>
          <t>Övriga Aktiebolag</t>
        </is>
      </c>
      <c r="G417" t="n">
        <v>2.3</v>
      </c>
      <c r="H417" t="n">
        <v>0</v>
      </c>
      <c r="I417" t="n">
        <v>0</v>
      </c>
      <c r="J417" t="n">
        <v>0</v>
      </c>
      <c r="K417" t="n">
        <v>0</v>
      </c>
      <c r="L417" t="n">
        <v>0</v>
      </c>
      <c r="M417" t="n">
        <v>0</v>
      </c>
      <c r="N417" t="n">
        <v>0</v>
      </c>
      <c r="O417" t="n">
        <v>0</v>
      </c>
      <c r="P417" t="n">
        <v>0</v>
      </c>
      <c r="Q417" t="n">
        <v>0</v>
      </c>
      <c r="R417" s="2" t="inlineStr"/>
    </row>
    <row r="418" ht="15" customHeight="1">
      <c r="A418" t="inlineStr">
        <is>
          <t>A 39915-2023</t>
        </is>
      </c>
      <c r="B418" s="1" t="n">
        <v>45168.4684375</v>
      </c>
      <c r="C418" s="1" t="n">
        <v>45926</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14255-2024</t>
        </is>
      </c>
      <c r="B419" s="1" t="n">
        <v>45393</v>
      </c>
      <c r="C419" s="1" t="n">
        <v>45926</v>
      </c>
      <c r="D419" t="inlineStr">
        <is>
          <t>SKÅNE LÄN</t>
        </is>
      </c>
      <c r="E419" t="inlineStr">
        <is>
          <t>HÄSSLEHOLM</t>
        </is>
      </c>
      <c r="G419" t="n">
        <v>11.9</v>
      </c>
      <c r="H419" t="n">
        <v>0</v>
      </c>
      <c r="I419" t="n">
        <v>0</v>
      </c>
      <c r="J419" t="n">
        <v>0</v>
      </c>
      <c r="K419" t="n">
        <v>0</v>
      </c>
      <c r="L419" t="n">
        <v>0</v>
      </c>
      <c r="M419" t="n">
        <v>0</v>
      </c>
      <c r="N419" t="n">
        <v>0</v>
      </c>
      <c r="O419" t="n">
        <v>0</v>
      </c>
      <c r="P419" t="n">
        <v>0</v>
      </c>
      <c r="Q419" t="n">
        <v>0</v>
      </c>
      <c r="R419" s="2" t="inlineStr"/>
    </row>
    <row r="420" ht="15" customHeight="1">
      <c r="A420" t="inlineStr">
        <is>
          <t>A 20058-2023</t>
        </is>
      </c>
      <c r="B420" s="1" t="n">
        <v>45054.68476851852</v>
      </c>
      <c r="C420" s="1" t="n">
        <v>45926</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8619-2023</t>
        </is>
      </c>
      <c r="B421" s="1" t="n">
        <v>44977.81979166667</v>
      </c>
      <c r="C421" s="1" t="n">
        <v>45926</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9543-2025</t>
        </is>
      </c>
      <c r="B422" s="1" t="n">
        <v>45715</v>
      </c>
      <c r="C422" s="1" t="n">
        <v>45926</v>
      </c>
      <c r="D422" t="inlineStr">
        <is>
          <t>SKÅNE LÄN</t>
        </is>
      </c>
      <c r="E422" t="inlineStr">
        <is>
          <t>HÄSSLEHOLM</t>
        </is>
      </c>
      <c r="G422" t="n">
        <v>2.6</v>
      </c>
      <c r="H422" t="n">
        <v>0</v>
      </c>
      <c r="I422" t="n">
        <v>0</v>
      </c>
      <c r="J422" t="n">
        <v>0</v>
      </c>
      <c r="K422" t="n">
        <v>0</v>
      </c>
      <c r="L422" t="n">
        <v>0</v>
      </c>
      <c r="M422" t="n">
        <v>0</v>
      </c>
      <c r="N422" t="n">
        <v>0</v>
      </c>
      <c r="O422" t="n">
        <v>0</v>
      </c>
      <c r="P422" t="n">
        <v>0</v>
      </c>
      <c r="Q422" t="n">
        <v>0</v>
      </c>
      <c r="R422" s="2" t="inlineStr"/>
    </row>
    <row r="423" ht="15" customHeight="1">
      <c r="A423" t="inlineStr">
        <is>
          <t>A 53067-2022</t>
        </is>
      </c>
      <c r="B423" s="1" t="n">
        <v>44873</v>
      </c>
      <c r="C423" s="1" t="n">
        <v>45926</v>
      </c>
      <c r="D423" t="inlineStr">
        <is>
          <t>SKÅNE LÄN</t>
        </is>
      </c>
      <c r="E423" t="inlineStr">
        <is>
          <t>HÄSSLEHOLM</t>
        </is>
      </c>
      <c r="G423" t="n">
        <v>1.2</v>
      </c>
      <c r="H423" t="n">
        <v>0</v>
      </c>
      <c r="I423" t="n">
        <v>0</v>
      </c>
      <c r="J423" t="n">
        <v>0</v>
      </c>
      <c r="K423" t="n">
        <v>0</v>
      </c>
      <c r="L423" t="n">
        <v>0</v>
      </c>
      <c r="M423" t="n">
        <v>0</v>
      </c>
      <c r="N423" t="n">
        <v>0</v>
      </c>
      <c r="O423" t="n">
        <v>0</v>
      </c>
      <c r="P423" t="n">
        <v>0</v>
      </c>
      <c r="Q423" t="n">
        <v>0</v>
      </c>
      <c r="R423" s="2" t="inlineStr"/>
    </row>
    <row r="424" ht="15" customHeight="1">
      <c r="A424" t="inlineStr">
        <is>
          <t>A 3349-2023</t>
        </is>
      </c>
      <c r="B424" s="1" t="n">
        <v>44949</v>
      </c>
      <c r="C424" s="1" t="n">
        <v>45926</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30344-2022</t>
        </is>
      </c>
      <c r="B425" s="1" t="n">
        <v>44760.50783564815</v>
      </c>
      <c r="C425" s="1" t="n">
        <v>45926</v>
      </c>
      <c r="D425" t="inlineStr">
        <is>
          <t>SKÅNE LÄN</t>
        </is>
      </c>
      <c r="E425" t="inlineStr">
        <is>
          <t>HÄSSLEHOLM</t>
        </is>
      </c>
      <c r="G425" t="n">
        <v>0.6</v>
      </c>
      <c r="H425" t="n">
        <v>0</v>
      </c>
      <c r="I425" t="n">
        <v>0</v>
      </c>
      <c r="J425" t="n">
        <v>0</v>
      </c>
      <c r="K425" t="n">
        <v>0</v>
      </c>
      <c r="L425" t="n">
        <v>0</v>
      </c>
      <c r="M425" t="n">
        <v>0</v>
      </c>
      <c r="N425" t="n">
        <v>0</v>
      </c>
      <c r="O425" t="n">
        <v>0</v>
      </c>
      <c r="P425" t="n">
        <v>0</v>
      </c>
      <c r="Q425" t="n">
        <v>0</v>
      </c>
      <c r="R425" s="2" t="inlineStr"/>
    </row>
    <row r="426" ht="15" customHeight="1">
      <c r="A426" t="inlineStr">
        <is>
          <t>A 25788-2021</t>
        </is>
      </c>
      <c r="B426" s="1" t="n">
        <v>44343</v>
      </c>
      <c r="C426" s="1" t="n">
        <v>45926</v>
      </c>
      <c r="D426" t="inlineStr">
        <is>
          <t>SKÅNE LÄN</t>
        </is>
      </c>
      <c r="E426" t="inlineStr">
        <is>
          <t>HÄSSLEHOLM</t>
        </is>
      </c>
      <c r="G426" t="n">
        <v>4.8</v>
      </c>
      <c r="H426" t="n">
        <v>0</v>
      </c>
      <c r="I426" t="n">
        <v>0</v>
      </c>
      <c r="J426" t="n">
        <v>0</v>
      </c>
      <c r="K426" t="n">
        <v>0</v>
      </c>
      <c r="L426" t="n">
        <v>0</v>
      </c>
      <c r="M426" t="n">
        <v>0</v>
      </c>
      <c r="N426" t="n">
        <v>0</v>
      </c>
      <c r="O426" t="n">
        <v>0</v>
      </c>
      <c r="P426" t="n">
        <v>0</v>
      </c>
      <c r="Q426" t="n">
        <v>0</v>
      </c>
      <c r="R426" s="2" t="inlineStr"/>
    </row>
    <row r="427" ht="15" customHeight="1">
      <c r="A427" t="inlineStr">
        <is>
          <t>A 12338-2024</t>
        </is>
      </c>
      <c r="B427" s="1" t="n">
        <v>45378.72869212963</v>
      </c>
      <c r="C427" s="1" t="n">
        <v>45926</v>
      </c>
      <c r="D427" t="inlineStr">
        <is>
          <t>SKÅNE LÄN</t>
        </is>
      </c>
      <c r="E427" t="inlineStr">
        <is>
          <t>HÄSSLEHOLM</t>
        </is>
      </c>
      <c r="G427" t="n">
        <v>1.8</v>
      </c>
      <c r="H427" t="n">
        <v>0</v>
      </c>
      <c r="I427" t="n">
        <v>0</v>
      </c>
      <c r="J427" t="n">
        <v>0</v>
      </c>
      <c r="K427" t="n">
        <v>0</v>
      </c>
      <c r="L427" t="n">
        <v>0</v>
      </c>
      <c r="M427" t="n">
        <v>0</v>
      </c>
      <c r="N427" t="n">
        <v>0</v>
      </c>
      <c r="O427" t="n">
        <v>0</v>
      </c>
      <c r="P427" t="n">
        <v>0</v>
      </c>
      <c r="Q427" t="n">
        <v>0</v>
      </c>
      <c r="R427" s="2" t="inlineStr"/>
    </row>
    <row r="428" ht="15" customHeight="1">
      <c r="A428" t="inlineStr">
        <is>
          <t>A 56527-2021</t>
        </is>
      </c>
      <c r="B428" s="1" t="n">
        <v>44480</v>
      </c>
      <c r="C428" s="1" t="n">
        <v>45926</v>
      </c>
      <c r="D428" t="inlineStr">
        <is>
          <t>SKÅNE LÄN</t>
        </is>
      </c>
      <c r="E428" t="inlineStr">
        <is>
          <t>HÄSSLEHOLM</t>
        </is>
      </c>
      <c r="F428" t="inlineStr">
        <is>
          <t>Kyrkan</t>
        </is>
      </c>
      <c r="G428" t="n">
        <v>2.7</v>
      </c>
      <c r="H428" t="n">
        <v>0</v>
      </c>
      <c r="I428" t="n">
        <v>0</v>
      </c>
      <c r="J428" t="n">
        <v>0</v>
      </c>
      <c r="K428" t="n">
        <v>0</v>
      </c>
      <c r="L428" t="n">
        <v>0</v>
      </c>
      <c r="M428" t="n">
        <v>0</v>
      </c>
      <c r="N428" t="n">
        <v>0</v>
      </c>
      <c r="O428" t="n">
        <v>0</v>
      </c>
      <c r="P428" t="n">
        <v>0</v>
      </c>
      <c r="Q428" t="n">
        <v>0</v>
      </c>
      <c r="R428" s="2" t="inlineStr"/>
    </row>
    <row r="429" ht="15" customHeight="1">
      <c r="A429" t="inlineStr">
        <is>
          <t>A 7681-2025</t>
        </is>
      </c>
      <c r="B429" s="1" t="n">
        <v>45706.36758101852</v>
      </c>
      <c r="C429" s="1" t="n">
        <v>45926</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3992-2022</t>
        </is>
      </c>
      <c r="B430" s="1" t="n">
        <v>44587</v>
      </c>
      <c r="C430" s="1" t="n">
        <v>45926</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24032-2025</t>
        </is>
      </c>
      <c r="B431" s="1" t="n">
        <v>45796.478125</v>
      </c>
      <c r="C431" s="1" t="n">
        <v>45926</v>
      </c>
      <c r="D431" t="inlineStr">
        <is>
          <t>SKÅNE LÄN</t>
        </is>
      </c>
      <c r="E431" t="inlineStr">
        <is>
          <t>HÄSSLEHOLM</t>
        </is>
      </c>
      <c r="G431" t="n">
        <v>2.2</v>
      </c>
      <c r="H431" t="n">
        <v>0</v>
      </c>
      <c r="I431" t="n">
        <v>0</v>
      </c>
      <c r="J431" t="n">
        <v>0</v>
      </c>
      <c r="K431" t="n">
        <v>0</v>
      </c>
      <c r="L431" t="n">
        <v>0</v>
      </c>
      <c r="M431" t="n">
        <v>0</v>
      </c>
      <c r="N431" t="n">
        <v>0</v>
      </c>
      <c r="O431" t="n">
        <v>0</v>
      </c>
      <c r="P431" t="n">
        <v>0</v>
      </c>
      <c r="Q431" t="n">
        <v>0</v>
      </c>
      <c r="R431" s="2" t="inlineStr"/>
    </row>
    <row r="432" ht="15" customHeight="1">
      <c r="A432" t="inlineStr">
        <is>
          <t>A 6596-2021</t>
        </is>
      </c>
      <c r="B432" s="1" t="n">
        <v>44236</v>
      </c>
      <c r="C432" s="1" t="n">
        <v>45926</v>
      </c>
      <c r="D432" t="inlineStr">
        <is>
          <t>SKÅNE LÄN</t>
        </is>
      </c>
      <c r="E432" t="inlineStr">
        <is>
          <t>HÄSSLEHOLM</t>
        </is>
      </c>
      <c r="G432" t="n">
        <v>2</v>
      </c>
      <c r="H432" t="n">
        <v>0</v>
      </c>
      <c r="I432" t="n">
        <v>0</v>
      </c>
      <c r="J432" t="n">
        <v>0</v>
      </c>
      <c r="K432" t="n">
        <v>0</v>
      </c>
      <c r="L432" t="n">
        <v>0</v>
      </c>
      <c r="M432" t="n">
        <v>0</v>
      </c>
      <c r="N432" t="n">
        <v>0</v>
      </c>
      <c r="O432" t="n">
        <v>0</v>
      </c>
      <c r="P432" t="n">
        <v>0</v>
      </c>
      <c r="Q432" t="n">
        <v>0</v>
      </c>
      <c r="R432" s="2" t="inlineStr"/>
    </row>
    <row r="433" ht="15" customHeight="1">
      <c r="A433" t="inlineStr">
        <is>
          <t>A 25955-2022</t>
        </is>
      </c>
      <c r="B433" s="1" t="n">
        <v>44734</v>
      </c>
      <c r="C433" s="1" t="n">
        <v>45926</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46185-2022</t>
        </is>
      </c>
      <c r="B434" s="1" t="n">
        <v>44847</v>
      </c>
      <c r="C434" s="1" t="n">
        <v>45926</v>
      </c>
      <c r="D434" t="inlineStr">
        <is>
          <t>SKÅNE LÄN</t>
        </is>
      </c>
      <c r="E434" t="inlineStr">
        <is>
          <t>HÄSSLEHOLM</t>
        </is>
      </c>
      <c r="G434" t="n">
        <v>16.8</v>
      </c>
      <c r="H434" t="n">
        <v>0</v>
      </c>
      <c r="I434" t="n">
        <v>0</v>
      </c>
      <c r="J434" t="n">
        <v>0</v>
      </c>
      <c r="K434" t="n">
        <v>0</v>
      </c>
      <c r="L434" t="n">
        <v>0</v>
      </c>
      <c r="M434" t="n">
        <v>0</v>
      </c>
      <c r="N434" t="n">
        <v>0</v>
      </c>
      <c r="O434" t="n">
        <v>0</v>
      </c>
      <c r="P434" t="n">
        <v>0</v>
      </c>
      <c r="Q434" t="n">
        <v>0</v>
      </c>
      <c r="R434" s="2" t="inlineStr"/>
    </row>
    <row r="435" ht="15" customHeight="1">
      <c r="A435" t="inlineStr">
        <is>
          <t>A 60789-2024</t>
        </is>
      </c>
      <c r="B435" s="1" t="n">
        <v>45644</v>
      </c>
      <c r="C435" s="1" t="n">
        <v>45926</v>
      </c>
      <c r="D435" t="inlineStr">
        <is>
          <t>SKÅNE LÄN</t>
        </is>
      </c>
      <c r="E435" t="inlineStr">
        <is>
          <t>HÄSSLEHOLM</t>
        </is>
      </c>
      <c r="G435" t="n">
        <v>3</v>
      </c>
      <c r="H435" t="n">
        <v>0</v>
      </c>
      <c r="I435" t="n">
        <v>0</v>
      </c>
      <c r="J435" t="n">
        <v>0</v>
      </c>
      <c r="K435" t="n">
        <v>0</v>
      </c>
      <c r="L435" t="n">
        <v>0</v>
      </c>
      <c r="M435" t="n">
        <v>0</v>
      </c>
      <c r="N435" t="n">
        <v>0</v>
      </c>
      <c r="O435" t="n">
        <v>0</v>
      </c>
      <c r="P435" t="n">
        <v>0</v>
      </c>
      <c r="Q435" t="n">
        <v>0</v>
      </c>
      <c r="R435" s="2" t="inlineStr"/>
    </row>
    <row r="436" ht="15" customHeight="1">
      <c r="A436" t="inlineStr">
        <is>
          <t>A 15055-2023</t>
        </is>
      </c>
      <c r="B436" s="1" t="n">
        <v>45015</v>
      </c>
      <c r="C436" s="1" t="n">
        <v>45926</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18623-2023</t>
        </is>
      </c>
      <c r="B437" s="1" t="n">
        <v>45043</v>
      </c>
      <c r="C437" s="1" t="n">
        <v>45926</v>
      </c>
      <c r="D437" t="inlineStr">
        <is>
          <t>SKÅNE LÄN</t>
        </is>
      </c>
      <c r="E437" t="inlineStr">
        <is>
          <t>HÄSSLEHOLM</t>
        </is>
      </c>
      <c r="G437" t="n">
        <v>3.2</v>
      </c>
      <c r="H437" t="n">
        <v>0</v>
      </c>
      <c r="I437" t="n">
        <v>0</v>
      </c>
      <c r="J437" t="n">
        <v>0</v>
      </c>
      <c r="K437" t="n">
        <v>0</v>
      </c>
      <c r="L437" t="n">
        <v>0</v>
      </c>
      <c r="M437" t="n">
        <v>0</v>
      </c>
      <c r="N437" t="n">
        <v>0</v>
      </c>
      <c r="O437" t="n">
        <v>0</v>
      </c>
      <c r="P437" t="n">
        <v>0</v>
      </c>
      <c r="Q437" t="n">
        <v>0</v>
      </c>
      <c r="R437" s="2" t="inlineStr"/>
    </row>
    <row r="438" ht="15" customHeight="1">
      <c r="A438" t="inlineStr">
        <is>
          <t>A 33873-2021</t>
        </is>
      </c>
      <c r="B438" s="1" t="n">
        <v>44378</v>
      </c>
      <c r="C438" s="1" t="n">
        <v>45926</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15053-2023</t>
        </is>
      </c>
      <c r="B439" s="1" t="n">
        <v>45015</v>
      </c>
      <c r="C439" s="1" t="n">
        <v>45926</v>
      </c>
      <c r="D439" t="inlineStr">
        <is>
          <t>SKÅNE LÄN</t>
        </is>
      </c>
      <c r="E439" t="inlineStr">
        <is>
          <t>HÄSSLEHOLM</t>
        </is>
      </c>
      <c r="G439" t="n">
        <v>1</v>
      </c>
      <c r="H439" t="n">
        <v>0</v>
      </c>
      <c r="I439" t="n">
        <v>0</v>
      </c>
      <c r="J439" t="n">
        <v>0</v>
      </c>
      <c r="K439" t="n">
        <v>0</v>
      </c>
      <c r="L439" t="n">
        <v>0</v>
      </c>
      <c r="M439" t="n">
        <v>0</v>
      </c>
      <c r="N439" t="n">
        <v>0</v>
      </c>
      <c r="O439" t="n">
        <v>0</v>
      </c>
      <c r="P439" t="n">
        <v>0</v>
      </c>
      <c r="Q439" t="n">
        <v>0</v>
      </c>
      <c r="R439" s="2" t="inlineStr"/>
    </row>
    <row r="440" ht="15" customHeight="1">
      <c r="A440" t="inlineStr">
        <is>
          <t>A 9302-2025</t>
        </is>
      </c>
      <c r="B440" s="1" t="n">
        <v>45714.67233796296</v>
      </c>
      <c r="C440" s="1" t="n">
        <v>45926</v>
      </c>
      <c r="D440" t="inlineStr">
        <is>
          <t>SKÅNE LÄN</t>
        </is>
      </c>
      <c r="E440" t="inlineStr">
        <is>
          <t>HÄSSLEHOLM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47907-2021</t>
        </is>
      </c>
      <c r="B441" s="1" t="n">
        <v>44448</v>
      </c>
      <c r="C441" s="1" t="n">
        <v>45926</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20657-2022</t>
        </is>
      </c>
      <c r="B442" s="1" t="n">
        <v>44700</v>
      </c>
      <c r="C442" s="1" t="n">
        <v>45926</v>
      </c>
      <c r="D442" t="inlineStr">
        <is>
          <t>SKÅNE LÄN</t>
        </is>
      </c>
      <c r="E442" t="inlineStr">
        <is>
          <t>HÄSSLEHOLM</t>
        </is>
      </c>
      <c r="G442" t="n">
        <v>3.8</v>
      </c>
      <c r="H442" t="n">
        <v>0</v>
      </c>
      <c r="I442" t="n">
        <v>0</v>
      </c>
      <c r="J442" t="n">
        <v>0</v>
      </c>
      <c r="K442" t="n">
        <v>0</v>
      </c>
      <c r="L442" t="n">
        <v>0</v>
      </c>
      <c r="M442" t="n">
        <v>0</v>
      </c>
      <c r="N442" t="n">
        <v>0</v>
      </c>
      <c r="O442" t="n">
        <v>0</v>
      </c>
      <c r="P442" t="n">
        <v>0</v>
      </c>
      <c r="Q442" t="n">
        <v>0</v>
      </c>
      <c r="R442" s="2" t="inlineStr"/>
    </row>
    <row r="443" ht="15" customHeight="1">
      <c r="A443" t="inlineStr">
        <is>
          <t>A 1197-2024</t>
        </is>
      </c>
      <c r="B443" s="1" t="n">
        <v>45302</v>
      </c>
      <c r="C443" s="1" t="n">
        <v>45926</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13712-2025</t>
        </is>
      </c>
      <c r="B444" s="1" t="n">
        <v>45737</v>
      </c>
      <c r="C444" s="1" t="n">
        <v>45926</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49950-2023</t>
        </is>
      </c>
      <c r="B445" s="1" t="n">
        <v>45215</v>
      </c>
      <c r="C445" s="1" t="n">
        <v>45926</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41694-2024</t>
        </is>
      </c>
      <c r="B446" s="1" t="n">
        <v>45560.68341435185</v>
      </c>
      <c r="C446" s="1" t="n">
        <v>45926</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5252-2025</t>
        </is>
      </c>
      <c r="B447" s="1" t="n">
        <v>45692.3449537037</v>
      </c>
      <c r="C447" s="1" t="n">
        <v>45926</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36795-2023</t>
        </is>
      </c>
      <c r="B448" s="1" t="n">
        <v>45154.38245370371</v>
      </c>
      <c r="C448" s="1" t="n">
        <v>45926</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46942-2024</t>
        </is>
      </c>
      <c r="B449" s="1" t="n">
        <v>45585.6684375</v>
      </c>
      <c r="C449" s="1" t="n">
        <v>45926</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43696-2024</t>
        </is>
      </c>
      <c r="B450" s="1" t="n">
        <v>45569.58855324074</v>
      </c>
      <c r="C450" s="1" t="n">
        <v>45926</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36706-2022</t>
        </is>
      </c>
      <c r="B451" s="1" t="n">
        <v>44805.32891203704</v>
      </c>
      <c r="C451" s="1" t="n">
        <v>45926</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22594-2024</t>
        </is>
      </c>
      <c r="B452" s="1" t="n">
        <v>45447.60892361111</v>
      </c>
      <c r="C452" s="1" t="n">
        <v>45926</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5242-2025</t>
        </is>
      </c>
      <c r="B453" s="1" t="n">
        <v>45692.32883101852</v>
      </c>
      <c r="C453" s="1" t="n">
        <v>45926</v>
      </c>
      <c r="D453" t="inlineStr">
        <is>
          <t>SKÅNE LÄN</t>
        </is>
      </c>
      <c r="E453" t="inlineStr">
        <is>
          <t>HÄSSLEHOLM</t>
        </is>
      </c>
      <c r="G453" t="n">
        <v>1.1</v>
      </c>
      <c r="H453" t="n">
        <v>0</v>
      </c>
      <c r="I453" t="n">
        <v>0</v>
      </c>
      <c r="J453" t="n">
        <v>0</v>
      </c>
      <c r="K453" t="n">
        <v>0</v>
      </c>
      <c r="L453" t="n">
        <v>0</v>
      </c>
      <c r="M453" t="n">
        <v>0</v>
      </c>
      <c r="N453" t="n">
        <v>0</v>
      </c>
      <c r="O453" t="n">
        <v>0</v>
      </c>
      <c r="P453" t="n">
        <v>0</v>
      </c>
      <c r="Q453" t="n">
        <v>0</v>
      </c>
      <c r="R453" s="2" t="inlineStr"/>
    </row>
    <row r="454" ht="15" customHeight="1">
      <c r="A454" t="inlineStr">
        <is>
          <t>A 25213-2023</t>
        </is>
      </c>
      <c r="B454" s="1" t="n">
        <v>45086.60010416667</v>
      </c>
      <c r="C454" s="1" t="n">
        <v>45926</v>
      </c>
      <c r="D454" t="inlineStr">
        <is>
          <t>SKÅNE LÄN</t>
        </is>
      </c>
      <c r="E454" t="inlineStr">
        <is>
          <t>HÄSSLEHOLM</t>
        </is>
      </c>
      <c r="G454" t="n">
        <v>7.2</v>
      </c>
      <c r="H454" t="n">
        <v>0</v>
      </c>
      <c r="I454" t="n">
        <v>0</v>
      </c>
      <c r="J454" t="n">
        <v>0</v>
      </c>
      <c r="K454" t="n">
        <v>0</v>
      </c>
      <c r="L454" t="n">
        <v>0</v>
      </c>
      <c r="M454" t="n">
        <v>0</v>
      </c>
      <c r="N454" t="n">
        <v>0</v>
      </c>
      <c r="O454" t="n">
        <v>0</v>
      </c>
      <c r="P454" t="n">
        <v>0</v>
      </c>
      <c r="Q454" t="n">
        <v>0</v>
      </c>
      <c r="R454" s="2" t="inlineStr"/>
    </row>
    <row r="455" ht="15" customHeight="1">
      <c r="A455" t="inlineStr">
        <is>
          <t>A 34187-2023</t>
        </is>
      </c>
      <c r="B455" s="1" t="n">
        <v>45138</v>
      </c>
      <c r="C455" s="1" t="n">
        <v>45926</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24034-2025</t>
        </is>
      </c>
      <c r="B456" s="1" t="n">
        <v>45796.48251157408</v>
      </c>
      <c r="C456" s="1" t="n">
        <v>45926</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18063-2023</t>
        </is>
      </c>
      <c r="B457" s="1" t="n">
        <v>45040.62850694444</v>
      </c>
      <c r="C457" s="1" t="n">
        <v>45926</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61524-2022</t>
        </is>
      </c>
      <c r="B458" s="1" t="n">
        <v>44910</v>
      </c>
      <c r="C458" s="1" t="n">
        <v>45926</v>
      </c>
      <c r="D458" t="inlineStr">
        <is>
          <t>SKÅNE LÄN</t>
        </is>
      </c>
      <c r="E458" t="inlineStr">
        <is>
          <t>HÄSSLEHOLM</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61578-2023</t>
        </is>
      </c>
      <c r="B459" s="1" t="n">
        <v>45265.47399305556</v>
      </c>
      <c r="C459" s="1" t="n">
        <v>45926</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25542-2024</t>
        </is>
      </c>
      <c r="B460" s="1" t="n">
        <v>45463</v>
      </c>
      <c r="C460" s="1" t="n">
        <v>45926</v>
      </c>
      <c r="D460" t="inlineStr">
        <is>
          <t>SKÅNE LÄN</t>
        </is>
      </c>
      <c r="E460" t="inlineStr">
        <is>
          <t>HÄSSLEHOLM</t>
        </is>
      </c>
      <c r="G460" t="n">
        <v>6.9</v>
      </c>
      <c r="H460" t="n">
        <v>0</v>
      </c>
      <c r="I460" t="n">
        <v>0</v>
      </c>
      <c r="J460" t="n">
        <v>0</v>
      </c>
      <c r="K460" t="n">
        <v>0</v>
      </c>
      <c r="L460" t="n">
        <v>0</v>
      </c>
      <c r="M460" t="n">
        <v>0</v>
      </c>
      <c r="N460" t="n">
        <v>0</v>
      </c>
      <c r="O460" t="n">
        <v>0</v>
      </c>
      <c r="P460" t="n">
        <v>0</v>
      </c>
      <c r="Q460" t="n">
        <v>0</v>
      </c>
      <c r="R460" s="2" t="inlineStr"/>
    </row>
    <row r="461" ht="15" customHeight="1">
      <c r="A461" t="inlineStr">
        <is>
          <t>A 31255-2024</t>
        </is>
      </c>
      <c r="B461" s="1" t="n">
        <v>45503.69114583333</v>
      </c>
      <c r="C461" s="1" t="n">
        <v>45926</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44697-2021</t>
        </is>
      </c>
      <c r="B462" s="1" t="n">
        <v>44438</v>
      </c>
      <c r="C462" s="1" t="n">
        <v>45926</v>
      </c>
      <c r="D462" t="inlineStr">
        <is>
          <t>SKÅNE LÄN</t>
        </is>
      </c>
      <c r="E462" t="inlineStr">
        <is>
          <t>HÄSSLEHOLM</t>
        </is>
      </c>
      <c r="G462" t="n">
        <v>4.8</v>
      </c>
      <c r="H462" t="n">
        <v>0</v>
      </c>
      <c r="I462" t="n">
        <v>0</v>
      </c>
      <c r="J462" t="n">
        <v>0</v>
      </c>
      <c r="K462" t="n">
        <v>0</v>
      </c>
      <c r="L462" t="n">
        <v>0</v>
      </c>
      <c r="M462" t="n">
        <v>0</v>
      </c>
      <c r="N462" t="n">
        <v>0</v>
      </c>
      <c r="O462" t="n">
        <v>0</v>
      </c>
      <c r="P462" t="n">
        <v>0</v>
      </c>
      <c r="Q462" t="n">
        <v>0</v>
      </c>
      <c r="R462" s="2" t="inlineStr"/>
    </row>
    <row r="463" ht="15" customHeight="1">
      <c r="A463" t="inlineStr">
        <is>
          <t>A 42370-2023</t>
        </is>
      </c>
      <c r="B463" s="1" t="n">
        <v>45180</v>
      </c>
      <c r="C463" s="1" t="n">
        <v>45926</v>
      </c>
      <c r="D463" t="inlineStr">
        <is>
          <t>SKÅNE LÄN</t>
        </is>
      </c>
      <c r="E463" t="inlineStr">
        <is>
          <t>HÄSSLEHOLM</t>
        </is>
      </c>
      <c r="G463" t="n">
        <v>2.6</v>
      </c>
      <c r="H463" t="n">
        <v>0</v>
      </c>
      <c r="I463" t="n">
        <v>0</v>
      </c>
      <c r="J463" t="n">
        <v>0</v>
      </c>
      <c r="K463" t="n">
        <v>0</v>
      </c>
      <c r="L463" t="n">
        <v>0</v>
      </c>
      <c r="M463" t="n">
        <v>0</v>
      </c>
      <c r="N463" t="n">
        <v>0</v>
      </c>
      <c r="O463" t="n">
        <v>0</v>
      </c>
      <c r="P463" t="n">
        <v>0</v>
      </c>
      <c r="Q463" t="n">
        <v>0</v>
      </c>
      <c r="R463" s="2" t="inlineStr"/>
    </row>
    <row r="464" ht="15" customHeight="1">
      <c r="A464" t="inlineStr">
        <is>
          <t>A 8433-2024</t>
        </is>
      </c>
      <c r="B464" s="1" t="n">
        <v>45353.48434027778</v>
      </c>
      <c r="C464" s="1" t="n">
        <v>45926</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48807-2021</t>
        </is>
      </c>
      <c r="B465" s="1" t="n">
        <v>44452</v>
      </c>
      <c r="C465" s="1" t="n">
        <v>45926</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28457-2024</t>
        </is>
      </c>
      <c r="B466" s="1" t="n">
        <v>45477.68884259259</v>
      </c>
      <c r="C466" s="1" t="n">
        <v>45926</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24250-2025</t>
        </is>
      </c>
      <c r="B467" s="1" t="n">
        <v>45797.40260416667</v>
      </c>
      <c r="C467" s="1" t="n">
        <v>45926</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24029-2025</t>
        </is>
      </c>
      <c r="B468" s="1" t="n">
        <v>45796.47552083333</v>
      </c>
      <c r="C468" s="1" t="n">
        <v>45926</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24039-2025</t>
        </is>
      </c>
      <c r="B469" s="1" t="n">
        <v>45796.48675925926</v>
      </c>
      <c r="C469" s="1" t="n">
        <v>45926</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11422-2025</t>
        </is>
      </c>
      <c r="B470" s="1" t="n">
        <v>45726</v>
      </c>
      <c r="C470" s="1" t="n">
        <v>45926</v>
      </c>
      <c r="D470" t="inlineStr">
        <is>
          <t>SKÅNE LÄN</t>
        </is>
      </c>
      <c r="E470" t="inlineStr">
        <is>
          <t>HÄSSLEHOLM</t>
        </is>
      </c>
      <c r="G470" t="n">
        <v>14.9</v>
      </c>
      <c r="H470" t="n">
        <v>0</v>
      </c>
      <c r="I470" t="n">
        <v>0</v>
      </c>
      <c r="J470" t="n">
        <v>0</v>
      </c>
      <c r="K470" t="n">
        <v>0</v>
      </c>
      <c r="L470" t="n">
        <v>0</v>
      </c>
      <c r="M470" t="n">
        <v>0</v>
      </c>
      <c r="N470" t="n">
        <v>0</v>
      </c>
      <c r="O470" t="n">
        <v>0</v>
      </c>
      <c r="P470" t="n">
        <v>0</v>
      </c>
      <c r="Q470" t="n">
        <v>0</v>
      </c>
      <c r="R470" s="2" t="inlineStr"/>
    </row>
    <row r="471" ht="15" customHeight="1">
      <c r="A471" t="inlineStr">
        <is>
          <t>A 7604-2024</t>
        </is>
      </c>
      <c r="B471" s="1" t="n">
        <v>45348</v>
      </c>
      <c r="C471" s="1" t="n">
        <v>45926</v>
      </c>
      <c r="D471" t="inlineStr">
        <is>
          <t>SKÅNE LÄN</t>
        </is>
      </c>
      <c r="E471" t="inlineStr">
        <is>
          <t>HÄSSLEHOLM</t>
        </is>
      </c>
      <c r="G471" t="n">
        <v>11.1</v>
      </c>
      <c r="H471" t="n">
        <v>0</v>
      </c>
      <c r="I471" t="n">
        <v>0</v>
      </c>
      <c r="J471" t="n">
        <v>0</v>
      </c>
      <c r="K471" t="n">
        <v>0</v>
      </c>
      <c r="L471" t="n">
        <v>0</v>
      </c>
      <c r="M471" t="n">
        <v>0</v>
      </c>
      <c r="N471" t="n">
        <v>0</v>
      </c>
      <c r="O471" t="n">
        <v>0</v>
      </c>
      <c r="P471" t="n">
        <v>0</v>
      </c>
      <c r="Q471" t="n">
        <v>0</v>
      </c>
      <c r="R471" s="2" t="inlineStr"/>
    </row>
    <row r="472" ht="15" customHeight="1">
      <c r="A472" t="inlineStr">
        <is>
          <t>A 13309-2025</t>
        </is>
      </c>
      <c r="B472" s="1" t="n">
        <v>45735.58512731481</v>
      </c>
      <c r="C472" s="1" t="n">
        <v>45926</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29853-2024</t>
        </is>
      </c>
      <c r="B473" s="1" t="n">
        <v>45485.65844907407</v>
      </c>
      <c r="C473" s="1" t="n">
        <v>45926</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29287-2023</t>
        </is>
      </c>
      <c r="B474" s="1" t="n">
        <v>45098</v>
      </c>
      <c r="C474" s="1" t="n">
        <v>45926</v>
      </c>
      <c r="D474" t="inlineStr">
        <is>
          <t>SKÅNE LÄN</t>
        </is>
      </c>
      <c r="E474" t="inlineStr">
        <is>
          <t>HÄSSLEHOLM</t>
        </is>
      </c>
      <c r="G474" t="n">
        <v>5.7</v>
      </c>
      <c r="H474" t="n">
        <v>0</v>
      </c>
      <c r="I474" t="n">
        <v>0</v>
      </c>
      <c r="J474" t="n">
        <v>0</v>
      </c>
      <c r="K474" t="n">
        <v>0</v>
      </c>
      <c r="L474" t="n">
        <v>0</v>
      </c>
      <c r="M474" t="n">
        <v>0</v>
      </c>
      <c r="N474" t="n">
        <v>0</v>
      </c>
      <c r="O474" t="n">
        <v>0</v>
      </c>
      <c r="P474" t="n">
        <v>0</v>
      </c>
      <c r="Q474" t="n">
        <v>0</v>
      </c>
      <c r="R474" s="2" t="inlineStr"/>
    </row>
    <row r="475" ht="15" customHeight="1">
      <c r="A475" t="inlineStr">
        <is>
          <t>A 51752-2023</t>
        </is>
      </c>
      <c r="B475" s="1" t="n">
        <v>45222</v>
      </c>
      <c r="C475" s="1" t="n">
        <v>45926</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5992-2022</t>
        </is>
      </c>
      <c r="B476" s="1" t="n">
        <v>44599</v>
      </c>
      <c r="C476" s="1" t="n">
        <v>45926</v>
      </c>
      <c r="D476" t="inlineStr">
        <is>
          <t>SKÅNE LÄN</t>
        </is>
      </c>
      <c r="E476" t="inlineStr">
        <is>
          <t>HÄSSLEHOLM</t>
        </is>
      </c>
      <c r="G476" t="n">
        <v>1</v>
      </c>
      <c r="H476" t="n">
        <v>0</v>
      </c>
      <c r="I476" t="n">
        <v>0</v>
      </c>
      <c r="J476" t="n">
        <v>0</v>
      </c>
      <c r="K476" t="n">
        <v>0</v>
      </c>
      <c r="L476" t="n">
        <v>0</v>
      </c>
      <c r="M476" t="n">
        <v>0</v>
      </c>
      <c r="N476" t="n">
        <v>0</v>
      </c>
      <c r="O476" t="n">
        <v>0</v>
      </c>
      <c r="P476" t="n">
        <v>0</v>
      </c>
      <c r="Q476" t="n">
        <v>0</v>
      </c>
      <c r="R476" s="2" t="inlineStr"/>
    </row>
    <row r="477" ht="15" customHeight="1">
      <c r="A477" t="inlineStr">
        <is>
          <t>A 24047-2025</t>
        </is>
      </c>
      <c r="B477" s="1" t="n">
        <v>45796.49528935185</v>
      </c>
      <c r="C477" s="1" t="n">
        <v>45926</v>
      </c>
      <c r="D477" t="inlineStr">
        <is>
          <t>SKÅNE LÄN</t>
        </is>
      </c>
      <c r="E477" t="inlineStr">
        <is>
          <t>HÄSSLEHOLM</t>
        </is>
      </c>
      <c r="G477" t="n">
        <v>1.1</v>
      </c>
      <c r="H477" t="n">
        <v>0</v>
      </c>
      <c r="I477" t="n">
        <v>0</v>
      </c>
      <c r="J477" t="n">
        <v>0</v>
      </c>
      <c r="K477" t="n">
        <v>0</v>
      </c>
      <c r="L477" t="n">
        <v>0</v>
      </c>
      <c r="M477" t="n">
        <v>0</v>
      </c>
      <c r="N477" t="n">
        <v>0</v>
      </c>
      <c r="O477" t="n">
        <v>0</v>
      </c>
      <c r="P477" t="n">
        <v>0</v>
      </c>
      <c r="Q477" t="n">
        <v>0</v>
      </c>
      <c r="R477" s="2" t="inlineStr"/>
    </row>
    <row r="478" ht="15" customHeight="1">
      <c r="A478" t="inlineStr">
        <is>
          <t>A 24675-2025</t>
        </is>
      </c>
      <c r="B478" s="1" t="n">
        <v>45798.653125</v>
      </c>
      <c r="C478" s="1" t="n">
        <v>45926</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32834-2024</t>
        </is>
      </c>
      <c r="B479" s="1" t="n">
        <v>45516.6025</v>
      </c>
      <c r="C479" s="1" t="n">
        <v>45926</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9397-2025</t>
        </is>
      </c>
      <c r="B480" s="1" t="n">
        <v>45715.37361111111</v>
      </c>
      <c r="C480" s="1" t="n">
        <v>45926</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59109-2023</t>
        </is>
      </c>
      <c r="B481" s="1" t="n">
        <v>45253.30819444444</v>
      </c>
      <c r="C481" s="1" t="n">
        <v>45926</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49384-2021</t>
        </is>
      </c>
      <c r="B482" s="1" t="n">
        <v>44454</v>
      </c>
      <c r="C482" s="1" t="n">
        <v>45926</v>
      </c>
      <c r="D482" t="inlineStr">
        <is>
          <t>SKÅNE LÄN</t>
        </is>
      </c>
      <c r="E482" t="inlineStr">
        <is>
          <t>HÄSSLEHOLM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54462-2022</t>
        </is>
      </c>
      <c r="B483" s="1" t="n">
        <v>44882</v>
      </c>
      <c r="C483" s="1" t="n">
        <v>45926</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25611-2024</t>
        </is>
      </c>
      <c r="B484" s="1" t="n">
        <v>45463</v>
      </c>
      <c r="C484" s="1" t="n">
        <v>45926</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7094-2023</t>
        </is>
      </c>
      <c r="B485" s="1" t="n">
        <v>44970.36958333333</v>
      </c>
      <c r="C485" s="1" t="n">
        <v>45926</v>
      </c>
      <c r="D485" t="inlineStr">
        <is>
          <t>SKÅNE LÄN</t>
        </is>
      </c>
      <c r="E485" t="inlineStr">
        <is>
          <t>HÄSSLEHOLM</t>
        </is>
      </c>
      <c r="G485" t="n">
        <v>3.6</v>
      </c>
      <c r="H485" t="n">
        <v>0</v>
      </c>
      <c r="I485" t="n">
        <v>0</v>
      </c>
      <c r="J485" t="n">
        <v>0</v>
      </c>
      <c r="K485" t="n">
        <v>0</v>
      </c>
      <c r="L485" t="n">
        <v>0</v>
      </c>
      <c r="M485" t="n">
        <v>0</v>
      </c>
      <c r="N485" t="n">
        <v>0</v>
      </c>
      <c r="O485" t="n">
        <v>0</v>
      </c>
      <c r="P485" t="n">
        <v>0</v>
      </c>
      <c r="Q485" t="n">
        <v>0</v>
      </c>
      <c r="R485" s="2" t="inlineStr"/>
    </row>
    <row r="486" ht="15" customHeight="1">
      <c r="A486" t="inlineStr">
        <is>
          <t>A 25324-2024</t>
        </is>
      </c>
      <c r="B486" s="1" t="n">
        <v>45462.804375</v>
      </c>
      <c r="C486" s="1" t="n">
        <v>45926</v>
      </c>
      <c r="D486" t="inlineStr">
        <is>
          <t>SKÅNE LÄN</t>
        </is>
      </c>
      <c r="E486" t="inlineStr">
        <is>
          <t>HÄSSLEHOLM</t>
        </is>
      </c>
      <c r="G486" t="n">
        <v>0.2</v>
      </c>
      <c r="H486" t="n">
        <v>0</v>
      </c>
      <c r="I486" t="n">
        <v>0</v>
      </c>
      <c r="J486" t="n">
        <v>0</v>
      </c>
      <c r="K486" t="n">
        <v>0</v>
      </c>
      <c r="L486" t="n">
        <v>0</v>
      </c>
      <c r="M486" t="n">
        <v>0</v>
      </c>
      <c r="N486" t="n">
        <v>0</v>
      </c>
      <c r="O486" t="n">
        <v>0</v>
      </c>
      <c r="P486" t="n">
        <v>0</v>
      </c>
      <c r="Q486" t="n">
        <v>0</v>
      </c>
      <c r="R486" s="2" t="inlineStr"/>
    </row>
    <row r="487" ht="15" customHeight="1">
      <c r="A487" t="inlineStr">
        <is>
          <t>A 8803-2023</t>
        </is>
      </c>
      <c r="B487" s="1" t="n">
        <v>44978.61712962963</v>
      </c>
      <c r="C487" s="1" t="n">
        <v>45926</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42735-2024</t>
        </is>
      </c>
      <c r="B488" s="1" t="n">
        <v>45566.47274305556</v>
      </c>
      <c r="C488" s="1" t="n">
        <v>45926</v>
      </c>
      <c r="D488" t="inlineStr">
        <is>
          <t>SKÅNE LÄN</t>
        </is>
      </c>
      <c r="E488" t="inlineStr">
        <is>
          <t>HÄSSLEHOLM</t>
        </is>
      </c>
      <c r="G488" t="n">
        <v>3.7</v>
      </c>
      <c r="H488" t="n">
        <v>0</v>
      </c>
      <c r="I488" t="n">
        <v>0</v>
      </c>
      <c r="J488" t="n">
        <v>0</v>
      </c>
      <c r="K488" t="n">
        <v>0</v>
      </c>
      <c r="L488" t="n">
        <v>0</v>
      </c>
      <c r="M488" t="n">
        <v>0</v>
      </c>
      <c r="N488" t="n">
        <v>0</v>
      </c>
      <c r="O488" t="n">
        <v>0</v>
      </c>
      <c r="P488" t="n">
        <v>0</v>
      </c>
      <c r="Q488" t="n">
        <v>0</v>
      </c>
      <c r="R488" s="2" t="inlineStr"/>
    </row>
    <row r="489" ht="15" customHeight="1">
      <c r="A489" t="inlineStr">
        <is>
          <t>A 32100-2024</t>
        </is>
      </c>
      <c r="B489" s="1" t="n">
        <v>45511.41451388889</v>
      </c>
      <c r="C489" s="1" t="n">
        <v>45926</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10220-2023</t>
        </is>
      </c>
      <c r="B490" s="1" t="n">
        <v>44986.60916666667</v>
      </c>
      <c r="C490" s="1" t="n">
        <v>45926</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55522-2024</t>
        </is>
      </c>
      <c r="B491" s="1" t="n">
        <v>45622</v>
      </c>
      <c r="C491" s="1" t="n">
        <v>45926</v>
      </c>
      <c r="D491" t="inlineStr">
        <is>
          <t>SKÅNE LÄN</t>
        </is>
      </c>
      <c r="E491" t="inlineStr">
        <is>
          <t>HÄSSLEHOLM</t>
        </is>
      </c>
      <c r="G491" t="n">
        <v>5.6</v>
      </c>
      <c r="H491" t="n">
        <v>0</v>
      </c>
      <c r="I491" t="n">
        <v>0</v>
      </c>
      <c r="J491" t="n">
        <v>0</v>
      </c>
      <c r="K491" t="n">
        <v>0</v>
      </c>
      <c r="L491" t="n">
        <v>0</v>
      </c>
      <c r="M491" t="n">
        <v>0</v>
      </c>
      <c r="N491" t="n">
        <v>0</v>
      </c>
      <c r="O491" t="n">
        <v>0</v>
      </c>
      <c r="P491" t="n">
        <v>0</v>
      </c>
      <c r="Q491" t="n">
        <v>0</v>
      </c>
      <c r="R491" s="2" t="inlineStr"/>
    </row>
    <row r="492" ht="15" customHeight="1">
      <c r="A492" t="inlineStr">
        <is>
          <t>A 35810-2023</t>
        </is>
      </c>
      <c r="B492" s="1" t="n">
        <v>45148.44046296296</v>
      </c>
      <c r="C492" s="1" t="n">
        <v>45926</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11260-2021</t>
        </is>
      </c>
      <c r="B493" s="1" t="n">
        <v>44263</v>
      </c>
      <c r="C493" s="1" t="n">
        <v>45926</v>
      </c>
      <c r="D493" t="inlineStr">
        <is>
          <t>SKÅNE LÄN</t>
        </is>
      </c>
      <c r="E493" t="inlineStr">
        <is>
          <t>HÄSSLEHOLM</t>
        </is>
      </c>
      <c r="G493" t="n">
        <v>5.4</v>
      </c>
      <c r="H493" t="n">
        <v>0</v>
      </c>
      <c r="I493" t="n">
        <v>0</v>
      </c>
      <c r="J493" t="n">
        <v>0</v>
      </c>
      <c r="K493" t="n">
        <v>0</v>
      </c>
      <c r="L493" t="n">
        <v>0</v>
      </c>
      <c r="M493" t="n">
        <v>0</v>
      </c>
      <c r="N493" t="n">
        <v>0</v>
      </c>
      <c r="O493" t="n">
        <v>0</v>
      </c>
      <c r="P493" t="n">
        <v>0</v>
      </c>
      <c r="Q493" t="n">
        <v>0</v>
      </c>
      <c r="R493" s="2" t="inlineStr"/>
    </row>
    <row r="494" ht="15" customHeight="1">
      <c r="A494" t="inlineStr">
        <is>
          <t>A 35833-2023</t>
        </is>
      </c>
      <c r="B494" s="1" t="n">
        <v>45148</v>
      </c>
      <c r="C494" s="1" t="n">
        <v>45926</v>
      </c>
      <c r="D494" t="inlineStr">
        <is>
          <t>SKÅNE LÄN</t>
        </is>
      </c>
      <c r="E494" t="inlineStr">
        <is>
          <t>HÄSSLEHOLM</t>
        </is>
      </c>
      <c r="F494" t="inlineStr">
        <is>
          <t>Kommuner</t>
        </is>
      </c>
      <c r="G494" t="n">
        <v>2</v>
      </c>
      <c r="H494" t="n">
        <v>0</v>
      </c>
      <c r="I494" t="n">
        <v>0</v>
      </c>
      <c r="J494" t="n">
        <v>0</v>
      </c>
      <c r="K494" t="n">
        <v>0</v>
      </c>
      <c r="L494" t="n">
        <v>0</v>
      </c>
      <c r="M494" t="n">
        <v>0</v>
      </c>
      <c r="N494" t="n">
        <v>0</v>
      </c>
      <c r="O494" t="n">
        <v>0</v>
      </c>
      <c r="P494" t="n">
        <v>0</v>
      </c>
      <c r="Q494" t="n">
        <v>0</v>
      </c>
      <c r="R494" s="2" t="inlineStr"/>
    </row>
    <row r="495" ht="15" customHeight="1">
      <c r="A495" t="inlineStr">
        <is>
          <t>A 59556-2023</t>
        </is>
      </c>
      <c r="B495" s="1" t="n">
        <v>45254.56313657408</v>
      </c>
      <c r="C495" s="1" t="n">
        <v>45926</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32826-2024</t>
        </is>
      </c>
      <c r="B496" s="1" t="n">
        <v>45516.59056712963</v>
      </c>
      <c r="C496" s="1" t="n">
        <v>45926</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53077-2022</t>
        </is>
      </c>
      <c r="B497" s="1" t="n">
        <v>44873</v>
      </c>
      <c r="C497" s="1" t="n">
        <v>45926</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4809-2025</t>
        </is>
      </c>
      <c r="B498" s="1" t="n">
        <v>45688.60148148148</v>
      </c>
      <c r="C498" s="1" t="n">
        <v>45926</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12780-2024</t>
        </is>
      </c>
      <c r="B499" s="1" t="n">
        <v>45384.59726851852</v>
      </c>
      <c r="C499" s="1" t="n">
        <v>45926</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9375-2023</t>
        </is>
      </c>
      <c r="B500" s="1" t="n">
        <v>44981</v>
      </c>
      <c r="C500" s="1" t="n">
        <v>45926</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32512-2024</t>
        </is>
      </c>
      <c r="B501" s="1" t="n">
        <v>45513.45613425926</v>
      </c>
      <c r="C501" s="1" t="n">
        <v>45926</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26857-2025</t>
        </is>
      </c>
      <c r="B502" s="1" t="n">
        <v>45810</v>
      </c>
      <c r="C502" s="1" t="n">
        <v>45926</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24985-2025</t>
        </is>
      </c>
      <c r="B503" s="1" t="n">
        <v>45799.60256944445</v>
      </c>
      <c r="C503" s="1" t="n">
        <v>45926</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10562-2025</t>
        </is>
      </c>
      <c r="B504" s="1" t="n">
        <v>45721.52913194444</v>
      </c>
      <c r="C504" s="1" t="n">
        <v>45926</v>
      </c>
      <c r="D504" t="inlineStr">
        <is>
          <t>SKÅNE LÄN</t>
        </is>
      </c>
      <c r="E504" t="inlineStr">
        <is>
          <t>HÄSSLEHOLM</t>
        </is>
      </c>
      <c r="G504" t="n">
        <v>1.4</v>
      </c>
      <c r="H504" t="n">
        <v>0</v>
      </c>
      <c r="I504" t="n">
        <v>0</v>
      </c>
      <c r="J504" t="n">
        <v>0</v>
      </c>
      <c r="K504" t="n">
        <v>0</v>
      </c>
      <c r="L504" t="n">
        <v>0</v>
      </c>
      <c r="M504" t="n">
        <v>0</v>
      </c>
      <c r="N504" t="n">
        <v>0</v>
      </c>
      <c r="O504" t="n">
        <v>0</v>
      </c>
      <c r="P504" t="n">
        <v>0</v>
      </c>
      <c r="Q504" t="n">
        <v>0</v>
      </c>
      <c r="R504" s="2" t="inlineStr"/>
    </row>
    <row r="505" ht="15" customHeight="1">
      <c r="A505" t="inlineStr">
        <is>
          <t>A 19744-2023</t>
        </is>
      </c>
      <c r="B505" s="1" t="n">
        <v>45051</v>
      </c>
      <c r="C505" s="1" t="n">
        <v>45926</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14655-2025</t>
        </is>
      </c>
      <c r="B506" s="1" t="n">
        <v>45742.5072337963</v>
      </c>
      <c r="C506" s="1" t="n">
        <v>45926</v>
      </c>
      <c r="D506" t="inlineStr">
        <is>
          <t>SKÅNE LÄN</t>
        </is>
      </c>
      <c r="E506" t="inlineStr">
        <is>
          <t>HÄSSLEHOLM</t>
        </is>
      </c>
      <c r="G506" t="n">
        <v>4.5</v>
      </c>
      <c r="H506" t="n">
        <v>0</v>
      </c>
      <c r="I506" t="n">
        <v>0</v>
      </c>
      <c r="J506" t="n">
        <v>0</v>
      </c>
      <c r="K506" t="n">
        <v>0</v>
      </c>
      <c r="L506" t="n">
        <v>0</v>
      </c>
      <c r="M506" t="n">
        <v>0</v>
      </c>
      <c r="N506" t="n">
        <v>0</v>
      </c>
      <c r="O506" t="n">
        <v>0</v>
      </c>
      <c r="P506" t="n">
        <v>0</v>
      </c>
      <c r="Q506" t="n">
        <v>0</v>
      </c>
      <c r="R506" s="2" t="inlineStr"/>
    </row>
    <row r="507" ht="15" customHeight="1">
      <c r="A507" t="inlineStr">
        <is>
          <t>A 26403-2024</t>
        </is>
      </c>
      <c r="B507" s="1" t="n">
        <v>45469.44505787037</v>
      </c>
      <c r="C507" s="1" t="n">
        <v>45926</v>
      </c>
      <c r="D507" t="inlineStr">
        <is>
          <t>SKÅNE LÄN</t>
        </is>
      </c>
      <c r="E507" t="inlineStr">
        <is>
          <t>HÄSSLEHOLM</t>
        </is>
      </c>
      <c r="G507" t="n">
        <v>2.6</v>
      </c>
      <c r="H507" t="n">
        <v>0</v>
      </c>
      <c r="I507" t="n">
        <v>0</v>
      </c>
      <c r="J507" t="n">
        <v>0</v>
      </c>
      <c r="K507" t="n">
        <v>0</v>
      </c>
      <c r="L507" t="n">
        <v>0</v>
      </c>
      <c r="M507" t="n">
        <v>0</v>
      </c>
      <c r="N507" t="n">
        <v>0</v>
      </c>
      <c r="O507" t="n">
        <v>0</v>
      </c>
      <c r="P507" t="n">
        <v>0</v>
      </c>
      <c r="Q507" t="n">
        <v>0</v>
      </c>
      <c r="R507" s="2" t="inlineStr"/>
    </row>
    <row r="508" ht="15" customHeight="1">
      <c r="A508" t="inlineStr">
        <is>
          <t>A 14926-2024</t>
        </is>
      </c>
      <c r="B508" s="1" t="n">
        <v>45398</v>
      </c>
      <c r="C508" s="1" t="n">
        <v>45926</v>
      </c>
      <c r="D508" t="inlineStr">
        <is>
          <t>SKÅNE LÄN</t>
        </is>
      </c>
      <c r="E508" t="inlineStr">
        <is>
          <t>HÄSSLEHOLM</t>
        </is>
      </c>
      <c r="G508" t="n">
        <v>3.4</v>
      </c>
      <c r="H508" t="n">
        <v>0</v>
      </c>
      <c r="I508" t="n">
        <v>0</v>
      </c>
      <c r="J508" t="n">
        <v>0</v>
      </c>
      <c r="K508" t="n">
        <v>0</v>
      </c>
      <c r="L508" t="n">
        <v>0</v>
      </c>
      <c r="M508" t="n">
        <v>0</v>
      </c>
      <c r="N508" t="n">
        <v>0</v>
      </c>
      <c r="O508" t="n">
        <v>0</v>
      </c>
      <c r="P508" t="n">
        <v>0</v>
      </c>
      <c r="Q508" t="n">
        <v>0</v>
      </c>
      <c r="R508" s="2" t="inlineStr"/>
    </row>
    <row r="509" ht="15" customHeight="1">
      <c r="A509" t="inlineStr">
        <is>
          <t>A 60843-2022</t>
        </is>
      </c>
      <c r="B509" s="1" t="n">
        <v>44914</v>
      </c>
      <c r="C509" s="1" t="n">
        <v>45926</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30006-2023</t>
        </is>
      </c>
      <c r="B510" s="1" t="n">
        <v>45109.79962962963</v>
      </c>
      <c r="C510" s="1" t="n">
        <v>45926</v>
      </c>
      <c r="D510" t="inlineStr">
        <is>
          <t>SKÅNE LÄN</t>
        </is>
      </c>
      <c r="E510" t="inlineStr">
        <is>
          <t>HÄSSLEHOLM</t>
        </is>
      </c>
      <c r="G510" t="n">
        <v>1.7</v>
      </c>
      <c r="H510" t="n">
        <v>0</v>
      </c>
      <c r="I510" t="n">
        <v>0</v>
      </c>
      <c r="J510" t="n">
        <v>0</v>
      </c>
      <c r="K510" t="n">
        <v>0</v>
      </c>
      <c r="L510" t="n">
        <v>0</v>
      </c>
      <c r="M510" t="n">
        <v>0</v>
      </c>
      <c r="N510" t="n">
        <v>0</v>
      </c>
      <c r="O510" t="n">
        <v>0</v>
      </c>
      <c r="P510" t="n">
        <v>0</v>
      </c>
      <c r="Q510" t="n">
        <v>0</v>
      </c>
      <c r="R510" s="2" t="inlineStr"/>
    </row>
    <row r="511" ht="15" customHeight="1">
      <c r="A511" t="inlineStr">
        <is>
          <t>A 49167-2022</t>
        </is>
      </c>
      <c r="B511" s="1" t="n">
        <v>44860</v>
      </c>
      <c r="C511" s="1" t="n">
        <v>45926</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24776-2025</t>
        </is>
      </c>
      <c r="B512" s="1" t="n">
        <v>45799.40640046296</v>
      </c>
      <c r="C512" s="1" t="n">
        <v>45926</v>
      </c>
      <c r="D512" t="inlineStr">
        <is>
          <t>SKÅNE LÄN</t>
        </is>
      </c>
      <c r="E512" t="inlineStr">
        <is>
          <t>HÄSSLEHOLM</t>
        </is>
      </c>
      <c r="G512" t="n">
        <v>5.4</v>
      </c>
      <c r="H512" t="n">
        <v>0</v>
      </c>
      <c r="I512" t="n">
        <v>0</v>
      </c>
      <c r="J512" t="n">
        <v>0</v>
      </c>
      <c r="K512" t="n">
        <v>0</v>
      </c>
      <c r="L512" t="n">
        <v>0</v>
      </c>
      <c r="M512" t="n">
        <v>0</v>
      </c>
      <c r="N512" t="n">
        <v>0</v>
      </c>
      <c r="O512" t="n">
        <v>0</v>
      </c>
      <c r="P512" t="n">
        <v>0</v>
      </c>
      <c r="Q512" t="n">
        <v>0</v>
      </c>
      <c r="R512" s="2" t="inlineStr"/>
    </row>
    <row r="513" ht="15" customHeight="1">
      <c r="A513" t="inlineStr">
        <is>
          <t>A 24658-2025</t>
        </is>
      </c>
      <c r="B513" s="1" t="n">
        <v>45798.64134259259</v>
      </c>
      <c r="C513" s="1" t="n">
        <v>45926</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57963-2023</t>
        </is>
      </c>
      <c r="B514" s="1" t="n">
        <v>45247.57732638889</v>
      </c>
      <c r="C514" s="1" t="n">
        <v>45926</v>
      </c>
      <c r="D514" t="inlineStr">
        <is>
          <t>SKÅNE LÄN</t>
        </is>
      </c>
      <c r="E514" t="inlineStr">
        <is>
          <t>HÄSSLEHOLM</t>
        </is>
      </c>
      <c r="G514" t="n">
        <v>4.6</v>
      </c>
      <c r="H514" t="n">
        <v>0</v>
      </c>
      <c r="I514" t="n">
        <v>0</v>
      </c>
      <c r="J514" t="n">
        <v>0</v>
      </c>
      <c r="K514" t="n">
        <v>0</v>
      </c>
      <c r="L514" t="n">
        <v>0</v>
      </c>
      <c r="M514" t="n">
        <v>0</v>
      </c>
      <c r="N514" t="n">
        <v>0</v>
      </c>
      <c r="O514" t="n">
        <v>0</v>
      </c>
      <c r="P514" t="n">
        <v>0</v>
      </c>
      <c r="Q514" t="n">
        <v>0</v>
      </c>
      <c r="R514" s="2" t="inlineStr"/>
    </row>
    <row r="515" ht="15" customHeight="1">
      <c r="A515" t="inlineStr">
        <is>
          <t>A 61504-2022</t>
        </is>
      </c>
      <c r="B515" s="1" t="n">
        <v>44910</v>
      </c>
      <c r="C515" s="1" t="n">
        <v>45926</v>
      </c>
      <c r="D515" t="inlineStr">
        <is>
          <t>SKÅNE LÄN</t>
        </is>
      </c>
      <c r="E515" t="inlineStr">
        <is>
          <t>HÄSSLEHOLM</t>
        </is>
      </c>
      <c r="F515" t="inlineStr">
        <is>
          <t>Kyrkan</t>
        </is>
      </c>
      <c r="G515" t="n">
        <v>2.9</v>
      </c>
      <c r="H515" t="n">
        <v>0</v>
      </c>
      <c r="I515" t="n">
        <v>0</v>
      </c>
      <c r="J515" t="n">
        <v>0</v>
      </c>
      <c r="K515" t="n">
        <v>0</v>
      </c>
      <c r="L515" t="n">
        <v>0</v>
      </c>
      <c r="M515" t="n">
        <v>0</v>
      </c>
      <c r="N515" t="n">
        <v>0</v>
      </c>
      <c r="O515" t="n">
        <v>0</v>
      </c>
      <c r="P515" t="n">
        <v>0</v>
      </c>
      <c r="Q515" t="n">
        <v>0</v>
      </c>
      <c r="R515" s="2" t="inlineStr"/>
    </row>
    <row r="516" ht="15" customHeight="1">
      <c r="A516" t="inlineStr">
        <is>
          <t>A 57033-2022</t>
        </is>
      </c>
      <c r="B516" s="1" t="n">
        <v>44895.31270833333</v>
      </c>
      <c r="C516" s="1" t="n">
        <v>45926</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35845-2022</t>
        </is>
      </c>
      <c r="B517" s="1" t="n">
        <v>44802</v>
      </c>
      <c r="C517" s="1" t="n">
        <v>45926</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69109-2020</t>
        </is>
      </c>
      <c r="B518" s="1" t="n">
        <v>44188</v>
      </c>
      <c r="C518" s="1" t="n">
        <v>45926</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25372-2025</t>
        </is>
      </c>
      <c r="B519" s="1" t="n">
        <v>45799</v>
      </c>
      <c r="C519" s="1" t="n">
        <v>45926</v>
      </c>
      <c r="D519" t="inlineStr">
        <is>
          <t>SKÅNE LÄN</t>
        </is>
      </c>
      <c r="E519" t="inlineStr">
        <is>
          <t>HÄSSLEHOLM</t>
        </is>
      </c>
      <c r="G519" t="n">
        <v>3.1</v>
      </c>
      <c r="H519" t="n">
        <v>0</v>
      </c>
      <c r="I519" t="n">
        <v>0</v>
      </c>
      <c r="J519" t="n">
        <v>0</v>
      </c>
      <c r="K519" t="n">
        <v>0</v>
      </c>
      <c r="L519" t="n">
        <v>0</v>
      </c>
      <c r="M519" t="n">
        <v>0</v>
      </c>
      <c r="N519" t="n">
        <v>0</v>
      </c>
      <c r="O519" t="n">
        <v>0</v>
      </c>
      <c r="P519" t="n">
        <v>0</v>
      </c>
      <c r="Q519" t="n">
        <v>0</v>
      </c>
      <c r="R519" s="2" t="inlineStr"/>
    </row>
    <row r="520" ht="15" customHeight="1">
      <c r="A520" t="inlineStr">
        <is>
          <t>A 9399-2025</t>
        </is>
      </c>
      <c r="B520" s="1" t="n">
        <v>45715.37861111111</v>
      </c>
      <c r="C520" s="1" t="n">
        <v>45926</v>
      </c>
      <c r="D520" t="inlineStr">
        <is>
          <t>SKÅNE LÄN</t>
        </is>
      </c>
      <c r="E520" t="inlineStr">
        <is>
          <t>HÄSSLEHOLM</t>
        </is>
      </c>
      <c r="G520" t="n">
        <v>5.2</v>
      </c>
      <c r="H520" t="n">
        <v>0</v>
      </c>
      <c r="I520" t="n">
        <v>0</v>
      </c>
      <c r="J520" t="n">
        <v>0</v>
      </c>
      <c r="K520" t="n">
        <v>0</v>
      </c>
      <c r="L520" t="n">
        <v>0</v>
      </c>
      <c r="M520" t="n">
        <v>0</v>
      </c>
      <c r="N520" t="n">
        <v>0</v>
      </c>
      <c r="O520" t="n">
        <v>0</v>
      </c>
      <c r="P520" t="n">
        <v>0</v>
      </c>
      <c r="Q520" t="n">
        <v>0</v>
      </c>
      <c r="R520" s="2" t="inlineStr"/>
    </row>
    <row r="521" ht="15" customHeight="1">
      <c r="A521" t="inlineStr">
        <is>
          <t>A 19739-2023</t>
        </is>
      </c>
      <c r="B521" s="1" t="n">
        <v>45051</v>
      </c>
      <c r="C521" s="1" t="n">
        <v>45926</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22140-2023</t>
        </is>
      </c>
      <c r="B522" s="1" t="n">
        <v>45065</v>
      </c>
      <c r="C522" s="1" t="n">
        <v>45926</v>
      </c>
      <c r="D522" t="inlineStr">
        <is>
          <t>SKÅNE LÄN</t>
        </is>
      </c>
      <c r="E522" t="inlineStr">
        <is>
          <t>HÄSSLEHOLM</t>
        </is>
      </c>
      <c r="G522" t="n">
        <v>6.7</v>
      </c>
      <c r="H522" t="n">
        <v>0</v>
      </c>
      <c r="I522" t="n">
        <v>0</v>
      </c>
      <c r="J522" t="n">
        <v>0</v>
      </c>
      <c r="K522" t="n">
        <v>0</v>
      </c>
      <c r="L522" t="n">
        <v>0</v>
      </c>
      <c r="M522" t="n">
        <v>0</v>
      </c>
      <c r="N522" t="n">
        <v>0</v>
      </c>
      <c r="O522" t="n">
        <v>0</v>
      </c>
      <c r="P522" t="n">
        <v>0</v>
      </c>
      <c r="Q522" t="n">
        <v>0</v>
      </c>
      <c r="R522" s="2" t="inlineStr"/>
    </row>
    <row r="523" ht="15" customHeight="1">
      <c r="A523" t="inlineStr">
        <is>
          <t>A 9668-2025</t>
        </is>
      </c>
      <c r="B523" s="1" t="n">
        <v>45716.3278587963</v>
      </c>
      <c r="C523" s="1" t="n">
        <v>45926</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259-2024</t>
        </is>
      </c>
      <c r="B524" s="1" t="n">
        <v>45294</v>
      </c>
      <c r="C524" s="1" t="n">
        <v>45926</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29659-2024</t>
        </is>
      </c>
      <c r="B525" s="1" t="n">
        <v>45484.92587962963</v>
      </c>
      <c r="C525" s="1" t="n">
        <v>45926</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27837-2024</t>
        </is>
      </c>
      <c r="B526" s="1" t="n">
        <v>45475</v>
      </c>
      <c r="C526" s="1" t="n">
        <v>45926</v>
      </c>
      <c r="D526" t="inlineStr">
        <is>
          <t>SKÅNE LÄN</t>
        </is>
      </c>
      <c r="E526" t="inlineStr">
        <is>
          <t>HÄSSLEHOLM</t>
        </is>
      </c>
      <c r="F526" t="inlineStr">
        <is>
          <t>Kommuner</t>
        </is>
      </c>
      <c r="G526" t="n">
        <v>2.3</v>
      </c>
      <c r="H526" t="n">
        <v>0</v>
      </c>
      <c r="I526" t="n">
        <v>0</v>
      </c>
      <c r="J526" t="n">
        <v>0</v>
      </c>
      <c r="K526" t="n">
        <v>0</v>
      </c>
      <c r="L526" t="n">
        <v>0</v>
      </c>
      <c r="M526" t="n">
        <v>0</v>
      </c>
      <c r="N526" t="n">
        <v>0</v>
      </c>
      <c r="O526" t="n">
        <v>0</v>
      </c>
      <c r="P526" t="n">
        <v>0</v>
      </c>
      <c r="Q526" t="n">
        <v>0</v>
      </c>
      <c r="R526" s="2" t="inlineStr"/>
    </row>
    <row r="527" ht="15" customHeight="1">
      <c r="A527" t="inlineStr">
        <is>
          <t>A 1679-2022</t>
        </is>
      </c>
      <c r="B527" s="1" t="n">
        <v>44573</v>
      </c>
      <c r="C527" s="1" t="n">
        <v>45926</v>
      </c>
      <c r="D527" t="inlineStr">
        <is>
          <t>SKÅNE LÄN</t>
        </is>
      </c>
      <c r="E527" t="inlineStr">
        <is>
          <t>HÄSSLEHOLM</t>
        </is>
      </c>
      <c r="F527" t="inlineStr">
        <is>
          <t>Kyrkan</t>
        </is>
      </c>
      <c r="G527" t="n">
        <v>4.3</v>
      </c>
      <c r="H527" t="n">
        <v>0</v>
      </c>
      <c r="I527" t="n">
        <v>0</v>
      </c>
      <c r="J527" t="n">
        <v>0</v>
      </c>
      <c r="K527" t="n">
        <v>0</v>
      </c>
      <c r="L527" t="n">
        <v>0</v>
      </c>
      <c r="M527" t="n">
        <v>0</v>
      </c>
      <c r="N527" t="n">
        <v>0</v>
      </c>
      <c r="O527" t="n">
        <v>0</v>
      </c>
      <c r="P527" t="n">
        <v>0</v>
      </c>
      <c r="Q527" t="n">
        <v>0</v>
      </c>
      <c r="R527" s="2" t="inlineStr"/>
    </row>
    <row r="528" ht="15" customHeight="1">
      <c r="A528" t="inlineStr">
        <is>
          <t>A 7653-2024</t>
        </is>
      </c>
      <c r="B528" s="1" t="n">
        <v>45348.69043981482</v>
      </c>
      <c r="C528" s="1" t="n">
        <v>45926</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49865-2020</t>
        </is>
      </c>
      <c r="B529" s="1" t="n">
        <v>44107</v>
      </c>
      <c r="C529" s="1" t="n">
        <v>45926</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24679-2023</t>
        </is>
      </c>
      <c r="B530" s="1" t="n">
        <v>45084</v>
      </c>
      <c r="C530" s="1" t="n">
        <v>45926</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51565-2023</t>
        </is>
      </c>
      <c r="B531" s="1" t="n">
        <v>45222</v>
      </c>
      <c r="C531" s="1" t="n">
        <v>45926</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25615-2025</t>
        </is>
      </c>
      <c r="B532" s="1" t="n">
        <v>45803</v>
      </c>
      <c r="C532" s="1" t="n">
        <v>45926</v>
      </c>
      <c r="D532" t="inlineStr">
        <is>
          <t>SKÅNE LÄN</t>
        </is>
      </c>
      <c r="E532" t="inlineStr">
        <is>
          <t>HÄSSLEHOLM</t>
        </is>
      </c>
      <c r="G532" t="n">
        <v>2.6</v>
      </c>
      <c r="H532" t="n">
        <v>0</v>
      </c>
      <c r="I532" t="n">
        <v>0</v>
      </c>
      <c r="J532" t="n">
        <v>0</v>
      </c>
      <c r="K532" t="n">
        <v>0</v>
      </c>
      <c r="L532" t="n">
        <v>0</v>
      </c>
      <c r="M532" t="n">
        <v>0</v>
      </c>
      <c r="N532" t="n">
        <v>0</v>
      </c>
      <c r="O532" t="n">
        <v>0</v>
      </c>
      <c r="P532" t="n">
        <v>0</v>
      </c>
      <c r="Q532" t="n">
        <v>0</v>
      </c>
      <c r="R532" s="2" t="inlineStr"/>
    </row>
    <row r="533" ht="15" customHeight="1">
      <c r="A533" t="inlineStr">
        <is>
          <t>A 3930-2021</t>
        </is>
      </c>
      <c r="B533" s="1" t="n">
        <v>44222</v>
      </c>
      <c r="C533" s="1" t="n">
        <v>45926</v>
      </c>
      <c r="D533" t="inlineStr">
        <is>
          <t>SKÅNE LÄN</t>
        </is>
      </c>
      <c r="E533" t="inlineStr">
        <is>
          <t>HÄSSLEHOLM</t>
        </is>
      </c>
      <c r="G533" t="n">
        <v>3.4</v>
      </c>
      <c r="H533" t="n">
        <v>0</v>
      </c>
      <c r="I533" t="n">
        <v>0</v>
      </c>
      <c r="J533" t="n">
        <v>0</v>
      </c>
      <c r="K533" t="n">
        <v>0</v>
      </c>
      <c r="L533" t="n">
        <v>0</v>
      </c>
      <c r="M533" t="n">
        <v>0</v>
      </c>
      <c r="N533" t="n">
        <v>0</v>
      </c>
      <c r="O533" t="n">
        <v>0</v>
      </c>
      <c r="P533" t="n">
        <v>0</v>
      </c>
      <c r="Q533" t="n">
        <v>0</v>
      </c>
      <c r="R533" s="2" t="inlineStr"/>
    </row>
    <row r="534" ht="15" customHeight="1">
      <c r="A534" t="inlineStr">
        <is>
          <t>A 52968-2022</t>
        </is>
      </c>
      <c r="B534" s="1" t="n">
        <v>44875</v>
      </c>
      <c r="C534" s="1" t="n">
        <v>45926</v>
      </c>
      <c r="D534" t="inlineStr">
        <is>
          <t>SKÅNE LÄN</t>
        </is>
      </c>
      <c r="E534" t="inlineStr">
        <is>
          <t>HÄSSLEHOLM</t>
        </is>
      </c>
      <c r="G534" t="n">
        <v>2.6</v>
      </c>
      <c r="H534" t="n">
        <v>0</v>
      </c>
      <c r="I534" t="n">
        <v>0</v>
      </c>
      <c r="J534" t="n">
        <v>0</v>
      </c>
      <c r="K534" t="n">
        <v>0</v>
      </c>
      <c r="L534" t="n">
        <v>0</v>
      </c>
      <c r="M534" t="n">
        <v>0</v>
      </c>
      <c r="N534" t="n">
        <v>0</v>
      </c>
      <c r="O534" t="n">
        <v>0</v>
      </c>
      <c r="P534" t="n">
        <v>0</v>
      </c>
      <c r="Q534" t="n">
        <v>0</v>
      </c>
      <c r="R534" s="2" t="inlineStr"/>
    </row>
    <row r="535" ht="15" customHeight="1">
      <c r="A535" t="inlineStr">
        <is>
          <t>A 11412-2025</t>
        </is>
      </c>
      <c r="B535" s="1" t="n">
        <v>45726</v>
      </c>
      <c r="C535" s="1" t="n">
        <v>45926</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25430-2025</t>
        </is>
      </c>
      <c r="B536" s="1" t="n">
        <v>45800.78212962963</v>
      </c>
      <c r="C536" s="1" t="n">
        <v>45926</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23956-2023</t>
        </is>
      </c>
      <c r="B537" s="1" t="n">
        <v>45078.62302083334</v>
      </c>
      <c r="C537" s="1" t="n">
        <v>45926</v>
      </c>
      <c r="D537" t="inlineStr">
        <is>
          <t>SKÅNE LÄN</t>
        </is>
      </c>
      <c r="E537" t="inlineStr">
        <is>
          <t>HÄSSLEHOLM</t>
        </is>
      </c>
      <c r="G537" t="n">
        <v>0.1</v>
      </c>
      <c r="H537" t="n">
        <v>0</v>
      </c>
      <c r="I537" t="n">
        <v>0</v>
      </c>
      <c r="J537" t="n">
        <v>0</v>
      </c>
      <c r="K537" t="n">
        <v>0</v>
      </c>
      <c r="L537" t="n">
        <v>0</v>
      </c>
      <c r="M537" t="n">
        <v>0</v>
      </c>
      <c r="N537" t="n">
        <v>0</v>
      </c>
      <c r="O537" t="n">
        <v>0</v>
      </c>
      <c r="P537" t="n">
        <v>0</v>
      </c>
      <c r="Q537" t="n">
        <v>0</v>
      </c>
      <c r="R537" s="2" t="inlineStr"/>
    </row>
    <row r="538" ht="15" customHeight="1">
      <c r="A538" t="inlineStr">
        <is>
          <t>A 49219-2021</t>
        </is>
      </c>
      <c r="B538" s="1" t="n">
        <v>44454</v>
      </c>
      <c r="C538" s="1" t="n">
        <v>45926</v>
      </c>
      <c r="D538" t="inlineStr">
        <is>
          <t>SKÅNE LÄN</t>
        </is>
      </c>
      <c r="E538" t="inlineStr">
        <is>
          <t>HÄSSLEHOLM</t>
        </is>
      </c>
      <c r="G538" t="n">
        <v>7.8</v>
      </c>
      <c r="H538" t="n">
        <v>0</v>
      </c>
      <c r="I538" t="n">
        <v>0</v>
      </c>
      <c r="J538" t="n">
        <v>0</v>
      </c>
      <c r="K538" t="n">
        <v>0</v>
      </c>
      <c r="L538" t="n">
        <v>0</v>
      </c>
      <c r="M538" t="n">
        <v>0</v>
      </c>
      <c r="N538" t="n">
        <v>0</v>
      </c>
      <c r="O538" t="n">
        <v>0</v>
      </c>
      <c r="P538" t="n">
        <v>0</v>
      </c>
      <c r="Q538" t="n">
        <v>0</v>
      </c>
      <c r="R538" s="2" t="inlineStr"/>
    </row>
    <row r="539" ht="15" customHeight="1">
      <c r="A539" t="inlineStr">
        <is>
          <t>A 9678-2025</t>
        </is>
      </c>
      <c r="B539" s="1" t="n">
        <v>45716.34403935185</v>
      </c>
      <c r="C539" s="1" t="n">
        <v>45926</v>
      </c>
      <c r="D539" t="inlineStr">
        <is>
          <t>SKÅNE LÄN</t>
        </is>
      </c>
      <c r="E539" t="inlineStr">
        <is>
          <t>HÄSSLEHOLM</t>
        </is>
      </c>
      <c r="G539" t="n">
        <v>2.1</v>
      </c>
      <c r="H539" t="n">
        <v>0</v>
      </c>
      <c r="I539" t="n">
        <v>0</v>
      </c>
      <c r="J539" t="n">
        <v>0</v>
      </c>
      <c r="K539" t="n">
        <v>0</v>
      </c>
      <c r="L539" t="n">
        <v>0</v>
      </c>
      <c r="M539" t="n">
        <v>0</v>
      </c>
      <c r="N539" t="n">
        <v>0</v>
      </c>
      <c r="O539" t="n">
        <v>0</v>
      </c>
      <c r="P539" t="n">
        <v>0</v>
      </c>
      <c r="Q539" t="n">
        <v>0</v>
      </c>
      <c r="R539" s="2" t="inlineStr"/>
    </row>
    <row r="540" ht="15" customHeight="1">
      <c r="A540" t="inlineStr">
        <is>
          <t>A 11466-2025</t>
        </is>
      </c>
      <c r="B540" s="1" t="n">
        <v>45726</v>
      </c>
      <c r="C540" s="1" t="n">
        <v>45926</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5890-2023</t>
        </is>
      </c>
      <c r="B541" s="1" t="n">
        <v>44963.64527777778</v>
      </c>
      <c r="C541" s="1" t="n">
        <v>45926</v>
      </c>
      <c r="D541" t="inlineStr">
        <is>
          <t>SKÅNE LÄN</t>
        </is>
      </c>
      <c r="E541" t="inlineStr">
        <is>
          <t>HÄSSLEHOLM</t>
        </is>
      </c>
      <c r="G541" t="n">
        <v>1.6</v>
      </c>
      <c r="H541" t="n">
        <v>0</v>
      </c>
      <c r="I541" t="n">
        <v>0</v>
      </c>
      <c r="J541" t="n">
        <v>0</v>
      </c>
      <c r="K541" t="n">
        <v>0</v>
      </c>
      <c r="L541" t="n">
        <v>0</v>
      </c>
      <c r="M541" t="n">
        <v>0</v>
      </c>
      <c r="N541" t="n">
        <v>0</v>
      </c>
      <c r="O541" t="n">
        <v>0</v>
      </c>
      <c r="P541" t="n">
        <v>0</v>
      </c>
      <c r="Q541" t="n">
        <v>0</v>
      </c>
      <c r="R541" s="2" t="inlineStr"/>
    </row>
    <row r="542" ht="15" customHeight="1">
      <c r="A542" t="inlineStr">
        <is>
          <t>A 25431-2025</t>
        </is>
      </c>
      <c r="B542" s="1" t="n">
        <v>45800.78340277778</v>
      </c>
      <c r="C542" s="1" t="n">
        <v>45926</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25432-2025</t>
        </is>
      </c>
      <c r="B543" s="1" t="n">
        <v>45800.7847800926</v>
      </c>
      <c r="C543" s="1" t="n">
        <v>45926</v>
      </c>
      <c r="D543" t="inlineStr">
        <is>
          <t>SKÅNE LÄN</t>
        </is>
      </c>
      <c r="E543" t="inlineStr">
        <is>
          <t>HÄSSLEHOLM</t>
        </is>
      </c>
      <c r="G543" t="n">
        <v>1.8</v>
      </c>
      <c r="H543" t="n">
        <v>0</v>
      </c>
      <c r="I543" t="n">
        <v>0</v>
      </c>
      <c r="J543" t="n">
        <v>0</v>
      </c>
      <c r="K543" t="n">
        <v>0</v>
      </c>
      <c r="L543" t="n">
        <v>0</v>
      </c>
      <c r="M543" t="n">
        <v>0</v>
      </c>
      <c r="N543" t="n">
        <v>0</v>
      </c>
      <c r="O543" t="n">
        <v>0</v>
      </c>
      <c r="P543" t="n">
        <v>0</v>
      </c>
      <c r="Q543" t="n">
        <v>0</v>
      </c>
      <c r="R543" s="2" t="inlineStr"/>
    </row>
    <row r="544" ht="15" customHeight="1">
      <c r="A544" t="inlineStr">
        <is>
          <t>A 59763-2022</t>
        </is>
      </c>
      <c r="B544" s="1" t="n">
        <v>44900</v>
      </c>
      <c r="C544" s="1" t="n">
        <v>45926</v>
      </c>
      <c r="D544" t="inlineStr">
        <is>
          <t>SKÅNE LÄN</t>
        </is>
      </c>
      <c r="E544" t="inlineStr">
        <is>
          <t>HÄSSLEHOLM</t>
        </is>
      </c>
      <c r="F544" t="inlineStr">
        <is>
          <t>Övriga Aktiebolag</t>
        </is>
      </c>
      <c r="G544" t="n">
        <v>1.2</v>
      </c>
      <c r="H544" t="n">
        <v>0</v>
      </c>
      <c r="I544" t="n">
        <v>0</v>
      </c>
      <c r="J544" t="n">
        <v>0</v>
      </c>
      <c r="K544" t="n">
        <v>0</v>
      </c>
      <c r="L544" t="n">
        <v>0</v>
      </c>
      <c r="M544" t="n">
        <v>0</v>
      </c>
      <c r="N544" t="n">
        <v>0</v>
      </c>
      <c r="O544" t="n">
        <v>0</v>
      </c>
      <c r="P544" t="n">
        <v>0</v>
      </c>
      <c r="Q544" t="n">
        <v>0</v>
      </c>
      <c r="R544" s="2" t="inlineStr"/>
    </row>
    <row r="545" ht="15" customHeight="1">
      <c r="A545" t="inlineStr">
        <is>
          <t>A 11470-2025</t>
        </is>
      </c>
      <c r="B545" s="1" t="n">
        <v>45726</v>
      </c>
      <c r="C545" s="1" t="n">
        <v>45926</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3364-2023</t>
        </is>
      </c>
      <c r="B546" s="1" t="n">
        <v>44949</v>
      </c>
      <c r="C546" s="1" t="n">
        <v>45926</v>
      </c>
      <c r="D546" t="inlineStr">
        <is>
          <t>SKÅNE LÄN</t>
        </is>
      </c>
      <c r="E546" t="inlineStr">
        <is>
          <t>HÄSSLEHOLM</t>
        </is>
      </c>
      <c r="G546" t="n">
        <v>5.1</v>
      </c>
      <c r="H546" t="n">
        <v>0</v>
      </c>
      <c r="I546" t="n">
        <v>0</v>
      </c>
      <c r="J546" t="n">
        <v>0</v>
      </c>
      <c r="K546" t="n">
        <v>0</v>
      </c>
      <c r="L546" t="n">
        <v>0</v>
      </c>
      <c r="M546" t="n">
        <v>0</v>
      </c>
      <c r="N546" t="n">
        <v>0</v>
      </c>
      <c r="O546" t="n">
        <v>0</v>
      </c>
      <c r="P546" t="n">
        <v>0</v>
      </c>
      <c r="Q546" t="n">
        <v>0</v>
      </c>
      <c r="R546" s="2" t="inlineStr"/>
    </row>
    <row r="547" ht="15" customHeight="1">
      <c r="A547" t="inlineStr">
        <is>
          <t>A 12936-2025</t>
        </is>
      </c>
      <c r="B547" s="1" t="n">
        <v>45734</v>
      </c>
      <c r="C547" s="1" t="n">
        <v>45926</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52642-2021</t>
        </is>
      </c>
      <c r="B548" s="1" t="n">
        <v>44466.64298611111</v>
      </c>
      <c r="C548" s="1" t="n">
        <v>45926</v>
      </c>
      <c r="D548" t="inlineStr">
        <is>
          <t>SKÅNE LÄN</t>
        </is>
      </c>
      <c r="E548" t="inlineStr">
        <is>
          <t>HÄSSLEHOLM</t>
        </is>
      </c>
      <c r="G548" t="n">
        <v>3.7</v>
      </c>
      <c r="H548" t="n">
        <v>0</v>
      </c>
      <c r="I548" t="n">
        <v>0</v>
      </c>
      <c r="J548" t="n">
        <v>0</v>
      </c>
      <c r="K548" t="n">
        <v>0</v>
      </c>
      <c r="L548" t="n">
        <v>0</v>
      </c>
      <c r="M548" t="n">
        <v>0</v>
      </c>
      <c r="N548" t="n">
        <v>0</v>
      </c>
      <c r="O548" t="n">
        <v>0</v>
      </c>
      <c r="P548" t="n">
        <v>0</v>
      </c>
      <c r="Q548" t="n">
        <v>0</v>
      </c>
      <c r="R548" s="2" t="inlineStr"/>
    </row>
    <row r="549" ht="15" customHeight="1">
      <c r="A549" t="inlineStr">
        <is>
          <t>A 56062-2024</t>
        </is>
      </c>
      <c r="B549" s="1" t="n">
        <v>45624.37105324074</v>
      </c>
      <c r="C549" s="1" t="n">
        <v>45926</v>
      </c>
      <c r="D549" t="inlineStr">
        <is>
          <t>SKÅNE LÄN</t>
        </is>
      </c>
      <c r="E549" t="inlineStr">
        <is>
          <t>HÄSSLEHOLM</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50046-2020</t>
        </is>
      </c>
      <c r="B550" s="1" t="n">
        <v>44109</v>
      </c>
      <c r="C550" s="1" t="n">
        <v>45926</v>
      </c>
      <c r="D550" t="inlineStr">
        <is>
          <t>SKÅNE LÄN</t>
        </is>
      </c>
      <c r="E550" t="inlineStr">
        <is>
          <t>HÄSSLEHOLM</t>
        </is>
      </c>
      <c r="G550" t="n">
        <v>1.2</v>
      </c>
      <c r="H550" t="n">
        <v>0</v>
      </c>
      <c r="I550" t="n">
        <v>0</v>
      </c>
      <c r="J550" t="n">
        <v>0</v>
      </c>
      <c r="K550" t="n">
        <v>0</v>
      </c>
      <c r="L550" t="n">
        <v>0</v>
      </c>
      <c r="M550" t="n">
        <v>0</v>
      </c>
      <c r="N550" t="n">
        <v>0</v>
      </c>
      <c r="O550" t="n">
        <v>0</v>
      </c>
      <c r="P550" t="n">
        <v>0</v>
      </c>
      <c r="Q550" t="n">
        <v>0</v>
      </c>
      <c r="R550" s="2" t="inlineStr"/>
    </row>
    <row r="551" ht="15" customHeight="1">
      <c r="A551" t="inlineStr">
        <is>
          <t>A 41209-2023</t>
        </is>
      </c>
      <c r="B551" s="1" t="n">
        <v>45174.43481481481</v>
      </c>
      <c r="C551" s="1" t="n">
        <v>45926</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15562-2024</t>
        </is>
      </c>
      <c r="B552" s="1" t="n">
        <v>45401.64975694445</v>
      </c>
      <c r="C552" s="1" t="n">
        <v>45926</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57275-2023</t>
        </is>
      </c>
      <c r="B553" s="1" t="n">
        <v>45245.58886574074</v>
      </c>
      <c r="C553" s="1" t="n">
        <v>45926</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58268-2024</t>
        </is>
      </c>
      <c r="B554" s="1" t="n">
        <v>45632.56893518518</v>
      </c>
      <c r="C554" s="1" t="n">
        <v>45926</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53302-2022</t>
        </is>
      </c>
      <c r="B555" s="1" t="n">
        <v>44877</v>
      </c>
      <c r="C555" s="1" t="n">
        <v>45926</v>
      </c>
      <c r="D555" t="inlineStr">
        <is>
          <t>SKÅNE LÄN</t>
        </is>
      </c>
      <c r="E555" t="inlineStr">
        <is>
          <t>HÄSSLEHOLM</t>
        </is>
      </c>
      <c r="G555" t="n">
        <v>0.1</v>
      </c>
      <c r="H555" t="n">
        <v>0</v>
      </c>
      <c r="I555" t="n">
        <v>0</v>
      </c>
      <c r="J555" t="n">
        <v>0</v>
      </c>
      <c r="K555" t="n">
        <v>0</v>
      </c>
      <c r="L555" t="n">
        <v>0</v>
      </c>
      <c r="M555" t="n">
        <v>0</v>
      </c>
      <c r="N555" t="n">
        <v>0</v>
      </c>
      <c r="O555" t="n">
        <v>0</v>
      </c>
      <c r="P555" t="n">
        <v>0</v>
      </c>
      <c r="Q555" t="n">
        <v>0</v>
      </c>
      <c r="R555" s="2" t="inlineStr"/>
    </row>
    <row r="556" ht="15" customHeight="1">
      <c r="A556" t="inlineStr">
        <is>
          <t>A 28071-2023</t>
        </is>
      </c>
      <c r="B556" s="1" t="n">
        <v>45099.37755787037</v>
      </c>
      <c r="C556" s="1" t="n">
        <v>45926</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27991-2024</t>
        </is>
      </c>
      <c r="B557" s="1" t="n">
        <v>45476</v>
      </c>
      <c r="C557" s="1" t="n">
        <v>45926</v>
      </c>
      <c r="D557" t="inlineStr">
        <is>
          <t>SKÅNE LÄN</t>
        </is>
      </c>
      <c r="E557" t="inlineStr">
        <is>
          <t>HÄSSLEHOLM</t>
        </is>
      </c>
      <c r="G557" t="n">
        <v>5.8</v>
      </c>
      <c r="H557" t="n">
        <v>0</v>
      </c>
      <c r="I557" t="n">
        <v>0</v>
      </c>
      <c r="J557" t="n">
        <v>0</v>
      </c>
      <c r="K557" t="n">
        <v>0</v>
      </c>
      <c r="L557" t="n">
        <v>0</v>
      </c>
      <c r="M557" t="n">
        <v>0</v>
      </c>
      <c r="N557" t="n">
        <v>0</v>
      </c>
      <c r="O557" t="n">
        <v>0</v>
      </c>
      <c r="P557" t="n">
        <v>0</v>
      </c>
      <c r="Q557" t="n">
        <v>0</v>
      </c>
      <c r="R557" s="2" t="inlineStr"/>
    </row>
    <row r="558" ht="15" customHeight="1">
      <c r="A558" t="inlineStr">
        <is>
          <t>A 18648-2021</t>
        </is>
      </c>
      <c r="B558" s="1" t="n">
        <v>44306.70583333333</v>
      </c>
      <c r="C558" s="1" t="n">
        <v>45926</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23946-2023</t>
        </is>
      </c>
      <c r="B559" s="1" t="n">
        <v>45078.61601851852</v>
      </c>
      <c r="C559" s="1" t="n">
        <v>45926</v>
      </c>
      <c r="D559" t="inlineStr">
        <is>
          <t>SKÅNE LÄN</t>
        </is>
      </c>
      <c r="E559" t="inlineStr">
        <is>
          <t>HÄSSLEHOLM</t>
        </is>
      </c>
      <c r="G559" t="n">
        <v>0.2</v>
      </c>
      <c r="H559" t="n">
        <v>0</v>
      </c>
      <c r="I559" t="n">
        <v>0</v>
      </c>
      <c r="J559" t="n">
        <v>0</v>
      </c>
      <c r="K559" t="n">
        <v>0</v>
      </c>
      <c r="L559" t="n">
        <v>0</v>
      </c>
      <c r="M559" t="n">
        <v>0</v>
      </c>
      <c r="N559" t="n">
        <v>0</v>
      </c>
      <c r="O559" t="n">
        <v>0</v>
      </c>
      <c r="P559" t="n">
        <v>0</v>
      </c>
      <c r="Q559" t="n">
        <v>0</v>
      </c>
      <c r="R559" s="2" t="inlineStr"/>
    </row>
    <row r="560" ht="15" customHeight="1">
      <c r="A560" t="inlineStr">
        <is>
          <t>A 26232-2025</t>
        </is>
      </c>
      <c r="B560" s="1" t="n">
        <v>45805.56642361111</v>
      </c>
      <c r="C560" s="1" t="n">
        <v>45926</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31946-2023</t>
        </is>
      </c>
      <c r="B561" s="1" t="n">
        <v>45119.35158564815</v>
      </c>
      <c r="C561" s="1" t="n">
        <v>45926</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41459-2022</t>
        </is>
      </c>
      <c r="B562" s="1" t="n">
        <v>44826.93372685185</v>
      </c>
      <c r="C562" s="1" t="n">
        <v>45926</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26244-2025</t>
        </is>
      </c>
      <c r="B563" s="1" t="n">
        <v>45805.57364583333</v>
      </c>
      <c r="C563" s="1" t="n">
        <v>45926</v>
      </c>
      <c r="D563" t="inlineStr">
        <is>
          <t>SKÅNE LÄN</t>
        </is>
      </c>
      <c r="E563" t="inlineStr">
        <is>
          <t>HÄSSLEHOLM</t>
        </is>
      </c>
      <c r="G563" t="n">
        <v>1.4</v>
      </c>
      <c r="H563" t="n">
        <v>0</v>
      </c>
      <c r="I563" t="n">
        <v>0</v>
      </c>
      <c r="J563" t="n">
        <v>0</v>
      </c>
      <c r="K563" t="n">
        <v>0</v>
      </c>
      <c r="L563" t="n">
        <v>0</v>
      </c>
      <c r="M563" t="n">
        <v>0</v>
      </c>
      <c r="N563" t="n">
        <v>0</v>
      </c>
      <c r="O563" t="n">
        <v>0</v>
      </c>
      <c r="P563" t="n">
        <v>0</v>
      </c>
      <c r="Q563" t="n">
        <v>0</v>
      </c>
      <c r="R563" s="2" t="inlineStr"/>
    </row>
    <row r="564" ht="15" customHeight="1">
      <c r="A564" t="inlineStr">
        <is>
          <t>A 48798-2023</t>
        </is>
      </c>
      <c r="B564" s="1" t="n">
        <v>45209.25318287037</v>
      </c>
      <c r="C564" s="1" t="n">
        <v>45926</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48844-2023</t>
        </is>
      </c>
      <c r="B565" s="1" t="n">
        <v>45209</v>
      </c>
      <c r="C565" s="1" t="n">
        <v>45926</v>
      </c>
      <c r="D565" t="inlineStr">
        <is>
          <t>SKÅNE LÄN</t>
        </is>
      </c>
      <c r="E565" t="inlineStr">
        <is>
          <t>HÄSSLEHOLM</t>
        </is>
      </c>
      <c r="G565" t="n">
        <v>4</v>
      </c>
      <c r="H565" t="n">
        <v>0</v>
      </c>
      <c r="I565" t="n">
        <v>0</v>
      </c>
      <c r="J565" t="n">
        <v>0</v>
      </c>
      <c r="K565" t="n">
        <v>0</v>
      </c>
      <c r="L565" t="n">
        <v>0</v>
      </c>
      <c r="M565" t="n">
        <v>0</v>
      </c>
      <c r="N565" t="n">
        <v>0</v>
      </c>
      <c r="O565" t="n">
        <v>0</v>
      </c>
      <c r="P565" t="n">
        <v>0</v>
      </c>
      <c r="Q565" t="n">
        <v>0</v>
      </c>
      <c r="R565" s="2" t="inlineStr"/>
    </row>
    <row r="566" ht="15" customHeight="1">
      <c r="A566" t="inlineStr">
        <is>
          <t>A 48877-2024</t>
        </is>
      </c>
      <c r="B566" s="1" t="n">
        <v>45594.31729166667</v>
      </c>
      <c r="C566" s="1" t="n">
        <v>45926</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45984-2021</t>
        </is>
      </c>
      <c r="B567" s="1" t="n">
        <v>44441</v>
      </c>
      <c r="C567" s="1" t="n">
        <v>45926</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8378-2023</t>
        </is>
      </c>
      <c r="B568" s="1" t="n">
        <v>44971</v>
      </c>
      <c r="C568" s="1" t="n">
        <v>45926</v>
      </c>
      <c r="D568" t="inlineStr">
        <is>
          <t>SKÅNE LÄN</t>
        </is>
      </c>
      <c r="E568" t="inlineStr">
        <is>
          <t>HÄSSLEHOLM</t>
        </is>
      </c>
      <c r="G568" t="n">
        <v>1.2</v>
      </c>
      <c r="H568" t="n">
        <v>0</v>
      </c>
      <c r="I568" t="n">
        <v>0</v>
      </c>
      <c r="J568" t="n">
        <v>0</v>
      </c>
      <c r="K568" t="n">
        <v>0</v>
      </c>
      <c r="L568" t="n">
        <v>0</v>
      </c>
      <c r="M568" t="n">
        <v>0</v>
      </c>
      <c r="N568" t="n">
        <v>0</v>
      </c>
      <c r="O568" t="n">
        <v>0</v>
      </c>
      <c r="P568" t="n">
        <v>0</v>
      </c>
      <c r="Q568" t="n">
        <v>0</v>
      </c>
      <c r="R568" s="2" t="inlineStr"/>
    </row>
    <row r="569" ht="15" customHeight="1">
      <c r="A569" t="inlineStr">
        <is>
          <t>A 29847-2024</t>
        </is>
      </c>
      <c r="B569" s="1" t="n">
        <v>45485.6278587963</v>
      </c>
      <c r="C569" s="1" t="n">
        <v>45926</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49824-2024</t>
        </is>
      </c>
      <c r="B570" s="1" t="n">
        <v>45597</v>
      </c>
      <c r="C570" s="1" t="n">
        <v>45926</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22384-2024</t>
        </is>
      </c>
      <c r="B571" s="1" t="n">
        <v>45446.65592592592</v>
      </c>
      <c r="C571" s="1" t="n">
        <v>45926</v>
      </c>
      <c r="D571" t="inlineStr">
        <is>
          <t>SKÅNE LÄN</t>
        </is>
      </c>
      <c r="E571" t="inlineStr">
        <is>
          <t>HÄSSLEHOLM</t>
        </is>
      </c>
      <c r="G571" t="n">
        <v>2.4</v>
      </c>
      <c r="H571" t="n">
        <v>0</v>
      </c>
      <c r="I571" t="n">
        <v>0</v>
      </c>
      <c r="J571" t="n">
        <v>0</v>
      </c>
      <c r="K571" t="n">
        <v>0</v>
      </c>
      <c r="L571" t="n">
        <v>0</v>
      </c>
      <c r="M571" t="n">
        <v>0</v>
      </c>
      <c r="N571" t="n">
        <v>0</v>
      </c>
      <c r="O571" t="n">
        <v>0</v>
      </c>
      <c r="P571" t="n">
        <v>0</v>
      </c>
      <c r="Q571" t="n">
        <v>0</v>
      </c>
      <c r="R571" s="2" t="inlineStr"/>
    </row>
    <row r="572" ht="15" customHeight="1">
      <c r="A572" t="inlineStr">
        <is>
          <t>A 45398-2024</t>
        </is>
      </c>
      <c r="B572" s="1" t="n">
        <v>45576.56260416667</v>
      </c>
      <c r="C572" s="1" t="n">
        <v>45926</v>
      </c>
      <c r="D572" t="inlineStr">
        <is>
          <t>SKÅNE LÄN</t>
        </is>
      </c>
      <c r="E572" t="inlineStr">
        <is>
          <t>HÄSSLEHOLM</t>
        </is>
      </c>
      <c r="G572" t="n">
        <v>4.2</v>
      </c>
      <c r="H572" t="n">
        <v>0</v>
      </c>
      <c r="I572" t="n">
        <v>0</v>
      </c>
      <c r="J572" t="n">
        <v>0</v>
      </c>
      <c r="K572" t="n">
        <v>0</v>
      </c>
      <c r="L572" t="n">
        <v>0</v>
      </c>
      <c r="M572" t="n">
        <v>0</v>
      </c>
      <c r="N572" t="n">
        <v>0</v>
      </c>
      <c r="O572" t="n">
        <v>0</v>
      </c>
      <c r="P572" t="n">
        <v>0</v>
      </c>
      <c r="Q572" t="n">
        <v>0</v>
      </c>
      <c r="R572" s="2" t="inlineStr"/>
    </row>
    <row r="573" ht="15" customHeight="1">
      <c r="A573" t="inlineStr">
        <is>
          <t>A 4140-2023</t>
        </is>
      </c>
      <c r="B573" s="1" t="n">
        <v>44953</v>
      </c>
      <c r="C573" s="1" t="n">
        <v>45926</v>
      </c>
      <c r="D573" t="inlineStr">
        <is>
          <t>SKÅNE LÄN</t>
        </is>
      </c>
      <c r="E573" t="inlineStr">
        <is>
          <t>HÄSSLEHOLM</t>
        </is>
      </c>
      <c r="G573" t="n">
        <v>10.6</v>
      </c>
      <c r="H573" t="n">
        <v>0</v>
      </c>
      <c r="I573" t="n">
        <v>0</v>
      </c>
      <c r="J573" t="n">
        <v>0</v>
      </c>
      <c r="K573" t="n">
        <v>0</v>
      </c>
      <c r="L573" t="n">
        <v>0</v>
      </c>
      <c r="M573" t="n">
        <v>0</v>
      </c>
      <c r="N573" t="n">
        <v>0</v>
      </c>
      <c r="O573" t="n">
        <v>0</v>
      </c>
      <c r="P573" t="n">
        <v>0</v>
      </c>
      <c r="Q573" t="n">
        <v>0</v>
      </c>
      <c r="R573" s="2" t="inlineStr"/>
    </row>
    <row r="574" ht="15" customHeight="1">
      <c r="A574" t="inlineStr">
        <is>
          <t>A 51571-2023</t>
        </is>
      </c>
      <c r="B574" s="1" t="n">
        <v>45222</v>
      </c>
      <c r="C574" s="1" t="n">
        <v>45926</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50000-2023</t>
        </is>
      </c>
      <c r="B575" s="1" t="n">
        <v>45215.4434837963</v>
      </c>
      <c r="C575" s="1" t="n">
        <v>45926</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49181-2024</t>
        </is>
      </c>
      <c r="B576" s="1" t="n">
        <v>45595</v>
      </c>
      <c r="C576" s="1" t="n">
        <v>45926</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32794-2023</t>
        </is>
      </c>
      <c r="B577" s="1" t="n">
        <v>45124.40446759259</v>
      </c>
      <c r="C577" s="1" t="n">
        <v>45926</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61436-2024</t>
        </is>
      </c>
      <c r="B578" s="1" t="n">
        <v>45646.46329861111</v>
      </c>
      <c r="C578" s="1" t="n">
        <v>45926</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44565.84615740741</v>
      </c>
      <c r="C579" s="1" t="n">
        <v>45926</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37300-2023</t>
        </is>
      </c>
      <c r="B580" s="1" t="n">
        <v>45156</v>
      </c>
      <c r="C580" s="1" t="n">
        <v>45926</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38358-2024</t>
        </is>
      </c>
      <c r="B581" s="1" t="n">
        <v>45545.79068287037</v>
      </c>
      <c r="C581" s="1" t="n">
        <v>45926</v>
      </c>
      <c r="D581" t="inlineStr">
        <is>
          <t>SKÅNE LÄN</t>
        </is>
      </c>
      <c r="E581" t="inlineStr">
        <is>
          <t>HÄSSLEHOLM</t>
        </is>
      </c>
      <c r="G581" t="n">
        <v>9</v>
      </c>
      <c r="H581" t="n">
        <v>0</v>
      </c>
      <c r="I581" t="n">
        <v>0</v>
      </c>
      <c r="J581" t="n">
        <v>0</v>
      </c>
      <c r="K581" t="n">
        <v>0</v>
      </c>
      <c r="L581" t="n">
        <v>0</v>
      </c>
      <c r="M581" t="n">
        <v>0</v>
      </c>
      <c r="N581" t="n">
        <v>0</v>
      </c>
      <c r="O581" t="n">
        <v>0</v>
      </c>
      <c r="P581" t="n">
        <v>0</v>
      </c>
      <c r="Q581" t="n">
        <v>0</v>
      </c>
      <c r="R581" s="2" t="inlineStr"/>
    </row>
    <row r="582" ht="15" customHeight="1">
      <c r="A582" t="inlineStr">
        <is>
          <t>A 51040-2024</t>
        </is>
      </c>
      <c r="B582" s="1" t="n">
        <v>45603.43222222223</v>
      </c>
      <c r="C582" s="1" t="n">
        <v>45926</v>
      </c>
      <c r="D582" t="inlineStr">
        <is>
          <t>SKÅNE LÄN</t>
        </is>
      </c>
      <c r="E582" t="inlineStr">
        <is>
          <t>HÄSSLEHOLM</t>
        </is>
      </c>
      <c r="G582" t="n">
        <v>2.7</v>
      </c>
      <c r="H582" t="n">
        <v>0</v>
      </c>
      <c r="I582" t="n">
        <v>0</v>
      </c>
      <c r="J582" t="n">
        <v>0</v>
      </c>
      <c r="K582" t="n">
        <v>0</v>
      </c>
      <c r="L582" t="n">
        <v>0</v>
      </c>
      <c r="M582" t="n">
        <v>0</v>
      </c>
      <c r="N582" t="n">
        <v>0</v>
      </c>
      <c r="O582" t="n">
        <v>0</v>
      </c>
      <c r="P582" t="n">
        <v>0</v>
      </c>
      <c r="Q582" t="n">
        <v>0</v>
      </c>
      <c r="R582" s="2" t="inlineStr"/>
    </row>
    <row r="583" ht="15" customHeight="1">
      <c r="A583" t="inlineStr">
        <is>
          <t>A 35644-2023</t>
        </is>
      </c>
      <c r="B583" s="1" t="n">
        <v>45147</v>
      </c>
      <c r="C583" s="1" t="n">
        <v>45926</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50249-2024</t>
        </is>
      </c>
      <c r="B584" s="1" t="n">
        <v>45600.56866898148</v>
      </c>
      <c r="C584" s="1" t="n">
        <v>45926</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27393-2025</t>
        </is>
      </c>
      <c r="B585" s="1" t="n">
        <v>45812.68295138889</v>
      </c>
      <c r="C585" s="1" t="n">
        <v>45926</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54326-2022</t>
        </is>
      </c>
      <c r="B586" s="1" t="n">
        <v>44882.42965277778</v>
      </c>
      <c r="C586" s="1" t="n">
        <v>45926</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54174-2022</t>
        </is>
      </c>
      <c r="B587" s="1" t="n">
        <v>44881</v>
      </c>
      <c r="C587" s="1" t="n">
        <v>45926</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16368-2025</t>
        </is>
      </c>
      <c r="B588" s="1" t="n">
        <v>45751</v>
      </c>
      <c r="C588" s="1" t="n">
        <v>45926</v>
      </c>
      <c r="D588" t="inlineStr">
        <is>
          <t>SKÅNE LÄN</t>
        </is>
      </c>
      <c r="E588" t="inlineStr">
        <is>
          <t>HÄSSLEHOLM</t>
        </is>
      </c>
      <c r="G588" t="n">
        <v>5</v>
      </c>
      <c r="H588" t="n">
        <v>0</v>
      </c>
      <c r="I588" t="n">
        <v>0</v>
      </c>
      <c r="J588" t="n">
        <v>0</v>
      </c>
      <c r="K588" t="n">
        <v>0</v>
      </c>
      <c r="L588" t="n">
        <v>0</v>
      </c>
      <c r="M588" t="n">
        <v>0</v>
      </c>
      <c r="N588" t="n">
        <v>0</v>
      </c>
      <c r="O588" t="n">
        <v>0</v>
      </c>
      <c r="P588" t="n">
        <v>0</v>
      </c>
      <c r="Q588" t="n">
        <v>0</v>
      </c>
      <c r="R588" s="2" t="inlineStr"/>
    </row>
    <row r="589" ht="15" customHeight="1">
      <c r="A589" t="inlineStr">
        <is>
          <t>A 27349-2025</t>
        </is>
      </c>
      <c r="B589" s="1" t="n">
        <v>45812</v>
      </c>
      <c r="C589" s="1" t="n">
        <v>45926</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3123-2023</t>
        </is>
      </c>
      <c r="B590" s="1" t="n">
        <v>44946.4925</v>
      </c>
      <c r="C590" s="1" t="n">
        <v>45926</v>
      </c>
      <c r="D590" t="inlineStr">
        <is>
          <t>SKÅNE LÄN</t>
        </is>
      </c>
      <c r="E590" t="inlineStr">
        <is>
          <t>HÄSSLEHOLM</t>
        </is>
      </c>
      <c r="G590" t="n">
        <v>3.5</v>
      </c>
      <c r="H590" t="n">
        <v>0</v>
      </c>
      <c r="I590" t="n">
        <v>0</v>
      </c>
      <c r="J590" t="n">
        <v>0</v>
      </c>
      <c r="K590" t="n">
        <v>0</v>
      </c>
      <c r="L590" t="n">
        <v>0</v>
      </c>
      <c r="M590" t="n">
        <v>0</v>
      </c>
      <c r="N590" t="n">
        <v>0</v>
      </c>
      <c r="O590" t="n">
        <v>0</v>
      </c>
      <c r="P590" t="n">
        <v>0</v>
      </c>
      <c r="Q590" t="n">
        <v>0</v>
      </c>
      <c r="R590" s="2" t="inlineStr"/>
    </row>
    <row r="591" ht="15" customHeight="1">
      <c r="A591" t="inlineStr">
        <is>
          <t>A 3126-2023</t>
        </is>
      </c>
      <c r="B591" s="1" t="n">
        <v>44946.49570601852</v>
      </c>
      <c r="C591" s="1" t="n">
        <v>45926</v>
      </c>
      <c r="D591" t="inlineStr">
        <is>
          <t>SKÅNE LÄN</t>
        </is>
      </c>
      <c r="E591" t="inlineStr">
        <is>
          <t>HÄSSLEHOLM</t>
        </is>
      </c>
      <c r="G591" t="n">
        <v>2.2</v>
      </c>
      <c r="H591" t="n">
        <v>0</v>
      </c>
      <c r="I591" t="n">
        <v>0</v>
      </c>
      <c r="J591" t="n">
        <v>0</v>
      </c>
      <c r="K591" t="n">
        <v>0</v>
      </c>
      <c r="L591" t="n">
        <v>0</v>
      </c>
      <c r="M591" t="n">
        <v>0</v>
      </c>
      <c r="N591" t="n">
        <v>0</v>
      </c>
      <c r="O591" t="n">
        <v>0</v>
      </c>
      <c r="P591" t="n">
        <v>0</v>
      </c>
      <c r="Q591" t="n">
        <v>0</v>
      </c>
      <c r="R591" s="2" t="inlineStr"/>
    </row>
    <row r="592" ht="15" customHeight="1">
      <c r="A592" t="inlineStr">
        <is>
          <t>A 38376-2022</t>
        </is>
      </c>
      <c r="B592" s="1" t="n">
        <v>44812</v>
      </c>
      <c r="C592" s="1" t="n">
        <v>45926</v>
      </c>
      <c r="D592" t="inlineStr">
        <is>
          <t>SKÅNE LÄN</t>
        </is>
      </c>
      <c r="E592" t="inlineStr">
        <is>
          <t>HÄSSLEHOLM</t>
        </is>
      </c>
      <c r="G592" t="n">
        <v>1.9</v>
      </c>
      <c r="H592" t="n">
        <v>0</v>
      </c>
      <c r="I592" t="n">
        <v>0</v>
      </c>
      <c r="J592" t="n">
        <v>0</v>
      </c>
      <c r="K592" t="n">
        <v>0</v>
      </c>
      <c r="L592" t="n">
        <v>0</v>
      </c>
      <c r="M592" t="n">
        <v>0</v>
      </c>
      <c r="N592" t="n">
        <v>0</v>
      </c>
      <c r="O592" t="n">
        <v>0</v>
      </c>
      <c r="P592" t="n">
        <v>0</v>
      </c>
      <c r="Q592" t="n">
        <v>0</v>
      </c>
      <c r="R592" s="2" t="inlineStr"/>
    </row>
    <row r="593" ht="15" customHeight="1">
      <c r="A593" t="inlineStr">
        <is>
          <t>A 37318-2024</t>
        </is>
      </c>
      <c r="B593" s="1" t="n">
        <v>45540</v>
      </c>
      <c r="C593" s="1" t="n">
        <v>45926</v>
      </c>
      <c r="D593" t="inlineStr">
        <is>
          <t>SKÅNE LÄN</t>
        </is>
      </c>
      <c r="E593" t="inlineStr">
        <is>
          <t>HÄSSLEHOLM</t>
        </is>
      </c>
      <c r="G593" t="n">
        <v>3.9</v>
      </c>
      <c r="H593" t="n">
        <v>0</v>
      </c>
      <c r="I593" t="n">
        <v>0</v>
      </c>
      <c r="J593" t="n">
        <v>0</v>
      </c>
      <c r="K593" t="n">
        <v>0</v>
      </c>
      <c r="L593" t="n">
        <v>0</v>
      </c>
      <c r="M593" t="n">
        <v>0</v>
      </c>
      <c r="N593" t="n">
        <v>0</v>
      </c>
      <c r="O593" t="n">
        <v>0</v>
      </c>
      <c r="P593" t="n">
        <v>0</v>
      </c>
      <c r="Q593" t="n">
        <v>0</v>
      </c>
      <c r="R593" s="2" t="inlineStr"/>
    </row>
    <row r="594" ht="15" customHeight="1">
      <c r="A594" t="inlineStr">
        <is>
          <t>A 37324-2024</t>
        </is>
      </c>
      <c r="B594" s="1" t="n">
        <v>45540.50104166667</v>
      </c>
      <c r="C594" s="1" t="n">
        <v>45926</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14674-2025</t>
        </is>
      </c>
      <c r="B595" s="1" t="n">
        <v>45742.55548611111</v>
      </c>
      <c r="C595" s="1" t="n">
        <v>45926</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14702-2025</t>
        </is>
      </c>
      <c r="B596" s="1" t="n">
        <v>45742.60403935185</v>
      </c>
      <c r="C596" s="1" t="n">
        <v>45926</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54659-2023</t>
        </is>
      </c>
      <c r="B597" s="1" t="n">
        <v>45235</v>
      </c>
      <c r="C597" s="1" t="n">
        <v>45926</v>
      </c>
      <c r="D597" t="inlineStr">
        <is>
          <t>SKÅNE LÄN</t>
        </is>
      </c>
      <c r="E597" t="inlineStr">
        <is>
          <t>HÄSSLEHOLM</t>
        </is>
      </c>
      <c r="G597" t="n">
        <v>5</v>
      </c>
      <c r="H597" t="n">
        <v>0</v>
      </c>
      <c r="I597" t="n">
        <v>0</v>
      </c>
      <c r="J597" t="n">
        <v>0</v>
      </c>
      <c r="K597" t="n">
        <v>0</v>
      </c>
      <c r="L597" t="n">
        <v>0</v>
      </c>
      <c r="M597" t="n">
        <v>0</v>
      </c>
      <c r="N597" t="n">
        <v>0</v>
      </c>
      <c r="O597" t="n">
        <v>0</v>
      </c>
      <c r="P597" t="n">
        <v>0</v>
      </c>
      <c r="Q597" t="n">
        <v>0</v>
      </c>
      <c r="R597" s="2" t="inlineStr"/>
    </row>
    <row r="598" ht="15" customHeight="1">
      <c r="A598" t="inlineStr">
        <is>
          <t>A 57656-2022</t>
        </is>
      </c>
      <c r="B598" s="1" t="n">
        <v>44897.4325925926</v>
      </c>
      <c r="C598" s="1" t="n">
        <v>45926</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15036-2024</t>
        </is>
      </c>
      <c r="B599" s="1" t="n">
        <v>45399.48100694444</v>
      </c>
      <c r="C599" s="1" t="n">
        <v>45926</v>
      </c>
      <c r="D599" t="inlineStr">
        <is>
          <t>SKÅNE LÄN</t>
        </is>
      </c>
      <c r="E599" t="inlineStr">
        <is>
          <t>HÄSSLEHOLM</t>
        </is>
      </c>
      <c r="G599" t="n">
        <v>1.6</v>
      </c>
      <c r="H599" t="n">
        <v>0</v>
      </c>
      <c r="I599" t="n">
        <v>0</v>
      </c>
      <c r="J599" t="n">
        <v>0</v>
      </c>
      <c r="K599" t="n">
        <v>0</v>
      </c>
      <c r="L599" t="n">
        <v>0</v>
      </c>
      <c r="M599" t="n">
        <v>0</v>
      </c>
      <c r="N599" t="n">
        <v>0</v>
      </c>
      <c r="O599" t="n">
        <v>0</v>
      </c>
      <c r="P599" t="n">
        <v>0</v>
      </c>
      <c r="Q599" t="n">
        <v>0</v>
      </c>
      <c r="R599" s="2" t="inlineStr"/>
    </row>
    <row r="600" ht="15" customHeight="1">
      <c r="A600" t="inlineStr">
        <is>
          <t>A 32881-2024</t>
        </is>
      </c>
      <c r="B600" s="1" t="n">
        <v>45516</v>
      </c>
      <c r="C600" s="1" t="n">
        <v>45926</v>
      </c>
      <c r="D600" t="inlineStr">
        <is>
          <t>SKÅNE LÄN</t>
        </is>
      </c>
      <c r="E600" t="inlineStr">
        <is>
          <t>HÄSSLEHOLM</t>
        </is>
      </c>
      <c r="G600" t="n">
        <v>6.3</v>
      </c>
      <c r="H600" t="n">
        <v>0</v>
      </c>
      <c r="I600" t="n">
        <v>0</v>
      </c>
      <c r="J600" t="n">
        <v>0</v>
      </c>
      <c r="K600" t="n">
        <v>0</v>
      </c>
      <c r="L600" t="n">
        <v>0</v>
      </c>
      <c r="M600" t="n">
        <v>0</v>
      </c>
      <c r="N600" t="n">
        <v>0</v>
      </c>
      <c r="O600" t="n">
        <v>0</v>
      </c>
      <c r="P600" t="n">
        <v>0</v>
      </c>
      <c r="Q600" t="n">
        <v>0</v>
      </c>
      <c r="R600" s="2" t="inlineStr"/>
    </row>
    <row r="601" ht="15" customHeight="1">
      <c r="A601" t="inlineStr">
        <is>
          <t>A 9709-2023</t>
        </is>
      </c>
      <c r="B601" s="1" t="n">
        <v>44984.48376157408</v>
      </c>
      <c r="C601" s="1" t="n">
        <v>45926</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16388-2025</t>
        </is>
      </c>
      <c r="B602" s="1" t="n">
        <v>45751.42787037037</v>
      </c>
      <c r="C602" s="1" t="n">
        <v>45926</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23860-2024</t>
        </is>
      </c>
      <c r="B603" s="1" t="n">
        <v>45455</v>
      </c>
      <c r="C603" s="1" t="n">
        <v>45926</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23864-2024</t>
        </is>
      </c>
      <c r="B604" s="1" t="n">
        <v>45455</v>
      </c>
      <c r="C604" s="1" t="n">
        <v>45926</v>
      </c>
      <c r="D604" t="inlineStr">
        <is>
          <t>SKÅNE LÄN</t>
        </is>
      </c>
      <c r="E604" t="inlineStr">
        <is>
          <t>HÄSSLEHOLM</t>
        </is>
      </c>
      <c r="G604" t="n">
        <v>6.2</v>
      </c>
      <c r="H604" t="n">
        <v>0</v>
      </c>
      <c r="I604" t="n">
        <v>0</v>
      </c>
      <c r="J604" t="n">
        <v>0</v>
      </c>
      <c r="K604" t="n">
        <v>0</v>
      </c>
      <c r="L604" t="n">
        <v>0</v>
      </c>
      <c r="M604" t="n">
        <v>0</v>
      </c>
      <c r="N604" t="n">
        <v>0</v>
      </c>
      <c r="O604" t="n">
        <v>0</v>
      </c>
      <c r="P604" t="n">
        <v>0</v>
      </c>
      <c r="Q604" t="n">
        <v>0</v>
      </c>
      <c r="R604" s="2" t="inlineStr"/>
    </row>
    <row r="605" ht="15" customHeight="1">
      <c r="A605" t="inlineStr">
        <is>
          <t>A 28240-2025</t>
        </is>
      </c>
      <c r="B605" s="1" t="n">
        <v>45817</v>
      </c>
      <c r="C605" s="1" t="n">
        <v>45926</v>
      </c>
      <c r="D605" t="inlineStr">
        <is>
          <t>SKÅNE LÄN</t>
        </is>
      </c>
      <c r="E605" t="inlineStr">
        <is>
          <t>HÄSSLEHOLM</t>
        </is>
      </c>
      <c r="G605" t="n">
        <v>7.7</v>
      </c>
      <c r="H605" t="n">
        <v>0</v>
      </c>
      <c r="I605" t="n">
        <v>0</v>
      </c>
      <c r="J605" t="n">
        <v>0</v>
      </c>
      <c r="K605" t="n">
        <v>0</v>
      </c>
      <c r="L605" t="n">
        <v>0</v>
      </c>
      <c r="M605" t="n">
        <v>0</v>
      </c>
      <c r="N605" t="n">
        <v>0</v>
      </c>
      <c r="O605" t="n">
        <v>0</v>
      </c>
      <c r="P605" t="n">
        <v>0</v>
      </c>
      <c r="Q605" t="n">
        <v>0</v>
      </c>
      <c r="R605" s="2" t="inlineStr"/>
    </row>
    <row r="606" ht="15" customHeight="1">
      <c r="A606" t="inlineStr">
        <is>
          <t>A 27940-2025</t>
        </is>
      </c>
      <c r="B606" s="1" t="n">
        <v>45817.50439814815</v>
      </c>
      <c r="C606" s="1" t="n">
        <v>45926</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7192-2025</t>
        </is>
      </c>
      <c r="B607" s="1" t="n">
        <v>45702.44746527778</v>
      </c>
      <c r="C607" s="1" t="n">
        <v>45926</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23950-2023</t>
        </is>
      </c>
      <c r="B608" s="1" t="n">
        <v>45078.61771990741</v>
      </c>
      <c r="C608" s="1" t="n">
        <v>45926</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23952-2023</t>
        </is>
      </c>
      <c r="B609" s="1" t="n">
        <v>45078.62064814815</v>
      </c>
      <c r="C609" s="1" t="n">
        <v>45926</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35974-2022</t>
        </is>
      </c>
      <c r="B610" s="1" t="n">
        <v>44802</v>
      </c>
      <c r="C610" s="1" t="n">
        <v>45926</v>
      </c>
      <c r="D610" t="inlineStr">
        <is>
          <t>SKÅNE LÄN</t>
        </is>
      </c>
      <c r="E610" t="inlineStr">
        <is>
          <t>HÄSSLEHOLM</t>
        </is>
      </c>
      <c r="G610" t="n">
        <v>3.8</v>
      </c>
      <c r="H610" t="n">
        <v>0</v>
      </c>
      <c r="I610" t="n">
        <v>0</v>
      </c>
      <c r="J610" t="n">
        <v>0</v>
      </c>
      <c r="K610" t="n">
        <v>0</v>
      </c>
      <c r="L610" t="n">
        <v>0</v>
      </c>
      <c r="M610" t="n">
        <v>0</v>
      </c>
      <c r="N610" t="n">
        <v>0</v>
      </c>
      <c r="O610" t="n">
        <v>0</v>
      </c>
      <c r="P610" t="n">
        <v>0</v>
      </c>
      <c r="Q610" t="n">
        <v>0</v>
      </c>
      <c r="R610" s="2" t="inlineStr"/>
    </row>
    <row r="611" ht="15" customHeight="1">
      <c r="A611" t="inlineStr">
        <is>
          <t>A 1619-2022</t>
        </is>
      </c>
      <c r="B611" s="1" t="n">
        <v>44573</v>
      </c>
      <c r="C611" s="1" t="n">
        <v>45926</v>
      </c>
      <c r="D611" t="inlineStr">
        <is>
          <t>SKÅNE LÄN</t>
        </is>
      </c>
      <c r="E611" t="inlineStr">
        <is>
          <t>HÄSSLEHOLM</t>
        </is>
      </c>
      <c r="G611" t="n">
        <v>1.8</v>
      </c>
      <c r="H611" t="n">
        <v>0</v>
      </c>
      <c r="I611" t="n">
        <v>0</v>
      </c>
      <c r="J611" t="n">
        <v>0</v>
      </c>
      <c r="K611" t="n">
        <v>0</v>
      </c>
      <c r="L611" t="n">
        <v>0</v>
      </c>
      <c r="M611" t="n">
        <v>0</v>
      </c>
      <c r="N611" t="n">
        <v>0</v>
      </c>
      <c r="O611" t="n">
        <v>0</v>
      </c>
      <c r="P611" t="n">
        <v>0</v>
      </c>
      <c r="Q611" t="n">
        <v>0</v>
      </c>
      <c r="R611" s="2" t="inlineStr"/>
    </row>
    <row r="612" ht="15" customHeight="1">
      <c r="A612" t="inlineStr">
        <is>
          <t>A 41874-2024</t>
        </is>
      </c>
      <c r="B612" s="1" t="n">
        <v>45561</v>
      </c>
      <c r="C612" s="1" t="n">
        <v>45926</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27934-2025</t>
        </is>
      </c>
      <c r="B613" s="1" t="n">
        <v>45817.49761574074</v>
      </c>
      <c r="C613" s="1" t="n">
        <v>45926</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9615-2025</t>
        </is>
      </c>
      <c r="B614" s="1" t="n">
        <v>45715</v>
      </c>
      <c r="C614" s="1" t="n">
        <v>45926</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8524-2024</t>
        </is>
      </c>
      <c r="B615" s="1" t="n">
        <v>45355.48570601852</v>
      </c>
      <c r="C615" s="1" t="n">
        <v>45926</v>
      </c>
      <c r="D615" t="inlineStr">
        <is>
          <t>SKÅNE LÄN</t>
        </is>
      </c>
      <c r="E615" t="inlineStr">
        <is>
          <t>HÄSSLEHOLM</t>
        </is>
      </c>
      <c r="G615" t="n">
        <v>4</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44634.64900462963</v>
      </c>
      <c r="C616" s="1" t="n">
        <v>45926</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56881-2021</t>
        </is>
      </c>
      <c r="B617" s="1" t="n">
        <v>44481</v>
      </c>
      <c r="C617" s="1" t="n">
        <v>45926</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28251-2025</t>
        </is>
      </c>
      <c r="B618" s="1" t="n">
        <v>45817</v>
      </c>
      <c r="C618" s="1" t="n">
        <v>45926</v>
      </c>
      <c r="D618" t="inlineStr">
        <is>
          <t>SKÅNE LÄN</t>
        </is>
      </c>
      <c r="E618" t="inlineStr">
        <is>
          <t>HÄSSLEHOLM</t>
        </is>
      </c>
      <c r="G618" t="n">
        <v>7.2</v>
      </c>
      <c r="H618" t="n">
        <v>0</v>
      </c>
      <c r="I618" t="n">
        <v>0</v>
      </c>
      <c r="J618" t="n">
        <v>0</v>
      </c>
      <c r="K618" t="n">
        <v>0</v>
      </c>
      <c r="L618" t="n">
        <v>0</v>
      </c>
      <c r="M618" t="n">
        <v>0</v>
      </c>
      <c r="N618" t="n">
        <v>0</v>
      </c>
      <c r="O618" t="n">
        <v>0</v>
      </c>
      <c r="P618" t="n">
        <v>0</v>
      </c>
      <c r="Q618" t="n">
        <v>0</v>
      </c>
      <c r="R618" s="2" t="inlineStr"/>
    </row>
    <row r="619" ht="15" customHeight="1">
      <c r="A619" t="inlineStr">
        <is>
          <t>A 28122-2025</t>
        </is>
      </c>
      <c r="B619" s="1" t="n">
        <v>45817</v>
      </c>
      <c r="C619" s="1" t="n">
        <v>45926</v>
      </c>
      <c r="D619" t="inlineStr">
        <is>
          <t>SKÅNE LÄN</t>
        </is>
      </c>
      <c r="E619" t="inlineStr">
        <is>
          <t>HÄSSLEHOLM</t>
        </is>
      </c>
      <c r="G619" t="n">
        <v>2.4</v>
      </c>
      <c r="H619" t="n">
        <v>0</v>
      </c>
      <c r="I619" t="n">
        <v>0</v>
      </c>
      <c r="J619" t="n">
        <v>0</v>
      </c>
      <c r="K619" t="n">
        <v>0</v>
      </c>
      <c r="L619" t="n">
        <v>0</v>
      </c>
      <c r="M619" t="n">
        <v>0</v>
      </c>
      <c r="N619" t="n">
        <v>0</v>
      </c>
      <c r="O619" t="n">
        <v>0</v>
      </c>
      <c r="P619" t="n">
        <v>0</v>
      </c>
      <c r="Q619" t="n">
        <v>0</v>
      </c>
      <c r="R619" s="2" t="inlineStr"/>
    </row>
    <row r="620" ht="15" customHeight="1">
      <c r="A620" t="inlineStr">
        <is>
          <t>A 27887-2025</t>
        </is>
      </c>
      <c r="B620" s="1" t="n">
        <v>45817.45994212963</v>
      </c>
      <c r="C620" s="1" t="n">
        <v>45926</v>
      </c>
      <c r="D620" t="inlineStr">
        <is>
          <t>SKÅNE LÄN</t>
        </is>
      </c>
      <c r="E620" t="inlineStr">
        <is>
          <t>HÄSSLEHOLM</t>
        </is>
      </c>
      <c r="G620" t="n">
        <v>4.8</v>
      </c>
      <c r="H620" t="n">
        <v>0</v>
      </c>
      <c r="I620" t="n">
        <v>0</v>
      </c>
      <c r="J620" t="n">
        <v>0</v>
      </c>
      <c r="K620" t="n">
        <v>0</v>
      </c>
      <c r="L620" t="n">
        <v>0</v>
      </c>
      <c r="M620" t="n">
        <v>0</v>
      </c>
      <c r="N620" t="n">
        <v>0</v>
      </c>
      <c r="O620" t="n">
        <v>0</v>
      </c>
      <c r="P620" t="n">
        <v>0</v>
      </c>
      <c r="Q620" t="n">
        <v>0</v>
      </c>
      <c r="R620" s="2" t="inlineStr"/>
    </row>
    <row r="621" ht="15" customHeight="1">
      <c r="A621" t="inlineStr">
        <is>
          <t>A 13673-2023</t>
        </is>
      </c>
      <c r="B621" s="1" t="n">
        <v>45006.87957175926</v>
      </c>
      <c r="C621" s="1" t="n">
        <v>45926</v>
      </c>
      <c r="D621" t="inlineStr">
        <is>
          <t>SKÅNE LÄN</t>
        </is>
      </c>
      <c r="E621" t="inlineStr">
        <is>
          <t>HÄSSLEHOLM</t>
        </is>
      </c>
      <c r="G621" t="n">
        <v>3.2</v>
      </c>
      <c r="H621" t="n">
        <v>0</v>
      </c>
      <c r="I621" t="n">
        <v>0</v>
      </c>
      <c r="J621" t="n">
        <v>0</v>
      </c>
      <c r="K621" t="n">
        <v>0</v>
      </c>
      <c r="L621" t="n">
        <v>0</v>
      </c>
      <c r="M621" t="n">
        <v>0</v>
      </c>
      <c r="N621" t="n">
        <v>0</v>
      </c>
      <c r="O621" t="n">
        <v>0</v>
      </c>
      <c r="P621" t="n">
        <v>0</v>
      </c>
      <c r="Q621" t="n">
        <v>0</v>
      </c>
      <c r="R621" s="2" t="inlineStr"/>
    </row>
    <row r="622" ht="15" customHeight="1">
      <c r="A622" t="inlineStr">
        <is>
          <t>A 23987-2024</t>
        </is>
      </c>
      <c r="B622" s="1" t="n">
        <v>45456</v>
      </c>
      <c r="C622" s="1" t="n">
        <v>45926</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4042-2023</t>
        </is>
      </c>
      <c r="B623" s="1" t="n">
        <v>44952.59950231481</v>
      </c>
      <c r="C623" s="1" t="n">
        <v>45926</v>
      </c>
      <c r="D623" t="inlineStr">
        <is>
          <t>SKÅNE LÄN</t>
        </is>
      </c>
      <c r="E623" t="inlineStr">
        <is>
          <t>HÄSSLEHOLM</t>
        </is>
      </c>
      <c r="G623" t="n">
        <v>2.7</v>
      </c>
      <c r="H623" t="n">
        <v>0</v>
      </c>
      <c r="I623" t="n">
        <v>0</v>
      </c>
      <c r="J623" t="n">
        <v>0</v>
      </c>
      <c r="K623" t="n">
        <v>0</v>
      </c>
      <c r="L623" t="n">
        <v>0</v>
      </c>
      <c r="M623" t="n">
        <v>0</v>
      </c>
      <c r="N623" t="n">
        <v>0</v>
      </c>
      <c r="O623" t="n">
        <v>0</v>
      </c>
      <c r="P623" t="n">
        <v>0</v>
      </c>
      <c r="Q623" t="n">
        <v>0</v>
      </c>
      <c r="R623" s="2" t="inlineStr"/>
    </row>
    <row r="624" ht="15" customHeight="1">
      <c r="A624" t="inlineStr">
        <is>
          <t>A 28095-2025</t>
        </is>
      </c>
      <c r="B624" s="1" t="n">
        <v>45817</v>
      </c>
      <c r="C624" s="1" t="n">
        <v>45926</v>
      </c>
      <c r="D624" t="inlineStr">
        <is>
          <t>SKÅNE LÄN</t>
        </is>
      </c>
      <c r="E624" t="inlineStr">
        <is>
          <t>HÄSSLEHOLM</t>
        </is>
      </c>
      <c r="G624" t="n">
        <v>2.5</v>
      </c>
      <c r="H624" t="n">
        <v>0</v>
      </c>
      <c r="I624" t="n">
        <v>0</v>
      </c>
      <c r="J624" t="n">
        <v>0</v>
      </c>
      <c r="K624" t="n">
        <v>0</v>
      </c>
      <c r="L624" t="n">
        <v>0</v>
      </c>
      <c r="M624" t="n">
        <v>0</v>
      </c>
      <c r="N624" t="n">
        <v>0</v>
      </c>
      <c r="O624" t="n">
        <v>0</v>
      </c>
      <c r="P624" t="n">
        <v>0</v>
      </c>
      <c r="Q624" t="n">
        <v>0</v>
      </c>
      <c r="R624" s="2" t="inlineStr"/>
    </row>
    <row r="625" ht="15" customHeight="1">
      <c r="A625" t="inlineStr">
        <is>
          <t>A 38306-2022</t>
        </is>
      </c>
      <c r="B625" s="1" t="n">
        <v>44812.57515046297</v>
      </c>
      <c r="C625" s="1" t="n">
        <v>45926</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38712-2024</t>
        </is>
      </c>
      <c r="B626" s="1" t="n">
        <v>45547</v>
      </c>
      <c r="C626" s="1" t="n">
        <v>45926</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55284-2023</t>
        </is>
      </c>
      <c r="B627" s="1" t="n">
        <v>45237.74259259259</v>
      </c>
      <c r="C627" s="1" t="n">
        <v>45926</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13310-2025</t>
        </is>
      </c>
      <c r="B628" s="1" t="n">
        <v>45735.58814814815</v>
      </c>
      <c r="C628" s="1" t="n">
        <v>45926</v>
      </c>
      <c r="D628" t="inlineStr">
        <is>
          <t>SKÅNE LÄN</t>
        </is>
      </c>
      <c r="E628" t="inlineStr">
        <is>
          <t>HÄSSLEHOLM</t>
        </is>
      </c>
      <c r="G628" t="n">
        <v>2</v>
      </c>
      <c r="H628" t="n">
        <v>0</v>
      </c>
      <c r="I628" t="n">
        <v>0</v>
      </c>
      <c r="J628" t="n">
        <v>0</v>
      </c>
      <c r="K628" t="n">
        <v>0</v>
      </c>
      <c r="L628" t="n">
        <v>0</v>
      </c>
      <c r="M628" t="n">
        <v>0</v>
      </c>
      <c r="N628" t="n">
        <v>0</v>
      </c>
      <c r="O628" t="n">
        <v>0</v>
      </c>
      <c r="P628" t="n">
        <v>0</v>
      </c>
      <c r="Q628" t="n">
        <v>0</v>
      </c>
      <c r="R628" s="2" t="inlineStr"/>
    </row>
    <row r="629" ht="15" customHeight="1">
      <c r="A629" t="inlineStr">
        <is>
          <t>A 49827-2022</t>
        </is>
      </c>
      <c r="B629" s="1" t="n">
        <v>44859</v>
      </c>
      <c r="C629" s="1" t="n">
        <v>45926</v>
      </c>
      <c r="D629" t="inlineStr">
        <is>
          <t>SKÅNE LÄN</t>
        </is>
      </c>
      <c r="E629" t="inlineStr">
        <is>
          <t>HÄSSLEHOLM</t>
        </is>
      </c>
      <c r="G629" t="n">
        <v>6.1</v>
      </c>
      <c r="H629" t="n">
        <v>0</v>
      </c>
      <c r="I629" t="n">
        <v>0</v>
      </c>
      <c r="J629" t="n">
        <v>0</v>
      </c>
      <c r="K629" t="n">
        <v>0</v>
      </c>
      <c r="L629" t="n">
        <v>0</v>
      </c>
      <c r="M629" t="n">
        <v>0</v>
      </c>
      <c r="N629" t="n">
        <v>0</v>
      </c>
      <c r="O629" t="n">
        <v>0</v>
      </c>
      <c r="P629" t="n">
        <v>0</v>
      </c>
      <c r="Q629" t="n">
        <v>0</v>
      </c>
      <c r="R629" s="2" t="inlineStr"/>
    </row>
    <row r="630" ht="15" customHeight="1">
      <c r="A630" t="inlineStr">
        <is>
          <t>A 31160-2024</t>
        </is>
      </c>
      <c r="B630" s="1" t="n">
        <v>45503</v>
      </c>
      <c r="C630" s="1" t="n">
        <v>45926</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5054-2022</t>
        </is>
      </c>
      <c r="B631" s="1" t="n">
        <v>44593.69065972222</v>
      </c>
      <c r="C631" s="1" t="n">
        <v>45926</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3746-2024</t>
        </is>
      </c>
      <c r="B632" s="1" t="n">
        <v>45321.50745370371</v>
      </c>
      <c r="C632" s="1" t="n">
        <v>45926</v>
      </c>
      <c r="D632" t="inlineStr">
        <is>
          <t>SKÅNE LÄN</t>
        </is>
      </c>
      <c r="E632" t="inlineStr">
        <is>
          <t>HÄSSLEHOLM</t>
        </is>
      </c>
      <c r="G632" t="n">
        <v>3.4</v>
      </c>
      <c r="H632" t="n">
        <v>0</v>
      </c>
      <c r="I632" t="n">
        <v>0</v>
      </c>
      <c r="J632" t="n">
        <v>0</v>
      </c>
      <c r="K632" t="n">
        <v>0</v>
      </c>
      <c r="L632" t="n">
        <v>0</v>
      </c>
      <c r="M632" t="n">
        <v>0</v>
      </c>
      <c r="N632" t="n">
        <v>0</v>
      </c>
      <c r="O632" t="n">
        <v>0</v>
      </c>
      <c r="P632" t="n">
        <v>0</v>
      </c>
      <c r="Q632" t="n">
        <v>0</v>
      </c>
      <c r="R632" s="2" t="inlineStr"/>
    </row>
    <row r="633" ht="15" customHeight="1">
      <c r="A633" t="inlineStr">
        <is>
          <t>A 57649-2022</t>
        </is>
      </c>
      <c r="B633" s="1" t="n">
        <v>44897.42755787037</v>
      </c>
      <c r="C633" s="1" t="n">
        <v>45926</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57665-2022</t>
        </is>
      </c>
      <c r="B634" s="1" t="n">
        <v>44897.4494212963</v>
      </c>
      <c r="C634" s="1" t="n">
        <v>45926</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57676-2022</t>
        </is>
      </c>
      <c r="B635" s="1" t="n">
        <v>44897</v>
      </c>
      <c r="C635" s="1" t="n">
        <v>45926</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31391-2023</t>
        </is>
      </c>
      <c r="B636" s="1" t="n">
        <v>45114.56143518518</v>
      </c>
      <c r="C636" s="1" t="n">
        <v>45926</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14145-2023</t>
        </is>
      </c>
      <c r="B637" s="1" t="n">
        <v>45009</v>
      </c>
      <c r="C637" s="1" t="n">
        <v>45926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8244-2023</t>
        </is>
      </c>
      <c r="B638" s="1" t="n">
        <v>44974</v>
      </c>
      <c r="C638" s="1" t="n">
        <v>45926</v>
      </c>
      <c r="D638" t="inlineStr">
        <is>
          <t>SKÅNE LÄN</t>
        </is>
      </c>
      <c r="E638" t="inlineStr">
        <is>
          <t>HÄSSLEHOLM</t>
        </is>
      </c>
      <c r="G638" t="n">
        <v>1.2</v>
      </c>
      <c r="H638" t="n">
        <v>0</v>
      </c>
      <c r="I638" t="n">
        <v>0</v>
      </c>
      <c r="J638" t="n">
        <v>0</v>
      </c>
      <c r="K638" t="n">
        <v>0</v>
      </c>
      <c r="L638" t="n">
        <v>0</v>
      </c>
      <c r="M638" t="n">
        <v>0</v>
      </c>
      <c r="N638" t="n">
        <v>0</v>
      </c>
      <c r="O638" t="n">
        <v>0</v>
      </c>
      <c r="P638" t="n">
        <v>0</v>
      </c>
      <c r="Q638" t="n">
        <v>0</v>
      </c>
      <c r="R638" s="2" t="inlineStr"/>
    </row>
    <row r="639" ht="15" customHeight="1">
      <c r="A639" t="inlineStr">
        <is>
          <t>A 8246-2023</t>
        </is>
      </c>
      <c r="B639" s="1" t="n">
        <v>44974</v>
      </c>
      <c r="C639" s="1" t="n">
        <v>45926</v>
      </c>
      <c r="D639" t="inlineStr">
        <is>
          <t>SKÅNE LÄN</t>
        </is>
      </c>
      <c r="E639" t="inlineStr">
        <is>
          <t>HÄSSLEHOLM</t>
        </is>
      </c>
      <c r="G639" t="n">
        <v>1.6</v>
      </c>
      <c r="H639" t="n">
        <v>0</v>
      </c>
      <c r="I639" t="n">
        <v>0</v>
      </c>
      <c r="J639" t="n">
        <v>0</v>
      </c>
      <c r="K639" t="n">
        <v>0</v>
      </c>
      <c r="L639" t="n">
        <v>0</v>
      </c>
      <c r="M639" t="n">
        <v>0</v>
      </c>
      <c r="N639" t="n">
        <v>0</v>
      </c>
      <c r="O639" t="n">
        <v>0</v>
      </c>
      <c r="P639" t="n">
        <v>0</v>
      </c>
      <c r="Q639" t="n">
        <v>0</v>
      </c>
      <c r="R639" s="2" t="inlineStr"/>
    </row>
    <row r="640" ht="15" customHeight="1">
      <c r="A640" t="inlineStr">
        <is>
          <t>A 23723-2023</t>
        </is>
      </c>
      <c r="B640" s="1" t="n">
        <v>45077</v>
      </c>
      <c r="C640" s="1" t="n">
        <v>45926</v>
      </c>
      <c r="D640" t="inlineStr">
        <is>
          <t>SKÅNE LÄN</t>
        </is>
      </c>
      <c r="E640" t="inlineStr">
        <is>
          <t>HÄSSLEHOLM</t>
        </is>
      </c>
      <c r="G640" t="n">
        <v>3.9</v>
      </c>
      <c r="H640" t="n">
        <v>0</v>
      </c>
      <c r="I640" t="n">
        <v>0</v>
      </c>
      <c r="J640" t="n">
        <v>0</v>
      </c>
      <c r="K640" t="n">
        <v>0</v>
      </c>
      <c r="L640" t="n">
        <v>0</v>
      </c>
      <c r="M640" t="n">
        <v>0</v>
      </c>
      <c r="N640" t="n">
        <v>0</v>
      </c>
      <c r="O640" t="n">
        <v>0</v>
      </c>
      <c r="P640" t="n">
        <v>0</v>
      </c>
      <c r="Q640" t="n">
        <v>0</v>
      </c>
      <c r="R640" s="2" t="inlineStr"/>
    </row>
    <row r="641" ht="15" customHeight="1">
      <c r="A641" t="inlineStr">
        <is>
          <t>A 12584-2025</t>
        </is>
      </c>
      <c r="B641" s="1" t="n">
        <v>45732</v>
      </c>
      <c r="C641" s="1" t="n">
        <v>45926</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25606-2024</t>
        </is>
      </c>
      <c r="B642" s="1" t="n">
        <v>45463.63179398148</v>
      </c>
      <c r="C642" s="1" t="n">
        <v>45926</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29170-2025</t>
        </is>
      </c>
      <c r="B643" s="1" t="n">
        <v>45821.69766203704</v>
      </c>
      <c r="C643" s="1" t="n">
        <v>45926</v>
      </c>
      <c r="D643" t="inlineStr">
        <is>
          <t>SKÅNE LÄN</t>
        </is>
      </c>
      <c r="E643" t="inlineStr">
        <is>
          <t>HÄSSLEHOLM</t>
        </is>
      </c>
      <c r="G643" t="n">
        <v>3.1</v>
      </c>
      <c r="H643" t="n">
        <v>0</v>
      </c>
      <c r="I643" t="n">
        <v>0</v>
      </c>
      <c r="J643" t="n">
        <v>0</v>
      </c>
      <c r="K643" t="n">
        <v>0</v>
      </c>
      <c r="L643" t="n">
        <v>0</v>
      </c>
      <c r="M643" t="n">
        <v>0</v>
      </c>
      <c r="N643" t="n">
        <v>0</v>
      </c>
      <c r="O643" t="n">
        <v>0</v>
      </c>
      <c r="P643" t="n">
        <v>0</v>
      </c>
      <c r="Q643" t="n">
        <v>0</v>
      </c>
      <c r="R643" s="2" t="inlineStr"/>
    </row>
    <row r="644" ht="15" customHeight="1">
      <c r="A644" t="inlineStr">
        <is>
          <t>A 14670-2025</t>
        </is>
      </c>
      <c r="B644" s="1" t="n">
        <v>45742.55079861111</v>
      </c>
      <c r="C644" s="1" t="n">
        <v>45926</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31933-2024</t>
        </is>
      </c>
      <c r="B645" s="1" t="n">
        <v>45510.41123842593</v>
      </c>
      <c r="C645" s="1" t="n">
        <v>45926</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7890-2024</t>
        </is>
      </c>
      <c r="B646" s="1" t="n">
        <v>45350.40780092592</v>
      </c>
      <c r="C646" s="1" t="n">
        <v>45926</v>
      </c>
      <c r="D646" t="inlineStr">
        <is>
          <t>SKÅNE LÄN</t>
        </is>
      </c>
      <c r="E646" t="inlineStr">
        <is>
          <t>HÄSSLEHOLM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31581-2023</t>
        </is>
      </c>
      <c r="B647" s="1" t="n">
        <v>45117.45165509259</v>
      </c>
      <c r="C647" s="1" t="n">
        <v>45926</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24241-2023</t>
        </is>
      </c>
      <c r="B648" s="1" t="n">
        <v>45079.61476851852</v>
      </c>
      <c r="C648" s="1" t="n">
        <v>45926</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55303-2024</t>
        </is>
      </c>
      <c r="B649" s="1" t="n">
        <v>45621.6434837963</v>
      </c>
      <c r="C649" s="1" t="n">
        <v>45926</v>
      </c>
      <c r="D649" t="inlineStr">
        <is>
          <t>SKÅNE LÄN</t>
        </is>
      </c>
      <c r="E649" t="inlineStr">
        <is>
          <t>HÄSSLEHOLM</t>
        </is>
      </c>
      <c r="G649" t="n">
        <v>3.3</v>
      </c>
      <c r="H649" t="n">
        <v>0</v>
      </c>
      <c r="I649" t="n">
        <v>0</v>
      </c>
      <c r="J649" t="n">
        <v>0</v>
      </c>
      <c r="K649" t="n">
        <v>0</v>
      </c>
      <c r="L649" t="n">
        <v>0</v>
      </c>
      <c r="M649" t="n">
        <v>0</v>
      </c>
      <c r="N649" t="n">
        <v>0</v>
      </c>
      <c r="O649" t="n">
        <v>0</v>
      </c>
      <c r="P649" t="n">
        <v>0</v>
      </c>
      <c r="Q649" t="n">
        <v>0</v>
      </c>
      <c r="R649" s="2" t="inlineStr"/>
    </row>
    <row r="650" ht="15" customHeight="1">
      <c r="A650" t="inlineStr">
        <is>
          <t>A 21310-2022</t>
        </is>
      </c>
      <c r="B650" s="1" t="n">
        <v>44705</v>
      </c>
      <c r="C650" s="1" t="n">
        <v>45926</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3500-2024</t>
        </is>
      </c>
      <c r="B651" s="1" t="n">
        <v>45320</v>
      </c>
      <c r="C651" s="1" t="n">
        <v>45926</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58815-2023</t>
        </is>
      </c>
      <c r="B652" s="1" t="n">
        <v>45247</v>
      </c>
      <c r="C652" s="1" t="n">
        <v>45926</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69500-2020</t>
        </is>
      </c>
      <c r="B653" s="1" t="n">
        <v>44194</v>
      </c>
      <c r="C653" s="1" t="n">
        <v>45926</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14939-2023</t>
        </is>
      </c>
      <c r="B654" s="1" t="n">
        <v>45014</v>
      </c>
      <c r="C654" s="1" t="n">
        <v>45926</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13345-2025</t>
        </is>
      </c>
      <c r="B655" s="1" t="n">
        <v>45735.63017361111</v>
      </c>
      <c r="C655" s="1" t="n">
        <v>45926</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33597-2023</t>
        </is>
      </c>
      <c r="B656" s="1" t="n">
        <v>45132</v>
      </c>
      <c r="C656" s="1" t="n">
        <v>45926</v>
      </c>
      <c r="D656" t="inlineStr">
        <is>
          <t>SKÅNE LÄN</t>
        </is>
      </c>
      <c r="E656" t="inlineStr">
        <is>
          <t>HÄSSLEHOLM</t>
        </is>
      </c>
      <c r="G656" t="n">
        <v>3.9</v>
      </c>
      <c r="H656" t="n">
        <v>0</v>
      </c>
      <c r="I656" t="n">
        <v>0</v>
      </c>
      <c r="J656" t="n">
        <v>0</v>
      </c>
      <c r="K656" t="n">
        <v>0</v>
      </c>
      <c r="L656" t="n">
        <v>0</v>
      </c>
      <c r="M656" t="n">
        <v>0</v>
      </c>
      <c r="N656" t="n">
        <v>0</v>
      </c>
      <c r="O656" t="n">
        <v>0</v>
      </c>
      <c r="P656" t="n">
        <v>0</v>
      </c>
      <c r="Q656" t="n">
        <v>0</v>
      </c>
      <c r="R656" s="2" t="inlineStr"/>
    </row>
    <row r="657" ht="15" customHeight="1">
      <c r="A657" t="inlineStr">
        <is>
          <t>A 33599-2023</t>
        </is>
      </c>
      <c r="B657" s="1" t="n">
        <v>45132</v>
      </c>
      <c r="C657" s="1" t="n">
        <v>45926</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27173-2024</t>
        </is>
      </c>
      <c r="B658" s="1" t="n">
        <v>45471.57048611111</v>
      </c>
      <c r="C658" s="1" t="n">
        <v>45926</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4945-2022</t>
        </is>
      </c>
      <c r="B659" s="1" t="n">
        <v>44593</v>
      </c>
      <c r="C659" s="1" t="n">
        <v>45926</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10020-2024</t>
        </is>
      </c>
      <c r="B660" s="1" t="n">
        <v>45363.96944444445</v>
      </c>
      <c r="C660" s="1" t="n">
        <v>45926</v>
      </c>
      <c r="D660" t="inlineStr">
        <is>
          <t>SKÅNE LÄN</t>
        </is>
      </c>
      <c r="E660" t="inlineStr">
        <is>
          <t>HÄSSLEHOLM</t>
        </is>
      </c>
      <c r="G660" t="n">
        <v>5.3</v>
      </c>
      <c r="H660" t="n">
        <v>0</v>
      </c>
      <c r="I660" t="n">
        <v>0</v>
      </c>
      <c r="J660" t="n">
        <v>0</v>
      </c>
      <c r="K660" t="n">
        <v>0</v>
      </c>
      <c r="L660" t="n">
        <v>0</v>
      </c>
      <c r="M660" t="n">
        <v>0</v>
      </c>
      <c r="N660" t="n">
        <v>0</v>
      </c>
      <c r="O660" t="n">
        <v>0</v>
      </c>
      <c r="P660" t="n">
        <v>0</v>
      </c>
      <c r="Q660" t="n">
        <v>0</v>
      </c>
      <c r="R660" s="2" t="inlineStr"/>
    </row>
    <row r="661" ht="15" customHeight="1">
      <c r="A661" t="inlineStr">
        <is>
          <t>A 70087-2021</t>
        </is>
      </c>
      <c r="B661" s="1" t="n">
        <v>44533</v>
      </c>
      <c r="C661" s="1" t="n">
        <v>45926</v>
      </c>
      <c r="D661" t="inlineStr">
        <is>
          <t>SKÅNE LÄN</t>
        </is>
      </c>
      <c r="E661" t="inlineStr">
        <is>
          <t>HÄSSLEHOLM</t>
        </is>
      </c>
      <c r="G661" t="n">
        <v>5</v>
      </c>
      <c r="H661" t="n">
        <v>0</v>
      </c>
      <c r="I661" t="n">
        <v>0</v>
      </c>
      <c r="J661" t="n">
        <v>0</v>
      </c>
      <c r="K661" t="n">
        <v>0</v>
      </c>
      <c r="L661" t="n">
        <v>0</v>
      </c>
      <c r="M661" t="n">
        <v>0</v>
      </c>
      <c r="N661" t="n">
        <v>0</v>
      </c>
      <c r="O661" t="n">
        <v>0</v>
      </c>
      <c r="P661" t="n">
        <v>0</v>
      </c>
      <c r="Q661" t="n">
        <v>0</v>
      </c>
      <c r="R661" s="2" t="inlineStr"/>
    </row>
    <row r="662" ht="15" customHeight="1">
      <c r="A662" t="inlineStr">
        <is>
          <t>A 40202-2022</t>
        </is>
      </c>
      <c r="B662" s="1" t="n">
        <v>44820.60614583334</v>
      </c>
      <c r="C662" s="1" t="n">
        <v>45926</v>
      </c>
      <c r="D662" t="inlineStr">
        <is>
          <t>SKÅNE LÄN</t>
        </is>
      </c>
      <c r="E662" t="inlineStr">
        <is>
          <t>HÄSSLEHOLM</t>
        </is>
      </c>
      <c r="G662" t="n">
        <v>1.1</v>
      </c>
      <c r="H662" t="n">
        <v>0</v>
      </c>
      <c r="I662" t="n">
        <v>0</v>
      </c>
      <c r="J662" t="n">
        <v>0</v>
      </c>
      <c r="K662" t="n">
        <v>0</v>
      </c>
      <c r="L662" t="n">
        <v>0</v>
      </c>
      <c r="M662" t="n">
        <v>0</v>
      </c>
      <c r="N662" t="n">
        <v>0</v>
      </c>
      <c r="O662" t="n">
        <v>0</v>
      </c>
      <c r="P662" t="n">
        <v>0</v>
      </c>
      <c r="Q662" t="n">
        <v>0</v>
      </c>
      <c r="R662" s="2" t="inlineStr"/>
    </row>
    <row r="663" ht="15" customHeight="1">
      <c r="A663" t="inlineStr">
        <is>
          <t>A 4382-2023</t>
        </is>
      </c>
      <c r="B663" s="1" t="n">
        <v>44955.61152777778</v>
      </c>
      <c r="C663" s="1" t="n">
        <v>45926</v>
      </c>
      <c r="D663" t="inlineStr">
        <is>
          <t>SKÅNE LÄN</t>
        </is>
      </c>
      <c r="E663" t="inlineStr">
        <is>
          <t>HÄSSLEHOLM</t>
        </is>
      </c>
      <c r="G663" t="n">
        <v>0.3</v>
      </c>
      <c r="H663" t="n">
        <v>0</v>
      </c>
      <c r="I663" t="n">
        <v>0</v>
      </c>
      <c r="J663" t="n">
        <v>0</v>
      </c>
      <c r="K663" t="n">
        <v>0</v>
      </c>
      <c r="L663" t="n">
        <v>0</v>
      </c>
      <c r="M663" t="n">
        <v>0</v>
      </c>
      <c r="N663" t="n">
        <v>0</v>
      </c>
      <c r="O663" t="n">
        <v>0</v>
      </c>
      <c r="P663" t="n">
        <v>0</v>
      </c>
      <c r="Q663" t="n">
        <v>0</v>
      </c>
      <c r="R663" s="2" t="inlineStr"/>
    </row>
    <row r="664" ht="15" customHeight="1">
      <c r="A664" t="inlineStr">
        <is>
          <t>A 52608-2023</t>
        </is>
      </c>
      <c r="B664" s="1" t="n">
        <v>45219</v>
      </c>
      <c r="C664" s="1" t="n">
        <v>45926</v>
      </c>
      <c r="D664" t="inlineStr">
        <is>
          <t>SKÅNE LÄN</t>
        </is>
      </c>
      <c r="E664" t="inlineStr">
        <is>
          <t>HÄSSLEHOLM</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27954-2022</t>
        </is>
      </c>
      <c r="B665" s="1" t="n">
        <v>44743</v>
      </c>
      <c r="C665" s="1" t="n">
        <v>45926</v>
      </c>
      <c r="D665" t="inlineStr">
        <is>
          <t>SKÅNE LÄN</t>
        </is>
      </c>
      <c r="E665" t="inlineStr">
        <is>
          <t>HÄSSLEHOLM</t>
        </is>
      </c>
      <c r="G665" t="n">
        <v>9.4</v>
      </c>
      <c r="H665" t="n">
        <v>0</v>
      </c>
      <c r="I665" t="n">
        <v>0</v>
      </c>
      <c r="J665" t="n">
        <v>0</v>
      </c>
      <c r="K665" t="n">
        <v>0</v>
      </c>
      <c r="L665" t="n">
        <v>0</v>
      </c>
      <c r="M665" t="n">
        <v>0</v>
      </c>
      <c r="N665" t="n">
        <v>0</v>
      </c>
      <c r="O665" t="n">
        <v>0</v>
      </c>
      <c r="P665" t="n">
        <v>0</v>
      </c>
      <c r="Q665" t="n">
        <v>0</v>
      </c>
      <c r="R665" s="2" t="inlineStr"/>
    </row>
    <row r="666" ht="15" customHeight="1">
      <c r="A666" t="inlineStr">
        <is>
          <t>A 20493-2024</t>
        </is>
      </c>
      <c r="B666" s="1" t="n">
        <v>45435</v>
      </c>
      <c r="C666" s="1" t="n">
        <v>45926</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41873-2023</t>
        </is>
      </c>
      <c r="B667" s="1" t="n">
        <v>45176</v>
      </c>
      <c r="C667" s="1" t="n">
        <v>45926</v>
      </c>
      <c r="D667" t="inlineStr">
        <is>
          <t>SKÅNE LÄN</t>
        </is>
      </c>
      <c r="E667" t="inlineStr">
        <is>
          <t>HÄSSLEHOLM</t>
        </is>
      </c>
      <c r="G667" t="n">
        <v>2.8</v>
      </c>
      <c r="H667" t="n">
        <v>0</v>
      </c>
      <c r="I667" t="n">
        <v>0</v>
      </c>
      <c r="J667" t="n">
        <v>0</v>
      </c>
      <c r="K667" t="n">
        <v>0</v>
      </c>
      <c r="L667" t="n">
        <v>0</v>
      </c>
      <c r="M667" t="n">
        <v>0</v>
      </c>
      <c r="N667" t="n">
        <v>0</v>
      </c>
      <c r="O667" t="n">
        <v>0</v>
      </c>
      <c r="P667" t="n">
        <v>0</v>
      </c>
      <c r="Q667" t="n">
        <v>0</v>
      </c>
      <c r="R667" s="2" t="inlineStr"/>
    </row>
    <row r="668" ht="15" customHeight="1">
      <c r="A668" t="inlineStr">
        <is>
          <t>A 41998-2021</t>
        </is>
      </c>
      <c r="B668" s="1" t="n">
        <v>44425</v>
      </c>
      <c r="C668" s="1" t="n">
        <v>45926</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35712-2024</t>
        </is>
      </c>
      <c r="B669" s="1" t="n">
        <v>45532</v>
      </c>
      <c r="C669" s="1" t="n">
        <v>45926</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61691-2021</t>
        </is>
      </c>
      <c r="B670" s="1" t="n">
        <v>44501</v>
      </c>
      <c r="C670" s="1" t="n">
        <v>45926</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12558-2023</t>
        </is>
      </c>
      <c r="B671" s="1" t="n">
        <v>45000.36103009259</v>
      </c>
      <c r="C671" s="1" t="n">
        <v>45926</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4119-2024</t>
        </is>
      </c>
      <c r="B672" s="1" t="n">
        <v>45323.67920138889</v>
      </c>
      <c r="C672" s="1" t="n">
        <v>45926</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6835-2023</t>
        </is>
      </c>
      <c r="B673" s="1" t="n">
        <v>44967</v>
      </c>
      <c r="C673" s="1" t="n">
        <v>45926</v>
      </c>
      <c r="D673" t="inlineStr">
        <is>
          <t>SKÅNE LÄN</t>
        </is>
      </c>
      <c r="E673" t="inlineStr">
        <is>
          <t>HÄSSLEHOLM</t>
        </is>
      </c>
      <c r="G673" t="n">
        <v>4.8</v>
      </c>
      <c r="H673" t="n">
        <v>0</v>
      </c>
      <c r="I673" t="n">
        <v>0</v>
      </c>
      <c r="J673" t="n">
        <v>0</v>
      </c>
      <c r="K673" t="n">
        <v>0</v>
      </c>
      <c r="L673" t="n">
        <v>0</v>
      </c>
      <c r="M673" t="n">
        <v>0</v>
      </c>
      <c r="N673" t="n">
        <v>0</v>
      </c>
      <c r="O673" t="n">
        <v>0</v>
      </c>
      <c r="P673" t="n">
        <v>0</v>
      </c>
      <c r="Q673" t="n">
        <v>0</v>
      </c>
      <c r="R673" s="2" t="inlineStr"/>
    </row>
    <row r="674" ht="15" customHeight="1">
      <c r="A674" t="inlineStr">
        <is>
          <t>A 47757-2024</t>
        </is>
      </c>
      <c r="B674" s="1" t="n">
        <v>45588.55075231481</v>
      </c>
      <c r="C674" s="1" t="n">
        <v>45926</v>
      </c>
      <c r="D674" t="inlineStr">
        <is>
          <t>SKÅNE LÄN</t>
        </is>
      </c>
      <c r="E674" t="inlineStr">
        <is>
          <t>HÄSSLEHOLM</t>
        </is>
      </c>
      <c r="G674" t="n">
        <v>5.5</v>
      </c>
      <c r="H674" t="n">
        <v>0</v>
      </c>
      <c r="I674" t="n">
        <v>0</v>
      </c>
      <c r="J674" t="n">
        <v>0</v>
      </c>
      <c r="K674" t="n">
        <v>0</v>
      </c>
      <c r="L674" t="n">
        <v>0</v>
      </c>
      <c r="M674" t="n">
        <v>0</v>
      </c>
      <c r="N674" t="n">
        <v>0</v>
      </c>
      <c r="O674" t="n">
        <v>0</v>
      </c>
      <c r="P674" t="n">
        <v>0</v>
      </c>
      <c r="Q674" t="n">
        <v>0</v>
      </c>
      <c r="R674" s="2" t="inlineStr"/>
    </row>
    <row r="675" ht="15" customHeight="1">
      <c r="A675" t="inlineStr">
        <is>
          <t>A 16550-2025</t>
        </is>
      </c>
      <c r="B675" s="1" t="n">
        <v>45751.69412037037</v>
      </c>
      <c r="C675" s="1" t="n">
        <v>45926</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26536-2022</t>
        </is>
      </c>
      <c r="B676" s="1" t="n">
        <v>44739.45496527778</v>
      </c>
      <c r="C676" s="1" t="n">
        <v>45926</v>
      </c>
      <c r="D676" t="inlineStr">
        <is>
          <t>SKÅNE LÄN</t>
        </is>
      </c>
      <c r="E676" t="inlineStr">
        <is>
          <t>HÄSSLEHOLM</t>
        </is>
      </c>
      <c r="G676" t="n">
        <v>3.1</v>
      </c>
      <c r="H676" t="n">
        <v>0</v>
      </c>
      <c r="I676" t="n">
        <v>0</v>
      </c>
      <c r="J676" t="n">
        <v>0</v>
      </c>
      <c r="K676" t="n">
        <v>0</v>
      </c>
      <c r="L676" t="n">
        <v>0</v>
      </c>
      <c r="M676" t="n">
        <v>0</v>
      </c>
      <c r="N676" t="n">
        <v>0</v>
      </c>
      <c r="O676" t="n">
        <v>0</v>
      </c>
      <c r="P676" t="n">
        <v>0</v>
      </c>
      <c r="Q676" t="n">
        <v>0</v>
      </c>
      <c r="R676" s="2" t="inlineStr"/>
    </row>
    <row r="677" ht="15" customHeight="1">
      <c r="A677" t="inlineStr">
        <is>
          <t>A 25057-2024</t>
        </is>
      </c>
      <c r="B677" s="1" t="n">
        <v>45462</v>
      </c>
      <c r="C677" s="1" t="n">
        <v>45926</v>
      </c>
      <c r="D677" t="inlineStr">
        <is>
          <t>SKÅNE LÄN</t>
        </is>
      </c>
      <c r="E677" t="inlineStr">
        <is>
          <t>HÄSSLEHOLM</t>
        </is>
      </c>
      <c r="G677" t="n">
        <v>4.3</v>
      </c>
      <c r="H677" t="n">
        <v>0</v>
      </c>
      <c r="I677" t="n">
        <v>0</v>
      </c>
      <c r="J677" t="n">
        <v>0</v>
      </c>
      <c r="K677" t="n">
        <v>0</v>
      </c>
      <c r="L677" t="n">
        <v>0</v>
      </c>
      <c r="M677" t="n">
        <v>0</v>
      </c>
      <c r="N677" t="n">
        <v>0</v>
      </c>
      <c r="O677" t="n">
        <v>0</v>
      </c>
      <c r="P677" t="n">
        <v>0</v>
      </c>
      <c r="Q677" t="n">
        <v>0</v>
      </c>
      <c r="R677" s="2" t="inlineStr"/>
    </row>
    <row r="678" ht="15" customHeight="1">
      <c r="A678" t="inlineStr">
        <is>
          <t>A 57647-2024</t>
        </is>
      </c>
      <c r="B678" s="1" t="n">
        <v>45630</v>
      </c>
      <c r="C678" s="1" t="n">
        <v>45926</v>
      </c>
      <c r="D678" t="inlineStr">
        <is>
          <t>SKÅNE LÄN</t>
        </is>
      </c>
      <c r="E678" t="inlineStr">
        <is>
          <t>HÄSSLEHOLM</t>
        </is>
      </c>
      <c r="G678" t="n">
        <v>2.9</v>
      </c>
      <c r="H678" t="n">
        <v>0</v>
      </c>
      <c r="I678" t="n">
        <v>0</v>
      </c>
      <c r="J678" t="n">
        <v>0</v>
      </c>
      <c r="K678" t="n">
        <v>0</v>
      </c>
      <c r="L678" t="n">
        <v>0</v>
      </c>
      <c r="M678" t="n">
        <v>0</v>
      </c>
      <c r="N678" t="n">
        <v>0</v>
      </c>
      <c r="O678" t="n">
        <v>0</v>
      </c>
      <c r="P678" t="n">
        <v>0</v>
      </c>
      <c r="Q678" t="n">
        <v>0</v>
      </c>
      <c r="R678" s="2" t="inlineStr"/>
    </row>
    <row r="679" ht="15" customHeight="1">
      <c r="A679" t="inlineStr">
        <is>
          <t>A 29171-2025</t>
        </is>
      </c>
      <c r="B679" s="1" t="n">
        <v>45821.69863425926</v>
      </c>
      <c r="C679" s="1" t="n">
        <v>45926</v>
      </c>
      <c r="D679" t="inlineStr">
        <is>
          <t>SKÅNE LÄN</t>
        </is>
      </c>
      <c r="E679" t="inlineStr">
        <is>
          <t>HÄSSLEHOLM</t>
        </is>
      </c>
      <c r="G679" t="n">
        <v>2.6</v>
      </c>
      <c r="H679" t="n">
        <v>0</v>
      </c>
      <c r="I679" t="n">
        <v>0</v>
      </c>
      <c r="J679" t="n">
        <v>0</v>
      </c>
      <c r="K679" t="n">
        <v>0</v>
      </c>
      <c r="L679" t="n">
        <v>0</v>
      </c>
      <c r="M679" t="n">
        <v>0</v>
      </c>
      <c r="N679" t="n">
        <v>0</v>
      </c>
      <c r="O679" t="n">
        <v>0</v>
      </c>
      <c r="P679" t="n">
        <v>0</v>
      </c>
      <c r="Q679" t="n">
        <v>0</v>
      </c>
      <c r="R679" s="2" t="inlineStr"/>
    </row>
    <row r="680" ht="15" customHeight="1">
      <c r="A680" t="inlineStr">
        <is>
          <t>A 20564-2023</t>
        </is>
      </c>
      <c r="B680" s="1" t="n">
        <v>45057</v>
      </c>
      <c r="C680" s="1" t="n">
        <v>45926</v>
      </c>
      <c r="D680" t="inlineStr">
        <is>
          <t>SKÅNE LÄN</t>
        </is>
      </c>
      <c r="E680" t="inlineStr">
        <is>
          <t>HÄSSLEHOLM</t>
        </is>
      </c>
      <c r="G680" t="n">
        <v>2.6</v>
      </c>
      <c r="H680" t="n">
        <v>0</v>
      </c>
      <c r="I680" t="n">
        <v>0</v>
      </c>
      <c r="J680" t="n">
        <v>0</v>
      </c>
      <c r="K680" t="n">
        <v>0</v>
      </c>
      <c r="L680" t="n">
        <v>0</v>
      </c>
      <c r="M680" t="n">
        <v>0</v>
      </c>
      <c r="N680" t="n">
        <v>0</v>
      </c>
      <c r="O680" t="n">
        <v>0</v>
      </c>
      <c r="P680" t="n">
        <v>0</v>
      </c>
      <c r="Q680" t="n">
        <v>0</v>
      </c>
      <c r="R680" s="2" t="inlineStr"/>
    </row>
    <row r="681" ht="15" customHeight="1">
      <c r="A681" t="inlineStr">
        <is>
          <t>A 46641-2023</t>
        </is>
      </c>
      <c r="B681" s="1" t="n">
        <v>45198.44523148148</v>
      </c>
      <c r="C681" s="1" t="n">
        <v>45926</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8239-2025</t>
        </is>
      </c>
      <c r="B682" s="1" t="n">
        <v>45708.47984953703</v>
      </c>
      <c r="C682" s="1" t="n">
        <v>45926</v>
      </c>
      <c r="D682" t="inlineStr">
        <is>
          <t>SKÅNE LÄN</t>
        </is>
      </c>
      <c r="E682" t="inlineStr">
        <is>
          <t>HÄSSLEHOLM</t>
        </is>
      </c>
      <c r="G682" t="n">
        <v>2.7</v>
      </c>
      <c r="H682" t="n">
        <v>0</v>
      </c>
      <c r="I682" t="n">
        <v>0</v>
      </c>
      <c r="J682" t="n">
        <v>0</v>
      </c>
      <c r="K682" t="n">
        <v>0</v>
      </c>
      <c r="L682" t="n">
        <v>0</v>
      </c>
      <c r="M682" t="n">
        <v>0</v>
      </c>
      <c r="N682" t="n">
        <v>0</v>
      </c>
      <c r="O682" t="n">
        <v>0</v>
      </c>
      <c r="P682" t="n">
        <v>0</v>
      </c>
      <c r="Q682" t="n">
        <v>0</v>
      </c>
      <c r="R682" s="2" t="inlineStr"/>
    </row>
    <row r="683" ht="15" customHeight="1">
      <c r="A683" t="inlineStr">
        <is>
          <t>A 46645-2023</t>
        </is>
      </c>
      <c r="B683" s="1" t="n">
        <v>45198.44686342592</v>
      </c>
      <c r="C683" s="1" t="n">
        <v>45926</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7494-2023</t>
        </is>
      </c>
      <c r="B684" s="1" t="n">
        <v>44971.70835648148</v>
      </c>
      <c r="C684" s="1" t="n">
        <v>45926</v>
      </c>
      <c r="D684" t="inlineStr">
        <is>
          <t>SKÅNE LÄN</t>
        </is>
      </c>
      <c r="E684" t="inlineStr">
        <is>
          <t>HÄSSLEHOLM</t>
        </is>
      </c>
      <c r="G684" t="n">
        <v>0.9</v>
      </c>
      <c r="H684" t="n">
        <v>0</v>
      </c>
      <c r="I684" t="n">
        <v>0</v>
      </c>
      <c r="J684" t="n">
        <v>0</v>
      </c>
      <c r="K684" t="n">
        <v>0</v>
      </c>
      <c r="L684" t="n">
        <v>0</v>
      </c>
      <c r="M684" t="n">
        <v>0</v>
      </c>
      <c r="N684" t="n">
        <v>0</v>
      </c>
      <c r="O684" t="n">
        <v>0</v>
      </c>
      <c r="P684" t="n">
        <v>0</v>
      </c>
      <c r="Q684" t="n">
        <v>0</v>
      </c>
      <c r="R684" s="2" t="inlineStr"/>
    </row>
    <row r="685" ht="15" customHeight="1">
      <c r="A685" t="inlineStr">
        <is>
          <t>A 10115-2024</t>
        </is>
      </c>
      <c r="B685" s="1" t="n">
        <v>45364.55339120371</v>
      </c>
      <c r="C685" s="1" t="n">
        <v>45926</v>
      </c>
      <c r="D685" t="inlineStr">
        <is>
          <t>SKÅNE LÄN</t>
        </is>
      </c>
      <c r="E685" t="inlineStr">
        <is>
          <t>HÄSSLEHOLM</t>
        </is>
      </c>
      <c r="G685" t="n">
        <v>7</v>
      </c>
      <c r="H685" t="n">
        <v>0</v>
      </c>
      <c r="I685" t="n">
        <v>0</v>
      </c>
      <c r="J685" t="n">
        <v>0</v>
      </c>
      <c r="K685" t="n">
        <v>0</v>
      </c>
      <c r="L685" t="n">
        <v>0</v>
      </c>
      <c r="M685" t="n">
        <v>0</v>
      </c>
      <c r="N685" t="n">
        <v>0</v>
      </c>
      <c r="O685" t="n">
        <v>0</v>
      </c>
      <c r="P685" t="n">
        <v>0</v>
      </c>
      <c r="Q685" t="n">
        <v>0</v>
      </c>
      <c r="R685" s="2" t="inlineStr"/>
    </row>
    <row r="686" ht="15" customHeight="1">
      <c r="A686" t="inlineStr">
        <is>
          <t>A 31986-2023</t>
        </is>
      </c>
      <c r="B686" s="1" t="n">
        <v>45119</v>
      </c>
      <c r="C686" s="1" t="n">
        <v>45926</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62044-2022</t>
        </is>
      </c>
      <c r="B687" s="1" t="n">
        <v>44918.55976851852</v>
      </c>
      <c r="C687" s="1" t="n">
        <v>45926</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6619-2024</t>
        </is>
      </c>
      <c r="B688" s="1" t="n">
        <v>45341.6021412037</v>
      </c>
      <c r="C688" s="1" t="n">
        <v>45926</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21328-2023</t>
        </is>
      </c>
      <c r="B689" s="1" t="n">
        <v>45062</v>
      </c>
      <c r="C689" s="1" t="n">
        <v>45926</v>
      </c>
      <c r="D689" t="inlineStr">
        <is>
          <t>SKÅNE LÄN</t>
        </is>
      </c>
      <c r="E689" t="inlineStr">
        <is>
          <t>HÄSSLEHOLM</t>
        </is>
      </c>
      <c r="G689" t="n">
        <v>2.1</v>
      </c>
      <c r="H689" t="n">
        <v>0</v>
      </c>
      <c r="I689" t="n">
        <v>0</v>
      </c>
      <c r="J689" t="n">
        <v>0</v>
      </c>
      <c r="K689" t="n">
        <v>0</v>
      </c>
      <c r="L689" t="n">
        <v>0</v>
      </c>
      <c r="M689" t="n">
        <v>0</v>
      </c>
      <c r="N689" t="n">
        <v>0</v>
      </c>
      <c r="O689" t="n">
        <v>0</v>
      </c>
      <c r="P689" t="n">
        <v>0</v>
      </c>
      <c r="Q689" t="n">
        <v>0</v>
      </c>
      <c r="R689" s="2" t="inlineStr"/>
    </row>
    <row r="690" ht="15" customHeight="1">
      <c r="A690" t="inlineStr">
        <is>
          <t>A 3925-2021</t>
        </is>
      </c>
      <c r="B690" s="1" t="n">
        <v>44222</v>
      </c>
      <c r="C690" s="1" t="n">
        <v>45926</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12570-2023</t>
        </is>
      </c>
      <c r="B691" s="1" t="n">
        <v>44999</v>
      </c>
      <c r="C691" s="1" t="n">
        <v>45926</v>
      </c>
      <c r="D691" t="inlineStr">
        <is>
          <t>SKÅNE LÄN</t>
        </is>
      </c>
      <c r="E691" t="inlineStr">
        <is>
          <t>HÄSSLEHOLM</t>
        </is>
      </c>
      <c r="G691" t="n">
        <v>3.4</v>
      </c>
      <c r="H691" t="n">
        <v>0</v>
      </c>
      <c r="I691" t="n">
        <v>0</v>
      </c>
      <c r="J691" t="n">
        <v>0</v>
      </c>
      <c r="K691" t="n">
        <v>0</v>
      </c>
      <c r="L691" t="n">
        <v>0</v>
      </c>
      <c r="M691" t="n">
        <v>0</v>
      </c>
      <c r="N691" t="n">
        <v>0</v>
      </c>
      <c r="O691" t="n">
        <v>0</v>
      </c>
      <c r="P691" t="n">
        <v>0</v>
      </c>
      <c r="Q691" t="n">
        <v>0</v>
      </c>
      <c r="R691" s="2" t="inlineStr"/>
    </row>
    <row r="692" ht="15" customHeight="1">
      <c r="A692" t="inlineStr">
        <is>
          <t>A 29168-2025</t>
        </is>
      </c>
      <c r="B692" s="1" t="n">
        <v>45821.69547453704</v>
      </c>
      <c r="C692" s="1" t="n">
        <v>45926</v>
      </c>
      <c r="D692" t="inlineStr">
        <is>
          <t>SKÅNE LÄN</t>
        </is>
      </c>
      <c r="E692" t="inlineStr">
        <is>
          <t>HÄSSLEHOLM</t>
        </is>
      </c>
      <c r="G692" t="n">
        <v>1.7</v>
      </c>
      <c r="H692" t="n">
        <v>0</v>
      </c>
      <c r="I692" t="n">
        <v>0</v>
      </c>
      <c r="J692" t="n">
        <v>0</v>
      </c>
      <c r="K692" t="n">
        <v>0</v>
      </c>
      <c r="L692" t="n">
        <v>0</v>
      </c>
      <c r="M692" t="n">
        <v>0</v>
      </c>
      <c r="N692" t="n">
        <v>0</v>
      </c>
      <c r="O692" t="n">
        <v>0</v>
      </c>
      <c r="P692" t="n">
        <v>0</v>
      </c>
      <c r="Q692" t="n">
        <v>0</v>
      </c>
      <c r="R692" s="2" t="inlineStr"/>
    </row>
    <row r="693" ht="15" customHeight="1">
      <c r="A693" t="inlineStr">
        <is>
          <t>A 20435-2021</t>
        </is>
      </c>
      <c r="B693" s="1" t="n">
        <v>44315.5793287037</v>
      </c>
      <c r="C693" s="1" t="n">
        <v>45926</v>
      </c>
      <c r="D693" t="inlineStr">
        <is>
          <t>SKÅNE LÄN</t>
        </is>
      </c>
      <c r="E693" t="inlineStr">
        <is>
          <t>HÄSSLEHOLM</t>
        </is>
      </c>
      <c r="G693" t="n">
        <v>4.8</v>
      </c>
      <c r="H693" t="n">
        <v>0</v>
      </c>
      <c r="I693" t="n">
        <v>0</v>
      </c>
      <c r="J693" t="n">
        <v>0</v>
      </c>
      <c r="K693" t="n">
        <v>0</v>
      </c>
      <c r="L693" t="n">
        <v>0</v>
      </c>
      <c r="M693" t="n">
        <v>0</v>
      </c>
      <c r="N693" t="n">
        <v>0</v>
      </c>
      <c r="O693" t="n">
        <v>0</v>
      </c>
      <c r="P693" t="n">
        <v>0</v>
      </c>
      <c r="Q693" t="n">
        <v>0</v>
      </c>
      <c r="R693" s="2" t="inlineStr"/>
    </row>
    <row r="694" ht="15" customHeight="1">
      <c r="A694" t="inlineStr">
        <is>
          <t>A 25219-2023</t>
        </is>
      </c>
      <c r="B694" s="1" t="n">
        <v>45086.60541666667</v>
      </c>
      <c r="C694" s="1" t="n">
        <v>45926</v>
      </c>
      <c r="D694" t="inlineStr">
        <is>
          <t>SKÅNE LÄN</t>
        </is>
      </c>
      <c r="E694" t="inlineStr">
        <is>
          <t>HÄSSLEHOLM</t>
        </is>
      </c>
      <c r="G694" t="n">
        <v>6.9</v>
      </c>
      <c r="H694" t="n">
        <v>0</v>
      </c>
      <c r="I694" t="n">
        <v>0</v>
      </c>
      <c r="J694" t="n">
        <v>0</v>
      </c>
      <c r="K694" t="n">
        <v>0</v>
      </c>
      <c r="L694" t="n">
        <v>0</v>
      </c>
      <c r="M694" t="n">
        <v>0</v>
      </c>
      <c r="N694" t="n">
        <v>0</v>
      </c>
      <c r="O694" t="n">
        <v>0</v>
      </c>
      <c r="P694" t="n">
        <v>0</v>
      </c>
      <c r="Q694" t="n">
        <v>0</v>
      </c>
      <c r="R694" s="2" t="inlineStr"/>
    </row>
    <row r="695" ht="15" customHeight="1">
      <c r="A695" t="inlineStr">
        <is>
          <t>A 16121-2025</t>
        </is>
      </c>
      <c r="B695" s="1" t="n">
        <v>45750.40384259259</v>
      </c>
      <c r="C695" s="1" t="n">
        <v>45926</v>
      </c>
      <c r="D695" t="inlineStr">
        <is>
          <t>SKÅNE LÄN</t>
        </is>
      </c>
      <c r="E695" t="inlineStr">
        <is>
          <t>HÄSSLEHOLM</t>
        </is>
      </c>
      <c r="G695" t="n">
        <v>1.6</v>
      </c>
      <c r="H695" t="n">
        <v>0</v>
      </c>
      <c r="I695" t="n">
        <v>0</v>
      </c>
      <c r="J695" t="n">
        <v>0</v>
      </c>
      <c r="K695" t="n">
        <v>0</v>
      </c>
      <c r="L695" t="n">
        <v>0</v>
      </c>
      <c r="M695" t="n">
        <v>0</v>
      </c>
      <c r="N695" t="n">
        <v>0</v>
      </c>
      <c r="O695" t="n">
        <v>0</v>
      </c>
      <c r="P695" t="n">
        <v>0</v>
      </c>
      <c r="Q695" t="n">
        <v>0</v>
      </c>
      <c r="R695" s="2" t="inlineStr"/>
    </row>
    <row r="696" ht="15" customHeight="1">
      <c r="A696" t="inlineStr">
        <is>
          <t>A 52341-2023</t>
        </is>
      </c>
      <c r="B696" s="1" t="n">
        <v>45224.67006944444</v>
      </c>
      <c r="C696" s="1" t="n">
        <v>45926</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7306-2025</t>
        </is>
      </c>
      <c r="B697" s="1" t="n">
        <v>45702</v>
      </c>
      <c r="C697" s="1" t="n">
        <v>45926</v>
      </c>
      <c r="D697" t="inlineStr">
        <is>
          <t>SKÅNE LÄN</t>
        </is>
      </c>
      <c r="E697" t="inlineStr">
        <is>
          <t>HÄSSLEHOLM</t>
        </is>
      </c>
      <c r="F697" t="inlineStr">
        <is>
          <t>Övriga Aktiebolag</t>
        </is>
      </c>
      <c r="G697" t="n">
        <v>3.3</v>
      </c>
      <c r="H697" t="n">
        <v>0</v>
      </c>
      <c r="I697" t="n">
        <v>0</v>
      </c>
      <c r="J697" t="n">
        <v>0</v>
      </c>
      <c r="K697" t="n">
        <v>0</v>
      </c>
      <c r="L697" t="n">
        <v>0</v>
      </c>
      <c r="M697" t="n">
        <v>0</v>
      </c>
      <c r="N697" t="n">
        <v>0</v>
      </c>
      <c r="O697" t="n">
        <v>0</v>
      </c>
      <c r="P697" t="n">
        <v>0</v>
      </c>
      <c r="Q697" t="n">
        <v>0</v>
      </c>
      <c r="R697" s="2" t="inlineStr"/>
    </row>
    <row r="698" ht="15" customHeight="1">
      <c r="A698" t="inlineStr">
        <is>
          <t>A 7308-2025</t>
        </is>
      </c>
      <c r="B698" s="1" t="n">
        <v>45702</v>
      </c>
      <c r="C698" s="1" t="n">
        <v>45926</v>
      </c>
      <c r="D698" t="inlineStr">
        <is>
          <t>SKÅNE LÄN</t>
        </is>
      </c>
      <c r="E698" t="inlineStr">
        <is>
          <t>HÄSSLEHOLM</t>
        </is>
      </c>
      <c r="F698" t="inlineStr">
        <is>
          <t>Övriga Aktiebolag</t>
        </is>
      </c>
      <c r="G698" t="n">
        <v>4.8</v>
      </c>
      <c r="H698" t="n">
        <v>0</v>
      </c>
      <c r="I698" t="n">
        <v>0</v>
      </c>
      <c r="J698" t="n">
        <v>0</v>
      </c>
      <c r="K698" t="n">
        <v>0</v>
      </c>
      <c r="L698" t="n">
        <v>0</v>
      </c>
      <c r="M698" t="n">
        <v>0</v>
      </c>
      <c r="N698" t="n">
        <v>0</v>
      </c>
      <c r="O698" t="n">
        <v>0</v>
      </c>
      <c r="P698" t="n">
        <v>0</v>
      </c>
      <c r="Q698" t="n">
        <v>0</v>
      </c>
      <c r="R698" s="2" t="inlineStr"/>
    </row>
    <row r="699" ht="15" customHeight="1">
      <c r="A699" t="inlineStr">
        <is>
          <t>A 58250-2024</t>
        </is>
      </c>
      <c r="B699" s="1" t="n">
        <v>45632.55643518519</v>
      </c>
      <c r="C699" s="1" t="n">
        <v>45926</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49389-2020</t>
        </is>
      </c>
      <c r="B700" s="1" t="n">
        <v>44105</v>
      </c>
      <c r="C700" s="1" t="n">
        <v>45926</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54671-2022</t>
        </is>
      </c>
      <c r="B701" s="1" t="n">
        <v>44883</v>
      </c>
      <c r="C701" s="1" t="n">
        <v>45926</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40739-2024</t>
        </is>
      </c>
      <c r="B702" s="1" t="n">
        <v>45558</v>
      </c>
      <c r="C702" s="1" t="n">
        <v>45926</v>
      </c>
      <c r="D702" t="inlineStr">
        <is>
          <t>SKÅNE LÄN</t>
        </is>
      </c>
      <c r="E702" t="inlineStr">
        <is>
          <t>HÄSSLEHOLM</t>
        </is>
      </c>
      <c r="G702" t="n">
        <v>1.6</v>
      </c>
      <c r="H702" t="n">
        <v>0</v>
      </c>
      <c r="I702" t="n">
        <v>0</v>
      </c>
      <c r="J702" t="n">
        <v>0</v>
      </c>
      <c r="K702" t="n">
        <v>0</v>
      </c>
      <c r="L702" t="n">
        <v>0</v>
      </c>
      <c r="M702" t="n">
        <v>0</v>
      </c>
      <c r="N702" t="n">
        <v>0</v>
      </c>
      <c r="O702" t="n">
        <v>0</v>
      </c>
      <c r="P702" t="n">
        <v>0</v>
      </c>
      <c r="Q702" t="n">
        <v>0</v>
      </c>
      <c r="R702" s="2" t="inlineStr"/>
    </row>
    <row r="703" ht="15" customHeight="1">
      <c r="A703" t="inlineStr">
        <is>
          <t>A 13932-2023</t>
        </is>
      </c>
      <c r="B703" s="1" t="n">
        <v>45008.43935185186</v>
      </c>
      <c r="C703" s="1" t="n">
        <v>45926</v>
      </c>
      <c r="D703" t="inlineStr">
        <is>
          <t>SKÅNE LÄN</t>
        </is>
      </c>
      <c r="E703" t="inlineStr">
        <is>
          <t>HÄSSLEHOLM</t>
        </is>
      </c>
      <c r="G703" t="n">
        <v>3.3</v>
      </c>
      <c r="H703" t="n">
        <v>0</v>
      </c>
      <c r="I703" t="n">
        <v>0</v>
      </c>
      <c r="J703" t="n">
        <v>0</v>
      </c>
      <c r="K703" t="n">
        <v>0</v>
      </c>
      <c r="L703" t="n">
        <v>0</v>
      </c>
      <c r="M703" t="n">
        <v>0</v>
      </c>
      <c r="N703" t="n">
        <v>0</v>
      </c>
      <c r="O703" t="n">
        <v>0</v>
      </c>
      <c r="P703" t="n">
        <v>0</v>
      </c>
      <c r="Q703" t="n">
        <v>0</v>
      </c>
      <c r="R703" s="2" t="inlineStr"/>
    </row>
    <row r="704" ht="15" customHeight="1">
      <c r="A704" t="inlineStr">
        <is>
          <t>A 35889-2023</t>
        </is>
      </c>
      <c r="B704" s="1" t="n">
        <v>45148</v>
      </c>
      <c r="C704" s="1" t="n">
        <v>45926</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35894-2023</t>
        </is>
      </c>
      <c r="B705" s="1" t="n">
        <v>45148</v>
      </c>
      <c r="C705" s="1" t="n">
        <v>45926</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45299-2024</t>
        </is>
      </c>
      <c r="B706" s="1" t="n">
        <v>45576.40599537037</v>
      </c>
      <c r="C706" s="1" t="n">
        <v>45926</v>
      </c>
      <c r="D706" t="inlineStr">
        <is>
          <t>SKÅNE LÄN</t>
        </is>
      </c>
      <c r="E706" t="inlineStr">
        <is>
          <t>HÄSSLEHOLM</t>
        </is>
      </c>
      <c r="G706" t="n">
        <v>1.3</v>
      </c>
      <c r="H706" t="n">
        <v>0</v>
      </c>
      <c r="I706" t="n">
        <v>0</v>
      </c>
      <c r="J706" t="n">
        <v>0</v>
      </c>
      <c r="K706" t="n">
        <v>0</v>
      </c>
      <c r="L706" t="n">
        <v>0</v>
      </c>
      <c r="M706" t="n">
        <v>0</v>
      </c>
      <c r="N706" t="n">
        <v>0</v>
      </c>
      <c r="O706" t="n">
        <v>0</v>
      </c>
      <c r="P706" t="n">
        <v>0</v>
      </c>
      <c r="Q706" t="n">
        <v>0</v>
      </c>
      <c r="R706" s="2" t="inlineStr"/>
    </row>
    <row r="707" ht="15" customHeight="1">
      <c r="A707" t="inlineStr">
        <is>
          <t>A 25176-2024</t>
        </is>
      </c>
      <c r="B707" s="1" t="n">
        <v>45462.54582175926</v>
      </c>
      <c r="C707" s="1" t="n">
        <v>45926</v>
      </c>
      <c r="D707" t="inlineStr">
        <is>
          <t>SKÅNE LÄN</t>
        </is>
      </c>
      <c r="E707" t="inlineStr">
        <is>
          <t>HÄSSLEHOLM</t>
        </is>
      </c>
      <c r="G707" t="n">
        <v>3.8</v>
      </c>
      <c r="H707" t="n">
        <v>0</v>
      </c>
      <c r="I707" t="n">
        <v>0</v>
      </c>
      <c r="J707" t="n">
        <v>0</v>
      </c>
      <c r="K707" t="n">
        <v>0</v>
      </c>
      <c r="L707" t="n">
        <v>0</v>
      </c>
      <c r="M707" t="n">
        <v>0</v>
      </c>
      <c r="N707" t="n">
        <v>0</v>
      </c>
      <c r="O707" t="n">
        <v>0</v>
      </c>
      <c r="P707" t="n">
        <v>0</v>
      </c>
      <c r="Q707" t="n">
        <v>0</v>
      </c>
      <c r="R707" s="2" t="inlineStr"/>
    </row>
    <row r="708" ht="15" customHeight="1">
      <c r="A708" t="inlineStr">
        <is>
          <t>A 7771-2021</t>
        </is>
      </c>
      <c r="B708" s="1" t="n">
        <v>44242</v>
      </c>
      <c r="C708" s="1" t="n">
        <v>45926</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27464-2022</t>
        </is>
      </c>
      <c r="B709" s="1" t="n">
        <v>44742.58704861111</v>
      </c>
      <c r="C709" s="1" t="n">
        <v>45926</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44741-2023</t>
        </is>
      </c>
      <c r="B710" s="1" t="n">
        <v>45190.38804398148</v>
      </c>
      <c r="C710" s="1" t="n">
        <v>45926</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7476-2025</t>
        </is>
      </c>
      <c r="B711" s="1" t="n">
        <v>45702</v>
      </c>
      <c r="C711" s="1" t="n">
        <v>45926</v>
      </c>
      <c r="D711" t="inlineStr">
        <is>
          <t>SKÅNE LÄN</t>
        </is>
      </c>
      <c r="E711" t="inlineStr">
        <is>
          <t>HÄSSLEHOLM</t>
        </is>
      </c>
      <c r="F711" t="inlineStr">
        <is>
          <t>Övriga Aktiebolag</t>
        </is>
      </c>
      <c r="G711" t="n">
        <v>2.1</v>
      </c>
      <c r="H711" t="n">
        <v>0</v>
      </c>
      <c r="I711" t="n">
        <v>0</v>
      </c>
      <c r="J711" t="n">
        <v>0</v>
      </c>
      <c r="K711" t="n">
        <v>0</v>
      </c>
      <c r="L711" t="n">
        <v>0</v>
      </c>
      <c r="M711" t="n">
        <v>0</v>
      </c>
      <c r="N711" t="n">
        <v>0</v>
      </c>
      <c r="O711" t="n">
        <v>0</v>
      </c>
      <c r="P711" t="n">
        <v>0</v>
      </c>
      <c r="Q711" t="n">
        <v>0</v>
      </c>
      <c r="R711" s="2" t="inlineStr"/>
    </row>
    <row r="712" ht="15" customHeight="1">
      <c r="A712" t="inlineStr">
        <is>
          <t>A 7513-2025</t>
        </is>
      </c>
      <c r="B712" s="1" t="n">
        <v>45702</v>
      </c>
      <c r="C712" s="1" t="n">
        <v>45926</v>
      </c>
      <c r="D712" t="inlineStr">
        <is>
          <t>SKÅNE LÄN</t>
        </is>
      </c>
      <c r="E712" t="inlineStr">
        <is>
          <t>HÄSSLEHOLM</t>
        </is>
      </c>
      <c r="F712" t="inlineStr">
        <is>
          <t>Övriga Aktiebolag</t>
        </is>
      </c>
      <c r="G712" t="n">
        <v>2.4</v>
      </c>
      <c r="H712" t="n">
        <v>0</v>
      </c>
      <c r="I712" t="n">
        <v>0</v>
      </c>
      <c r="J712" t="n">
        <v>0</v>
      </c>
      <c r="K712" t="n">
        <v>0</v>
      </c>
      <c r="L712" t="n">
        <v>0</v>
      </c>
      <c r="M712" t="n">
        <v>0</v>
      </c>
      <c r="N712" t="n">
        <v>0</v>
      </c>
      <c r="O712" t="n">
        <v>0</v>
      </c>
      <c r="P712" t="n">
        <v>0</v>
      </c>
      <c r="Q712" t="n">
        <v>0</v>
      </c>
      <c r="R712" s="2" t="inlineStr"/>
    </row>
    <row r="713" ht="15" customHeight="1">
      <c r="A713" t="inlineStr">
        <is>
          <t>A 31161-2024</t>
        </is>
      </c>
      <c r="B713" s="1" t="n">
        <v>45503</v>
      </c>
      <c r="C713" s="1" t="n">
        <v>45926</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6798-2025</t>
        </is>
      </c>
      <c r="B714" s="1" t="n">
        <v>45700.668125</v>
      </c>
      <c r="C714" s="1" t="n">
        <v>45926</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22157-2024</t>
        </is>
      </c>
      <c r="B715" s="1" t="n">
        <v>45445.85290509259</v>
      </c>
      <c r="C715" s="1" t="n">
        <v>45926</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13316-2023</t>
        </is>
      </c>
      <c r="B716" s="1" t="n">
        <v>45005.39013888889</v>
      </c>
      <c r="C716" s="1" t="n">
        <v>45926</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13358-2023</t>
        </is>
      </c>
      <c r="B717" s="1" t="n">
        <v>45005</v>
      </c>
      <c r="C717" s="1" t="n">
        <v>45926</v>
      </c>
      <c r="D717" t="inlineStr">
        <is>
          <t>SKÅNE LÄN</t>
        </is>
      </c>
      <c r="E717" t="inlineStr">
        <is>
          <t>HÄSSLEHOLM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3245-2022</t>
        </is>
      </c>
      <c r="B718" s="1" t="n">
        <v>44583.39136574074</v>
      </c>
      <c r="C718" s="1" t="n">
        <v>45926</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10752-2025</t>
        </is>
      </c>
      <c r="B719" s="1" t="n">
        <v>45722</v>
      </c>
      <c r="C719" s="1" t="n">
        <v>45926</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38228-2021</t>
        </is>
      </c>
      <c r="B720" s="1" t="n">
        <v>44405</v>
      </c>
      <c r="C720" s="1" t="n">
        <v>45926</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3248-2022</t>
        </is>
      </c>
      <c r="B721" s="1" t="n">
        <v>44583</v>
      </c>
      <c r="C721" s="1" t="n">
        <v>45926</v>
      </c>
      <c r="D721" t="inlineStr">
        <is>
          <t>SKÅNE LÄN</t>
        </is>
      </c>
      <c r="E721" t="inlineStr">
        <is>
          <t>HÄSSLEHOLM</t>
        </is>
      </c>
      <c r="G721" t="n">
        <v>3</v>
      </c>
      <c r="H721" t="n">
        <v>0</v>
      </c>
      <c r="I721" t="n">
        <v>0</v>
      </c>
      <c r="J721" t="n">
        <v>0</v>
      </c>
      <c r="K721" t="n">
        <v>0</v>
      </c>
      <c r="L721" t="n">
        <v>0</v>
      </c>
      <c r="M721" t="n">
        <v>0</v>
      </c>
      <c r="N721" t="n">
        <v>0</v>
      </c>
      <c r="O721" t="n">
        <v>0</v>
      </c>
      <c r="P721" t="n">
        <v>0</v>
      </c>
      <c r="Q721" t="n">
        <v>0</v>
      </c>
      <c r="R721" s="2" t="inlineStr"/>
    </row>
    <row r="722" ht="15" customHeight="1">
      <c r="A722" t="inlineStr">
        <is>
          <t>A 14008-2023</t>
        </is>
      </c>
      <c r="B722" s="1" t="n">
        <v>45008.56725694444</v>
      </c>
      <c r="C722" s="1" t="n">
        <v>45926</v>
      </c>
      <c r="D722" t="inlineStr">
        <is>
          <t>SKÅNE LÄN</t>
        </is>
      </c>
      <c r="E722" t="inlineStr">
        <is>
          <t>HÄSSLEHOLM</t>
        </is>
      </c>
      <c r="G722" t="n">
        <v>3.3</v>
      </c>
      <c r="H722" t="n">
        <v>0</v>
      </c>
      <c r="I722" t="n">
        <v>0</v>
      </c>
      <c r="J722" t="n">
        <v>0</v>
      </c>
      <c r="K722" t="n">
        <v>0</v>
      </c>
      <c r="L722" t="n">
        <v>0</v>
      </c>
      <c r="M722" t="n">
        <v>0</v>
      </c>
      <c r="N722" t="n">
        <v>0</v>
      </c>
      <c r="O722" t="n">
        <v>0</v>
      </c>
      <c r="P722" t="n">
        <v>0</v>
      </c>
      <c r="Q722" t="n">
        <v>0</v>
      </c>
      <c r="R722" s="2" t="inlineStr"/>
    </row>
    <row r="723" ht="15" customHeight="1">
      <c r="A723" t="inlineStr">
        <is>
          <t>A 25538-2024</t>
        </is>
      </c>
      <c r="B723" s="1" t="n">
        <v>45463</v>
      </c>
      <c r="C723" s="1" t="n">
        <v>45926</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36733-2023</t>
        </is>
      </c>
      <c r="B724" s="1" t="n">
        <v>45153.69989583334</v>
      </c>
      <c r="C724" s="1" t="n">
        <v>45926</v>
      </c>
      <c r="D724" t="inlineStr">
        <is>
          <t>SKÅNE LÄN</t>
        </is>
      </c>
      <c r="E724" t="inlineStr">
        <is>
          <t>HÄSSLEHOLM</t>
        </is>
      </c>
      <c r="G724" t="n">
        <v>4.8</v>
      </c>
      <c r="H724" t="n">
        <v>0</v>
      </c>
      <c r="I724" t="n">
        <v>0</v>
      </c>
      <c r="J724" t="n">
        <v>0</v>
      </c>
      <c r="K724" t="n">
        <v>0</v>
      </c>
      <c r="L724" t="n">
        <v>0</v>
      </c>
      <c r="M724" t="n">
        <v>0</v>
      </c>
      <c r="N724" t="n">
        <v>0</v>
      </c>
      <c r="O724" t="n">
        <v>0</v>
      </c>
      <c r="P724" t="n">
        <v>0</v>
      </c>
      <c r="Q724" t="n">
        <v>0</v>
      </c>
      <c r="R724" s="2" t="inlineStr"/>
    </row>
    <row r="725" ht="15" customHeight="1">
      <c r="A725" t="inlineStr">
        <is>
          <t>A 315-2022</t>
        </is>
      </c>
      <c r="B725" s="1" t="n">
        <v>44565.55630787037</v>
      </c>
      <c r="C725" s="1" t="n">
        <v>45926</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60509-2023</t>
        </is>
      </c>
      <c r="B726" s="1" t="n">
        <v>45259</v>
      </c>
      <c r="C726" s="1" t="n">
        <v>45926</v>
      </c>
      <c r="D726" t="inlineStr">
        <is>
          <t>SKÅNE LÄN</t>
        </is>
      </c>
      <c r="E726" t="inlineStr">
        <is>
          <t>HÄSSLEHOLM</t>
        </is>
      </c>
      <c r="F726" t="inlineStr">
        <is>
          <t>Övriga Aktiebolag</t>
        </is>
      </c>
      <c r="G726" t="n">
        <v>0.5</v>
      </c>
      <c r="H726" t="n">
        <v>0</v>
      </c>
      <c r="I726" t="n">
        <v>0</v>
      </c>
      <c r="J726" t="n">
        <v>0</v>
      </c>
      <c r="K726" t="n">
        <v>0</v>
      </c>
      <c r="L726" t="n">
        <v>0</v>
      </c>
      <c r="M726" t="n">
        <v>0</v>
      </c>
      <c r="N726" t="n">
        <v>0</v>
      </c>
      <c r="O726" t="n">
        <v>0</v>
      </c>
      <c r="P726" t="n">
        <v>0</v>
      </c>
      <c r="Q726" t="n">
        <v>0</v>
      </c>
      <c r="R726" s="2" t="inlineStr"/>
    </row>
    <row r="727" ht="15" customHeight="1">
      <c r="A727" t="inlineStr">
        <is>
          <t>A 42372-2024</t>
        </is>
      </c>
      <c r="B727" s="1" t="n">
        <v>45564.5127199074</v>
      </c>
      <c r="C727" s="1" t="n">
        <v>45926</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1562-2023</t>
        </is>
      </c>
      <c r="B728" s="1" t="n">
        <v>44937.60450231482</v>
      </c>
      <c r="C728" s="1" t="n">
        <v>45926</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45220-2023</t>
        </is>
      </c>
      <c r="B729" s="1" t="n">
        <v>45191</v>
      </c>
      <c r="C729" s="1" t="n">
        <v>45926</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32967-2023</t>
        </is>
      </c>
      <c r="B730" s="1" t="n">
        <v>45125</v>
      </c>
      <c r="C730" s="1" t="n">
        <v>45926</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32968-2023</t>
        </is>
      </c>
      <c r="B731" s="1" t="n">
        <v>45125</v>
      </c>
      <c r="C731" s="1" t="n">
        <v>45926</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10277-2023</t>
        </is>
      </c>
      <c r="B732" s="1" t="n">
        <v>44986</v>
      </c>
      <c r="C732" s="1" t="n">
        <v>45926</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10290-2023</t>
        </is>
      </c>
      <c r="B733" s="1" t="n">
        <v>44986</v>
      </c>
      <c r="C733" s="1" t="n">
        <v>45926</v>
      </c>
      <c r="D733" t="inlineStr">
        <is>
          <t>SKÅNE LÄN</t>
        </is>
      </c>
      <c r="E733" t="inlineStr">
        <is>
          <t>HÄSSLEHOLM</t>
        </is>
      </c>
      <c r="G733" t="n">
        <v>1</v>
      </c>
      <c r="H733" t="n">
        <v>0</v>
      </c>
      <c r="I733" t="n">
        <v>0</v>
      </c>
      <c r="J733" t="n">
        <v>0</v>
      </c>
      <c r="K733" t="n">
        <v>0</v>
      </c>
      <c r="L733" t="n">
        <v>0</v>
      </c>
      <c r="M733" t="n">
        <v>0</v>
      </c>
      <c r="N733" t="n">
        <v>0</v>
      </c>
      <c r="O733" t="n">
        <v>0</v>
      </c>
      <c r="P733" t="n">
        <v>0</v>
      </c>
      <c r="Q733" t="n">
        <v>0</v>
      </c>
      <c r="R733" s="2" t="inlineStr"/>
    </row>
    <row r="734" ht="15" customHeight="1">
      <c r="A734" t="inlineStr">
        <is>
          <t>A 6180-2021</t>
        </is>
      </c>
      <c r="B734" s="1" t="n">
        <v>44232</v>
      </c>
      <c r="C734" s="1" t="n">
        <v>45926</v>
      </c>
      <c r="D734" t="inlineStr">
        <is>
          <t>SKÅNE LÄN</t>
        </is>
      </c>
      <c r="E734" t="inlineStr">
        <is>
          <t>HÄSSLEHOLM</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17138-2025</t>
        </is>
      </c>
      <c r="B735" s="1" t="n">
        <v>45755.80378472222</v>
      </c>
      <c r="C735" s="1" t="n">
        <v>45926</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57695-2023</t>
        </is>
      </c>
      <c r="B736" s="1" t="n">
        <v>45246</v>
      </c>
      <c r="C736" s="1" t="n">
        <v>45926</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35237-2023</t>
        </is>
      </c>
      <c r="B737" s="1" t="n">
        <v>45145.74532407407</v>
      </c>
      <c r="C737" s="1" t="n">
        <v>45926</v>
      </c>
      <c r="D737" t="inlineStr">
        <is>
          <t>SKÅNE LÄN</t>
        </is>
      </c>
      <c r="E737" t="inlineStr">
        <is>
          <t>HÄSSLEHOLM</t>
        </is>
      </c>
      <c r="G737" t="n">
        <v>1.3</v>
      </c>
      <c r="H737" t="n">
        <v>0</v>
      </c>
      <c r="I737" t="n">
        <v>0</v>
      </c>
      <c r="J737" t="n">
        <v>0</v>
      </c>
      <c r="K737" t="n">
        <v>0</v>
      </c>
      <c r="L737" t="n">
        <v>0</v>
      </c>
      <c r="M737" t="n">
        <v>0</v>
      </c>
      <c r="N737" t="n">
        <v>0</v>
      </c>
      <c r="O737" t="n">
        <v>0</v>
      </c>
      <c r="P737" t="n">
        <v>0</v>
      </c>
      <c r="Q737" t="n">
        <v>0</v>
      </c>
      <c r="R737" s="2" t="inlineStr"/>
    </row>
    <row r="738" ht="15" customHeight="1">
      <c r="A738" t="inlineStr">
        <is>
          <t>A 12162-2023</t>
        </is>
      </c>
      <c r="B738" s="1" t="n">
        <v>44998.49619212963</v>
      </c>
      <c r="C738" s="1" t="n">
        <v>45926</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13347-2025</t>
        </is>
      </c>
      <c r="B739" s="1" t="n">
        <v>45735.63175925926</v>
      </c>
      <c r="C739" s="1" t="n">
        <v>45926</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4916-2024</t>
        </is>
      </c>
      <c r="B740" s="1" t="n">
        <v>45329</v>
      </c>
      <c r="C740" s="1" t="n">
        <v>45926</v>
      </c>
      <c r="D740" t="inlineStr">
        <is>
          <t>SKÅNE LÄN</t>
        </is>
      </c>
      <c r="E740" t="inlineStr">
        <is>
          <t>HÄSSLEHOLM</t>
        </is>
      </c>
      <c r="G740" t="n">
        <v>1.3</v>
      </c>
      <c r="H740" t="n">
        <v>0</v>
      </c>
      <c r="I740" t="n">
        <v>0</v>
      </c>
      <c r="J740" t="n">
        <v>0</v>
      </c>
      <c r="K740" t="n">
        <v>0</v>
      </c>
      <c r="L740" t="n">
        <v>0</v>
      </c>
      <c r="M740" t="n">
        <v>0</v>
      </c>
      <c r="N740" t="n">
        <v>0</v>
      </c>
      <c r="O740" t="n">
        <v>0</v>
      </c>
      <c r="P740" t="n">
        <v>0</v>
      </c>
      <c r="Q740" t="n">
        <v>0</v>
      </c>
      <c r="R740" s="2" t="inlineStr"/>
    </row>
    <row r="741" ht="15" customHeight="1">
      <c r="A741" t="inlineStr">
        <is>
          <t>A 27175-2024</t>
        </is>
      </c>
      <c r="B741" s="1" t="n">
        <v>45471.57111111111</v>
      </c>
      <c r="C741" s="1" t="n">
        <v>45926</v>
      </c>
      <c r="D741" t="inlineStr">
        <is>
          <t>SKÅNE LÄN</t>
        </is>
      </c>
      <c r="E741" t="inlineStr">
        <is>
          <t>HÄSSLEHOLM</t>
        </is>
      </c>
      <c r="G741" t="n">
        <v>1</v>
      </c>
      <c r="H741" t="n">
        <v>0</v>
      </c>
      <c r="I741" t="n">
        <v>0</v>
      </c>
      <c r="J741" t="n">
        <v>0</v>
      </c>
      <c r="K741" t="n">
        <v>0</v>
      </c>
      <c r="L741" t="n">
        <v>0</v>
      </c>
      <c r="M741" t="n">
        <v>0</v>
      </c>
      <c r="N741" t="n">
        <v>0</v>
      </c>
      <c r="O741" t="n">
        <v>0</v>
      </c>
      <c r="P741" t="n">
        <v>0</v>
      </c>
      <c r="Q741" t="n">
        <v>0</v>
      </c>
      <c r="R741" s="2" t="inlineStr"/>
    </row>
    <row r="742" ht="15" customHeight="1">
      <c r="A742" t="inlineStr">
        <is>
          <t>A 32008-2024</t>
        </is>
      </c>
      <c r="B742" s="1" t="n">
        <v>45510</v>
      </c>
      <c r="C742" s="1" t="n">
        <v>45926</v>
      </c>
      <c r="D742" t="inlineStr">
        <is>
          <t>SKÅNE LÄN</t>
        </is>
      </c>
      <c r="E742" t="inlineStr">
        <is>
          <t>HÄSSLEHOLM</t>
        </is>
      </c>
      <c r="G742" t="n">
        <v>5.1</v>
      </c>
      <c r="H742" t="n">
        <v>0</v>
      </c>
      <c r="I742" t="n">
        <v>0</v>
      </c>
      <c r="J742" t="n">
        <v>0</v>
      </c>
      <c r="K742" t="n">
        <v>0</v>
      </c>
      <c r="L742" t="n">
        <v>0</v>
      </c>
      <c r="M742" t="n">
        <v>0</v>
      </c>
      <c r="N742" t="n">
        <v>0</v>
      </c>
      <c r="O742" t="n">
        <v>0</v>
      </c>
      <c r="P742" t="n">
        <v>0</v>
      </c>
      <c r="Q742" t="n">
        <v>0</v>
      </c>
      <c r="R742" s="2" t="inlineStr"/>
    </row>
    <row r="743" ht="15" customHeight="1">
      <c r="A743" t="inlineStr">
        <is>
          <t>A 54658-2023</t>
        </is>
      </c>
      <c r="B743" s="1" t="n">
        <v>45235</v>
      </c>
      <c r="C743" s="1" t="n">
        <v>45926</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53055-2021</t>
        </is>
      </c>
      <c r="B744" s="1" t="n">
        <v>44467</v>
      </c>
      <c r="C744" s="1" t="n">
        <v>45926</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57967-2023</t>
        </is>
      </c>
      <c r="B745" s="1" t="n">
        <v>45247.57984953704</v>
      </c>
      <c r="C745" s="1" t="n">
        <v>45926</v>
      </c>
      <c r="D745" t="inlineStr">
        <is>
          <t>SKÅNE LÄN</t>
        </is>
      </c>
      <c r="E745" t="inlineStr">
        <is>
          <t>HÄSSLEHOLM</t>
        </is>
      </c>
      <c r="G745" t="n">
        <v>8.6</v>
      </c>
      <c r="H745" t="n">
        <v>0</v>
      </c>
      <c r="I745" t="n">
        <v>0</v>
      </c>
      <c r="J745" t="n">
        <v>0</v>
      </c>
      <c r="K745" t="n">
        <v>0</v>
      </c>
      <c r="L745" t="n">
        <v>0</v>
      </c>
      <c r="M745" t="n">
        <v>0</v>
      </c>
      <c r="N745" t="n">
        <v>0</v>
      </c>
      <c r="O745" t="n">
        <v>0</v>
      </c>
      <c r="P745" t="n">
        <v>0</v>
      </c>
      <c r="Q745" t="n">
        <v>0</v>
      </c>
      <c r="R745" s="2" t="inlineStr"/>
    </row>
    <row r="746" ht="15" customHeight="1">
      <c r="A746" t="inlineStr">
        <is>
          <t>A 23666-2023</t>
        </is>
      </c>
      <c r="B746" s="1" t="n">
        <v>45077</v>
      </c>
      <c r="C746" s="1" t="n">
        <v>45926</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62041-2022</t>
        </is>
      </c>
      <c r="B747" s="1" t="n">
        <v>44918.55743055556</v>
      </c>
      <c r="C747" s="1" t="n">
        <v>45926</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3726-2024</t>
        </is>
      </c>
      <c r="B748" s="1" t="n">
        <v>45321</v>
      </c>
      <c r="C748" s="1" t="n">
        <v>45926</v>
      </c>
      <c r="D748" t="inlineStr">
        <is>
          <t>SKÅNE LÄN</t>
        </is>
      </c>
      <c r="E748" t="inlineStr">
        <is>
          <t>HÄSSLEHOLM</t>
        </is>
      </c>
      <c r="G748" t="n">
        <v>0.3</v>
      </c>
      <c r="H748" t="n">
        <v>0</v>
      </c>
      <c r="I748" t="n">
        <v>0</v>
      </c>
      <c r="J748" t="n">
        <v>0</v>
      </c>
      <c r="K748" t="n">
        <v>0</v>
      </c>
      <c r="L748" t="n">
        <v>0</v>
      </c>
      <c r="M748" t="n">
        <v>0</v>
      </c>
      <c r="N748" t="n">
        <v>0</v>
      </c>
      <c r="O748" t="n">
        <v>0</v>
      </c>
      <c r="P748" t="n">
        <v>0</v>
      </c>
      <c r="Q748" t="n">
        <v>0</v>
      </c>
      <c r="R748" s="2" t="inlineStr"/>
    </row>
    <row r="749" ht="15" customHeight="1">
      <c r="A749" t="inlineStr">
        <is>
          <t>A 53085-2022</t>
        </is>
      </c>
      <c r="B749" s="1" t="n">
        <v>44873</v>
      </c>
      <c r="C749" s="1" t="n">
        <v>45926</v>
      </c>
      <c r="D749" t="inlineStr">
        <is>
          <t>SKÅNE LÄN</t>
        </is>
      </c>
      <c r="E749" t="inlineStr">
        <is>
          <t>HÄSSLEHOLM</t>
        </is>
      </c>
      <c r="G749" t="n">
        <v>1.9</v>
      </c>
      <c r="H749" t="n">
        <v>0</v>
      </c>
      <c r="I749" t="n">
        <v>0</v>
      </c>
      <c r="J749" t="n">
        <v>0</v>
      </c>
      <c r="K749" t="n">
        <v>0</v>
      </c>
      <c r="L749" t="n">
        <v>0</v>
      </c>
      <c r="M749" t="n">
        <v>0</v>
      </c>
      <c r="N749" t="n">
        <v>0</v>
      </c>
      <c r="O749" t="n">
        <v>0</v>
      </c>
      <c r="P749" t="n">
        <v>0</v>
      </c>
      <c r="Q749" t="n">
        <v>0</v>
      </c>
      <c r="R749" s="2" t="inlineStr"/>
    </row>
    <row r="750" ht="15" customHeight="1">
      <c r="A750" t="inlineStr">
        <is>
          <t>A 12468-2024</t>
        </is>
      </c>
      <c r="B750" s="1" t="n">
        <v>45379</v>
      </c>
      <c r="C750" s="1" t="n">
        <v>45926</v>
      </c>
      <c r="D750" t="inlineStr">
        <is>
          <t>SKÅNE LÄN</t>
        </is>
      </c>
      <c r="E750" t="inlineStr">
        <is>
          <t>HÄSSLEHOLM</t>
        </is>
      </c>
      <c r="G750" t="n">
        <v>15.5</v>
      </c>
      <c r="H750" t="n">
        <v>0</v>
      </c>
      <c r="I750" t="n">
        <v>0</v>
      </c>
      <c r="J750" t="n">
        <v>0</v>
      </c>
      <c r="K750" t="n">
        <v>0</v>
      </c>
      <c r="L750" t="n">
        <v>0</v>
      </c>
      <c r="M750" t="n">
        <v>0</v>
      </c>
      <c r="N750" t="n">
        <v>0</v>
      </c>
      <c r="O750" t="n">
        <v>0</v>
      </c>
      <c r="P750" t="n">
        <v>0</v>
      </c>
      <c r="Q750" t="n">
        <v>0</v>
      </c>
      <c r="R750" s="2" t="inlineStr"/>
    </row>
    <row r="751" ht="15" customHeight="1">
      <c r="A751" t="inlineStr">
        <is>
          <t>A 28211-2022</t>
        </is>
      </c>
      <c r="B751" s="1" t="n">
        <v>44746</v>
      </c>
      <c r="C751" s="1" t="n">
        <v>45926</v>
      </c>
      <c r="D751" t="inlineStr">
        <is>
          <t>SKÅNE LÄN</t>
        </is>
      </c>
      <c r="E751" t="inlineStr">
        <is>
          <t>HÄSSLEHOLM</t>
        </is>
      </c>
      <c r="G751" t="n">
        <v>2.8</v>
      </c>
      <c r="H751" t="n">
        <v>0</v>
      </c>
      <c r="I751" t="n">
        <v>0</v>
      </c>
      <c r="J751" t="n">
        <v>0</v>
      </c>
      <c r="K751" t="n">
        <v>0</v>
      </c>
      <c r="L751" t="n">
        <v>0</v>
      </c>
      <c r="M751" t="n">
        <v>0</v>
      </c>
      <c r="N751" t="n">
        <v>0</v>
      </c>
      <c r="O751" t="n">
        <v>0</v>
      </c>
      <c r="P751" t="n">
        <v>0</v>
      </c>
      <c r="Q751" t="n">
        <v>0</v>
      </c>
      <c r="R751" s="2" t="inlineStr"/>
    </row>
    <row r="752" ht="15" customHeight="1">
      <c r="A752" t="inlineStr">
        <is>
          <t>A 32154-2024</t>
        </is>
      </c>
      <c r="B752" s="1" t="n">
        <v>45511</v>
      </c>
      <c r="C752" s="1" t="n">
        <v>45926</v>
      </c>
      <c r="D752" t="inlineStr">
        <is>
          <t>SKÅNE LÄN</t>
        </is>
      </c>
      <c r="E752" t="inlineStr">
        <is>
          <t>HÄSSLEHOLM</t>
        </is>
      </c>
      <c r="G752" t="n">
        <v>6.4</v>
      </c>
      <c r="H752" t="n">
        <v>0</v>
      </c>
      <c r="I752" t="n">
        <v>0</v>
      </c>
      <c r="J752" t="n">
        <v>0</v>
      </c>
      <c r="K752" t="n">
        <v>0</v>
      </c>
      <c r="L752" t="n">
        <v>0</v>
      </c>
      <c r="M752" t="n">
        <v>0</v>
      </c>
      <c r="N752" t="n">
        <v>0</v>
      </c>
      <c r="O752" t="n">
        <v>0</v>
      </c>
      <c r="P752" t="n">
        <v>0</v>
      </c>
      <c r="Q752" t="n">
        <v>0</v>
      </c>
      <c r="R752" s="2" t="inlineStr"/>
    </row>
    <row r="753" ht="15" customHeight="1">
      <c r="A753" t="inlineStr">
        <is>
          <t>A 1553-2023</t>
        </is>
      </c>
      <c r="B753" s="1" t="n">
        <v>44937</v>
      </c>
      <c r="C753" s="1" t="n">
        <v>45926</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22690-2022</t>
        </is>
      </c>
      <c r="B754" s="1" t="n">
        <v>44714.5421875</v>
      </c>
      <c r="C754" s="1" t="n">
        <v>45926</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53897-2023</t>
        </is>
      </c>
      <c r="B755" s="1" t="n">
        <v>45231.53934027778</v>
      </c>
      <c r="C755" s="1" t="n">
        <v>45926</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1170-2025</t>
        </is>
      </c>
      <c r="B756" s="1" t="n">
        <v>45667.29226851852</v>
      </c>
      <c r="C756" s="1" t="n">
        <v>45926</v>
      </c>
      <c r="D756" t="inlineStr">
        <is>
          <t>SKÅNE LÄN</t>
        </is>
      </c>
      <c r="E756" t="inlineStr">
        <is>
          <t>HÄSSLEHOLM</t>
        </is>
      </c>
      <c r="G756" t="n">
        <v>4.3</v>
      </c>
      <c r="H756" t="n">
        <v>0</v>
      </c>
      <c r="I756" t="n">
        <v>0</v>
      </c>
      <c r="J756" t="n">
        <v>0</v>
      </c>
      <c r="K756" t="n">
        <v>0</v>
      </c>
      <c r="L756" t="n">
        <v>0</v>
      </c>
      <c r="M756" t="n">
        <v>0</v>
      </c>
      <c r="N756" t="n">
        <v>0</v>
      </c>
      <c r="O756" t="n">
        <v>0</v>
      </c>
      <c r="P756" t="n">
        <v>0</v>
      </c>
      <c r="Q756" t="n">
        <v>0</v>
      </c>
      <c r="R756" s="2" t="inlineStr"/>
    </row>
    <row r="757" ht="15" customHeight="1">
      <c r="A757" t="inlineStr">
        <is>
          <t>A 15990-2023</t>
        </is>
      </c>
      <c r="B757" s="1" t="n">
        <v>45023.39584490741</v>
      </c>
      <c r="C757" s="1" t="n">
        <v>45926</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26207-2021</t>
        </is>
      </c>
      <c r="B758" s="1" t="n">
        <v>44347</v>
      </c>
      <c r="C758" s="1" t="n">
        <v>45926</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62199-2022</t>
        </is>
      </c>
      <c r="B759" s="1" t="n">
        <v>44915</v>
      </c>
      <c r="C759" s="1" t="n">
        <v>45926</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22132-2024</t>
        </is>
      </c>
      <c r="B760" s="1" t="n">
        <v>45444.37234953704</v>
      </c>
      <c r="C760" s="1" t="n">
        <v>45926</v>
      </c>
      <c r="D760" t="inlineStr">
        <is>
          <t>SKÅNE LÄN</t>
        </is>
      </c>
      <c r="E760" t="inlineStr">
        <is>
          <t>HÄSSLEHOLM</t>
        </is>
      </c>
      <c r="G760" t="n">
        <v>3.1</v>
      </c>
      <c r="H760" t="n">
        <v>0</v>
      </c>
      <c r="I760" t="n">
        <v>0</v>
      </c>
      <c r="J760" t="n">
        <v>0</v>
      </c>
      <c r="K760" t="n">
        <v>0</v>
      </c>
      <c r="L760" t="n">
        <v>0</v>
      </c>
      <c r="M760" t="n">
        <v>0</v>
      </c>
      <c r="N760" t="n">
        <v>0</v>
      </c>
      <c r="O760" t="n">
        <v>0</v>
      </c>
      <c r="P760" t="n">
        <v>0</v>
      </c>
      <c r="Q760" t="n">
        <v>0</v>
      </c>
      <c r="R760" s="2" t="inlineStr"/>
    </row>
    <row r="761" ht="15" customHeight="1">
      <c r="A761" t="inlineStr">
        <is>
          <t>A 9098-2022</t>
        </is>
      </c>
      <c r="B761" s="1" t="n">
        <v>44615</v>
      </c>
      <c r="C761" s="1" t="n">
        <v>45926</v>
      </c>
      <c r="D761" t="inlineStr">
        <is>
          <t>SKÅNE LÄN</t>
        </is>
      </c>
      <c r="E761" t="inlineStr">
        <is>
          <t>HÄSSLEHOLM</t>
        </is>
      </c>
      <c r="G761" t="n">
        <v>2.1</v>
      </c>
      <c r="H761" t="n">
        <v>0</v>
      </c>
      <c r="I761" t="n">
        <v>0</v>
      </c>
      <c r="J761" t="n">
        <v>0</v>
      </c>
      <c r="K761" t="n">
        <v>0</v>
      </c>
      <c r="L761" t="n">
        <v>0</v>
      </c>
      <c r="M761" t="n">
        <v>0</v>
      </c>
      <c r="N761" t="n">
        <v>0</v>
      </c>
      <c r="O761" t="n">
        <v>0</v>
      </c>
      <c r="P761" t="n">
        <v>0</v>
      </c>
      <c r="Q761" t="n">
        <v>0</v>
      </c>
      <c r="R761" s="2" t="inlineStr"/>
    </row>
    <row r="762" ht="15" customHeight="1">
      <c r="A762" t="inlineStr">
        <is>
          <t>A 19151-2023</t>
        </is>
      </c>
      <c r="B762" s="1" t="n">
        <v>45044</v>
      </c>
      <c r="C762" s="1" t="n">
        <v>45926</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32210-2024</t>
        </is>
      </c>
      <c r="B763" s="1" t="n">
        <v>45511.67777777778</v>
      </c>
      <c r="C763" s="1" t="n">
        <v>45926</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67974-2020</t>
        </is>
      </c>
      <c r="B764" s="1" t="n">
        <v>44182</v>
      </c>
      <c r="C764" s="1" t="n">
        <v>45926</v>
      </c>
      <c r="D764" t="inlineStr">
        <is>
          <t>SKÅNE LÄN</t>
        </is>
      </c>
      <c r="E764" t="inlineStr">
        <is>
          <t>HÄSSLEHOLM</t>
        </is>
      </c>
      <c r="G764" t="n">
        <v>9</v>
      </c>
      <c r="H764" t="n">
        <v>0</v>
      </c>
      <c r="I764" t="n">
        <v>0</v>
      </c>
      <c r="J764" t="n">
        <v>0</v>
      </c>
      <c r="K764" t="n">
        <v>0</v>
      </c>
      <c r="L764" t="n">
        <v>0</v>
      </c>
      <c r="M764" t="n">
        <v>0</v>
      </c>
      <c r="N764" t="n">
        <v>0</v>
      </c>
      <c r="O764" t="n">
        <v>0</v>
      </c>
      <c r="P764" t="n">
        <v>0</v>
      </c>
      <c r="Q764" t="n">
        <v>0</v>
      </c>
      <c r="R764" s="2" t="inlineStr"/>
    </row>
    <row r="765" ht="15" customHeight="1">
      <c r="A765" t="inlineStr">
        <is>
          <t>A 2688-2024</t>
        </is>
      </c>
      <c r="B765" s="1" t="n">
        <v>45314</v>
      </c>
      <c r="C765" s="1" t="n">
        <v>45926</v>
      </c>
      <c r="D765" t="inlineStr">
        <is>
          <t>SKÅNE LÄN</t>
        </is>
      </c>
      <c r="E765" t="inlineStr">
        <is>
          <t>HÄSSLEHOLM</t>
        </is>
      </c>
      <c r="F765" t="inlineStr">
        <is>
          <t>Övriga Aktiebolag</t>
        </is>
      </c>
      <c r="G765" t="n">
        <v>2.8</v>
      </c>
      <c r="H765" t="n">
        <v>0</v>
      </c>
      <c r="I765" t="n">
        <v>0</v>
      </c>
      <c r="J765" t="n">
        <v>0</v>
      </c>
      <c r="K765" t="n">
        <v>0</v>
      </c>
      <c r="L765" t="n">
        <v>0</v>
      </c>
      <c r="M765" t="n">
        <v>0</v>
      </c>
      <c r="N765" t="n">
        <v>0</v>
      </c>
      <c r="O765" t="n">
        <v>0</v>
      </c>
      <c r="P765" t="n">
        <v>0</v>
      </c>
      <c r="Q765" t="n">
        <v>0</v>
      </c>
      <c r="R765" s="2" t="inlineStr"/>
    </row>
    <row r="766" ht="15" customHeight="1">
      <c r="A766" t="inlineStr">
        <is>
          <t>A 29850-2024</t>
        </is>
      </c>
      <c r="B766" s="1" t="n">
        <v>45485.64620370371</v>
      </c>
      <c r="C766" s="1" t="n">
        <v>45926</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2743-2023</t>
        </is>
      </c>
      <c r="B767" s="1" t="n">
        <v>44944</v>
      </c>
      <c r="C767" s="1" t="n">
        <v>45926</v>
      </c>
      <c r="D767" t="inlineStr">
        <is>
          <t>SKÅNE LÄN</t>
        </is>
      </c>
      <c r="E767" t="inlineStr">
        <is>
          <t>HÄSSLEHOLM</t>
        </is>
      </c>
      <c r="F767" t="inlineStr">
        <is>
          <t>Sveaskog</t>
        </is>
      </c>
      <c r="G767" t="n">
        <v>1.9</v>
      </c>
      <c r="H767" t="n">
        <v>0</v>
      </c>
      <c r="I767" t="n">
        <v>0</v>
      </c>
      <c r="J767" t="n">
        <v>0</v>
      </c>
      <c r="K767" t="n">
        <v>0</v>
      </c>
      <c r="L767" t="n">
        <v>0</v>
      </c>
      <c r="M767" t="n">
        <v>0</v>
      </c>
      <c r="N767" t="n">
        <v>0</v>
      </c>
      <c r="O767" t="n">
        <v>0</v>
      </c>
      <c r="P767" t="n">
        <v>0</v>
      </c>
      <c r="Q767" t="n">
        <v>0</v>
      </c>
      <c r="R767" s="2" t="inlineStr"/>
    </row>
    <row r="768" ht="15" customHeight="1">
      <c r="A768" t="inlineStr">
        <is>
          <t>A 30007-2023</t>
        </is>
      </c>
      <c r="B768" s="1" t="n">
        <v>45109.80349537037</v>
      </c>
      <c r="C768" s="1" t="n">
        <v>45926</v>
      </c>
      <c r="D768" t="inlineStr">
        <is>
          <t>SKÅNE LÄN</t>
        </is>
      </c>
      <c r="E768" t="inlineStr">
        <is>
          <t>HÄSSLEHOLM</t>
        </is>
      </c>
      <c r="G768" t="n">
        <v>2.2</v>
      </c>
      <c r="H768" t="n">
        <v>0</v>
      </c>
      <c r="I768" t="n">
        <v>0</v>
      </c>
      <c r="J768" t="n">
        <v>0</v>
      </c>
      <c r="K768" t="n">
        <v>0</v>
      </c>
      <c r="L768" t="n">
        <v>0</v>
      </c>
      <c r="M768" t="n">
        <v>0</v>
      </c>
      <c r="N768" t="n">
        <v>0</v>
      </c>
      <c r="O768" t="n">
        <v>0</v>
      </c>
      <c r="P768" t="n">
        <v>0</v>
      </c>
      <c r="Q768" t="n">
        <v>0</v>
      </c>
      <c r="R768" s="2" t="inlineStr"/>
    </row>
    <row r="769" ht="15" customHeight="1">
      <c r="A769" t="inlineStr">
        <is>
          <t>A 8749-2024</t>
        </is>
      </c>
      <c r="B769" s="1" t="n">
        <v>45356.50387731481</v>
      </c>
      <c r="C769" s="1" t="n">
        <v>45926</v>
      </c>
      <c r="D769" t="inlineStr">
        <is>
          <t>SKÅNE LÄN</t>
        </is>
      </c>
      <c r="E769" t="inlineStr">
        <is>
          <t>HÄSSLEHOLM</t>
        </is>
      </c>
      <c r="G769" t="n">
        <v>2.9</v>
      </c>
      <c r="H769" t="n">
        <v>0</v>
      </c>
      <c r="I769" t="n">
        <v>0</v>
      </c>
      <c r="J769" t="n">
        <v>0</v>
      </c>
      <c r="K769" t="n">
        <v>0</v>
      </c>
      <c r="L769" t="n">
        <v>0</v>
      </c>
      <c r="M769" t="n">
        <v>0</v>
      </c>
      <c r="N769" t="n">
        <v>0</v>
      </c>
      <c r="O769" t="n">
        <v>0</v>
      </c>
      <c r="P769" t="n">
        <v>0</v>
      </c>
      <c r="Q769" t="n">
        <v>0</v>
      </c>
      <c r="R769" s="2" t="inlineStr"/>
    </row>
    <row r="770" ht="15" customHeight="1">
      <c r="A770" t="inlineStr">
        <is>
          <t>A 8752-2024</t>
        </is>
      </c>
      <c r="B770" s="1" t="n">
        <v>45356</v>
      </c>
      <c r="C770" s="1" t="n">
        <v>45926</v>
      </c>
      <c r="D770" t="inlineStr">
        <is>
          <t>SKÅNE LÄN</t>
        </is>
      </c>
      <c r="E770" t="inlineStr">
        <is>
          <t>HÄSSLEHOLM</t>
        </is>
      </c>
      <c r="G770" t="n">
        <v>3.4</v>
      </c>
      <c r="H770" t="n">
        <v>0</v>
      </c>
      <c r="I770" t="n">
        <v>0</v>
      </c>
      <c r="J770" t="n">
        <v>0</v>
      </c>
      <c r="K770" t="n">
        <v>0</v>
      </c>
      <c r="L770" t="n">
        <v>0</v>
      </c>
      <c r="M770" t="n">
        <v>0</v>
      </c>
      <c r="N770" t="n">
        <v>0</v>
      </c>
      <c r="O770" t="n">
        <v>0</v>
      </c>
      <c r="P770" t="n">
        <v>0</v>
      </c>
      <c r="Q770" t="n">
        <v>0</v>
      </c>
      <c r="R770" s="2" t="inlineStr"/>
    </row>
    <row r="771" ht="15" customHeight="1">
      <c r="A771" t="inlineStr">
        <is>
          <t>A 8759-2024</t>
        </is>
      </c>
      <c r="B771" s="1" t="n">
        <v>45356.52271990741</v>
      </c>
      <c r="C771" s="1" t="n">
        <v>45926</v>
      </c>
      <c r="D771" t="inlineStr">
        <is>
          <t>SKÅNE LÄN</t>
        </is>
      </c>
      <c r="E771" t="inlineStr">
        <is>
          <t>HÄSSLEHOLM</t>
        </is>
      </c>
      <c r="G771" t="n">
        <v>5.7</v>
      </c>
      <c r="H771" t="n">
        <v>0</v>
      </c>
      <c r="I771" t="n">
        <v>0</v>
      </c>
      <c r="J771" t="n">
        <v>0</v>
      </c>
      <c r="K771" t="n">
        <v>0</v>
      </c>
      <c r="L771" t="n">
        <v>0</v>
      </c>
      <c r="M771" t="n">
        <v>0</v>
      </c>
      <c r="N771" t="n">
        <v>0</v>
      </c>
      <c r="O771" t="n">
        <v>0</v>
      </c>
      <c r="P771" t="n">
        <v>0</v>
      </c>
      <c r="Q771" t="n">
        <v>0</v>
      </c>
      <c r="R771" s="2" t="inlineStr"/>
    </row>
    <row r="772" ht="15" customHeight="1">
      <c r="A772" t="inlineStr">
        <is>
          <t>A 48624-2021</t>
        </is>
      </c>
      <c r="B772" s="1" t="n">
        <v>44452</v>
      </c>
      <c r="C772" s="1" t="n">
        <v>45926</v>
      </c>
      <c r="D772" t="inlineStr">
        <is>
          <t>SKÅNE LÄN</t>
        </is>
      </c>
      <c r="E772" t="inlineStr">
        <is>
          <t>HÄSSLEHOLM</t>
        </is>
      </c>
      <c r="G772" t="n">
        <v>2.2</v>
      </c>
      <c r="H772" t="n">
        <v>0</v>
      </c>
      <c r="I772" t="n">
        <v>0</v>
      </c>
      <c r="J772" t="n">
        <v>0</v>
      </c>
      <c r="K772" t="n">
        <v>0</v>
      </c>
      <c r="L772" t="n">
        <v>0</v>
      </c>
      <c r="M772" t="n">
        <v>0</v>
      </c>
      <c r="N772" t="n">
        <v>0</v>
      </c>
      <c r="O772" t="n">
        <v>0</v>
      </c>
      <c r="P772" t="n">
        <v>0</v>
      </c>
      <c r="Q772" t="n">
        <v>0</v>
      </c>
      <c r="R772" s="2" t="inlineStr"/>
    </row>
    <row r="773" ht="15" customHeight="1">
      <c r="A773" t="inlineStr">
        <is>
          <t>A 4187-2023</t>
        </is>
      </c>
      <c r="B773" s="1" t="n">
        <v>44953</v>
      </c>
      <c r="C773" s="1" t="n">
        <v>45926</v>
      </c>
      <c r="D773" t="inlineStr">
        <is>
          <t>SKÅNE LÄN</t>
        </is>
      </c>
      <c r="E773" t="inlineStr">
        <is>
          <t>HÄSSLEHOLM</t>
        </is>
      </c>
      <c r="G773" t="n">
        <v>3.2</v>
      </c>
      <c r="H773" t="n">
        <v>0</v>
      </c>
      <c r="I773" t="n">
        <v>0</v>
      </c>
      <c r="J773" t="n">
        <v>0</v>
      </c>
      <c r="K773" t="n">
        <v>0</v>
      </c>
      <c r="L773" t="n">
        <v>0</v>
      </c>
      <c r="M773" t="n">
        <v>0</v>
      </c>
      <c r="N773" t="n">
        <v>0</v>
      </c>
      <c r="O773" t="n">
        <v>0</v>
      </c>
      <c r="P773" t="n">
        <v>0</v>
      </c>
      <c r="Q773" t="n">
        <v>0</v>
      </c>
      <c r="R773" s="2" t="inlineStr"/>
    </row>
    <row r="774" ht="15" customHeight="1">
      <c r="A774" t="inlineStr">
        <is>
          <t>A 42231-2022</t>
        </is>
      </c>
      <c r="B774" s="1" t="n">
        <v>44830.77003472222</v>
      </c>
      <c r="C774" s="1" t="n">
        <v>45926</v>
      </c>
      <c r="D774" t="inlineStr">
        <is>
          <t>SKÅNE LÄN</t>
        </is>
      </c>
      <c r="E774" t="inlineStr">
        <is>
          <t>HÄSSLEHOLM</t>
        </is>
      </c>
      <c r="G774" t="n">
        <v>2.7</v>
      </c>
      <c r="H774" t="n">
        <v>0</v>
      </c>
      <c r="I774" t="n">
        <v>0</v>
      </c>
      <c r="J774" t="n">
        <v>0</v>
      </c>
      <c r="K774" t="n">
        <v>0</v>
      </c>
      <c r="L774" t="n">
        <v>0</v>
      </c>
      <c r="M774" t="n">
        <v>0</v>
      </c>
      <c r="N774" t="n">
        <v>0</v>
      </c>
      <c r="O774" t="n">
        <v>0</v>
      </c>
      <c r="P774" t="n">
        <v>0</v>
      </c>
      <c r="Q774" t="n">
        <v>0</v>
      </c>
      <c r="R774" s="2" t="inlineStr"/>
    </row>
    <row r="775" ht="15" customHeight="1">
      <c r="A775" t="inlineStr">
        <is>
          <t>A 59434-2023</t>
        </is>
      </c>
      <c r="B775" s="1" t="n">
        <v>45254.30440972222</v>
      </c>
      <c r="C775" s="1" t="n">
        <v>45926</v>
      </c>
      <c r="D775" t="inlineStr">
        <is>
          <t>SKÅNE LÄN</t>
        </is>
      </c>
      <c r="E775" t="inlineStr">
        <is>
          <t>HÄSSLEHOLM</t>
        </is>
      </c>
      <c r="G775" t="n">
        <v>3.6</v>
      </c>
      <c r="H775" t="n">
        <v>0</v>
      </c>
      <c r="I775" t="n">
        <v>0</v>
      </c>
      <c r="J775" t="n">
        <v>0</v>
      </c>
      <c r="K775" t="n">
        <v>0</v>
      </c>
      <c r="L775" t="n">
        <v>0</v>
      </c>
      <c r="M775" t="n">
        <v>0</v>
      </c>
      <c r="N775" t="n">
        <v>0</v>
      </c>
      <c r="O775" t="n">
        <v>0</v>
      </c>
      <c r="P775" t="n">
        <v>0</v>
      </c>
      <c r="Q775" t="n">
        <v>0</v>
      </c>
      <c r="R775" s="2" t="inlineStr"/>
    </row>
    <row r="776" ht="15" customHeight="1">
      <c r="A776" t="inlineStr">
        <is>
          <t>A 2290-2024</t>
        </is>
      </c>
      <c r="B776" s="1" t="n">
        <v>45310</v>
      </c>
      <c r="C776" s="1" t="n">
        <v>45926</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59390-2021</t>
        </is>
      </c>
      <c r="B777" s="1" t="n">
        <v>44490</v>
      </c>
      <c r="C777" s="1" t="n">
        <v>45926</v>
      </c>
      <c r="D777" t="inlineStr">
        <is>
          <t>SKÅNE LÄN</t>
        </is>
      </c>
      <c r="E777" t="inlineStr">
        <is>
          <t>HÄSSLEHOLM</t>
        </is>
      </c>
      <c r="G777" t="n">
        <v>7.1</v>
      </c>
      <c r="H777" t="n">
        <v>0</v>
      </c>
      <c r="I777" t="n">
        <v>0</v>
      </c>
      <c r="J777" t="n">
        <v>0</v>
      </c>
      <c r="K777" t="n">
        <v>0</v>
      </c>
      <c r="L777" t="n">
        <v>0</v>
      </c>
      <c r="M777" t="n">
        <v>0</v>
      </c>
      <c r="N777" t="n">
        <v>0</v>
      </c>
      <c r="O777" t="n">
        <v>0</v>
      </c>
      <c r="P777" t="n">
        <v>0</v>
      </c>
      <c r="Q777" t="n">
        <v>0</v>
      </c>
      <c r="R777" s="2" t="inlineStr"/>
    </row>
    <row r="778" ht="15" customHeight="1">
      <c r="A778" t="inlineStr">
        <is>
          <t>A 33067-2024</t>
        </is>
      </c>
      <c r="B778" s="1" t="n">
        <v>45517.6520949074</v>
      </c>
      <c r="C778" s="1" t="n">
        <v>45926</v>
      </c>
      <c r="D778" t="inlineStr">
        <is>
          <t>SKÅNE LÄN</t>
        </is>
      </c>
      <c r="E778" t="inlineStr">
        <is>
          <t>HÄSSLEHOLM</t>
        </is>
      </c>
      <c r="G778" t="n">
        <v>0.4</v>
      </c>
      <c r="H778" t="n">
        <v>0</v>
      </c>
      <c r="I778" t="n">
        <v>0</v>
      </c>
      <c r="J778" t="n">
        <v>0</v>
      </c>
      <c r="K778" t="n">
        <v>0</v>
      </c>
      <c r="L778" t="n">
        <v>0</v>
      </c>
      <c r="M778" t="n">
        <v>0</v>
      </c>
      <c r="N778" t="n">
        <v>0</v>
      </c>
      <c r="O778" t="n">
        <v>0</v>
      </c>
      <c r="P778" t="n">
        <v>0</v>
      </c>
      <c r="Q778" t="n">
        <v>0</v>
      </c>
      <c r="R778" s="2" t="inlineStr"/>
    </row>
    <row r="779" ht="15" customHeight="1">
      <c r="A779" t="inlineStr">
        <is>
          <t>A 28236-2022</t>
        </is>
      </c>
      <c r="B779" s="1" t="n">
        <v>44746</v>
      </c>
      <c r="C779" s="1" t="n">
        <v>45926</v>
      </c>
      <c r="D779" t="inlineStr">
        <is>
          <t>SKÅNE LÄN</t>
        </is>
      </c>
      <c r="E779" t="inlineStr">
        <is>
          <t>HÄSSLEHOLM</t>
        </is>
      </c>
      <c r="G779" t="n">
        <v>3.5</v>
      </c>
      <c r="H779" t="n">
        <v>0</v>
      </c>
      <c r="I779" t="n">
        <v>0</v>
      </c>
      <c r="J779" t="n">
        <v>0</v>
      </c>
      <c r="K779" t="n">
        <v>0</v>
      </c>
      <c r="L779" t="n">
        <v>0</v>
      </c>
      <c r="M779" t="n">
        <v>0</v>
      </c>
      <c r="N779" t="n">
        <v>0</v>
      </c>
      <c r="O779" t="n">
        <v>0</v>
      </c>
      <c r="P779" t="n">
        <v>0</v>
      </c>
      <c r="Q779" t="n">
        <v>0</v>
      </c>
      <c r="R779" s="2" t="inlineStr"/>
    </row>
    <row r="780" ht="15" customHeight="1">
      <c r="A780" t="inlineStr">
        <is>
          <t>A 61625-2022</t>
        </is>
      </c>
      <c r="B780" s="1" t="n">
        <v>44916</v>
      </c>
      <c r="C780" s="1" t="n">
        <v>45926</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38829-2024</t>
        </is>
      </c>
      <c r="B781" s="1" t="n">
        <v>45547.57247685185</v>
      </c>
      <c r="C781" s="1" t="n">
        <v>45926</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13890-2024</t>
        </is>
      </c>
      <c r="B782" s="1" t="n">
        <v>45391</v>
      </c>
      <c r="C782" s="1" t="n">
        <v>45926</v>
      </c>
      <c r="D782" t="inlineStr">
        <is>
          <t>SKÅNE LÄN</t>
        </is>
      </c>
      <c r="E782" t="inlineStr">
        <is>
          <t>HÄSSLEHOLM</t>
        </is>
      </c>
      <c r="F782" t="inlineStr">
        <is>
          <t>Kommuner</t>
        </is>
      </c>
      <c r="G782" t="n">
        <v>1.4</v>
      </c>
      <c r="H782" t="n">
        <v>0</v>
      </c>
      <c r="I782" t="n">
        <v>0</v>
      </c>
      <c r="J782" t="n">
        <v>0</v>
      </c>
      <c r="K782" t="n">
        <v>0</v>
      </c>
      <c r="L782" t="n">
        <v>0</v>
      </c>
      <c r="M782" t="n">
        <v>0</v>
      </c>
      <c r="N782" t="n">
        <v>0</v>
      </c>
      <c r="O782" t="n">
        <v>0</v>
      </c>
      <c r="P782" t="n">
        <v>0</v>
      </c>
      <c r="Q782" t="n">
        <v>0</v>
      </c>
      <c r="R782" s="2" t="inlineStr"/>
    </row>
    <row r="783" ht="15" customHeight="1">
      <c r="A783" t="inlineStr">
        <is>
          <t>A 55218-2023</t>
        </is>
      </c>
      <c r="B783" s="1" t="n">
        <v>45237</v>
      </c>
      <c r="C783" s="1" t="n">
        <v>45926</v>
      </c>
      <c r="D783" t="inlineStr">
        <is>
          <t>SKÅNE LÄN</t>
        </is>
      </c>
      <c r="E783" t="inlineStr">
        <is>
          <t>HÄSSLEHOLM</t>
        </is>
      </c>
      <c r="G783" t="n">
        <v>2</v>
      </c>
      <c r="H783" t="n">
        <v>0</v>
      </c>
      <c r="I783" t="n">
        <v>0</v>
      </c>
      <c r="J783" t="n">
        <v>0</v>
      </c>
      <c r="K783" t="n">
        <v>0</v>
      </c>
      <c r="L783" t="n">
        <v>0</v>
      </c>
      <c r="M783" t="n">
        <v>0</v>
      </c>
      <c r="N783" t="n">
        <v>0</v>
      </c>
      <c r="O783" t="n">
        <v>0</v>
      </c>
      <c r="P783" t="n">
        <v>0</v>
      </c>
      <c r="Q783" t="n">
        <v>0</v>
      </c>
      <c r="R783" s="2" t="inlineStr"/>
    </row>
    <row r="784" ht="15" customHeight="1">
      <c r="A784" t="inlineStr">
        <is>
          <t>A 46288-2023</t>
        </is>
      </c>
      <c r="B784" s="1" t="n">
        <v>45197.30221064815</v>
      </c>
      <c r="C784" s="1" t="n">
        <v>45926</v>
      </c>
      <c r="D784" t="inlineStr">
        <is>
          <t>SKÅNE LÄN</t>
        </is>
      </c>
      <c r="E784" t="inlineStr">
        <is>
          <t>HÄSSLEHOLM</t>
        </is>
      </c>
      <c r="G784" t="n">
        <v>3</v>
      </c>
      <c r="H784" t="n">
        <v>0</v>
      </c>
      <c r="I784" t="n">
        <v>0</v>
      </c>
      <c r="J784" t="n">
        <v>0</v>
      </c>
      <c r="K784" t="n">
        <v>0</v>
      </c>
      <c r="L784" t="n">
        <v>0</v>
      </c>
      <c r="M784" t="n">
        <v>0</v>
      </c>
      <c r="N784" t="n">
        <v>0</v>
      </c>
      <c r="O784" t="n">
        <v>0</v>
      </c>
      <c r="P784" t="n">
        <v>0</v>
      </c>
      <c r="Q784" t="n">
        <v>0</v>
      </c>
      <c r="R784" s="2" t="inlineStr"/>
    </row>
    <row r="785" ht="15" customHeight="1">
      <c r="A785" t="inlineStr">
        <is>
          <t>A 49106-2023</t>
        </is>
      </c>
      <c r="B785" s="1" t="n">
        <v>45210</v>
      </c>
      <c r="C785" s="1" t="n">
        <v>45926</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10409-2024</t>
        </is>
      </c>
      <c r="B786" s="1" t="n">
        <v>45365.6978125</v>
      </c>
      <c r="C786" s="1" t="n">
        <v>45926</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3452-2023</t>
        </is>
      </c>
      <c r="B787" s="1" t="n">
        <v>44949</v>
      </c>
      <c r="C787" s="1" t="n">
        <v>45926</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50525-2024</t>
        </is>
      </c>
      <c r="B788" s="1" t="n">
        <v>45601</v>
      </c>
      <c r="C788" s="1" t="n">
        <v>45926</v>
      </c>
      <c r="D788" t="inlineStr">
        <is>
          <t>SKÅNE LÄN</t>
        </is>
      </c>
      <c r="E788" t="inlineStr">
        <is>
          <t>HÄSSLEHOLM</t>
        </is>
      </c>
      <c r="G788" t="n">
        <v>2.6</v>
      </c>
      <c r="H788" t="n">
        <v>0</v>
      </c>
      <c r="I788" t="n">
        <v>0</v>
      </c>
      <c r="J788" t="n">
        <v>0</v>
      </c>
      <c r="K788" t="n">
        <v>0</v>
      </c>
      <c r="L788" t="n">
        <v>0</v>
      </c>
      <c r="M788" t="n">
        <v>0</v>
      </c>
      <c r="N788" t="n">
        <v>0</v>
      </c>
      <c r="O788" t="n">
        <v>0</v>
      </c>
      <c r="P788" t="n">
        <v>0</v>
      </c>
      <c r="Q788" t="n">
        <v>0</v>
      </c>
      <c r="R788" s="2" t="inlineStr"/>
    </row>
    <row r="789" ht="15" customHeight="1">
      <c r="A789" t="inlineStr">
        <is>
          <t>A 260-2024</t>
        </is>
      </c>
      <c r="B789" s="1" t="n">
        <v>45294</v>
      </c>
      <c r="C789" s="1" t="n">
        <v>45926</v>
      </c>
      <c r="D789" t="inlineStr">
        <is>
          <t>SKÅNE LÄN</t>
        </is>
      </c>
      <c r="E789" t="inlineStr">
        <is>
          <t>HÄSSLEHOLM</t>
        </is>
      </c>
      <c r="G789" t="n">
        <v>0.2</v>
      </c>
      <c r="H789" t="n">
        <v>0</v>
      </c>
      <c r="I789" t="n">
        <v>0</v>
      </c>
      <c r="J789" t="n">
        <v>0</v>
      </c>
      <c r="K789" t="n">
        <v>0</v>
      </c>
      <c r="L789" t="n">
        <v>0</v>
      </c>
      <c r="M789" t="n">
        <v>0</v>
      </c>
      <c r="N789" t="n">
        <v>0</v>
      </c>
      <c r="O789" t="n">
        <v>0</v>
      </c>
      <c r="P789" t="n">
        <v>0</v>
      </c>
      <c r="Q789" t="n">
        <v>0</v>
      </c>
      <c r="R789" s="2" t="inlineStr"/>
    </row>
    <row r="790" ht="15" customHeight="1">
      <c r="A790" t="inlineStr">
        <is>
          <t>A 5016-2024</t>
        </is>
      </c>
      <c r="B790" s="1" t="n">
        <v>45329</v>
      </c>
      <c r="C790" s="1" t="n">
        <v>45926</v>
      </c>
      <c r="D790" t="inlineStr">
        <is>
          <t>SKÅNE LÄN</t>
        </is>
      </c>
      <c r="E790" t="inlineStr">
        <is>
          <t>HÄSSLEHOLM</t>
        </is>
      </c>
      <c r="G790" t="n">
        <v>3.2</v>
      </c>
      <c r="H790" t="n">
        <v>0</v>
      </c>
      <c r="I790" t="n">
        <v>0</v>
      </c>
      <c r="J790" t="n">
        <v>0</v>
      </c>
      <c r="K790" t="n">
        <v>0</v>
      </c>
      <c r="L790" t="n">
        <v>0</v>
      </c>
      <c r="M790" t="n">
        <v>0</v>
      </c>
      <c r="N790" t="n">
        <v>0</v>
      </c>
      <c r="O790" t="n">
        <v>0</v>
      </c>
      <c r="P790" t="n">
        <v>0</v>
      </c>
      <c r="Q790" t="n">
        <v>0</v>
      </c>
      <c r="R790" s="2" t="inlineStr"/>
    </row>
    <row r="791" ht="15" customHeight="1">
      <c r="A791" t="inlineStr">
        <is>
          <t>A 11603-2025</t>
        </is>
      </c>
      <c r="B791" s="1" t="n">
        <v>45727</v>
      </c>
      <c r="C791" s="1" t="n">
        <v>45926</v>
      </c>
      <c r="D791" t="inlineStr">
        <is>
          <t>SKÅNE LÄN</t>
        </is>
      </c>
      <c r="E791" t="inlineStr">
        <is>
          <t>HÄSSLEHOLM</t>
        </is>
      </c>
      <c r="G791" t="n">
        <v>5.6</v>
      </c>
      <c r="H791" t="n">
        <v>0</v>
      </c>
      <c r="I791" t="n">
        <v>0</v>
      </c>
      <c r="J791" t="n">
        <v>0</v>
      </c>
      <c r="K791" t="n">
        <v>0</v>
      </c>
      <c r="L791" t="n">
        <v>0</v>
      </c>
      <c r="M791" t="n">
        <v>0</v>
      </c>
      <c r="N791" t="n">
        <v>0</v>
      </c>
      <c r="O791" t="n">
        <v>0</v>
      </c>
      <c r="P791" t="n">
        <v>0</v>
      </c>
      <c r="Q791" t="n">
        <v>0</v>
      </c>
      <c r="R791" s="2" t="inlineStr"/>
    </row>
    <row r="792" ht="15" customHeight="1">
      <c r="A792" t="inlineStr">
        <is>
          <t>A 47248-2023</t>
        </is>
      </c>
      <c r="B792" s="1" t="n">
        <v>45202</v>
      </c>
      <c r="C792" s="1" t="n">
        <v>45926</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25206-2023</t>
        </is>
      </c>
      <c r="B793" s="1" t="n">
        <v>45086.59318287037</v>
      </c>
      <c r="C793" s="1" t="n">
        <v>45926</v>
      </c>
      <c r="D793" t="inlineStr">
        <is>
          <t>SKÅNE LÄN</t>
        </is>
      </c>
      <c r="E793" t="inlineStr">
        <is>
          <t>HÄSSLEHOLM</t>
        </is>
      </c>
      <c r="G793" t="n">
        <v>2.9</v>
      </c>
      <c r="H793" t="n">
        <v>0</v>
      </c>
      <c r="I793" t="n">
        <v>0</v>
      </c>
      <c r="J793" t="n">
        <v>0</v>
      </c>
      <c r="K793" t="n">
        <v>0</v>
      </c>
      <c r="L793" t="n">
        <v>0</v>
      </c>
      <c r="M793" t="n">
        <v>0</v>
      </c>
      <c r="N793" t="n">
        <v>0</v>
      </c>
      <c r="O793" t="n">
        <v>0</v>
      </c>
      <c r="P793" t="n">
        <v>0</v>
      </c>
      <c r="Q793" t="n">
        <v>0</v>
      </c>
      <c r="R793" s="2" t="inlineStr"/>
    </row>
    <row r="794" ht="15" customHeight="1">
      <c r="A794" t="inlineStr">
        <is>
          <t>A 25221-2023</t>
        </is>
      </c>
      <c r="B794" s="1" t="n">
        <v>45086.60842592592</v>
      </c>
      <c r="C794" s="1" t="n">
        <v>45926</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57272-2023</t>
        </is>
      </c>
      <c r="B795" s="1" t="n">
        <v>45245</v>
      </c>
      <c r="C795" s="1" t="n">
        <v>45926</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20990-2023</t>
        </is>
      </c>
      <c r="B796" s="1" t="n">
        <v>45061.46186342592</v>
      </c>
      <c r="C796" s="1" t="n">
        <v>45926</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9541-2025</t>
        </is>
      </c>
      <c r="B797" s="1" t="n">
        <v>45714</v>
      </c>
      <c r="C797" s="1" t="n">
        <v>45926</v>
      </c>
      <c r="D797" t="inlineStr">
        <is>
          <t>SKÅNE LÄN</t>
        </is>
      </c>
      <c r="E797" t="inlineStr">
        <is>
          <t>HÄSSLEHOLM</t>
        </is>
      </c>
      <c r="G797" t="n">
        <v>1.6</v>
      </c>
      <c r="H797" t="n">
        <v>0</v>
      </c>
      <c r="I797" t="n">
        <v>0</v>
      </c>
      <c r="J797" t="n">
        <v>0</v>
      </c>
      <c r="K797" t="n">
        <v>0</v>
      </c>
      <c r="L797" t="n">
        <v>0</v>
      </c>
      <c r="M797" t="n">
        <v>0</v>
      </c>
      <c r="N797" t="n">
        <v>0</v>
      </c>
      <c r="O797" t="n">
        <v>0</v>
      </c>
      <c r="P797" t="n">
        <v>0</v>
      </c>
      <c r="Q797" t="n">
        <v>0</v>
      </c>
      <c r="R797" s="2" t="inlineStr"/>
    </row>
    <row r="798" ht="15" customHeight="1">
      <c r="A798" t="inlineStr">
        <is>
          <t>A 13856-2025</t>
        </is>
      </c>
      <c r="B798" s="1" t="n">
        <v>45737.57289351852</v>
      </c>
      <c r="C798" s="1" t="n">
        <v>45926</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9239-2025</t>
        </is>
      </c>
      <c r="B799" s="1" t="n">
        <v>45714</v>
      </c>
      <c r="C799" s="1" t="n">
        <v>45926</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54171-2022</t>
        </is>
      </c>
      <c r="B800" s="1" t="n">
        <v>44881</v>
      </c>
      <c r="C800" s="1" t="n">
        <v>45926</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57277-2023</t>
        </is>
      </c>
      <c r="B801" s="1" t="n">
        <v>45245.59104166667</v>
      </c>
      <c r="C801" s="1" t="n">
        <v>45926</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54359-2020</t>
        </is>
      </c>
      <c r="B802" s="1" t="n">
        <v>44126</v>
      </c>
      <c r="C802" s="1" t="n">
        <v>45926</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48889-2024</t>
        </is>
      </c>
      <c r="B803" s="1" t="n">
        <v>45594.33754629629</v>
      </c>
      <c r="C803" s="1" t="n">
        <v>45926</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8263-2025</t>
        </is>
      </c>
      <c r="B804" s="1" t="n">
        <v>45708.50398148148</v>
      </c>
      <c r="C804" s="1" t="n">
        <v>45926</v>
      </c>
      <c r="D804" t="inlineStr">
        <is>
          <t>SKÅNE LÄN</t>
        </is>
      </c>
      <c r="E804" t="inlineStr">
        <is>
          <t>HÄSSLEHOLM</t>
        </is>
      </c>
      <c r="G804" t="n">
        <v>2.9</v>
      </c>
      <c r="H804" t="n">
        <v>0</v>
      </c>
      <c r="I804" t="n">
        <v>0</v>
      </c>
      <c r="J804" t="n">
        <v>0</v>
      </c>
      <c r="K804" t="n">
        <v>0</v>
      </c>
      <c r="L804" t="n">
        <v>0</v>
      </c>
      <c r="M804" t="n">
        <v>0</v>
      </c>
      <c r="N804" t="n">
        <v>0</v>
      </c>
      <c r="O804" t="n">
        <v>0</v>
      </c>
      <c r="P804" t="n">
        <v>0</v>
      </c>
      <c r="Q804" t="n">
        <v>0</v>
      </c>
      <c r="R804" s="2" t="inlineStr"/>
    </row>
    <row r="805" ht="15" customHeight="1">
      <c r="A805" t="inlineStr">
        <is>
          <t>A 29275-2023</t>
        </is>
      </c>
      <c r="B805" s="1" t="n">
        <v>45105</v>
      </c>
      <c r="C805" s="1" t="n">
        <v>45926</v>
      </c>
      <c r="D805" t="inlineStr">
        <is>
          <t>SKÅNE LÄN</t>
        </is>
      </c>
      <c r="E805" t="inlineStr">
        <is>
          <t>HÄSSLEHOLM</t>
        </is>
      </c>
      <c r="G805" t="n">
        <v>2.1</v>
      </c>
      <c r="H805" t="n">
        <v>0</v>
      </c>
      <c r="I805" t="n">
        <v>0</v>
      </c>
      <c r="J805" t="n">
        <v>0</v>
      </c>
      <c r="K805" t="n">
        <v>0</v>
      </c>
      <c r="L805" t="n">
        <v>0</v>
      </c>
      <c r="M805" t="n">
        <v>0</v>
      </c>
      <c r="N805" t="n">
        <v>0</v>
      </c>
      <c r="O805" t="n">
        <v>0</v>
      </c>
      <c r="P805" t="n">
        <v>0</v>
      </c>
      <c r="Q805" t="n">
        <v>0</v>
      </c>
      <c r="R805" s="2" t="inlineStr"/>
    </row>
    <row r="806" ht="15" customHeight="1">
      <c r="A806" t="inlineStr">
        <is>
          <t>A 13018-2024</t>
        </is>
      </c>
      <c r="B806" s="1" t="n">
        <v>45385.58274305556</v>
      </c>
      <c r="C806" s="1" t="n">
        <v>45926</v>
      </c>
      <c r="D806" t="inlineStr">
        <is>
          <t>SKÅNE LÄN</t>
        </is>
      </c>
      <c r="E806" t="inlineStr">
        <is>
          <t>HÄSSLEHOLM</t>
        </is>
      </c>
      <c r="G806" t="n">
        <v>4.8</v>
      </c>
      <c r="H806" t="n">
        <v>0</v>
      </c>
      <c r="I806" t="n">
        <v>0</v>
      </c>
      <c r="J806" t="n">
        <v>0</v>
      </c>
      <c r="K806" t="n">
        <v>0</v>
      </c>
      <c r="L806" t="n">
        <v>0</v>
      </c>
      <c r="M806" t="n">
        <v>0</v>
      </c>
      <c r="N806" t="n">
        <v>0</v>
      </c>
      <c r="O806" t="n">
        <v>0</v>
      </c>
      <c r="P806" t="n">
        <v>0</v>
      </c>
      <c r="Q806" t="n">
        <v>0</v>
      </c>
      <c r="R806" s="2" t="inlineStr"/>
    </row>
    <row r="807" ht="15" customHeight="1">
      <c r="A807" t="inlineStr">
        <is>
          <t>A 35150-2023</t>
        </is>
      </c>
      <c r="B807" s="1" t="n">
        <v>45145</v>
      </c>
      <c r="C807" s="1" t="n">
        <v>45926</v>
      </c>
      <c r="D807" t="inlineStr">
        <is>
          <t>SKÅNE LÄN</t>
        </is>
      </c>
      <c r="E807" t="inlineStr">
        <is>
          <t>HÄSSLEHOLM</t>
        </is>
      </c>
      <c r="G807" t="n">
        <v>4.9</v>
      </c>
      <c r="H807" t="n">
        <v>0</v>
      </c>
      <c r="I807" t="n">
        <v>0</v>
      </c>
      <c r="J807" t="n">
        <v>0</v>
      </c>
      <c r="K807" t="n">
        <v>0</v>
      </c>
      <c r="L807" t="n">
        <v>0</v>
      </c>
      <c r="M807" t="n">
        <v>0</v>
      </c>
      <c r="N807" t="n">
        <v>0</v>
      </c>
      <c r="O807" t="n">
        <v>0</v>
      </c>
      <c r="P807" t="n">
        <v>0</v>
      </c>
      <c r="Q807" t="n">
        <v>0</v>
      </c>
      <c r="R807" s="2" t="inlineStr"/>
    </row>
    <row r="808" ht="15" customHeight="1">
      <c r="A808" t="inlineStr">
        <is>
          <t>A 22595-2024</t>
        </is>
      </c>
      <c r="B808" s="1" t="n">
        <v>45447.61053240741</v>
      </c>
      <c r="C808" s="1" t="n">
        <v>45926</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30010-2025</t>
        </is>
      </c>
      <c r="B809" s="1" t="n">
        <v>45826</v>
      </c>
      <c r="C809" s="1" t="n">
        <v>45926</v>
      </c>
      <c r="D809" t="inlineStr">
        <is>
          <t>SKÅNE LÄN</t>
        </is>
      </c>
      <c r="E809" t="inlineStr">
        <is>
          <t>HÄSSLEHOLM</t>
        </is>
      </c>
      <c r="G809" t="n">
        <v>4.5</v>
      </c>
      <c r="H809" t="n">
        <v>0</v>
      </c>
      <c r="I809" t="n">
        <v>0</v>
      </c>
      <c r="J809" t="n">
        <v>0</v>
      </c>
      <c r="K809" t="n">
        <v>0</v>
      </c>
      <c r="L809" t="n">
        <v>0</v>
      </c>
      <c r="M809" t="n">
        <v>0</v>
      </c>
      <c r="N809" t="n">
        <v>0</v>
      </c>
      <c r="O809" t="n">
        <v>0</v>
      </c>
      <c r="P809" t="n">
        <v>0</v>
      </c>
      <c r="Q809" t="n">
        <v>0</v>
      </c>
      <c r="R809" s="2" t="inlineStr"/>
    </row>
    <row r="810" ht="15" customHeight="1">
      <c r="A810" t="inlineStr">
        <is>
          <t>A 60704-2023</t>
        </is>
      </c>
      <c r="B810" s="1" t="n">
        <v>45260.51340277777</v>
      </c>
      <c r="C810" s="1" t="n">
        <v>45926</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18041-2023</t>
        </is>
      </c>
      <c r="B811" s="1" t="n">
        <v>45040</v>
      </c>
      <c r="C811" s="1" t="n">
        <v>45926</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49250-2022</t>
        </is>
      </c>
      <c r="B812" s="1" t="n">
        <v>44858</v>
      </c>
      <c r="C812" s="1" t="n">
        <v>45926</v>
      </c>
      <c r="D812" t="inlineStr">
        <is>
          <t>SKÅNE LÄN</t>
        </is>
      </c>
      <c r="E812" t="inlineStr">
        <is>
          <t>HÄSSLEHOLM</t>
        </is>
      </c>
      <c r="F812" t="inlineStr">
        <is>
          <t>Kyrkan</t>
        </is>
      </c>
      <c r="G812" t="n">
        <v>1.5</v>
      </c>
      <c r="H812" t="n">
        <v>0</v>
      </c>
      <c r="I812" t="n">
        <v>0</v>
      </c>
      <c r="J812" t="n">
        <v>0</v>
      </c>
      <c r="K812" t="n">
        <v>0</v>
      </c>
      <c r="L812" t="n">
        <v>0</v>
      </c>
      <c r="M812" t="n">
        <v>0</v>
      </c>
      <c r="N812" t="n">
        <v>0</v>
      </c>
      <c r="O812" t="n">
        <v>0</v>
      </c>
      <c r="P812" t="n">
        <v>0</v>
      </c>
      <c r="Q812" t="n">
        <v>0</v>
      </c>
      <c r="R812" s="2" t="inlineStr"/>
    </row>
    <row r="813" ht="15" customHeight="1">
      <c r="A813" t="inlineStr">
        <is>
          <t>A 27197-2021</t>
        </is>
      </c>
      <c r="B813" s="1" t="n">
        <v>44350</v>
      </c>
      <c r="C813" s="1" t="n">
        <v>45926</v>
      </c>
      <c r="D813" t="inlineStr">
        <is>
          <t>SKÅNE LÄN</t>
        </is>
      </c>
      <c r="E813" t="inlineStr">
        <is>
          <t>HÄSSLEHOLM</t>
        </is>
      </c>
      <c r="G813" t="n">
        <v>1.8</v>
      </c>
      <c r="H813" t="n">
        <v>0</v>
      </c>
      <c r="I813" t="n">
        <v>0</v>
      </c>
      <c r="J813" t="n">
        <v>0</v>
      </c>
      <c r="K813" t="n">
        <v>0</v>
      </c>
      <c r="L813" t="n">
        <v>0</v>
      </c>
      <c r="M813" t="n">
        <v>0</v>
      </c>
      <c r="N813" t="n">
        <v>0</v>
      </c>
      <c r="O813" t="n">
        <v>0</v>
      </c>
      <c r="P813" t="n">
        <v>0</v>
      </c>
      <c r="Q813" t="n">
        <v>0</v>
      </c>
      <c r="R813" s="2" t="inlineStr"/>
    </row>
    <row r="814" ht="15" customHeight="1">
      <c r="A814" t="inlineStr">
        <is>
          <t>A 45222-2023</t>
        </is>
      </c>
      <c r="B814" s="1" t="n">
        <v>45191</v>
      </c>
      <c r="C814" s="1" t="n">
        <v>45926</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35890-2023</t>
        </is>
      </c>
      <c r="B815" s="1" t="n">
        <v>45148</v>
      </c>
      <c r="C815" s="1" t="n">
        <v>45926</v>
      </c>
      <c r="D815" t="inlineStr">
        <is>
          <t>SKÅNE LÄN</t>
        </is>
      </c>
      <c r="E815" t="inlineStr">
        <is>
          <t>HÄSSLEHOLM</t>
        </is>
      </c>
      <c r="G815" t="n">
        <v>2</v>
      </c>
      <c r="H815" t="n">
        <v>0</v>
      </c>
      <c r="I815" t="n">
        <v>0</v>
      </c>
      <c r="J815" t="n">
        <v>0</v>
      </c>
      <c r="K815" t="n">
        <v>0</v>
      </c>
      <c r="L815" t="n">
        <v>0</v>
      </c>
      <c r="M815" t="n">
        <v>0</v>
      </c>
      <c r="N815" t="n">
        <v>0</v>
      </c>
      <c r="O815" t="n">
        <v>0</v>
      </c>
      <c r="P815" t="n">
        <v>0</v>
      </c>
      <c r="Q815" t="n">
        <v>0</v>
      </c>
      <c r="R815" s="2" t="inlineStr"/>
    </row>
    <row r="816" ht="15" customHeight="1">
      <c r="A816" t="inlineStr">
        <is>
          <t>A 35895-2023</t>
        </is>
      </c>
      <c r="B816" s="1" t="n">
        <v>45148</v>
      </c>
      <c r="C816" s="1" t="n">
        <v>45926</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20279-2025</t>
        </is>
      </c>
      <c r="B817" s="1" t="n">
        <v>45774.38643518519</v>
      </c>
      <c r="C817" s="1" t="n">
        <v>45926</v>
      </c>
      <c r="D817" t="inlineStr">
        <is>
          <t>SKÅNE LÄN</t>
        </is>
      </c>
      <c r="E817" t="inlineStr">
        <is>
          <t>HÄSSLEHOLM</t>
        </is>
      </c>
      <c r="G817" t="n">
        <v>0.8</v>
      </c>
      <c r="H817" t="n">
        <v>0</v>
      </c>
      <c r="I817" t="n">
        <v>0</v>
      </c>
      <c r="J817" t="n">
        <v>0</v>
      </c>
      <c r="K817" t="n">
        <v>0</v>
      </c>
      <c r="L817" t="n">
        <v>0</v>
      </c>
      <c r="M817" t="n">
        <v>0</v>
      </c>
      <c r="N817" t="n">
        <v>0</v>
      </c>
      <c r="O817" t="n">
        <v>0</v>
      </c>
      <c r="P817" t="n">
        <v>0</v>
      </c>
      <c r="Q817" t="n">
        <v>0</v>
      </c>
      <c r="R817" s="2" t="inlineStr"/>
    </row>
    <row r="818" ht="15" customHeight="1">
      <c r="A818" t="inlineStr">
        <is>
          <t>A 61569-2023</t>
        </is>
      </c>
      <c r="B818" s="1" t="n">
        <v>45265</v>
      </c>
      <c r="C818" s="1" t="n">
        <v>45926</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59431-2023</t>
        </is>
      </c>
      <c r="B819" s="1" t="n">
        <v>45254.29207175926</v>
      </c>
      <c r="C819" s="1" t="n">
        <v>45926</v>
      </c>
      <c r="D819" t="inlineStr">
        <is>
          <t>SKÅNE LÄN</t>
        </is>
      </c>
      <c r="E819" t="inlineStr">
        <is>
          <t>HÄSSLEHOLM</t>
        </is>
      </c>
      <c r="G819" t="n">
        <v>1.7</v>
      </c>
      <c r="H819" t="n">
        <v>0</v>
      </c>
      <c r="I819" t="n">
        <v>0</v>
      </c>
      <c r="J819" t="n">
        <v>0</v>
      </c>
      <c r="K819" t="n">
        <v>0</v>
      </c>
      <c r="L819" t="n">
        <v>0</v>
      </c>
      <c r="M819" t="n">
        <v>0</v>
      </c>
      <c r="N819" t="n">
        <v>0</v>
      </c>
      <c r="O819" t="n">
        <v>0</v>
      </c>
      <c r="P819" t="n">
        <v>0</v>
      </c>
      <c r="Q819" t="n">
        <v>0</v>
      </c>
      <c r="R819" s="2" t="inlineStr"/>
    </row>
    <row r="820" ht="15" customHeight="1">
      <c r="A820" t="inlineStr">
        <is>
          <t>A 59433-2023</t>
        </is>
      </c>
      <c r="B820" s="1" t="n">
        <v>45254.29768518519</v>
      </c>
      <c r="C820" s="1" t="n">
        <v>45926</v>
      </c>
      <c r="D820" t="inlineStr">
        <is>
          <t>SKÅNE LÄN</t>
        </is>
      </c>
      <c r="E820" t="inlineStr">
        <is>
          <t>HÄSSLEHOLM</t>
        </is>
      </c>
      <c r="G820" t="n">
        <v>3.1</v>
      </c>
      <c r="H820" t="n">
        <v>0</v>
      </c>
      <c r="I820" t="n">
        <v>0</v>
      </c>
      <c r="J820" t="n">
        <v>0</v>
      </c>
      <c r="K820" t="n">
        <v>0</v>
      </c>
      <c r="L820" t="n">
        <v>0</v>
      </c>
      <c r="M820" t="n">
        <v>0</v>
      </c>
      <c r="N820" t="n">
        <v>0</v>
      </c>
      <c r="O820" t="n">
        <v>0</v>
      </c>
      <c r="P820" t="n">
        <v>0</v>
      </c>
      <c r="Q820" t="n">
        <v>0</v>
      </c>
      <c r="R820" s="2" t="inlineStr"/>
    </row>
    <row r="821" ht="15" customHeight="1">
      <c r="A821" t="inlineStr">
        <is>
          <t>A 52235-2021</t>
        </is>
      </c>
      <c r="B821" s="1" t="n">
        <v>44463.60085648148</v>
      </c>
      <c r="C821" s="1" t="n">
        <v>45926</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55416-2021</t>
        </is>
      </c>
      <c r="B822" s="1" t="n">
        <v>44475</v>
      </c>
      <c r="C822" s="1" t="n">
        <v>45926</v>
      </c>
      <c r="D822" t="inlineStr">
        <is>
          <t>SKÅNE LÄN</t>
        </is>
      </c>
      <c r="E822" t="inlineStr">
        <is>
          <t>HÄSSLEHOLM</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4579-2025</t>
        </is>
      </c>
      <c r="B823" s="1" t="n">
        <v>45687.5009375</v>
      </c>
      <c r="C823" s="1" t="n">
        <v>45926</v>
      </c>
      <c r="D823" t="inlineStr">
        <is>
          <t>SKÅNE LÄN</t>
        </is>
      </c>
      <c r="E823" t="inlineStr">
        <is>
          <t>HÄSSLEHOLM</t>
        </is>
      </c>
      <c r="G823" t="n">
        <v>2.8</v>
      </c>
      <c r="H823" t="n">
        <v>0</v>
      </c>
      <c r="I823" t="n">
        <v>0</v>
      </c>
      <c r="J823" t="n">
        <v>0</v>
      </c>
      <c r="K823" t="n">
        <v>0</v>
      </c>
      <c r="L823" t="n">
        <v>0</v>
      </c>
      <c r="M823" t="n">
        <v>0</v>
      </c>
      <c r="N823" t="n">
        <v>0</v>
      </c>
      <c r="O823" t="n">
        <v>0</v>
      </c>
      <c r="P823" t="n">
        <v>0</v>
      </c>
      <c r="Q823" t="n">
        <v>0</v>
      </c>
      <c r="R823" s="2" t="inlineStr"/>
    </row>
    <row r="824" ht="15" customHeight="1">
      <c r="A824" t="inlineStr">
        <is>
          <t>A 21141-2024</t>
        </is>
      </c>
      <c r="B824" s="1" t="n">
        <v>45440.39012731481</v>
      </c>
      <c r="C824" s="1" t="n">
        <v>45926</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49379-2021</t>
        </is>
      </c>
      <c r="B825" s="1" t="n">
        <v>44454</v>
      </c>
      <c r="C825" s="1" t="n">
        <v>45926</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54471-2023</t>
        </is>
      </c>
      <c r="B826" s="1" t="n">
        <v>45233.4640162037</v>
      </c>
      <c r="C826" s="1" t="n">
        <v>45926</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36240-2023</t>
        </is>
      </c>
      <c r="B827" s="1" t="n">
        <v>45150.89295138889</v>
      </c>
      <c r="C827" s="1" t="n">
        <v>45926</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13851-2025</t>
        </is>
      </c>
      <c r="B828" s="1" t="n">
        <v>45737.56777777777</v>
      </c>
      <c r="C828" s="1" t="n">
        <v>45926</v>
      </c>
      <c r="D828" t="inlineStr">
        <is>
          <t>SKÅNE LÄN</t>
        </is>
      </c>
      <c r="E828" t="inlineStr">
        <is>
          <t>HÄSSLEHOLM</t>
        </is>
      </c>
      <c r="G828" t="n">
        <v>3</v>
      </c>
      <c r="H828" t="n">
        <v>0</v>
      </c>
      <c r="I828" t="n">
        <v>0</v>
      </c>
      <c r="J828" t="n">
        <v>0</v>
      </c>
      <c r="K828" t="n">
        <v>0</v>
      </c>
      <c r="L828" t="n">
        <v>0</v>
      </c>
      <c r="M828" t="n">
        <v>0</v>
      </c>
      <c r="N828" t="n">
        <v>0</v>
      </c>
      <c r="O828" t="n">
        <v>0</v>
      </c>
      <c r="P828" t="n">
        <v>0</v>
      </c>
      <c r="Q828" t="n">
        <v>0</v>
      </c>
      <c r="R828" s="2" t="inlineStr"/>
    </row>
    <row r="829" ht="15" customHeight="1">
      <c r="A829" t="inlineStr">
        <is>
          <t>A 12469-2023</t>
        </is>
      </c>
      <c r="B829" s="1" t="n">
        <v>44999.62109953703</v>
      </c>
      <c r="C829" s="1" t="n">
        <v>45926</v>
      </c>
      <c r="D829" t="inlineStr">
        <is>
          <t>SKÅNE LÄN</t>
        </is>
      </c>
      <c r="E829" t="inlineStr">
        <is>
          <t>HÄSSLEHOLM</t>
        </is>
      </c>
      <c r="G829" t="n">
        <v>2.6</v>
      </c>
      <c r="H829" t="n">
        <v>0</v>
      </c>
      <c r="I829" t="n">
        <v>0</v>
      </c>
      <c r="J829" t="n">
        <v>0</v>
      </c>
      <c r="K829" t="n">
        <v>0</v>
      </c>
      <c r="L829" t="n">
        <v>0</v>
      </c>
      <c r="M829" t="n">
        <v>0</v>
      </c>
      <c r="N829" t="n">
        <v>0</v>
      </c>
      <c r="O829" t="n">
        <v>0</v>
      </c>
      <c r="P829" t="n">
        <v>0</v>
      </c>
      <c r="Q829" t="n">
        <v>0</v>
      </c>
      <c r="R829" s="2" t="inlineStr"/>
    </row>
    <row r="830" ht="15" customHeight="1">
      <c r="A830" t="inlineStr">
        <is>
          <t>A 50607-2023</t>
        </is>
      </c>
      <c r="B830" s="1" t="n">
        <v>45210</v>
      </c>
      <c r="C830" s="1" t="n">
        <v>45926</v>
      </c>
      <c r="D830" t="inlineStr">
        <is>
          <t>SKÅNE LÄN</t>
        </is>
      </c>
      <c r="E830" t="inlineStr">
        <is>
          <t>HÄSSLEHOLM</t>
        </is>
      </c>
      <c r="G830" t="n">
        <v>1.8</v>
      </c>
      <c r="H830" t="n">
        <v>0</v>
      </c>
      <c r="I830" t="n">
        <v>0</v>
      </c>
      <c r="J830" t="n">
        <v>0</v>
      </c>
      <c r="K830" t="n">
        <v>0</v>
      </c>
      <c r="L830" t="n">
        <v>0</v>
      </c>
      <c r="M830" t="n">
        <v>0</v>
      </c>
      <c r="N830" t="n">
        <v>0</v>
      </c>
      <c r="O830" t="n">
        <v>0</v>
      </c>
      <c r="P830" t="n">
        <v>0</v>
      </c>
      <c r="Q830" t="n">
        <v>0</v>
      </c>
      <c r="R830" s="2" t="inlineStr"/>
    </row>
    <row r="831" ht="15" customHeight="1">
      <c r="A831" t="inlineStr">
        <is>
          <t>A 45400-2022</t>
        </is>
      </c>
      <c r="B831" s="1" t="n">
        <v>44844.713125</v>
      </c>
      <c r="C831" s="1" t="n">
        <v>45926</v>
      </c>
      <c r="D831" t="inlineStr">
        <is>
          <t>SKÅNE LÄN</t>
        </is>
      </c>
      <c r="E831" t="inlineStr">
        <is>
          <t>HÄSSLEHOLM</t>
        </is>
      </c>
      <c r="G831" t="n">
        <v>1.6</v>
      </c>
      <c r="H831" t="n">
        <v>0</v>
      </c>
      <c r="I831" t="n">
        <v>0</v>
      </c>
      <c r="J831" t="n">
        <v>0</v>
      </c>
      <c r="K831" t="n">
        <v>0</v>
      </c>
      <c r="L831" t="n">
        <v>0</v>
      </c>
      <c r="M831" t="n">
        <v>0</v>
      </c>
      <c r="N831" t="n">
        <v>0</v>
      </c>
      <c r="O831" t="n">
        <v>0</v>
      </c>
      <c r="P831" t="n">
        <v>0</v>
      </c>
      <c r="Q831" t="n">
        <v>0</v>
      </c>
      <c r="R831" s="2" t="inlineStr"/>
    </row>
    <row r="832" ht="15" customHeight="1">
      <c r="A832" t="inlineStr">
        <is>
          <t>A 38148-2022</t>
        </is>
      </c>
      <c r="B832" s="1" t="n">
        <v>44811</v>
      </c>
      <c r="C832" s="1" t="n">
        <v>45926</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31944-2023</t>
        </is>
      </c>
      <c r="B833" s="1" t="n">
        <v>45119.34895833334</v>
      </c>
      <c r="C833" s="1" t="n">
        <v>45926</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1706-2025</t>
        </is>
      </c>
      <c r="B834" s="1" t="n">
        <v>45670</v>
      </c>
      <c r="C834" s="1" t="n">
        <v>45926</v>
      </c>
      <c r="D834" t="inlineStr">
        <is>
          <t>SKÅNE LÄN</t>
        </is>
      </c>
      <c r="E834" t="inlineStr">
        <is>
          <t>HÄSSLEHOLM</t>
        </is>
      </c>
      <c r="G834" t="n">
        <v>5</v>
      </c>
      <c r="H834" t="n">
        <v>0</v>
      </c>
      <c r="I834" t="n">
        <v>0</v>
      </c>
      <c r="J834" t="n">
        <v>0</v>
      </c>
      <c r="K834" t="n">
        <v>0</v>
      </c>
      <c r="L834" t="n">
        <v>0</v>
      </c>
      <c r="M834" t="n">
        <v>0</v>
      </c>
      <c r="N834" t="n">
        <v>0</v>
      </c>
      <c r="O834" t="n">
        <v>0</v>
      </c>
      <c r="P834" t="n">
        <v>0</v>
      </c>
      <c r="Q834" t="n">
        <v>0</v>
      </c>
      <c r="R834" s="2" t="inlineStr"/>
    </row>
    <row r="835" ht="15" customHeight="1">
      <c r="A835" t="inlineStr">
        <is>
          <t>A 55056-2021</t>
        </is>
      </c>
      <c r="B835" s="1" t="n">
        <v>44474.62072916667</v>
      </c>
      <c r="C835" s="1" t="n">
        <v>45926</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13544-2025</t>
        </is>
      </c>
      <c r="B836" s="1" t="n">
        <v>45736</v>
      </c>
      <c r="C836" s="1" t="n">
        <v>45926</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13961-2023</t>
        </is>
      </c>
      <c r="B837" s="1" t="n">
        <v>45008</v>
      </c>
      <c r="C837" s="1" t="n">
        <v>45926</v>
      </c>
      <c r="D837" t="inlineStr">
        <is>
          <t>SKÅNE LÄN</t>
        </is>
      </c>
      <c r="E837" t="inlineStr">
        <is>
          <t>HÄSSLEHOLM</t>
        </is>
      </c>
      <c r="G837" t="n">
        <v>3.8</v>
      </c>
      <c r="H837" t="n">
        <v>0</v>
      </c>
      <c r="I837" t="n">
        <v>0</v>
      </c>
      <c r="J837" t="n">
        <v>0</v>
      </c>
      <c r="K837" t="n">
        <v>0</v>
      </c>
      <c r="L837" t="n">
        <v>0</v>
      </c>
      <c r="M837" t="n">
        <v>0</v>
      </c>
      <c r="N837" t="n">
        <v>0</v>
      </c>
      <c r="O837" t="n">
        <v>0</v>
      </c>
      <c r="P837" t="n">
        <v>0</v>
      </c>
      <c r="Q837" t="n">
        <v>0</v>
      </c>
      <c r="R837" s="2" t="inlineStr"/>
    </row>
    <row r="838" ht="15" customHeight="1">
      <c r="A838" t="inlineStr">
        <is>
          <t>A 7581-2023</t>
        </is>
      </c>
      <c r="B838" s="1" t="n">
        <v>44972.39556712963</v>
      </c>
      <c r="C838" s="1" t="n">
        <v>45926</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48191-2021</t>
        </is>
      </c>
      <c r="B839" s="1" t="n">
        <v>44449</v>
      </c>
      <c r="C839" s="1" t="n">
        <v>45926</v>
      </c>
      <c r="D839" t="inlineStr">
        <is>
          <t>SKÅNE LÄN</t>
        </is>
      </c>
      <c r="E839" t="inlineStr">
        <is>
          <t>HÄSSLEHOLM</t>
        </is>
      </c>
      <c r="G839" t="n">
        <v>6</v>
      </c>
      <c r="H839" t="n">
        <v>0</v>
      </c>
      <c r="I839" t="n">
        <v>0</v>
      </c>
      <c r="J839" t="n">
        <v>0</v>
      </c>
      <c r="K839" t="n">
        <v>0</v>
      </c>
      <c r="L839" t="n">
        <v>0</v>
      </c>
      <c r="M839" t="n">
        <v>0</v>
      </c>
      <c r="N839" t="n">
        <v>0</v>
      </c>
      <c r="O839" t="n">
        <v>0</v>
      </c>
      <c r="P839" t="n">
        <v>0</v>
      </c>
      <c r="Q839" t="n">
        <v>0</v>
      </c>
      <c r="R839" s="2" t="inlineStr"/>
    </row>
    <row r="840" ht="15" customHeight="1">
      <c r="A840" t="inlineStr">
        <is>
          <t>A 8755-2024</t>
        </is>
      </c>
      <c r="B840" s="1" t="n">
        <v>45356</v>
      </c>
      <c r="C840" s="1" t="n">
        <v>45926</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8760-2024</t>
        </is>
      </c>
      <c r="B841" s="1" t="n">
        <v>45356.53420138889</v>
      </c>
      <c r="C841" s="1" t="n">
        <v>45926</v>
      </c>
      <c r="D841" t="inlineStr">
        <is>
          <t>SKÅNE LÄN</t>
        </is>
      </c>
      <c r="E841" t="inlineStr">
        <is>
          <t>HÄSSLEHOLM</t>
        </is>
      </c>
      <c r="G841" t="n">
        <v>6.1</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44959.50471064815</v>
      </c>
      <c r="C842" s="1" t="n">
        <v>45926</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33257-2024</t>
        </is>
      </c>
      <c r="B843" s="1" t="n">
        <v>45518</v>
      </c>
      <c r="C843" s="1" t="n">
        <v>45926</v>
      </c>
      <c r="D843" t="inlineStr">
        <is>
          <t>SKÅNE LÄN</t>
        </is>
      </c>
      <c r="E843" t="inlineStr">
        <is>
          <t>HÄSSLEHOLM</t>
        </is>
      </c>
      <c r="G843" t="n">
        <v>0.4</v>
      </c>
      <c r="H843" t="n">
        <v>0</v>
      </c>
      <c r="I843" t="n">
        <v>0</v>
      </c>
      <c r="J843" t="n">
        <v>0</v>
      </c>
      <c r="K843" t="n">
        <v>0</v>
      </c>
      <c r="L843" t="n">
        <v>0</v>
      </c>
      <c r="M843" t="n">
        <v>0</v>
      </c>
      <c r="N843" t="n">
        <v>0</v>
      </c>
      <c r="O843" t="n">
        <v>0</v>
      </c>
      <c r="P843" t="n">
        <v>0</v>
      </c>
      <c r="Q843" t="n">
        <v>0</v>
      </c>
      <c r="R843" s="2" t="inlineStr"/>
    </row>
    <row r="844" ht="15" customHeight="1">
      <c r="A844" t="inlineStr">
        <is>
          <t>A 52548-2023</t>
        </is>
      </c>
      <c r="B844" s="1" t="n">
        <v>45218</v>
      </c>
      <c r="C844" s="1" t="n">
        <v>45926</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31159-2025</t>
        </is>
      </c>
      <c r="B845" s="1" t="n">
        <v>45832.65322916667</v>
      </c>
      <c r="C845" s="1" t="n">
        <v>45926</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12503-2022</t>
        </is>
      </c>
      <c r="B846" s="1" t="n">
        <v>44638</v>
      </c>
      <c r="C846" s="1" t="n">
        <v>45926</v>
      </c>
      <c r="D846" t="inlineStr">
        <is>
          <t>SKÅNE LÄN</t>
        </is>
      </c>
      <c r="E846" t="inlineStr">
        <is>
          <t>HÄSSLEHOLM</t>
        </is>
      </c>
      <c r="G846" t="n">
        <v>1.3</v>
      </c>
      <c r="H846" t="n">
        <v>0</v>
      </c>
      <c r="I846" t="n">
        <v>0</v>
      </c>
      <c r="J846" t="n">
        <v>0</v>
      </c>
      <c r="K846" t="n">
        <v>0</v>
      </c>
      <c r="L846" t="n">
        <v>0</v>
      </c>
      <c r="M846" t="n">
        <v>0</v>
      </c>
      <c r="N846" t="n">
        <v>0</v>
      </c>
      <c r="O846" t="n">
        <v>0</v>
      </c>
      <c r="P846" t="n">
        <v>0</v>
      </c>
      <c r="Q846" t="n">
        <v>0</v>
      </c>
      <c r="R846" s="2" t="inlineStr"/>
    </row>
    <row r="847" ht="15" customHeight="1">
      <c r="A847" t="inlineStr">
        <is>
          <t>A 9485-2023</t>
        </is>
      </c>
      <c r="B847" s="1" t="n">
        <v>44981.60901620371</v>
      </c>
      <c r="C847" s="1" t="n">
        <v>45926</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54777-2022</t>
        </is>
      </c>
      <c r="B848" s="1" t="n">
        <v>44883</v>
      </c>
      <c r="C848" s="1" t="n">
        <v>45926</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61929-2023</t>
        </is>
      </c>
      <c r="B849" s="1" t="n">
        <v>45266</v>
      </c>
      <c r="C849" s="1" t="n">
        <v>45926</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13555-2025</t>
        </is>
      </c>
      <c r="B850" s="1" t="n">
        <v>45736</v>
      </c>
      <c r="C850" s="1" t="n">
        <v>45926</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4734-2025</t>
        </is>
      </c>
      <c r="B851" s="1" t="n">
        <v>45688.44030092593</v>
      </c>
      <c r="C851" s="1" t="n">
        <v>45926</v>
      </c>
      <c r="D851" t="inlineStr">
        <is>
          <t>SKÅNE LÄN</t>
        </is>
      </c>
      <c r="E851" t="inlineStr">
        <is>
          <t>HÄSSLEHOLM</t>
        </is>
      </c>
      <c r="G851" t="n">
        <v>19.6</v>
      </c>
      <c r="H851" t="n">
        <v>0</v>
      </c>
      <c r="I851" t="n">
        <v>0</v>
      </c>
      <c r="J851" t="n">
        <v>0</v>
      </c>
      <c r="K851" t="n">
        <v>0</v>
      </c>
      <c r="L851" t="n">
        <v>0</v>
      </c>
      <c r="M851" t="n">
        <v>0</v>
      </c>
      <c r="N851" t="n">
        <v>0</v>
      </c>
      <c r="O851" t="n">
        <v>0</v>
      </c>
      <c r="P851" t="n">
        <v>0</v>
      </c>
      <c r="Q851" t="n">
        <v>0</v>
      </c>
      <c r="R851" s="2" t="inlineStr"/>
    </row>
    <row r="852" ht="15" customHeight="1">
      <c r="A852" t="inlineStr">
        <is>
          <t>A 24865-2024</t>
        </is>
      </c>
      <c r="B852" s="1" t="n">
        <v>45461.48974537037</v>
      </c>
      <c r="C852" s="1" t="n">
        <v>45926</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28599-2024</t>
        </is>
      </c>
      <c r="B853" s="1" t="n">
        <v>45478.4247800926</v>
      </c>
      <c r="C853" s="1" t="n">
        <v>45926</v>
      </c>
      <c r="D853" t="inlineStr">
        <is>
          <t>SKÅNE LÄN</t>
        </is>
      </c>
      <c r="E853" t="inlineStr">
        <is>
          <t>HÄSSLEHOLM</t>
        </is>
      </c>
      <c r="G853" t="n">
        <v>8.6</v>
      </c>
      <c r="H853" t="n">
        <v>0</v>
      </c>
      <c r="I853" t="n">
        <v>0</v>
      </c>
      <c r="J853" t="n">
        <v>0</v>
      </c>
      <c r="K853" t="n">
        <v>0</v>
      </c>
      <c r="L853" t="n">
        <v>0</v>
      </c>
      <c r="M853" t="n">
        <v>0</v>
      </c>
      <c r="N853" t="n">
        <v>0</v>
      </c>
      <c r="O853" t="n">
        <v>0</v>
      </c>
      <c r="P853" t="n">
        <v>0</v>
      </c>
      <c r="Q853" t="n">
        <v>0</v>
      </c>
      <c r="R853" s="2" t="inlineStr"/>
    </row>
    <row r="854" ht="15" customHeight="1">
      <c r="A854" t="inlineStr">
        <is>
          <t>A 44940-2023</t>
        </is>
      </c>
      <c r="B854" s="1" t="n">
        <v>45190.68653935185</v>
      </c>
      <c r="C854" s="1" t="n">
        <v>45926</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58272-2024</t>
        </is>
      </c>
      <c r="B855" s="1" t="n">
        <v>45632.57025462963</v>
      </c>
      <c r="C855" s="1" t="n">
        <v>45926</v>
      </c>
      <c r="D855" t="inlineStr">
        <is>
          <t>SKÅNE LÄN</t>
        </is>
      </c>
      <c r="E855" t="inlineStr">
        <is>
          <t>HÄSSLEHOLM</t>
        </is>
      </c>
      <c r="G855" t="n">
        <v>2.3</v>
      </c>
      <c r="H855" t="n">
        <v>0</v>
      </c>
      <c r="I855" t="n">
        <v>0</v>
      </c>
      <c r="J855" t="n">
        <v>0</v>
      </c>
      <c r="K855" t="n">
        <v>0</v>
      </c>
      <c r="L855" t="n">
        <v>0</v>
      </c>
      <c r="M855" t="n">
        <v>0</v>
      </c>
      <c r="N855" t="n">
        <v>0</v>
      </c>
      <c r="O855" t="n">
        <v>0</v>
      </c>
      <c r="P855" t="n">
        <v>0</v>
      </c>
      <c r="Q855" t="n">
        <v>0</v>
      </c>
      <c r="R855" s="2" t="inlineStr"/>
    </row>
    <row r="856" ht="15" customHeight="1">
      <c r="A856" t="inlineStr">
        <is>
          <t>A 18580-2023</t>
        </is>
      </c>
      <c r="B856" s="1" t="n">
        <v>45043.37037037037</v>
      </c>
      <c r="C856" s="1" t="n">
        <v>45926</v>
      </c>
      <c r="D856" t="inlineStr">
        <is>
          <t>SKÅNE LÄN</t>
        </is>
      </c>
      <c r="E856" t="inlineStr">
        <is>
          <t>HÄSSLEHOLM</t>
        </is>
      </c>
      <c r="G856" t="n">
        <v>1.5</v>
      </c>
      <c r="H856" t="n">
        <v>0</v>
      </c>
      <c r="I856" t="n">
        <v>0</v>
      </c>
      <c r="J856" t="n">
        <v>0</v>
      </c>
      <c r="K856" t="n">
        <v>0</v>
      </c>
      <c r="L856" t="n">
        <v>0</v>
      </c>
      <c r="M856" t="n">
        <v>0</v>
      </c>
      <c r="N856" t="n">
        <v>0</v>
      </c>
      <c r="O856" t="n">
        <v>0</v>
      </c>
      <c r="P856" t="n">
        <v>0</v>
      </c>
      <c r="Q856" t="n">
        <v>0</v>
      </c>
      <c r="R856" s="2" t="inlineStr"/>
    </row>
    <row r="857" ht="15" customHeight="1">
      <c r="A857" t="inlineStr">
        <is>
          <t>A 25533-2024</t>
        </is>
      </c>
      <c r="B857" s="1" t="n">
        <v>45463</v>
      </c>
      <c r="C857" s="1" t="n">
        <v>45926</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61498-2022</t>
        </is>
      </c>
      <c r="B858" s="1" t="n">
        <v>44910</v>
      </c>
      <c r="C858" s="1" t="n">
        <v>45926</v>
      </c>
      <c r="D858" t="inlineStr">
        <is>
          <t>SKÅNE LÄN</t>
        </is>
      </c>
      <c r="E858" t="inlineStr">
        <is>
          <t>HÄSSLEHOLM</t>
        </is>
      </c>
      <c r="F858" t="inlineStr">
        <is>
          <t>Kyrkan</t>
        </is>
      </c>
      <c r="G858" t="n">
        <v>3.2</v>
      </c>
      <c r="H858" t="n">
        <v>0</v>
      </c>
      <c r="I858" t="n">
        <v>0</v>
      </c>
      <c r="J858" t="n">
        <v>0</v>
      </c>
      <c r="K858" t="n">
        <v>0</v>
      </c>
      <c r="L858" t="n">
        <v>0</v>
      </c>
      <c r="M858" t="n">
        <v>0</v>
      </c>
      <c r="N858" t="n">
        <v>0</v>
      </c>
      <c r="O858" t="n">
        <v>0</v>
      </c>
      <c r="P858" t="n">
        <v>0</v>
      </c>
      <c r="Q858" t="n">
        <v>0</v>
      </c>
      <c r="R858" s="2" t="inlineStr"/>
    </row>
    <row r="859" ht="15" customHeight="1">
      <c r="A859" t="inlineStr">
        <is>
          <t>A 22696-2023</t>
        </is>
      </c>
      <c r="B859" s="1" t="n">
        <v>45071.69464120371</v>
      </c>
      <c r="C859" s="1" t="n">
        <v>45926</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9555-2025</t>
        </is>
      </c>
      <c r="B860" s="1" t="n">
        <v>45714</v>
      </c>
      <c r="C860" s="1" t="n">
        <v>45926</v>
      </c>
      <c r="D860" t="inlineStr">
        <is>
          <t>SKÅNE LÄN</t>
        </is>
      </c>
      <c r="E860" t="inlineStr">
        <is>
          <t>HÄSSLEHOLM</t>
        </is>
      </c>
      <c r="G860" t="n">
        <v>5.4</v>
      </c>
      <c r="H860" t="n">
        <v>0</v>
      </c>
      <c r="I860" t="n">
        <v>0</v>
      </c>
      <c r="J860" t="n">
        <v>0</v>
      </c>
      <c r="K860" t="n">
        <v>0</v>
      </c>
      <c r="L860" t="n">
        <v>0</v>
      </c>
      <c r="M860" t="n">
        <v>0</v>
      </c>
      <c r="N860" t="n">
        <v>0</v>
      </c>
      <c r="O860" t="n">
        <v>0</v>
      </c>
      <c r="P860" t="n">
        <v>0</v>
      </c>
      <c r="Q860" t="n">
        <v>0</v>
      </c>
      <c r="R860" s="2" t="inlineStr"/>
    </row>
    <row r="861" ht="15" customHeight="1">
      <c r="A861" t="inlineStr">
        <is>
          <t>A 9611-2025</t>
        </is>
      </c>
      <c r="B861" s="1" t="n">
        <v>45715</v>
      </c>
      <c r="C861" s="1" t="n">
        <v>45926</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24906-2022</t>
        </is>
      </c>
      <c r="B862" s="1" t="n">
        <v>44728</v>
      </c>
      <c r="C862" s="1" t="n">
        <v>45926</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52337-2023</t>
        </is>
      </c>
      <c r="B863" s="1" t="n">
        <v>45224.66359953704</v>
      </c>
      <c r="C863" s="1" t="n">
        <v>45926</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29649-2025</t>
        </is>
      </c>
      <c r="B864" s="1" t="n">
        <v>45825.47446759259</v>
      </c>
      <c r="C864" s="1" t="n">
        <v>45926</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3890-2024</t>
        </is>
      </c>
      <c r="B865" s="1" t="n">
        <v>45322.45366898148</v>
      </c>
      <c r="C865" s="1" t="n">
        <v>45926</v>
      </c>
      <c r="D865" t="inlineStr">
        <is>
          <t>SKÅNE LÄN</t>
        </is>
      </c>
      <c r="E865" t="inlineStr">
        <is>
          <t>HÄSSLEHOLM</t>
        </is>
      </c>
      <c r="G865" t="n">
        <v>3</v>
      </c>
      <c r="H865" t="n">
        <v>0</v>
      </c>
      <c r="I865" t="n">
        <v>0</v>
      </c>
      <c r="J865" t="n">
        <v>0</v>
      </c>
      <c r="K865" t="n">
        <v>0</v>
      </c>
      <c r="L865" t="n">
        <v>0</v>
      </c>
      <c r="M865" t="n">
        <v>0</v>
      </c>
      <c r="N865" t="n">
        <v>0</v>
      </c>
      <c r="O865" t="n">
        <v>0</v>
      </c>
      <c r="P865" t="n">
        <v>0</v>
      </c>
      <c r="Q865" t="n">
        <v>0</v>
      </c>
      <c r="R865" s="2" t="inlineStr"/>
    </row>
    <row r="866" ht="15" customHeight="1">
      <c r="A866" t="inlineStr">
        <is>
          <t>A 15800-2025</t>
        </is>
      </c>
      <c r="B866" s="1" t="n">
        <v>45748.64831018518</v>
      </c>
      <c r="C866" s="1" t="n">
        <v>45926</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23955-2023</t>
        </is>
      </c>
      <c r="B867" s="1" t="n">
        <v>45078.62217592593</v>
      </c>
      <c r="C867" s="1" t="n">
        <v>45926</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10897-2023</t>
        </is>
      </c>
      <c r="B868" s="1" t="n">
        <v>44985</v>
      </c>
      <c r="C868" s="1" t="n">
        <v>45926</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50571-2023</t>
        </is>
      </c>
      <c r="B869" s="1" t="n">
        <v>45217.38359953704</v>
      </c>
      <c r="C869" s="1" t="n">
        <v>45926</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18908-2023</t>
        </is>
      </c>
      <c r="B870" s="1" t="n">
        <v>45044</v>
      </c>
      <c r="C870" s="1" t="n">
        <v>45926</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10028-2024</t>
        </is>
      </c>
      <c r="B871" s="1" t="n">
        <v>45363.97292824074</v>
      </c>
      <c r="C871" s="1" t="n">
        <v>45926</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13084-2025</t>
        </is>
      </c>
      <c r="B872" s="1" t="n">
        <v>45734</v>
      </c>
      <c r="C872" s="1" t="n">
        <v>45926</v>
      </c>
      <c r="D872" t="inlineStr">
        <is>
          <t>SKÅNE LÄN</t>
        </is>
      </c>
      <c r="E872" t="inlineStr">
        <is>
          <t>HÄSSLEHOLM</t>
        </is>
      </c>
      <c r="G872" t="n">
        <v>2.3</v>
      </c>
      <c r="H872" t="n">
        <v>0</v>
      </c>
      <c r="I872" t="n">
        <v>0</v>
      </c>
      <c r="J872" t="n">
        <v>0</v>
      </c>
      <c r="K872" t="n">
        <v>0</v>
      </c>
      <c r="L872" t="n">
        <v>0</v>
      </c>
      <c r="M872" t="n">
        <v>0</v>
      </c>
      <c r="N872" t="n">
        <v>0</v>
      </c>
      <c r="O872" t="n">
        <v>0</v>
      </c>
      <c r="P872" t="n">
        <v>0</v>
      </c>
      <c r="Q872" t="n">
        <v>0</v>
      </c>
      <c r="R872" s="2" t="inlineStr"/>
    </row>
    <row r="873" ht="15" customHeight="1">
      <c r="A873" t="inlineStr">
        <is>
          <t>A 32585-2025</t>
        </is>
      </c>
      <c r="B873" s="1" t="n">
        <v>45838.60021990741</v>
      </c>
      <c r="C873" s="1" t="n">
        <v>45926</v>
      </c>
      <c r="D873" t="inlineStr">
        <is>
          <t>SKÅNE LÄN</t>
        </is>
      </c>
      <c r="E873" t="inlineStr">
        <is>
          <t>HÄSSLEHOLM</t>
        </is>
      </c>
      <c r="G873" t="n">
        <v>2.1</v>
      </c>
      <c r="H873" t="n">
        <v>0</v>
      </c>
      <c r="I873" t="n">
        <v>0</v>
      </c>
      <c r="J873" t="n">
        <v>0</v>
      </c>
      <c r="K873" t="n">
        <v>0</v>
      </c>
      <c r="L873" t="n">
        <v>0</v>
      </c>
      <c r="M873" t="n">
        <v>0</v>
      </c>
      <c r="N873" t="n">
        <v>0</v>
      </c>
      <c r="O873" t="n">
        <v>0</v>
      </c>
      <c r="P873" t="n">
        <v>0</v>
      </c>
      <c r="Q873" t="n">
        <v>0</v>
      </c>
      <c r="R873" s="2" t="inlineStr"/>
    </row>
    <row r="874" ht="15" customHeight="1">
      <c r="A874" t="inlineStr">
        <is>
          <t>A 32592-2025</t>
        </is>
      </c>
      <c r="B874" s="1" t="n">
        <v>45838.61020833333</v>
      </c>
      <c r="C874" s="1" t="n">
        <v>45926</v>
      </c>
      <c r="D874" t="inlineStr">
        <is>
          <t>SKÅNE LÄN</t>
        </is>
      </c>
      <c r="E874" t="inlineStr">
        <is>
          <t>HÄSSLEHOLM</t>
        </is>
      </c>
      <c r="G874" t="n">
        <v>2.1</v>
      </c>
      <c r="H874" t="n">
        <v>0</v>
      </c>
      <c r="I874" t="n">
        <v>0</v>
      </c>
      <c r="J874" t="n">
        <v>0</v>
      </c>
      <c r="K874" t="n">
        <v>0</v>
      </c>
      <c r="L874" t="n">
        <v>0</v>
      </c>
      <c r="M874" t="n">
        <v>0</v>
      </c>
      <c r="N874" t="n">
        <v>0</v>
      </c>
      <c r="O874" t="n">
        <v>0</v>
      </c>
      <c r="P874" t="n">
        <v>0</v>
      </c>
      <c r="Q874" t="n">
        <v>0</v>
      </c>
      <c r="R874" s="2" t="inlineStr"/>
    </row>
    <row r="875" ht="15" customHeight="1">
      <c r="A875" t="inlineStr">
        <is>
          <t>A 16285-2025</t>
        </is>
      </c>
      <c r="B875" s="1" t="n">
        <v>45751.30045138889</v>
      </c>
      <c r="C875" s="1" t="n">
        <v>45926</v>
      </c>
      <c r="D875" t="inlineStr">
        <is>
          <t>SKÅNE LÄN</t>
        </is>
      </c>
      <c r="E875" t="inlineStr">
        <is>
          <t>HÄSSLEHOLM</t>
        </is>
      </c>
      <c r="G875" t="n">
        <v>2</v>
      </c>
      <c r="H875" t="n">
        <v>0</v>
      </c>
      <c r="I875" t="n">
        <v>0</v>
      </c>
      <c r="J875" t="n">
        <v>0</v>
      </c>
      <c r="K875" t="n">
        <v>0</v>
      </c>
      <c r="L875" t="n">
        <v>0</v>
      </c>
      <c r="M875" t="n">
        <v>0</v>
      </c>
      <c r="N875" t="n">
        <v>0</v>
      </c>
      <c r="O875" t="n">
        <v>0</v>
      </c>
      <c r="P875" t="n">
        <v>0</v>
      </c>
      <c r="Q875" t="n">
        <v>0</v>
      </c>
      <c r="R875" s="2" t="inlineStr"/>
    </row>
    <row r="876" ht="15" customHeight="1">
      <c r="A876" t="inlineStr">
        <is>
          <t>A 46000-2021</t>
        </is>
      </c>
      <c r="B876" s="1" t="n">
        <v>44441</v>
      </c>
      <c r="C876" s="1" t="n">
        <v>45926</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13897-2024</t>
        </is>
      </c>
      <c r="B877" s="1" t="n">
        <v>45391</v>
      </c>
      <c r="C877" s="1" t="n">
        <v>45926</v>
      </c>
      <c r="D877" t="inlineStr">
        <is>
          <t>SKÅNE LÄN</t>
        </is>
      </c>
      <c r="E877" t="inlineStr">
        <is>
          <t>HÄSSLEHOLM</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56355-2023</t>
        </is>
      </c>
      <c r="B878" s="1" t="n">
        <v>45243.3702662037</v>
      </c>
      <c r="C878" s="1" t="n">
        <v>45926</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33562-2025</t>
        </is>
      </c>
      <c r="B879" s="1" t="n">
        <v>45841.57803240741</v>
      </c>
      <c r="C879" s="1" t="n">
        <v>45926</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59246-2024</t>
        </is>
      </c>
      <c r="B880" s="1" t="n">
        <v>45636</v>
      </c>
      <c r="C880" s="1" t="n">
        <v>45926</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20800-2023</t>
        </is>
      </c>
      <c r="B881" s="1" t="n">
        <v>45058.61640046296</v>
      </c>
      <c r="C881" s="1" t="n">
        <v>45926</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11019-2025</t>
        </is>
      </c>
      <c r="B882" s="1" t="n">
        <v>45723</v>
      </c>
      <c r="C882" s="1" t="n">
        <v>45926</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4009-2024</t>
        </is>
      </c>
      <c r="B883" s="1" t="n">
        <v>45323</v>
      </c>
      <c r="C883" s="1" t="n">
        <v>45926</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10928-2024</t>
        </is>
      </c>
      <c r="B884" s="1" t="n">
        <v>45370</v>
      </c>
      <c r="C884" s="1" t="n">
        <v>45926</v>
      </c>
      <c r="D884" t="inlineStr">
        <is>
          <t>SKÅNE LÄN</t>
        </is>
      </c>
      <c r="E884" t="inlineStr">
        <is>
          <t>HÄSSLEHOLM</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10944-2024</t>
        </is>
      </c>
      <c r="B885" s="1" t="n">
        <v>45370</v>
      </c>
      <c r="C885" s="1" t="n">
        <v>45926</v>
      </c>
      <c r="D885" t="inlineStr">
        <is>
          <t>SKÅNE LÄN</t>
        </is>
      </c>
      <c r="E885" t="inlineStr">
        <is>
          <t>HÄSSLEHOLM</t>
        </is>
      </c>
      <c r="F885" t="inlineStr">
        <is>
          <t>Övriga Aktiebolag</t>
        </is>
      </c>
      <c r="G885" t="n">
        <v>2.6</v>
      </c>
      <c r="H885" t="n">
        <v>0</v>
      </c>
      <c r="I885" t="n">
        <v>0</v>
      </c>
      <c r="J885" t="n">
        <v>0</v>
      </c>
      <c r="K885" t="n">
        <v>0</v>
      </c>
      <c r="L885" t="n">
        <v>0</v>
      </c>
      <c r="M885" t="n">
        <v>0</v>
      </c>
      <c r="N885" t="n">
        <v>0</v>
      </c>
      <c r="O885" t="n">
        <v>0</v>
      </c>
      <c r="P885" t="n">
        <v>0</v>
      </c>
      <c r="Q885" t="n">
        <v>0</v>
      </c>
      <c r="R885" s="2" t="inlineStr"/>
    </row>
    <row r="886" ht="15" customHeight="1">
      <c r="A886" t="inlineStr">
        <is>
          <t>A 33875-2025</t>
        </is>
      </c>
      <c r="B886" s="1" t="n">
        <v>45842.55300925926</v>
      </c>
      <c r="C886" s="1" t="n">
        <v>45926</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33877-2025</t>
        </is>
      </c>
      <c r="B887" s="1" t="n">
        <v>45842.55564814815</v>
      </c>
      <c r="C887" s="1" t="n">
        <v>45926</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33879-2025</t>
        </is>
      </c>
      <c r="B888" s="1" t="n">
        <v>45842.55766203703</v>
      </c>
      <c r="C888" s="1" t="n">
        <v>45926</v>
      </c>
      <c r="D888" t="inlineStr">
        <is>
          <t>SKÅNE LÄN</t>
        </is>
      </c>
      <c r="E888" t="inlineStr">
        <is>
          <t>HÄSSLEHOLM</t>
        </is>
      </c>
      <c r="G888" t="n">
        <v>6.1</v>
      </c>
      <c r="H888" t="n">
        <v>0</v>
      </c>
      <c r="I888" t="n">
        <v>0</v>
      </c>
      <c r="J888" t="n">
        <v>0</v>
      </c>
      <c r="K888" t="n">
        <v>0</v>
      </c>
      <c r="L888" t="n">
        <v>0</v>
      </c>
      <c r="M888" t="n">
        <v>0</v>
      </c>
      <c r="N888" t="n">
        <v>0</v>
      </c>
      <c r="O888" t="n">
        <v>0</v>
      </c>
      <c r="P888" t="n">
        <v>0</v>
      </c>
      <c r="Q888" t="n">
        <v>0</v>
      </c>
      <c r="R888" s="2" t="inlineStr"/>
    </row>
    <row r="889" ht="15" customHeight="1">
      <c r="A889" t="inlineStr">
        <is>
          <t>A 6087-2025</t>
        </is>
      </c>
      <c r="B889" s="1" t="n">
        <v>45697.69782407407</v>
      </c>
      <c r="C889" s="1" t="n">
        <v>45926</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11681-2023</t>
        </is>
      </c>
      <c r="B890" s="1" t="n">
        <v>44992</v>
      </c>
      <c r="C890" s="1" t="n">
        <v>45926</v>
      </c>
      <c r="D890" t="inlineStr">
        <is>
          <t>SKÅNE LÄN</t>
        </is>
      </c>
      <c r="E890" t="inlineStr">
        <is>
          <t>HÄSSLEHOLM</t>
        </is>
      </c>
      <c r="F890" t="inlineStr">
        <is>
          <t>Övriga Aktiebolag</t>
        </is>
      </c>
      <c r="G890" t="n">
        <v>1.6</v>
      </c>
      <c r="H890" t="n">
        <v>0</v>
      </c>
      <c r="I890" t="n">
        <v>0</v>
      </c>
      <c r="J890" t="n">
        <v>0</v>
      </c>
      <c r="K890" t="n">
        <v>0</v>
      </c>
      <c r="L890" t="n">
        <v>0</v>
      </c>
      <c r="M890" t="n">
        <v>0</v>
      </c>
      <c r="N890" t="n">
        <v>0</v>
      </c>
      <c r="O890" t="n">
        <v>0</v>
      </c>
      <c r="P890" t="n">
        <v>0</v>
      </c>
      <c r="Q890" t="n">
        <v>0</v>
      </c>
      <c r="R890" s="2" t="inlineStr"/>
    </row>
    <row r="891" ht="15" customHeight="1">
      <c r="A891" t="inlineStr">
        <is>
          <t>A 33948-2025</t>
        </is>
      </c>
      <c r="B891" s="1" t="n">
        <v>45842.65945601852</v>
      </c>
      <c r="C891" s="1" t="n">
        <v>45926</v>
      </c>
      <c r="D891" t="inlineStr">
        <is>
          <t>SKÅNE LÄN</t>
        </is>
      </c>
      <c r="E891" t="inlineStr">
        <is>
          <t>HÄSSLEHOLM</t>
        </is>
      </c>
      <c r="G891" t="n">
        <v>8.5</v>
      </c>
      <c r="H891" t="n">
        <v>0</v>
      </c>
      <c r="I891" t="n">
        <v>0</v>
      </c>
      <c r="J891" t="n">
        <v>0</v>
      </c>
      <c r="K891" t="n">
        <v>0</v>
      </c>
      <c r="L891" t="n">
        <v>0</v>
      </c>
      <c r="M891" t="n">
        <v>0</v>
      </c>
      <c r="N891" t="n">
        <v>0</v>
      </c>
      <c r="O891" t="n">
        <v>0</v>
      </c>
      <c r="P891" t="n">
        <v>0</v>
      </c>
      <c r="Q891" t="n">
        <v>0</v>
      </c>
      <c r="R891" s="2" t="inlineStr"/>
    </row>
    <row r="892" ht="15" customHeight="1">
      <c r="A892" t="inlineStr">
        <is>
          <t>A 33466-2024</t>
        </is>
      </c>
      <c r="B892" s="1" t="n">
        <v>45519</v>
      </c>
      <c r="C892" s="1" t="n">
        <v>45926</v>
      </c>
      <c r="D892" t="inlineStr">
        <is>
          <t>SKÅNE LÄN</t>
        </is>
      </c>
      <c r="E892" t="inlineStr">
        <is>
          <t>HÄSSLEHOLM</t>
        </is>
      </c>
      <c r="G892" t="n">
        <v>0.4</v>
      </c>
      <c r="H892" t="n">
        <v>0</v>
      </c>
      <c r="I892" t="n">
        <v>0</v>
      </c>
      <c r="J892" t="n">
        <v>0</v>
      </c>
      <c r="K892" t="n">
        <v>0</v>
      </c>
      <c r="L892" t="n">
        <v>0</v>
      </c>
      <c r="M892" t="n">
        <v>0</v>
      </c>
      <c r="N892" t="n">
        <v>0</v>
      </c>
      <c r="O892" t="n">
        <v>0</v>
      </c>
      <c r="P892" t="n">
        <v>0</v>
      </c>
      <c r="Q892" t="n">
        <v>0</v>
      </c>
      <c r="R892" s="2" t="inlineStr"/>
    </row>
    <row r="893" ht="15" customHeight="1">
      <c r="A893" t="inlineStr">
        <is>
          <t>A 33927-2021</t>
        </is>
      </c>
      <c r="B893" s="1" t="n">
        <v>44378</v>
      </c>
      <c r="C893" s="1" t="n">
        <v>45926</v>
      </c>
      <c r="D893" t="inlineStr">
        <is>
          <t>SKÅNE LÄN</t>
        </is>
      </c>
      <c r="E893" t="inlineStr">
        <is>
          <t>HÄSSLEHOLM</t>
        </is>
      </c>
      <c r="G893" t="n">
        <v>16.7</v>
      </c>
      <c r="H893" t="n">
        <v>0</v>
      </c>
      <c r="I893" t="n">
        <v>0</v>
      </c>
      <c r="J893" t="n">
        <v>0</v>
      </c>
      <c r="K893" t="n">
        <v>0</v>
      </c>
      <c r="L893" t="n">
        <v>0</v>
      </c>
      <c r="M893" t="n">
        <v>0</v>
      </c>
      <c r="N893" t="n">
        <v>0</v>
      </c>
      <c r="O893" t="n">
        <v>0</v>
      </c>
      <c r="P893" t="n">
        <v>0</v>
      </c>
      <c r="Q893" t="n">
        <v>0</v>
      </c>
      <c r="R893" s="2" t="inlineStr"/>
    </row>
    <row r="894" ht="15" customHeight="1">
      <c r="A894" t="inlineStr">
        <is>
          <t>A 7305-2025</t>
        </is>
      </c>
      <c r="B894" s="1" t="n">
        <v>45702</v>
      </c>
      <c r="C894" s="1" t="n">
        <v>45926</v>
      </c>
      <c r="D894" t="inlineStr">
        <is>
          <t>SKÅNE LÄN</t>
        </is>
      </c>
      <c r="E894" t="inlineStr">
        <is>
          <t>HÄSSLEHOLM</t>
        </is>
      </c>
      <c r="F894" t="inlineStr">
        <is>
          <t>Övriga Aktiebolag</t>
        </is>
      </c>
      <c r="G894" t="n">
        <v>2.2</v>
      </c>
      <c r="H894" t="n">
        <v>0</v>
      </c>
      <c r="I894" t="n">
        <v>0</v>
      </c>
      <c r="J894" t="n">
        <v>0</v>
      </c>
      <c r="K894" t="n">
        <v>0</v>
      </c>
      <c r="L894" t="n">
        <v>0</v>
      </c>
      <c r="M894" t="n">
        <v>0</v>
      </c>
      <c r="N894" t="n">
        <v>0</v>
      </c>
      <c r="O894" t="n">
        <v>0</v>
      </c>
      <c r="P894" t="n">
        <v>0</v>
      </c>
      <c r="Q894" t="n">
        <v>0</v>
      </c>
      <c r="R894" s="2" t="inlineStr"/>
    </row>
    <row r="895" ht="15" customHeight="1">
      <c r="A895" t="inlineStr">
        <is>
          <t>A 6612-2024</t>
        </is>
      </c>
      <c r="B895" s="1" t="n">
        <v>45341.58859953703</v>
      </c>
      <c r="C895" s="1" t="n">
        <v>45926</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22678-2025</t>
        </is>
      </c>
      <c r="B896" s="1" t="n">
        <v>45789.49725694444</v>
      </c>
      <c r="C896" s="1" t="n">
        <v>45926</v>
      </c>
      <c r="D896" t="inlineStr">
        <is>
          <t>SKÅNE LÄN</t>
        </is>
      </c>
      <c r="E896" t="inlineStr">
        <is>
          <t>HÄSSLEHOLM</t>
        </is>
      </c>
      <c r="G896" t="n">
        <v>2.2</v>
      </c>
      <c r="H896" t="n">
        <v>0</v>
      </c>
      <c r="I896" t="n">
        <v>0</v>
      </c>
      <c r="J896" t="n">
        <v>0</v>
      </c>
      <c r="K896" t="n">
        <v>0</v>
      </c>
      <c r="L896" t="n">
        <v>0</v>
      </c>
      <c r="M896" t="n">
        <v>0</v>
      </c>
      <c r="N896" t="n">
        <v>0</v>
      </c>
      <c r="O896" t="n">
        <v>0</v>
      </c>
      <c r="P896" t="n">
        <v>0</v>
      </c>
      <c r="Q896" t="n">
        <v>0</v>
      </c>
      <c r="R896" s="2" t="inlineStr"/>
    </row>
    <row r="897" ht="15" customHeight="1">
      <c r="A897" t="inlineStr">
        <is>
          <t>A 5116-2023</t>
        </is>
      </c>
      <c r="B897" s="1" t="n">
        <v>44958.67546296296</v>
      </c>
      <c r="C897" s="1" t="n">
        <v>45926</v>
      </c>
      <c r="D897" t="inlineStr">
        <is>
          <t>SKÅNE LÄN</t>
        </is>
      </c>
      <c r="E897" t="inlineStr">
        <is>
          <t>HÄSSLEHOLM</t>
        </is>
      </c>
      <c r="G897" t="n">
        <v>1.7</v>
      </c>
      <c r="H897" t="n">
        <v>0</v>
      </c>
      <c r="I897" t="n">
        <v>0</v>
      </c>
      <c r="J897" t="n">
        <v>0</v>
      </c>
      <c r="K897" t="n">
        <v>0</v>
      </c>
      <c r="L897" t="n">
        <v>0</v>
      </c>
      <c r="M897" t="n">
        <v>0</v>
      </c>
      <c r="N897" t="n">
        <v>0</v>
      </c>
      <c r="O897" t="n">
        <v>0</v>
      </c>
      <c r="P897" t="n">
        <v>0</v>
      </c>
      <c r="Q897" t="n">
        <v>0</v>
      </c>
      <c r="R897" s="2" t="inlineStr"/>
    </row>
    <row r="898" ht="15" customHeight="1">
      <c r="A898" t="inlineStr">
        <is>
          <t>A 32958-2023</t>
        </is>
      </c>
      <c r="B898" s="1" t="n">
        <v>45125.52142361111</v>
      </c>
      <c r="C898" s="1" t="n">
        <v>45926</v>
      </c>
      <c r="D898" t="inlineStr">
        <is>
          <t>SKÅNE LÄN</t>
        </is>
      </c>
      <c r="E898" t="inlineStr">
        <is>
          <t>HÄSSLEHOLM</t>
        </is>
      </c>
      <c r="G898" t="n">
        <v>7.9</v>
      </c>
      <c r="H898" t="n">
        <v>0</v>
      </c>
      <c r="I898" t="n">
        <v>0</v>
      </c>
      <c r="J898" t="n">
        <v>0</v>
      </c>
      <c r="K898" t="n">
        <v>0</v>
      </c>
      <c r="L898" t="n">
        <v>0</v>
      </c>
      <c r="M898" t="n">
        <v>0</v>
      </c>
      <c r="N898" t="n">
        <v>0</v>
      </c>
      <c r="O898" t="n">
        <v>0</v>
      </c>
      <c r="P898" t="n">
        <v>0</v>
      </c>
      <c r="Q898" t="n">
        <v>0</v>
      </c>
      <c r="R898" s="2" t="inlineStr"/>
    </row>
    <row r="899" ht="15" customHeight="1">
      <c r="A899" t="inlineStr">
        <is>
          <t>A 1886-2025</t>
        </is>
      </c>
      <c r="B899" s="1" t="n">
        <v>45671</v>
      </c>
      <c r="C899" s="1" t="n">
        <v>45926</v>
      </c>
      <c r="D899" t="inlineStr">
        <is>
          <t>SKÅNE LÄN</t>
        </is>
      </c>
      <c r="E899" t="inlineStr">
        <is>
          <t>HÄSSLEHOLM</t>
        </is>
      </c>
      <c r="G899" t="n">
        <v>1.1</v>
      </c>
      <c r="H899" t="n">
        <v>0</v>
      </c>
      <c r="I899" t="n">
        <v>0</v>
      </c>
      <c r="J899" t="n">
        <v>0</v>
      </c>
      <c r="K899" t="n">
        <v>0</v>
      </c>
      <c r="L899" t="n">
        <v>0</v>
      </c>
      <c r="M899" t="n">
        <v>0</v>
      </c>
      <c r="N899" t="n">
        <v>0</v>
      </c>
      <c r="O899" t="n">
        <v>0</v>
      </c>
      <c r="P899" t="n">
        <v>0</v>
      </c>
      <c r="Q899" t="n">
        <v>0</v>
      </c>
      <c r="R899" s="2" t="inlineStr"/>
    </row>
    <row r="900" ht="15" customHeight="1">
      <c r="A900" t="inlineStr">
        <is>
          <t>A 42364-2023</t>
        </is>
      </c>
      <c r="B900" s="1" t="n">
        <v>45180.54754629629</v>
      </c>
      <c r="C900" s="1" t="n">
        <v>45926</v>
      </c>
      <c r="D900" t="inlineStr">
        <is>
          <t>SKÅNE LÄN</t>
        </is>
      </c>
      <c r="E900" t="inlineStr">
        <is>
          <t>HÄSSLEHOLM</t>
        </is>
      </c>
      <c r="G900" t="n">
        <v>1.1</v>
      </c>
      <c r="H900" t="n">
        <v>0</v>
      </c>
      <c r="I900" t="n">
        <v>0</v>
      </c>
      <c r="J900" t="n">
        <v>0</v>
      </c>
      <c r="K900" t="n">
        <v>0</v>
      </c>
      <c r="L900" t="n">
        <v>0</v>
      </c>
      <c r="M900" t="n">
        <v>0</v>
      </c>
      <c r="N900" t="n">
        <v>0</v>
      </c>
      <c r="O900" t="n">
        <v>0</v>
      </c>
      <c r="P900" t="n">
        <v>0</v>
      </c>
      <c r="Q900" t="n">
        <v>0</v>
      </c>
      <c r="R900" s="2" t="inlineStr"/>
    </row>
    <row r="901" ht="15" customHeight="1">
      <c r="A901" t="inlineStr">
        <is>
          <t>A 26879-2024</t>
        </is>
      </c>
      <c r="B901" s="1" t="n">
        <v>45470</v>
      </c>
      <c r="C901" s="1" t="n">
        <v>45926</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54408-2024</t>
        </is>
      </c>
      <c r="B902" s="1" t="n">
        <v>45617.47263888889</v>
      </c>
      <c r="C902" s="1" t="n">
        <v>45926</v>
      </c>
      <c r="D902" t="inlineStr">
        <is>
          <t>SKÅNE LÄN</t>
        </is>
      </c>
      <c r="E902" t="inlineStr">
        <is>
          <t>HÄSSLEHOLM</t>
        </is>
      </c>
      <c r="G902" t="n">
        <v>1.5</v>
      </c>
      <c r="H902" t="n">
        <v>0</v>
      </c>
      <c r="I902" t="n">
        <v>0</v>
      </c>
      <c r="J902" t="n">
        <v>0</v>
      </c>
      <c r="K902" t="n">
        <v>0</v>
      </c>
      <c r="L902" t="n">
        <v>0</v>
      </c>
      <c r="M902" t="n">
        <v>0</v>
      </c>
      <c r="N902" t="n">
        <v>0</v>
      </c>
      <c r="O902" t="n">
        <v>0</v>
      </c>
      <c r="P902" t="n">
        <v>0</v>
      </c>
      <c r="Q902" t="n">
        <v>0</v>
      </c>
      <c r="R902" s="2" t="inlineStr"/>
    </row>
    <row r="903" ht="15" customHeight="1">
      <c r="A903" t="inlineStr">
        <is>
          <t>A 54473-2023</t>
        </is>
      </c>
      <c r="B903" s="1" t="n">
        <v>45233</v>
      </c>
      <c r="C903" s="1" t="n">
        <v>45926</v>
      </c>
      <c r="D903" t="inlineStr">
        <is>
          <t>SKÅNE LÄN</t>
        </is>
      </c>
      <c r="E903" t="inlineStr">
        <is>
          <t>HÄSSLEHOLM</t>
        </is>
      </c>
      <c r="G903" t="n">
        <v>24.5</v>
      </c>
      <c r="H903" t="n">
        <v>0</v>
      </c>
      <c r="I903" t="n">
        <v>0</v>
      </c>
      <c r="J903" t="n">
        <v>0</v>
      </c>
      <c r="K903" t="n">
        <v>0</v>
      </c>
      <c r="L903" t="n">
        <v>0</v>
      </c>
      <c r="M903" t="n">
        <v>0</v>
      </c>
      <c r="N903" t="n">
        <v>0</v>
      </c>
      <c r="O903" t="n">
        <v>0</v>
      </c>
      <c r="P903" t="n">
        <v>0</v>
      </c>
      <c r="Q903" t="n">
        <v>0</v>
      </c>
      <c r="R903" s="2" t="inlineStr"/>
    </row>
    <row r="904" ht="15" customHeight="1">
      <c r="A904" t="inlineStr">
        <is>
          <t>A 11240-2023</t>
        </is>
      </c>
      <c r="B904" s="1" t="n">
        <v>44992</v>
      </c>
      <c r="C904" s="1" t="n">
        <v>45926</v>
      </c>
      <c r="D904" t="inlineStr">
        <is>
          <t>SKÅNE LÄN</t>
        </is>
      </c>
      <c r="E904" t="inlineStr">
        <is>
          <t>HÄSSLEHOLM</t>
        </is>
      </c>
      <c r="G904" t="n">
        <v>2.1</v>
      </c>
      <c r="H904" t="n">
        <v>0</v>
      </c>
      <c r="I904" t="n">
        <v>0</v>
      </c>
      <c r="J904" t="n">
        <v>0</v>
      </c>
      <c r="K904" t="n">
        <v>0</v>
      </c>
      <c r="L904" t="n">
        <v>0</v>
      </c>
      <c r="M904" t="n">
        <v>0</v>
      </c>
      <c r="N904" t="n">
        <v>0</v>
      </c>
      <c r="O904" t="n">
        <v>0</v>
      </c>
      <c r="P904" t="n">
        <v>0</v>
      </c>
      <c r="Q904" t="n">
        <v>0</v>
      </c>
      <c r="R904" s="2" t="inlineStr"/>
    </row>
    <row r="905" ht="15" customHeight="1">
      <c r="A905" t="inlineStr">
        <is>
          <t>A 5780-2024</t>
        </is>
      </c>
      <c r="B905" s="1" t="n">
        <v>45335.41983796296</v>
      </c>
      <c r="C905" s="1" t="n">
        <v>45926</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34174-2025</t>
        </is>
      </c>
      <c r="B906" s="1" t="n">
        <v>45844</v>
      </c>
      <c r="C906" s="1" t="n">
        <v>45926</v>
      </c>
      <c r="D906" t="inlineStr">
        <is>
          <t>SKÅNE LÄN</t>
        </is>
      </c>
      <c r="E906" t="inlineStr">
        <is>
          <t>HÄSSLEHOLM</t>
        </is>
      </c>
      <c r="G906" t="n">
        <v>4.7</v>
      </c>
      <c r="H906" t="n">
        <v>0</v>
      </c>
      <c r="I906" t="n">
        <v>0</v>
      </c>
      <c r="J906" t="n">
        <v>0</v>
      </c>
      <c r="K906" t="n">
        <v>0</v>
      </c>
      <c r="L906" t="n">
        <v>0</v>
      </c>
      <c r="M906" t="n">
        <v>0</v>
      </c>
      <c r="N906" t="n">
        <v>0</v>
      </c>
      <c r="O906" t="n">
        <v>0</v>
      </c>
      <c r="P906" t="n">
        <v>0</v>
      </c>
      <c r="Q906" t="n">
        <v>0</v>
      </c>
      <c r="R906" s="2" t="inlineStr"/>
    </row>
    <row r="907" ht="15" customHeight="1">
      <c r="A907" t="inlineStr">
        <is>
          <t>A 34177-2025</t>
        </is>
      </c>
      <c r="B907" s="1" t="n">
        <v>45844</v>
      </c>
      <c r="C907" s="1" t="n">
        <v>45926</v>
      </c>
      <c r="D907" t="inlineStr">
        <is>
          <t>SKÅNE LÄN</t>
        </is>
      </c>
      <c r="E907" t="inlineStr">
        <is>
          <t>HÄSSLEHOLM</t>
        </is>
      </c>
      <c r="G907" t="n">
        <v>3</v>
      </c>
      <c r="H907" t="n">
        <v>0</v>
      </c>
      <c r="I907" t="n">
        <v>0</v>
      </c>
      <c r="J907" t="n">
        <v>0</v>
      </c>
      <c r="K907" t="n">
        <v>0</v>
      </c>
      <c r="L907" t="n">
        <v>0</v>
      </c>
      <c r="M907" t="n">
        <v>0</v>
      </c>
      <c r="N907" t="n">
        <v>0</v>
      </c>
      <c r="O907" t="n">
        <v>0</v>
      </c>
      <c r="P907" t="n">
        <v>0</v>
      </c>
      <c r="Q907" t="n">
        <v>0</v>
      </c>
      <c r="R907" s="2" t="inlineStr"/>
    </row>
    <row r="908" ht="15" customHeight="1">
      <c r="A908" t="inlineStr">
        <is>
          <t>A 33950-2025</t>
        </is>
      </c>
      <c r="B908" s="1" t="n">
        <v>45842</v>
      </c>
      <c r="C908" s="1" t="n">
        <v>45926</v>
      </c>
      <c r="D908" t="inlineStr">
        <is>
          <t>SKÅNE LÄN</t>
        </is>
      </c>
      <c r="E908" t="inlineStr">
        <is>
          <t>HÄSSLEHOLM</t>
        </is>
      </c>
      <c r="G908" t="n">
        <v>5.7</v>
      </c>
      <c r="H908" t="n">
        <v>0</v>
      </c>
      <c r="I908" t="n">
        <v>0</v>
      </c>
      <c r="J908" t="n">
        <v>0</v>
      </c>
      <c r="K908" t="n">
        <v>0</v>
      </c>
      <c r="L908" t="n">
        <v>0</v>
      </c>
      <c r="M908" t="n">
        <v>0</v>
      </c>
      <c r="N908" t="n">
        <v>0</v>
      </c>
      <c r="O908" t="n">
        <v>0</v>
      </c>
      <c r="P908" t="n">
        <v>0</v>
      </c>
      <c r="Q908" t="n">
        <v>0</v>
      </c>
      <c r="R908" s="2" t="inlineStr"/>
    </row>
    <row r="909" ht="15" customHeight="1">
      <c r="A909" t="inlineStr">
        <is>
          <t>A 16108-2025</t>
        </is>
      </c>
      <c r="B909" s="1" t="n">
        <v>45750.34667824074</v>
      </c>
      <c r="C909" s="1" t="n">
        <v>45926</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48326-2023</t>
        </is>
      </c>
      <c r="B910" s="1" t="n">
        <v>45205</v>
      </c>
      <c r="C910" s="1" t="n">
        <v>45926</v>
      </c>
      <c r="D910" t="inlineStr">
        <is>
          <t>SKÅNE LÄN</t>
        </is>
      </c>
      <c r="E910" t="inlineStr">
        <is>
          <t>HÄSSLEHOLM</t>
        </is>
      </c>
      <c r="G910" t="n">
        <v>12.7</v>
      </c>
      <c r="H910" t="n">
        <v>0</v>
      </c>
      <c r="I910" t="n">
        <v>0</v>
      </c>
      <c r="J910" t="n">
        <v>0</v>
      </c>
      <c r="K910" t="n">
        <v>0</v>
      </c>
      <c r="L910" t="n">
        <v>0</v>
      </c>
      <c r="M910" t="n">
        <v>0</v>
      </c>
      <c r="N910" t="n">
        <v>0</v>
      </c>
      <c r="O910" t="n">
        <v>0</v>
      </c>
      <c r="P910" t="n">
        <v>0</v>
      </c>
      <c r="Q910" t="n">
        <v>0</v>
      </c>
      <c r="R910" s="2" t="inlineStr"/>
    </row>
    <row r="911" ht="15" customHeight="1">
      <c r="A911" t="inlineStr">
        <is>
          <t>A 7481-2023</t>
        </is>
      </c>
      <c r="B911" s="1" t="n">
        <v>44971</v>
      </c>
      <c r="C911" s="1" t="n">
        <v>45926</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59728-2022</t>
        </is>
      </c>
      <c r="B912" s="1" t="n">
        <v>44900</v>
      </c>
      <c r="C912" s="1" t="n">
        <v>45926</v>
      </c>
      <c r="D912" t="inlineStr">
        <is>
          <t>SKÅNE LÄN</t>
        </is>
      </c>
      <c r="E912" t="inlineStr">
        <is>
          <t>HÄSSLEHOLM</t>
        </is>
      </c>
      <c r="G912" t="n">
        <v>0.3</v>
      </c>
      <c r="H912" t="n">
        <v>0</v>
      </c>
      <c r="I912" t="n">
        <v>0</v>
      </c>
      <c r="J912" t="n">
        <v>0</v>
      </c>
      <c r="K912" t="n">
        <v>0</v>
      </c>
      <c r="L912" t="n">
        <v>0</v>
      </c>
      <c r="M912" t="n">
        <v>0</v>
      </c>
      <c r="N912" t="n">
        <v>0</v>
      </c>
      <c r="O912" t="n">
        <v>0</v>
      </c>
      <c r="P912" t="n">
        <v>0</v>
      </c>
      <c r="Q912" t="n">
        <v>0</v>
      </c>
      <c r="R912" s="2" t="inlineStr"/>
    </row>
    <row r="913" ht="15" customHeight="1">
      <c r="A913" t="inlineStr">
        <is>
          <t>A 6791-2021</t>
        </is>
      </c>
      <c r="B913" s="1" t="n">
        <v>44236</v>
      </c>
      <c r="C913" s="1" t="n">
        <v>45926</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39366-2025</t>
        </is>
      </c>
      <c r="B914" s="1" t="n">
        <v>45889</v>
      </c>
      <c r="C914" s="1" t="n">
        <v>45926</v>
      </c>
      <c r="D914" t="inlineStr">
        <is>
          <t>SKÅNE LÄN</t>
        </is>
      </c>
      <c r="E914" t="inlineStr">
        <is>
          <t>HÄSSLEHOLM</t>
        </is>
      </c>
      <c r="G914" t="n">
        <v>1</v>
      </c>
      <c r="H914" t="n">
        <v>0</v>
      </c>
      <c r="I914" t="n">
        <v>0</v>
      </c>
      <c r="J914" t="n">
        <v>0</v>
      </c>
      <c r="K914" t="n">
        <v>0</v>
      </c>
      <c r="L914" t="n">
        <v>0</v>
      </c>
      <c r="M914" t="n">
        <v>0</v>
      </c>
      <c r="N914" t="n">
        <v>0</v>
      </c>
      <c r="O914" t="n">
        <v>0</v>
      </c>
      <c r="P914" t="n">
        <v>0</v>
      </c>
      <c r="Q914" t="n">
        <v>0</v>
      </c>
      <c r="R914" s="2" t="inlineStr"/>
    </row>
    <row r="915" ht="15" customHeight="1">
      <c r="A915" t="inlineStr">
        <is>
          <t>A 23683-2023</t>
        </is>
      </c>
      <c r="B915" s="1" t="n">
        <v>45077</v>
      </c>
      <c r="C915" s="1" t="n">
        <v>45926</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2663-2023</t>
        </is>
      </c>
      <c r="B916" s="1" t="n">
        <v>44942</v>
      </c>
      <c r="C916" s="1" t="n">
        <v>45926</v>
      </c>
      <c r="D916" t="inlineStr">
        <is>
          <t>SKÅNE LÄN</t>
        </is>
      </c>
      <c r="E916" t="inlineStr">
        <is>
          <t>HÄSSLEHOLM</t>
        </is>
      </c>
      <c r="F916" t="inlineStr">
        <is>
          <t>Kyrkan</t>
        </is>
      </c>
      <c r="G916" t="n">
        <v>0.8</v>
      </c>
      <c r="H916" t="n">
        <v>0</v>
      </c>
      <c r="I916" t="n">
        <v>0</v>
      </c>
      <c r="J916" t="n">
        <v>0</v>
      </c>
      <c r="K916" t="n">
        <v>0</v>
      </c>
      <c r="L916" t="n">
        <v>0</v>
      </c>
      <c r="M916" t="n">
        <v>0</v>
      </c>
      <c r="N916" t="n">
        <v>0</v>
      </c>
      <c r="O916" t="n">
        <v>0</v>
      </c>
      <c r="P916" t="n">
        <v>0</v>
      </c>
      <c r="Q916" t="n">
        <v>0</v>
      </c>
      <c r="R916" s="2" t="inlineStr"/>
    </row>
    <row r="917" ht="15" customHeight="1">
      <c r="A917" t="inlineStr">
        <is>
          <t>A 23172-2022</t>
        </is>
      </c>
      <c r="B917" s="1" t="n">
        <v>44719</v>
      </c>
      <c r="C917" s="1" t="n">
        <v>45926</v>
      </c>
      <c r="D917" t="inlineStr">
        <is>
          <t>SKÅNE LÄN</t>
        </is>
      </c>
      <c r="E917" t="inlineStr">
        <is>
          <t>HÄSSLEHOLM</t>
        </is>
      </c>
      <c r="F917" t="inlineStr">
        <is>
          <t>Övriga Aktiebolag</t>
        </is>
      </c>
      <c r="G917" t="n">
        <v>0.9</v>
      </c>
      <c r="H917" t="n">
        <v>0</v>
      </c>
      <c r="I917" t="n">
        <v>0</v>
      </c>
      <c r="J917" t="n">
        <v>0</v>
      </c>
      <c r="K917" t="n">
        <v>0</v>
      </c>
      <c r="L917" t="n">
        <v>0</v>
      </c>
      <c r="M917" t="n">
        <v>0</v>
      </c>
      <c r="N917" t="n">
        <v>0</v>
      </c>
      <c r="O917" t="n">
        <v>0</v>
      </c>
      <c r="P917" t="n">
        <v>0</v>
      </c>
      <c r="Q917" t="n">
        <v>0</v>
      </c>
      <c r="R917" s="2" t="inlineStr"/>
    </row>
    <row r="918" ht="15" customHeight="1">
      <c r="A918" t="inlineStr">
        <is>
          <t>A 23173-2022</t>
        </is>
      </c>
      <c r="B918" s="1" t="n">
        <v>44719.72155092593</v>
      </c>
      <c r="C918" s="1" t="n">
        <v>45926</v>
      </c>
      <c r="D918" t="inlineStr">
        <is>
          <t>SKÅNE LÄN</t>
        </is>
      </c>
      <c r="E918" t="inlineStr">
        <is>
          <t>HÄSSLEHOLM</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39453-2025</t>
        </is>
      </c>
      <c r="B919" s="1" t="n">
        <v>45889</v>
      </c>
      <c r="C919" s="1" t="n">
        <v>45926</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54518-2022</t>
        </is>
      </c>
      <c r="B920" s="1" t="n">
        <v>44882</v>
      </c>
      <c r="C920" s="1" t="n">
        <v>45926</v>
      </c>
      <c r="D920" t="inlineStr">
        <is>
          <t>SKÅNE LÄN</t>
        </is>
      </c>
      <c r="E920" t="inlineStr">
        <is>
          <t>HÄSSLEHOLM</t>
        </is>
      </c>
      <c r="F920" t="inlineStr">
        <is>
          <t>Övriga Aktiebolag</t>
        </is>
      </c>
      <c r="G920" t="n">
        <v>6.8</v>
      </c>
      <c r="H920" t="n">
        <v>0</v>
      </c>
      <c r="I920" t="n">
        <v>0</v>
      </c>
      <c r="J920" t="n">
        <v>0</v>
      </c>
      <c r="K920" t="n">
        <v>0</v>
      </c>
      <c r="L920" t="n">
        <v>0</v>
      </c>
      <c r="M920" t="n">
        <v>0</v>
      </c>
      <c r="N920" t="n">
        <v>0</v>
      </c>
      <c r="O920" t="n">
        <v>0</v>
      </c>
      <c r="P920" t="n">
        <v>0</v>
      </c>
      <c r="Q920" t="n">
        <v>0</v>
      </c>
      <c r="R920" s="2" t="inlineStr"/>
    </row>
    <row r="921" ht="15" customHeight="1">
      <c r="A921" t="inlineStr">
        <is>
          <t>A 57491-2024</t>
        </is>
      </c>
      <c r="B921" s="1" t="n">
        <v>45629</v>
      </c>
      <c r="C921" s="1" t="n">
        <v>45926</v>
      </c>
      <c r="D921" t="inlineStr">
        <is>
          <t>SKÅNE LÄN</t>
        </is>
      </c>
      <c r="E921" t="inlineStr">
        <is>
          <t>HÄSSLEHOLM</t>
        </is>
      </c>
      <c r="G921" t="n">
        <v>3.2</v>
      </c>
      <c r="H921" t="n">
        <v>0</v>
      </c>
      <c r="I921" t="n">
        <v>0</v>
      </c>
      <c r="J921" t="n">
        <v>0</v>
      </c>
      <c r="K921" t="n">
        <v>0</v>
      </c>
      <c r="L921" t="n">
        <v>0</v>
      </c>
      <c r="M921" t="n">
        <v>0</v>
      </c>
      <c r="N921" t="n">
        <v>0</v>
      </c>
      <c r="O921" t="n">
        <v>0</v>
      </c>
      <c r="P921" t="n">
        <v>0</v>
      </c>
      <c r="Q921" t="n">
        <v>0</v>
      </c>
      <c r="R921" s="2" t="inlineStr"/>
    </row>
    <row r="922" ht="15" customHeight="1">
      <c r="A922" t="inlineStr">
        <is>
          <t>A 52912-2022</t>
        </is>
      </c>
      <c r="B922" s="1" t="n">
        <v>44872</v>
      </c>
      <c r="C922" s="1" t="n">
        <v>45926</v>
      </c>
      <c r="D922" t="inlineStr">
        <is>
          <t>SKÅNE LÄN</t>
        </is>
      </c>
      <c r="E922" t="inlineStr">
        <is>
          <t>HÄSSLEHOLM</t>
        </is>
      </c>
      <c r="G922" t="n">
        <v>4.7</v>
      </c>
      <c r="H922" t="n">
        <v>0</v>
      </c>
      <c r="I922" t="n">
        <v>0</v>
      </c>
      <c r="J922" t="n">
        <v>0</v>
      </c>
      <c r="K922" t="n">
        <v>0</v>
      </c>
      <c r="L922" t="n">
        <v>0</v>
      </c>
      <c r="M922" t="n">
        <v>0</v>
      </c>
      <c r="N922" t="n">
        <v>0</v>
      </c>
      <c r="O922" t="n">
        <v>0</v>
      </c>
      <c r="P922" t="n">
        <v>0</v>
      </c>
      <c r="Q922" t="n">
        <v>0</v>
      </c>
      <c r="R922" s="2" t="inlineStr"/>
    </row>
    <row r="923" ht="15" customHeight="1">
      <c r="A923" t="inlineStr">
        <is>
          <t>A 16950-2025</t>
        </is>
      </c>
      <c r="B923" s="1" t="n">
        <v>45755</v>
      </c>
      <c r="C923" s="1" t="n">
        <v>45926</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27502-2023</t>
        </is>
      </c>
      <c r="B924" s="1" t="n">
        <v>45092</v>
      </c>
      <c r="C924" s="1" t="n">
        <v>45926</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17492-2025</t>
        </is>
      </c>
      <c r="B925" s="1" t="n">
        <v>45747</v>
      </c>
      <c r="C925" s="1" t="n">
        <v>45926</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39934-2025</t>
        </is>
      </c>
      <c r="B926" s="1" t="n">
        <v>45891.71465277778</v>
      </c>
      <c r="C926" s="1" t="n">
        <v>45926</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39937-2025</t>
        </is>
      </c>
      <c r="B927" s="1" t="n">
        <v>45891.73162037037</v>
      </c>
      <c r="C927" s="1" t="n">
        <v>45926</v>
      </c>
      <c r="D927" t="inlineStr">
        <is>
          <t>SKÅNE LÄN</t>
        </is>
      </c>
      <c r="E927" t="inlineStr">
        <is>
          <t>HÄSSLEHOLM</t>
        </is>
      </c>
      <c r="G927" t="n">
        <v>4.5</v>
      </c>
      <c r="H927" t="n">
        <v>0</v>
      </c>
      <c r="I927" t="n">
        <v>0</v>
      </c>
      <c r="J927" t="n">
        <v>0</v>
      </c>
      <c r="K927" t="n">
        <v>0</v>
      </c>
      <c r="L927" t="n">
        <v>0</v>
      </c>
      <c r="M927" t="n">
        <v>0</v>
      </c>
      <c r="N927" t="n">
        <v>0</v>
      </c>
      <c r="O927" t="n">
        <v>0</v>
      </c>
      <c r="P927" t="n">
        <v>0</v>
      </c>
      <c r="Q927" t="n">
        <v>0</v>
      </c>
      <c r="R927" s="2" t="inlineStr"/>
    </row>
    <row r="928" ht="15" customHeight="1">
      <c r="A928" t="inlineStr">
        <is>
          <t>A 34869-2025</t>
        </is>
      </c>
      <c r="B928" s="1" t="n">
        <v>45849</v>
      </c>
      <c r="C928" s="1" t="n">
        <v>45926</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56158-2020</t>
        </is>
      </c>
      <c r="B929" s="1" t="n">
        <v>44133</v>
      </c>
      <c r="C929" s="1" t="n">
        <v>45926</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6836-2023</t>
        </is>
      </c>
      <c r="B930" s="1" t="n">
        <v>44967</v>
      </c>
      <c r="C930" s="1" t="n">
        <v>45926</v>
      </c>
      <c r="D930" t="inlineStr">
        <is>
          <t>SKÅNE LÄN</t>
        </is>
      </c>
      <c r="E930" t="inlineStr">
        <is>
          <t>HÄSSLEHOLM</t>
        </is>
      </c>
      <c r="G930" t="n">
        <v>3.5</v>
      </c>
      <c r="H930" t="n">
        <v>0</v>
      </c>
      <c r="I930" t="n">
        <v>0</v>
      </c>
      <c r="J930" t="n">
        <v>0</v>
      </c>
      <c r="K930" t="n">
        <v>0</v>
      </c>
      <c r="L930" t="n">
        <v>0</v>
      </c>
      <c r="M930" t="n">
        <v>0</v>
      </c>
      <c r="N930" t="n">
        <v>0</v>
      </c>
      <c r="O930" t="n">
        <v>0</v>
      </c>
      <c r="P930" t="n">
        <v>0</v>
      </c>
      <c r="Q930" t="n">
        <v>0</v>
      </c>
      <c r="R930" s="2" t="inlineStr"/>
    </row>
    <row r="931" ht="15" customHeight="1">
      <c r="A931" t="inlineStr">
        <is>
          <t>A 6845-2023</t>
        </is>
      </c>
      <c r="B931" s="1" t="n">
        <v>44967</v>
      </c>
      <c r="C931" s="1" t="n">
        <v>45926</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53887-2023</t>
        </is>
      </c>
      <c r="B932" s="1" t="n">
        <v>45231.52675925926</v>
      </c>
      <c r="C932" s="1" t="n">
        <v>45926</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39457-2025</t>
        </is>
      </c>
      <c r="B933" s="1" t="n">
        <v>45889.76887731482</v>
      </c>
      <c r="C933" s="1" t="n">
        <v>45926</v>
      </c>
      <c r="D933" t="inlineStr">
        <is>
          <t>SKÅNE LÄN</t>
        </is>
      </c>
      <c r="E933" t="inlineStr">
        <is>
          <t>HÄSSLEHOLM</t>
        </is>
      </c>
      <c r="G933" t="n">
        <v>6.6</v>
      </c>
      <c r="H933" t="n">
        <v>0</v>
      </c>
      <c r="I933" t="n">
        <v>0</v>
      </c>
      <c r="J933" t="n">
        <v>0</v>
      </c>
      <c r="K933" t="n">
        <v>0</v>
      </c>
      <c r="L933" t="n">
        <v>0</v>
      </c>
      <c r="M933" t="n">
        <v>0</v>
      </c>
      <c r="N933" t="n">
        <v>0</v>
      </c>
      <c r="O933" t="n">
        <v>0</v>
      </c>
      <c r="P933" t="n">
        <v>0</v>
      </c>
      <c r="Q933" t="n">
        <v>0</v>
      </c>
      <c r="R933" s="2" t="inlineStr"/>
    </row>
    <row r="934" ht="15" customHeight="1">
      <c r="A934" t="inlineStr">
        <is>
          <t>A 50664-2023</t>
        </is>
      </c>
      <c r="B934" s="1" t="n">
        <v>45217</v>
      </c>
      <c r="C934" s="1" t="n">
        <v>45926</v>
      </c>
      <c r="D934" t="inlineStr">
        <is>
          <t>SKÅNE LÄN</t>
        </is>
      </c>
      <c r="E934" t="inlineStr">
        <is>
          <t>HÄSSLEHOLM</t>
        </is>
      </c>
      <c r="G934" t="n">
        <v>0.6</v>
      </c>
      <c r="H934" t="n">
        <v>0</v>
      </c>
      <c r="I934" t="n">
        <v>0</v>
      </c>
      <c r="J934" t="n">
        <v>0</v>
      </c>
      <c r="K934" t="n">
        <v>0</v>
      </c>
      <c r="L934" t="n">
        <v>0</v>
      </c>
      <c r="M934" t="n">
        <v>0</v>
      </c>
      <c r="N934" t="n">
        <v>0</v>
      </c>
      <c r="O934" t="n">
        <v>0</v>
      </c>
      <c r="P934" t="n">
        <v>0</v>
      </c>
      <c r="Q934" t="n">
        <v>0</v>
      </c>
      <c r="R934" s="2" t="inlineStr"/>
    </row>
    <row r="935" ht="15" customHeight="1">
      <c r="A935" t="inlineStr">
        <is>
          <t>A 40241-2025</t>
        </is>
      </c>
      <c r="B935" s="1" t="n">
        <v>45894.87251157407</v>
      </c>
      <c r="C935" s="1" t="n">
        <v>45926</v>
      </c>
      <c r="D935" t="inlineStr">
        <is>
          <t>SKÅNE LÄN</t>
        </is>
      </c>
      <c r="E935" t="inlineStr">
        <is>
          <t>HÄSSLEHOLM</t>
        </is>
      </c>
      <c r="G935" t="n">
        <v>3.8</v>
      </c>
      <c r="H935" t="n">
        <v>0</v>
      </c>
      <c r="I935" t="n">
        <v>0</v>
      </c>
      <c r="J935" t="n">
        <v>0</v>
      </c>
      <c r="K935" t="n">
        <v>0</v>
      </c>
      <c r="L935" t="n">
        <v>0</v>
      </c>
      <c r="M935" t="n">
        <v>0</v>
      </c>
      <c r="N935" t="n">
        <v>0</v>
      </c>
      <c r="O935" t="n">
        <v>0</v>
      </c>
      <c r="P935" t="n">
        <v>0</v>
      </c>
      <c r="Q935" t="n">
        <v>0</v>
      </c>
      <c r="R935" s="2" t="inlineStr"/>
    </row>
    <row r="936" ht="15" customHeight="1">
      <c r="A936" t="inlineStr">
        <is>
          <t>A 42428-2022</t>
        </is>
      </c>
      <c r="B936" s="1" t="n">
        <v>44831</v>
      </c>
      <c r="C936" s="1" t="n">
        <v>45926</v>
      </c>
      <c r="D936" t="inlineStr">
        <is>
          <t>SKÅNE LÄN</t>
        </is>
      </c>
      <c r="E936" t="inlineStr">
        <is>
          <t>HÄSSLEHOLM</t>
        </is>
      </c>
      <c r="G936" t="n">
        <v>2.8</v>
      </c>
      <c r="H936" t="n">
        <v>0</v>
      </c>
      <c r="I936" t="n">
        <v>0</v>
      </c>
      <c r="J936" t="n">
        <v>0</v>
      </c>
      <c r="K936" t="n">
        <v>0</v>
      </c>
      <c r="L936" t="n">
        <v>0</v>
      </c>
      <c r="M936" t="n">
        <v>0</v>
      </c>
      <c r="N936" t="n">
        <v>0</v>
      </c>
      <c r="O936" t="n">
        <v>0</v>
      </c>
      <c r="P936" t="n">
        <v>0</v>
      </c>
      <c r="Q936" t="n">
        <v>0</v>
      </c>
      <c r="R936" s="2" t="inlineStr"/>
    </row>
    <row r="937" ht="15" customHeight="1">
      <c r="A937" t="inlineStr">
        <is>
          <t>A 62171-2022</t>
        </is>
      </c>
      <c r="B937" s="1" t="n">
        <v>44915</v>
      </c>
      <c r="C937" s="1" t="n">
        <v>45926</v>
      </c>
      <c r="D937" t="inlineStr">
        <is>
          <t>SKÅNE LÄN</t>
        </is>
      </c>
      <c r="E937" t="inlineStr">
        <is>
          <t>HÄSSLEHOLM</t>
        </is>
      </c>
      <c r="F937" t="inlineStr">
        <is>
          <t>Kyrkan</t>
        </is>
      </c>
      <c r="G937" t="n">
        <v>9</v>
      </c>
      <c r="H937" t="n">
        <v>0</v>
      </c>
      <c r="I937" t="n">
        <v>0</v>
      </c>
      <c r="J937" t="n">
        <v>0</v>
      </c>
      <c r="K937" t="n">
        <v>0</v>
      </c>
      <c r="L937" t="n">
        <v>0</v>
      </c>
      <c r="M937" t="n">
        <v>0</v>
      </c>
      <c r="N937" t="n">
        <v>0</v>
      </c>
      <c r="O937" t="n">
        <v>0</v>
      </c>
      <c r="P937" t="n">
        <v>0</v>
      </c>
      <c r="Q937" t="n">
        <v>0</v>
      </c>
      <c r="R937" s="2" t="inlineStr"/>
    </row>
    <row r="938" ht="15" customHeight="1">
      <c r="A938" t="inlineStr">
        <is>
          <t>A 21329-2023</t>
        </is>
      </c>
      <c r="B938" s="1" t="n">
        <v>45062</v>
      </c>
      <c r="C938" s="1" t="n">
        <v>45926</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1543-2024</t>
        </is>
      </c>
      <c r="B939" s="1" t="n">
        <v>45306</v>
      </c>
      <c r="C939" s="1" t="n">
        <v>45926</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18800-2023</t>
        </is>
      </c>
      <c r="B940" s="1" t="n">
        <v>45044</v>
      </c>
      <c r="C940" s="1" t="n">
        <v>45926</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56956-2024</t>
        </is>
      </c>
      <c r="B941" s="1" t="n">
        <v>45626</v>
      </c>
      <c r="C941" s="1" t="n">
        <v>45926</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9885-2021</t>
        </is>
      </c>
      <c r="B942" s="1" t="n">
        <v>44253</v>
      </c>
      <c r="C942" s="1" t="n">
        <v>45926</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20970-2025</t>
        </is>
      </c>
      <c r="B943" s="1" t="n">
        <v>45777.45417824074</v>
      </c>
      <c r="C943" s="1" t="n">
        <v>45926</v>
      </c>
      <c r="D943" t="inlineStr">
        <is>
          <t>SKÅNE LÄN</t>
        </is>
      </c>
      <c r="E943" t="inlineStr">
        <is>
          <t>HÄSSLEHOLM</t>
        </is>
      </c>
      <c r="G943" t="n">
        <v>2.2</v>
      </c>
      <c r="H943" t="n">
        <v>0</v>
      </c>
      <c r="I943" t="n">
        <v>0</v>
      </c>
      <c r="J943" t="n">
        <v>0</v>
      </c>
      <c r="K943" t="n">
        <v>0</v>
      </c>
      <c r="L943" t="n">
        <v>0</v>
      </c>
      <c r="M943" t="n">
        <v>0</v>
      </c>
      <c r="N943" t="n">
        <v>0</v>
      </c>
      <c r="O943" t="n">
        <v>0</v>
      </c>
      <c r="P943" t="n">
        <v>0</v>
      </c>
      <c r="Q943" t="n">
        <v>0</v>
      </c>
      <c r="R943" s="2" t="inlineStr"/>
    </row>
    <row r="944" ht="15" customHeight="1">
      <c r="A944" t="inlineStr">
        <is>
          <t>A 35259-2025</t>
        </is>
      </c>
      <c r="B944" s="1" t="n">
        <v>45853.76912037037</v>
      </c>
      <c r="C944" s="1" t="n">
        <v>45926</v>
      </c>
      <c r="D944" t="inlineStr">
        <is>
          <t>SKÅNE LÄN</t>
        </is>
      </c>
      <c r="E944" t="inlineStr">
        <is>
          <t>HÄSSLEHOLM</t>
        </is>
      </c>
      <c r="G944" t="n">
        <v>1.9</v>
      </c>
      <c r="H944" t="n">
        <v>0</v>
      </c>
      <c r="I944" t="n">
        <v>0</v>
      </c>
      <c r="J944" t="n">
        <v>0</v>
      </c>
      <c r="K944" t="n">
        <v>0</v>
      </c>
      <c r="L944" t="n">
        <v>0</v>
      </c>
      <c r="M944" t="n">
        <v>0</v>
      </c>
      <c r="N944" t="n">
        <v>0</v>
      </c>
      <c r="O944" t="n">
        <v>0</v>
      </c>
      <c r="P944" t="n">
        <v>0</v>
      </c>
      <c r="Q944" t="n">
        <v>0</v>
      </c>
      <c r="R944" s="2" t="inlineStr"/>
    </row>
    <row r="945" ht="15" customHeight="1">
      <c r="A945" t="inlineStr">
        <is>
          <t>A 35711-2024</t>
        </is>
      </c>
      <c r="B945" s="1" t="n">
        <v>45532</v>
      </c>
      <c r="C945" s="1" t="n">
        <v>45926</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56490-2021</t>
        </is>
      </c>
      <c r="B946" s="1" t="n">
        <v>44480</v>
      </c>
      <c r="C946" s="1" t="n">
        <v>45926</v>
      </c>
      <c r="D946" t="inlineStr">
        <is>
          <t>SKÅNE LÄN</t>
        </is>
      </c>
      <c r="E946" t="inlineStr">
        <is>
          <t>HÄSSLEHOLM</t>
        </is>
      </c>
      <c r="F946" t="inlineStr">
        <is>
          <t>Kyrkan</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17413-2025</t>
        </is>
      </c>
      <c r="B947" s="1" t="n">
        <v>45757.37480324074</v>
      </c>
      <c r="C947" s="1" t="n">
        <v>45926</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25077-2024</t>
        </is>
      </c>
      <c r="B948" s="1" t="n">
        <v>45462</v>
      </c>
      <c r="C948" s="1" t="n">
        <v>45926</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61680-2022</t>
        </is>
      </c>
      <c r="B949" s="1" t="n">
        <v>44917.36372685185</v>
      </c>
      <c r="C949" s="1" t="n">
        <v>45926</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61489-2024</t>
        </is>
      </c>
      <c r="B950" s="1" t="n">
        <v>45646.54875</v>
      </c>
      <c r="C950" s="1" t="n">
        <v>45926</v>
      </c>
      <c r="D950" t="inlineStr">
        <is>
          <t>SKÅNE LÄN</t>
        </is>
      </c>
      <c r="E950" t="inlineStr">
        <is>
          <t>HÄSSLEHOLM</t>
        </is>
      </c>
      <c r="G950" t="n">
        <v>1.9</v>
      </c>
      <c r="H950" t="n">
        <v>0</v>
      </c>
      <c r="I950" t="n">
        <v>0</v>
      </c>
      <c r="J950" t="n">
        <v>0</v>
      </c>
      <c r="K950" t="n">
        <v>0</v>
      </c>
      <c r="L950" t="n">
        <v>0</v>
      </c>
      <c r="M950" t="n">
        <v>0</v>
      </c>
      <c r="N950" t="n">
        <v>0</v>
      </c>
      <c r="O950" t="n">
        <v>0</v>
      </c>
      <c r="P950" t="n">
        <v>0</v>
      </c>
      <c r="Q950" t="n">
        <v>0</v>
      </c>
      <c r="R950" s="2" t="inlineStr"/>
    </row>
    <row r="951" ht="15" customHeight="1">
      <c r="A951" t="inlineStr">
        <is>
          <t>A 22535-2024</t>
        </is>
      </c>
      <c r="B951" s="1" t="n">
        <v>45447</v>
      </c>
      <c r="C951" s="1" t="n">
        <v>45926</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17699-2024</t>
        </is>
      </c>
      <c r="B952" s="1" t="n">
        <v>45418.46094907408</v>
      </c>
      <c r="C952" s="1" t="n">
        <v>45926</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17702-2024</t>
        </is>
      </c>
      <c r="B953" s="1" t="n">
        <v>45418.46534722222</v>
      </c>
      <c r="C953" s="1" t="n">
        <v>45926</v>
      </c>
      <c r="D953" t="inlineStr">
        <is>
          <t>SKÅNE LÄN</t>
        </is>
      </c>
      <c r="E953" t="inlineStr">
        <is>
          <t>HÄSSLEHOLM</t>
        </is>
      </c>
      <c r="G953" t="n">
        <v>0.8</v>
      </c>
      <c r="H953" t="n">
        <v>0</v>
      </c>
      <c r="I953" t="n">
        <v>0</v>
      </c>
      <c r="J953" t="n">
        <v>0</v>
      </c>
      <c r="K953" t="n">
        <v>0</v>
      </c>
      <c r="L953" t="n">
        <v>0</v>
      </c>
      <c r="M953" t="n">
        <v>0</v>
      </c>
      <c r="N953" t="n">
        <v>0</v>
      </c>
      <c r="O953" t="n">
        <v>0</v>
      </c>
      <c r="P953" t="n">
        <v>0</v>
      </c>
      <c r="Q953" t="n">
        <v>0</v>
      </c>
      <c r="R953" s="2" t="inlineStr"/>
    </row>
    <row r="954" ht="15" customHeight="1">
      <c r="A954" t="inlineStr">
        <is>
          <t>A 6101-2022</t>
        </is>
      </c>
      <c r="B954" s="1" t="n">
        <v>44599.63016203704</v>
      </c>
      <c r="C954" s="1" t="n">
        <v>45926</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15060-2023</t>
        </is>
      </c>
      <c r="B955" s="1" t="n">
        <v>45015.69832175926</v>
      </c>
      <c r="C955" s="1" t="n">
        <v>45926</v>
      </c>
      <c r="D955" t="inlineStr">
        <is>
          <t>SKÅNE LÄN</t>
        </is>
      </c>
      <c r="E955" t="inlineStr">
        <is>
          <t>HÄSSLEHOLM</t>
        </is>
      </c>
      <c r="G955" t="n">
        <v>1.7</v>
      </c>
      <c r="H955" t="n">
        <v>0</v>
      </c>
      <c r="I955" t="n">
        <v>0</v>
      </c>
      <c r="J955" t="n">
        <v>0</v>
      </c>
      <c r="K955" t="n">
        <v>0</v>
      </c>
      <c r="L955" t="n">
        <v>0</v>
      </c>
      <c r="M955" t="n">
        <v>0</v>
      </c>
      <c r="N955" t="n">
        <v>0</v>
      </c>
      <c r="O955" t="n">
        <v>0</v>
      </c>
      <c r="P955" t="n">
        <v>0</v>
      </c>
      <c r="Q955" t="n">
        <v>0</v>
      </c>
      <c r="R955" s="2" t="inlineStr"/>
    </row>
    <row r="956" ht="15" customHeight="1">
      <c r="A956" t="inlineStr">
        <is>
          <t>A 4787-2023</t>
        </is>
      </c>
      <c r="B956" s="1" t="n">
        <v>44957.60079861111</v>
      </c>
      <c r="C956" s="1" t="n">
        <v>45926</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4788-2023</t>
        </is>
      </c>
      <c r="B957" s="1" t="n">
        <v>44957.60130787037</v>
      </c>
      <c r="C957" s="1" t="n">
        <v>45926</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34348-2022</t>
        </is>
      </c>
      <c r="B958" s="1" t="n">
        <v>44792</v>
      </c>
      <c r="C958" s="1" t="n">
        <v>45926</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41680-2024</t>
        </is>
      </c>
      <c r="B959" s="1" t="n">
        <v>45560</v>
      </c>
      <c r="C959" s="1" t="n">
        <v>45926</v>
      </c>
      <c r="D959" t="inlineStr">
        <is>
          <t>SKÅNE LÄN</t>
        </is>
      </c>
      <c r="E959" t="inlineStr">
        <is>
          <t>HÄSSLEHOLM</t>
        </is>
      </c>
      <c r="G959" t="n">
        <v>0.2</v>
      </c>
      <c r="H959" t="n">
        <v>0</v>
      </c>
      <c r="I959" t="n">
        <v>0</v>
      </c>
      <c r="J959" t="n">
        <v>0</v>
      </c>
      <c r="K959" t="n">
        <v>0</v>
      </c>
      <c r="L959" t="n">
        <v>0</v>
      </c>
      <c r="M959" t="n">
        <v>0</v>
      </c>
      <c r="N959" t="n">
        <v>0</v>
      </c>
      <c r="O959" t="n">
        <v>0</v>
      </c>
      <c r="P959" t="n">
        <v>0</v>
      </c>
      <c r="Q959" t="n">
        <v>0</v>
      </c>
      <c r="R959" s="2" t="inlineStr"/>
    </row>
    <row r="960" ht="15" customHeight="1">
      <c r="A960" t="inlineStr">
        <is>
          <t>A 45399-2022</t>
        </is>
      </c>
      <c r="B960" s="1" t="n">
        <v>44844.70513888889</v>
      </c>
      <c r="C960" s="1" t="n">
        <v>45926</v>
      </c>
      <c r="D960" t="inlineStr">
        <is>
          <t>SKÅNE LÄN</t>
        </is>
      </c>
      <c r="E960" t="inlineStr">
        <is>
          <t>HÄSSLEHOLM</t>
        </is>
      </c>
      <c r="G960" t="n">
        <v>0</v>
      </c>
      <c r="H960" t="n">
        <v>0</v>
      </c>
      <c r="I960" t="n">
        <v>0</v>
      </c>
      <c r="J960" t="n">
        <v>0</v>
      </c>
      <c r="K960" t="n">
        <v>0</v>
      </c>
      <c r="L960" t="n">
        <v>0</v>
      </c>
      <c r="M960" t="n">
        <v>0</v>
      </c>
      <c r="N960" t="n">
        <v>0</v>
      </c>
      <c r="O960" t="n">
        <v>0</v>
      </c>
      <c r="P960" t="n">
        <v>0</v>
      </c>
      <c r="Q960" t="n">
        <v>0</v>
      </c>
      <c r="R960" s="2" t="inlineStr"/>
    </row>
    <row r="961" ht="15" customHeight="1">
      <c r="A961" t="inlineStr">
        <is>
          <t>A 35640-2023</t>
        </is>
      </c>
      <c r="B961" s="1" t="n">
        <v>45147</v>
      </c>
      <c r="C961" s="1" t="n">
        <v>45926</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16951-2025</t>
        </is>
      </c>
      <c r="B962" s="1" t="n">
        <v>45755</v>
      </c>
      <c r="C962" s="1" t="n">
        <v>45926</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2681-2024</t>
        </is>
      </c>
      <c r="B963" s="1" t="n">
        <v>45314</v>
      </c>
      <c r="C963" s="1" t="n">
        <v>45926</v>
      </c>
      <c r="D963" t="inlineStr">
        <is>
          <t>SKÅNE LÄN</t>
        </is>
      </c>
      <c r="E963" t="inlineStr">
        <is>
          <t>HÄSSLEHOLM</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41400-2025</t>
        </is>
      </c>
      <c r="B964" s="1" t="n">
        <v>45901</v>
      </c>
      <c r="C964" s="1" t="n">
        <v>45926</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41401-2025</t>
        </is>
      </c>
      <c r="B965" s="1" t="n">
        <v>45901</v>
      </c>
      <c r="C965" s="1" t="n">
        <v>45926</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16614-2025</t>
        </is>
      </c>
      <c r="B966" s="1" t="n">
        <v>45754.283125</v>
      </c>
      <c r="C966" s="1" t="n">
        <v>45926</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3888-2024</t>
        </is>
      </c>
      <c r="B967" s="1" t="n">
        <v>45322.45089120371</v>
      </c>
      <c r="C967" s="1" t="n">
        <v>45926</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3889-2024</t>
        </is>
      </c>
      <c r="B968" s="1" t="n">
        <v>45322.45234953704</v>
      </c>
      <c r="C968" s="1" t="n">
        <v>45926</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3294-2025</t>
        </is>
      </c>
      <c r="B969" s="1" t="n">
        <v>45679.64125</v>
      </c>
      <c r="C969" s="1" t="n">
        <v>45926</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9669-2025</t>
        </is>
      </c>
      <c r="B970" s="1" t="n">
        <v>45716.32921296296</v>
      </c>
      <c r="C970" s="1" t="n">
        <v>45926</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11121-2023</t>
        </is>
      </c>
      <c r="B971" s="1" t="n">
        <v>44986</v>
      </c>
      <c r="C971" s="1" t="n">
        <v>45926</v>
      </c>
      <c r="D971" t="inlineStr">
        <is>
          <t>SKÅNE LÄN</t>
        </is>
      </c>
      <c r="E971" t="inlineStr">
        <is>
          <t>HÄSSLEHOLM</t>
        </is>
      </c>
      <c r="F971" t="inlineStr">
        <is>
          <t>Kommuner</t>
        </is>
      </c>
      <c r="G971" t="n">
        <v>5.8</v>
      </c>
      <c r="H971" t="n">
        <v>0</v>
      </c>
      <c r="I971" t="n">
        <v>0</v>
      </c>
      <c r="J971" t="n">
        <v>0</v>
      </c>
      <c r="K971" t="n">
        <v>0</v>
      </c>
      <c r="L971" t="n">
        <v>0</v>
      </c>
      <c r="M971" t="n">
        <v>0</v>
      </c>
      <c r="N971" t="n">
        <v>0</v>
      </c>
      <c r="O971" t="n">
        <v>0</v>
      </c>
      <c r="P971" t="n">
        <v>0</v>
      </c>
      <c r="Q971" t="n">
        <v>0</v>
      </c>
      <c r="R971" s="2" t="inlineStr"/>
    </row>
    <row r="972" ht="15" customHeight="1">
      <c r="A972" t="inlineStr">
        <is>
          <t>A 27177-2024</t>
        </is>
      </c>
      <c r="B972" s="1" t="n">
        <v>45471.57201388889</v>
      </c>
      <c r="C972" s="1" t="n">
        <v>45926</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11116-2023</t>
        </is>
      </c>
      <c r="B973" s="1" t="n">
        <v>44986</v>
      </c>
      <c r="C973" s="1" t="n">
        <v>45926</v>
      </c>
      <c r="D973" t="inlineStr">
        <is>
          <t>SKÅNE LÄN</t>
        </is>
      </c>
      <c r="E973" t="inlineStr">
        <is>
          <t>HÄSSLEHOLM</t>
        </is>
      </c>
      <c r="F973" t="inlineStr">
        <is>
          <t>Kommuner</t>
        </is>
      </c>
      <c r="G973" t="n">
        <v>15.1</v>
      </c>
      <c r="H973" t="n">
        <v>0</v>
      </c>
      <c r="I973" t="n">
        <v>0</v>
      </c>
      <c r="J973" t="n">
        <v>0</v>
      </c>
      <c r="K973" t="n">
        <v>0</v>
      </c>
      <c r="L973" t="n">
        <v>0</v>
      </c>
      <c r="M973" t="n">
        <v>0</v>
      </c>
      <c r="N973" t="n">
        <v>0</v>
      </c>
      <c r="O973" t="n">
        <v>0</v>
      </c>
      <c r="P973" t="n">
        <v>0</v>
      </c>
      <c r="Q973" t="n">
        <v>0</v>
      </c>
      <c r="R973" s="2" t="inlineStr"/>
    </row>
    <row r="974" ht="15" customHeight="1">
      <c r="A974" t="inlineStr">
        <is>
          <t>A 31995-2023</t>
        </is>
      </c>
      <c r="B974" s="1" t="n">
        <v>45107</v>
      </c>
      <c r="C974" s="1" t="n">
        <v>45926</v>
      </c>
      <c r="D974" t="inlineStr">
        <is>
          <t>SKÅNE LÄN</t>
        </is>
      </c>
      <c r="E974" t="inlineStr">
        <is>
          <t>HÄSSLEHOLM</t>
        </is>
      </c>
      <c r="G974" t="n">
        <v>7.3</v>
      </c>
      <c r="H974" t="n">
        <v>0</v>
      </c>
      <c r="I974" t="n">
        <v>0</v>
      </c>
      <c r="J974" t="n">
        <v>0</v>
      </c>
      <c r="K974" t="n">
        <v>0</v>
      </c>
      <c r="L974" t="n">
        <v>0</v>
      </c>
      <c r="M974" t="n">
        <v>0</v>
      </c>
      <c r="N974" t="n">
        <v>0</v>
      </c>
      <c r="O974" t="n">
        <v>0</v>
      </c>
      <c r="P974" t="n">
        <v>0</v>
      </c>
      <c r="Q974" t="n">
        <v>0</v>
      </c>
      <c r="R974" s="2" t="inlineStr"/>
    </row>
    <row r="975" ht="15" customHeight="1">
      <c r="A975" t="inlineStr">
        <is>
          <t>A 31998-2023</t>
        </is>
      </c>
      <c r="B975" s="1" t="n">
        <v>45119</v>
      </c>
      <c r="C975" s="1" t="n">
        <v>45926</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49219-2024</t>
        </is>
      </c>
      <c r="B976" s="1" t="n">
        <v>45595.40923611111</v>
      </c>
      <c r="C976" s="1" t="n">
        <v>45926</v>
      </c>
      <c r="D976" t="inlineStr">
        <is>
          <t>SKÅNE LÄN</t>
        </is>
      </c>
      <c r="E976" t="inlineStr">
        <is>
          <t>HÄSSLEHOLM</t>
        </is>
      </c>
      <c r="G976" t="n">
        <v>1.8</v>
      </c>
      <c r="H976" t="n">
        <v>0</v>
      </c>
      <c r="I976" t="n">
        <v>0</v>
      </c>
      <c r="J976" t="n">
        <v>0</v>
      </c>
      <c r="K976" t="n">
        <v>0</v>
      </c>
      <c r="L976" t="n">
        <v>0</v>
      </c>
      <c r="M976" t="n">
        <v>0</v>
      </c>
      <c r="N976" t="n">
        <v>0</v>
      </c>
      <c r="O976" t="n">
        <v>0</v>
      </c>
      <c r="P976" t="n">
        <v>0</v>
      </c>
      <c r="Q976" t="n">
        <v>0</v>
      </c>
      <c r="R976" s="2" t="inlineStr"/>
    </row>
    <row r="977" ht="15" customHeight="1">
      <c r="A977" t="inlineStr">
        <is>
          <t>A 5478-2021</t>
        </is>
      </c>
      <c r="B977" s="1" t="n">
        <v>44230</v>
      </c>
      <c r="C977" s="1" t="n">
        <v>45926</v>
      </c>
      <c r="D977" t="inlineStr">
        <is>
          <t>SKÅNE LÄN</t>
        </is>
      </c>
      <c r="E977" t="inlineStr">
        <is>
          <t>HÄSSLEHOLM</t>
        </is>
      </c>
      <c r="G977" t="n">
        <v>0.1</v>
      </c>
      <c r="H977" t="n">
        <v>0</v>
      </c>
      <c r="I977" t="n">
        <v>0</v>
      </c>
      <c r="J977" t="n">
        <v>0</v>
      </c>
      <c r="K977" t="n">
        <v>0</v>
      </c>
      <c r="L977" t="n">
        <v>0</v>
      </c>
      <c r="M977" t="n">
        <v>0</v>
      </c>
      <c r="N977" t="n">
        <v>0</v>
      </c>
      <c r="O977" t="n">
        <v>0</v>
      </c>
      <c r="P977" t="n">
        <v>0</v>
      </c>
      <c r="Q977" t="n">
        <v>0</v>
      </c>
      <c r="R977" s="2" t="inlineStr"/>
    </row>
    <row r="978" ht="15" customHeight="1">
      <c r="A978" t="inlineStr">
        <is>
          <t>A 7150-2025</t>
        </is>
      </c>
      <c r="B978" s="1" t="n">
        <v>45702.38239583333</v>
      </c>
      <c r="C978" s="1" t="n">
        <v>45926</v>
      </c>
      <c r="D978" t="inlineStr">
        <is>
          <t>SKÅNE LÄN</t>
        </is>
      </c>
      <c r="E978" t="inlineStr">
        <is>
          <t>HÄSSLEHOLM</t>
        </is>
      </c>
      <c r="G978" t="n">
        <v>2.3</v>
      </c>
      <c r="H978" t="n">
        <v>0</v>
      </c>
      <c r="I978" t="n">
        <v>0</v>
      </c>
      <c r="J978" t="n">
        <v>0</v>
      </c>
      <c r="K978" t="n">
        <v>0</v>
      </c>
      <c r="L978" t="n">
        <v>0</v>
      </c>
      <c r="M978" t="n">
        <v>0</v>
      </c>
      <c r="N978" t="n">
        <v>0</v>
      </c>
      <c r="O978" t="n">
        <v>0</v>
      </c>
      <c r="P978" t="n">
        <v>0</v>
      </c>
      <c r="Q978" t="n">
        <v>0</v>
      </c>
      <c r="R978" s="2" t="inlineStr"/>
    </row>
    <row r="979" ht="15" customHeight="1">
      <c r="A979" t="inlineStr">
        <is>
          <t>A 13646-2024</t>
        </is>
      </c>
      <c r="B979" s="1" t="n">
        <v>45387</v>
      </c>
      <c r="C979" s="1" t="n">
        <v>45926</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20185-2023</t>
        </is>
      </c>
      <c r="B980" s="1" t="n">
        <v>45055.56795138889</v>
      </c>
      <c r="C980" s="1" t="n">
        <v>45926</v>
      </c>
      <c r="D980" t="inlineStr">
        <is>
          <t>SKÅNE LÄN</t>
        </is>
      </c>
      <c r="E980" t="inlineStr">
        <is>
          <t>HÄSSLEHOLM</t>
        </is>
      </c>
      <c r="G980" t="n">
        <v>3.5</v>
      </c>
      <c r="H980" t="n">
        <v>0</v>
      </c>
      <c r="I980" t="n">
        <v>0</v>
      </c>
      <c r="J980" t="n">
        <v>0</v>
      </c>
      <c r="K980" t="n">
        <v>0</v>
      </c>
      <c r="L980" t="n">
        <v>0</v>
      </c>
      <c r="M980" t="n">
        <v>0</v>
      </c>
      <c r="N980" t="n">
        <v>0</v>
      </c>
      <c r="O980" t="n">
        <v>0</v>
      </c>
      <c r="P980" t="n">
        <v>0</v>
      </c>
      <c r="Q980" t="n">
        <v>0</v>
      </c>
      <c r="R980" s="2" t="inlineStr"/>
    </row>
    <row r="981" ht="15" customHeight="1">
      <c r="A981" t="inlineStr">
        <is>
          <t>A 4750-2024</t>
        </is>
      </c>
      <c r="B981" s="1" t="n">
        <v>45328</v>
      </c>
      <c r="C981" s="1" t="n">
        <v>45926</v>
      </c>
      <c r="D981" t="inlineStr">
        <is>
          <t>SKÅNE LÄN</t>
        </is>
      </c>
      <c r="E981" t="inlineStr">
        <is>
          <t>HÄSSLEHOLM</t>
        </is>
      </c>
      <c r="G981" t="n">
        <v>0.3</v>
      </c>
      <c r="H981" t="n">
        <v>0</v>
      </c>
      <c r="I981" t="n">
        <v>0</v>
      </c>
      <c r="J981" t="n">
        <v>0</v>
      </c>
      <c r="K981" t="n">
        <v>0</v>
      </c>
      <c r="L981" t="n">
        <v>0</v>
      </c>
      <c r="M981" t="n">
        <v>0</v>
      </c>
      <c r="N981" t="n">
        <v>0</v>
      </c>
      <c r="O981" t="n">
        <v>0</v>
      </c>
      <c r="P981" t="n">
        <v>0</v>
      </c>
      <c r="Q981" t="n">
        <v>0</v>
      </c>
      <c r="R981" s="2" t="inlineStr"/>
    </row>
    <row r="982" ht="15" customHeight="1">
      <c r="A982" t="inlineStr">
        <is>
          <t>A 61170-2022</t>
        </is>
      </c>
      <c r="B982" s="1" t="n">
        <v>44915.48543981482</v>
      </c>
      <c r="C982" s="1" t="n">
        <v>45926</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58891-2022</t>
        </is>
      </c>
      <c r="B983" s="1" t="n">
        <v>44896</v>
      </c>
      <c r="C983" s="1" t="n">
        <v>45926</v>
      </c>
      <c r="D983" t="inlineStr">
        <is>
          <t>SKÅNE LÄN</t>
        </is>
      </c>
      <c r="E983" t="inlineStr">
        <is>
          <t>HÄSSLEHOLM</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43629-2023</t>
        </is>
      </c>
      <c r="B984" s="1" t="n">
        <v>45184</v>
      </c>
      <c r="C984" s="1" t="n">
        <v>45926</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36568-2024</t>
        </is>
      </c>
      <c r="B985" s="1" t="n">
        <v>45537</v>
      </c>
      <c r="C985" s="1" t="n">
        <v>45926</v>
      </c>
      <c r="D985" t="inlineStr">
        <is>
          <t>SKÅNE LÄN</t>
        </is>
      </c>
      <c r="E985" t="inlineStr">
        <is>
          <t>HÄSSLEHOLM</t>
        </is>
      </c>
      <c r="G985" t="n">
        <v>4.3</v>
      </c>
      <c r="H985" t="n">
        <v>0</v>
      </c>
      <c r="I985" t="n">
        <v>0</v>
      </c>
      <c r="J985" t="n">
        <v>0</v>
      </c>
      <c r="K985" t="n">
        <v>0</v>
      </c>
      <c r="L985" t="n">
        <v>0</v>
      </c>
      <c r="M985" t="n">
        <v>0</v>
      </c>
      <c r="N985" t="n">
        <v>0</v>
      </c>
      <c r="O985" t="n">
        <v>0</v>
      </c>
      <c r="P985" t="n">
        <v>0</v>
      </c>
      <c r="Q985" t="n">
        <v>0</v>
      </c>
      <c r="R985" s="2" t="inlineStr"/>
    </row>
    <row r="986" ht="15" customHeight="1">
      <c r="A986" t="inlineStr">
        <is>
          <t>A 13990-2022</t>
        </is>
      </c>
      <c r="B986" s="1" t="n">
        <v>44650</v>
      </c>
      <c r="C986" s="1" t="n">
        <v>45926</v>
      </c>
      <c r="D986" t="inlineStr">
        <is>
          <t>SKÅNE LÄN</t>
        </is>
      </c>
      <c r="E986" t="inlineStr">
        <is>
          <t>HÄSSLEHOLM</t>
        </is>
      </c>
      <c r="G986" t="n">
        <v>3.6</v>
      </c>
      <c r="H986" t="n">
        <v>0</v>
      </c>
      <c r="I986" t="n">
        <v>0</v>
      </c>
      <c r="J986" t="n">
        <v>0</v>
      </c>
      <c r="K986" t="n">
        <v>0</v>
      </c>
      <c r="L986" t="n">
        <v>0</v>
      </c>
      <c r="M986" t="n">
        <v>0</v>
      </c>
      <c r="N986" t="n">
        <v>0</v>
      </c>
      <c r="O986" t="n">
        <v>0</v>
      </c>
      <c r="P986" t="n">
        <v>0</v>
      </c>
      <c r="Q986" t="n">
        <v>0</v>
      </c>
      <c r="R986" s="2" t="inlineStr"/>
    </row>
    <row r="987" ht="15" customHeight="1">
      <c r="A987" t="inlineStr">
        <is>
          <t>A 9323-2025</t>
        </is>
      </c>
      <c r="B987" s="1" t="n">
        <v>45714.73532407408</v>
      </c>
      <c r="C987" s="1" t="n">
        <v>45926</v>
      </c>
      <c r="D987" t="inlineStr">
        <is>
          <t>SKÅNE LÄN</t>
        </is>
      </c>
      <c r="E987" t="inlineStr">
        <is>
          <t>HÄSSLEHOLM</t>
        </is>
      </c>
      <c r="G987" t="n">
        <v>5.2</v>
      </c>
      <c r="H987" t="n">
        <v>0</v>
      </c>
      <c r="I987" t="n">
        <v>0</v>
      </c>
      <c r="J987" t="n">
        <v>0</v>
      </c>
      <c r="K987" t="n">
        <v>0</v>
      </c>
      <c r="L987" t="n">
        <v>0</v>
      </c>
      <c r="M987" t="n">
        <v>0</v>
      </c>
      <c r="N987" t="n">
        <v>0</v>
      </c>
      <c r="O987" t="n">
        <v>0</v>
      </c>
      <c r="P987" t="n">
        <v>0</v>
      </c>
      <c r="Q987" t="n">
        <v>0</v>
      </c>
      <c r="R987" s="2" t="inlineStr"/>
    </row>
    <row r="988" ht="15" customHeight="1">
      <c r="A988" t="inlineStr">
        <is>
          <t>A 19593-2023</t>
        </is>
      </c>
      <c r="B988" s="1" t="n">
        <v>45050.75895833333</v>
      </c>
      <c r="C988" s="1" t="n">
        <v>45926</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16017-2023</t>
        </is>
      </c>
      <c r="B989" s="1" t="n">
        <v>45026</v>
      </c>
      <c r="C989" s="1" t="n">
        <v>45926</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50564-2023</t>
        </is>
      </c>
      <c r="B990" s="1" t="n">
        <v>45217.37957175926</v>
      </c>
      <c r="C990" s="1" t="n">
        <v>45926</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42520-2025</t>
        </is>
      </c>
      <c r="B991" s="1" t="n">
        <v>45905.54846064815</v>
      </c>
      <c r="C991" s="1" t="n">
        <v>45926</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43061-2024</t>
        </is>
      </c>
      <c r="B992" s="1" t="n">
        <v>45567</v>
      </c>
      <c r="C992" s="1" t="n">
        <v>45926</v>
      </c>
      <c r="D992" t="inlineStr">
        <is>
          <t>SKÅNE LÄN</t>
        </is>
      </c>
      <c r="E992" t="inlineStr">
        <is>
          <t>HÄSSLEHOLM</t>
        </is>
      </c>
      <c r="G992" t="n">
        <v>4.5</v>
      </c>
      <c r="H992" t="n">
        <v>0</v>
      </c>
      <c r="I992" t="n">
        <v>0</v>
      </c>
      <c r="J992" t="n">
        <v>0</v>
      </c>
      <c r="K992" t="n">
        <v>0</v>
      </c>
      <c r="L992" t="n">
        <v>0</v>
      </c>
      <c r="M992" t="n">
        <v>0</v>
      </c>
      <c r="N992" t="n">
        <v>0</v>
      </c>
      <c r="O992" t="n">
        <v>0</v>
      </c>
      <c r="P992" t="n">
        <v>0</v>
      </c>
      <c r="Q992" t="n">
        <v>0</v>
      </c>
      <c r="R992" s="2" t="inlineStr"/>
    </row>
    <row r="993" ht="15" customHeight="1">
      <c r="A993" t="inlineStr">
        <is>
          <t>A 524-2024</t>
        </is>
      </c>
      <c r="B993" s="1" t="n">
        <v>45299</v>
      </c>
      <c r="C993" s="1" t="n">
        <v>45926</v>
      </c>
      <c r="D993" t="inlineStr">
        <is>
          <t>SKÅNE LÄN</t>
        </is>
      </c>
      <c r="E993" t="inlineStr">
        <is>
          <t>HÄSSLEHOLM</t>
        </is>
      </c>
      <c r="G993" t="n">
        <v>29.4</v>
      </c>
      <c r="H993" t="n">
        <v>0</v>
      </c>
      <c r="I993" t="n">
        <v>0</v>
      </c>
      <c r="J993" t="n">
        <v>0</v>
      </c>
      <c r="K993" t="n">
        <v>0</v>
      </c>
      <c r="L993" t="n">
        <v>0</v>
      </c>
      <c r="M993" t="n">
        <v>0</v>
      </c>
      <c r="N993" t="n">
        <v>0</v>
      </c>
      <c r="O993" t="n">
        <v>0</v>
      </c>
      <c r="P993" t="n">
        <v>0</v>
      </c>
      <c r="Q993" t="n">
        <v>0</v>
      </c>
      <c r="R993" s="2" t="inlineStr"/>
    </row>
    <row r="994" ht="15" customHeight="1">
      <c r="A994" t="inlineStr">
        <is>
          <t>A 54171-2021</t>
        </is>
      </c>
      <c r="B994" s="1" t="n">
        <v>44470</v>
      </c>
      <c r="C994" s="1" t="n">
        <v>45926</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36259-2025</t>
        </is>
      </c>
      <c r="B995" s="1" t="n">
        <v>45867.59799768519</v>
      </c>
      <c r="C995" s="1" t="n">
        <v>45926</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45084.43181712963</v>
      </c>
      <c r="C996" s="1" t="n">
        <v>45926</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36130-2025</t>
        </is>
      </c>
      <c r="B997" s="1" t="n">
        <v>45866.62273148148</v>
      </c>
      <c r="C997" s="1" t="n">
        <v>45926</v>
      </c>
      <c r="D997" t="inlineStr">
        <is>
          <t>SKÅNE LÄN</t>
        </is>
      </c>
      <c r="E997" t="inlineStr">
        <is>
          <t>HÄSSLEHOLM</t>
        </is>
      </c>
      <c r="G997" t="n">
        <v>4.7</v>
      </c>
      <c r="H997" t="n">
        <v>0</v>
      </c>
      <c r="I997" t="n">
        <v>0</v>
      </c>
      <c r="J997" t="n">
        <v>0</v>
      </c>
      <c r="K997" t="n">
        <v>0</v>
      </c>
      <c r="L997" t="n">
        <v>0</v>
      </c>
      <c r="M997" t="n">
        <v>0</v>
      </c>
      <c r="N997" t="n">
        <v>0</v>
      </c>
      <c r="O997" t="n">
        <v>0</v>
      </c>
      <c r="P997" t="n">
        <v>0</v>
      </c>
      <c r="Q997" t="n">
        <v>0</v>
      </c>
      <c r="R997" s="2" t="inlineStr"/>
    </row>
    <row r="998" ht="15" customHeight="1">
      <c r="A998" t="inlineStr">
        <is>
          <t>A 51618-2024</t>
        </is>
      </c>
      <c r="B998" s="1" t="n">
        <v>45604.82615740741</v>
      </c>
      <c r="C998" s="1" t="n">
        <v>45926</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9394-2025</t>
        </is>
      </c>
      <c r="B999" s="1" t="n">
        <v>45715.36387731481</v>
      </c>
      <c r="C999" s="1" t="n">
        <v>45926</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24904-2025</t>
        </is>
      </c>
      <c r="B1000" s="1" t="n">
        <v>45799</v>
      </c>
      <c r="C1000" s="1" t="n">
        <v>45926</v>
      </c>
      <c r="D1000" t="inlineStr">
        <is>
          <t>SKÅNE LÄN</t>
        </is>
      </c>
      <c r="E1000" t="inlineStr">
        <is>
          <t>HÄSSLEHOLM</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39223-2024</t>
        </is>
      </c>
      <c r="B1001" s="1" t="n">
        <v>45550</v>
      </c>
      <c r="C1001" s="1" t="n">
        <v>45926</v>
      </c>
      <c r="D1001" t="inlineStr">
        <is>
          <t>SKÅNE LÄN</t>
        </is>
      </c>
      <c r="E1001" t="inlineStr">
        <is>
          <t>HÄSSLEHOLM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45926</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19666-2025</t>
        </is>
      </c>
      <c r="B1003" s="1" t="n">
        <v>45770.69326388889</v>
      </c>
      <c r="C1003" s="1" t="n">
        <v>45926</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36359-2025</t>
        </is>
      </c>
      <c r="B1004" s="1" t="n">
        <v>45867</v>
      </c>
      <c r="C1004" s="1" t="n">
        <v>45926</v>
      </c>
      <c r="D1004" t="inlineStr">
        <is>
          <t>SKÅNE LÄN</t>
        </is>
      </c>
      <c r="E1004" t="inlineStr">
        <is>
          <t>HÄSSLEHOLM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36361-2025</t>
        </is>
      </c>
      <c r="B1005" s="1" t="n">
        <v>45867</v>
      </c>
      <c r="C1005" s="1" t="n">
        <v>45926</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27304-2023</t>
        </is>
      </c>
      <c r="B1006" s="1" t="n">
        <v>45096.65199074074</v>
      </c>
      <c r="C1006" s="1" t="n">
        <v>45926</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22693-2022</t>
        </is>
      </c>
      <c r="B1007" s="1" t="n">
        <v>44714.54729166667</v>
      </c>
      <c r="C1007" s="1" t="n">
        <v>45926</v>
      </c>
      <c r="D1007" t="inlineStr">
        <is>
          <t>SKÅNE LÄN</t>
        </is>
      </c>
      <c r="E1007" t="inlineStr">
        <is>
          <t>HÄSSLEHOLM</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36085-2025</t>
        </is>
      </c>
      <c r="B1008" s="1" t="n">
        <v>45866.46190972222</v>
      </c>
      <c r="C1008" s="1" t="n">
        <v>45926</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1616-2025</t>
        </is>
      </c>
      <c r="B1009" s="1" t="n">
        <v>45670</v>
      </c>
      <c r="C1009" s="1" t="n">
        <v>45926</v>
      </c>
      <c r="D1009" t="inlineStr">
        <is>
          <t>SKÅNE LÄN</t>
        </is>
      </c>
      <c r="E1009" t="inlineStr">
        <is>
          <t>HÄSSLEHOLM</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8249-2023</t>
        </is>
      </c>
      <c r="B1010" s="1" t="n">
        <v>44974</v>
      </c>
      <c r="C1010" s="1" t="n">
        <v>45926</v>
      </c>
      <c r="D1010" t="inlineStr">
        <is>
          <t>SKÅNE LÄN</t>
        </is>
      </c>
      <c r="E1010" t="inlineStr">
        <is>
          <t>HÄSSLEHOLM</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11446-2025</t>
        </is>
      </c>
      <c r="B1011" s="1" t="n">
        <v>45726</v>
      </c>
      <c r="C1011" s="1" t="n">
        <v>45926</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36358-2025</t>
        </is>
      </c>
      <c r="B1012" s="1" t="n">
        <v>45867</v>
      </c>
      <c r="C1012" s="1" t="n">
        <v>45926</v>
      </c>
      <c r="D1012" t="inlineStr">
        <is>
          <t>SKÅNE LÄN</t>
        </is>
      </c>
      <c r="E1012" t="inlineStr">
        <is>
          <t>HÄSSLEHOLM</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43332-2025</t>
        </is>
      </c>
      <c r="B1013" s="1" t="n">
        <v>45910.70217592592</v>
      </c>
      <c r="C1013" s="1" t="n">
        <v>45926</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43333-2025</t>
        </is>
      </c>
      <c r="B1014" s="1" t="n">
        <v>45910</v>
      </c>
      <c r="C1014" s="1" t="n">
        <v>45926</v>
      </c>
      <c r="D1014" t="inlineStr">
        <is>
          <t>SKÅNE LÄN</t>
        </is>
      </c>
      <c r="E1014" t="inlineStr">
        <is>
          <t>HÄSSLEHOLM</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54374-2020</t>
        </is>
      </c>
      <c r="B1015" s="1" t="n">
        <v>44126</v>
      </c>
      <c r="C1015" s="1" t="n">
        <v>45926</v>
      </c>
      <c r="D1015" t="inlineStr">
        <is>
          <t>SKÅNE LÄN</t>
        </is>
      </c>
      <c r="E1015" t="inlineStr">
        <is>
          <t>HÄSSLEHOLM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47840-2023</t>
        </is>
      </c>
      <c r="B1016" s="1" t="n">
        <v>45204</v>
      </c>
      <c r="C1016" s="1" t="n">
        <v>45926</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62277-2023</t>
        </is>
      </c>
      <c r="B1017" s="1" t="n">
        <v>45266</v>
      </c>
      <c r="C1017" s="1" t="n">
        <v>45926</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15104-2023</t>
        </is>
      </c>
      <c r="B1018" s="1" t="n">
        <v>45016.40576388889</v>
      </c>
      <c r="C1018" s="1" t="n">
        <v>45926</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34369-2023</t>
        </is>
      </c>
      <c r="B1019" s="1" t="n">
        <v>45139.47817129629</v>
      </c>
      <c r="C1019" s="1" t="n">
        <v>45926</v>
      </c>
      <c r="D1019" t="inlineStr">
        <is>
          <t>SKÅNE LÄN</t>
        </is>
      </c>
      <c r="E1019" t="inlineStr">
        <is>
          <t>HÄSSLEHOLM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34834-2023</t>
        </is>
      </c>
      <c r="B1020" s="1" t="n">
        <v>45141.7199537037</v>
      </c>
      <c r="C1020" s="1" t="n">
        <v>45926</v>
      </c>
      <c r="D1020" t="inlineStr">
        <is>
          <t>SKÅNE LÄN</t>
        </is>
      </c>
      <c r="E1020" t="inlineStr">
        <is>
          <t>HÄSSLEHOLM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12507-2022</t>
        </is>
      </c>
      <c r="B1021" s="1" t="n">
        <v>44638</v>
      </c>
      <c r="C1021" s="1" t="n">
        <v>45926</v>
      </c>
      <c r="D1021" t="inlineStr">
        <is>
          <t>SKÅNE LÄN</t>
        </is>
      </c>
      <c r="E1021" t="inlineStr">
        <is>
          <t>HÄSSLEHOLM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2597-2024</t>
        </is>
      </c>
      <c r="B1022" s="1" t="n">
        <v>45313</v>
      </c>
      <c r="C1022" s="1" t="n">
        <v>45926</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3531-2023</t>
        </is>
      </c>
      <c r="B1023" s="1" t="n">
        <v>44950</v>
      </c>
      <c r="C1023" s="1" t="n">
        <v>45926</v>
      </c>
      <c r="D1023" t="inlineStr">
        <is>
          <t>SKÅNE LÄN</t>
        </is>
      </c>
      <c r="E1023" t="inlineStr">
        <is>
          <t>HÄSSLEHOLM</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48627-2023</t>
        </is>
      </c>
      <c r="B1024" s="1" t="n">
        <v>45208.57371527778</v>
      </c>
      <c r="C1024" s="1" t="n">
        <v>45926</v>
      </c>
      <c r="D1024" t="inlineStr">
        <is>
          <t>SKÅNE LÄN</t>
        </is>
      </c>
      <c r="E1024" t="inlineStr">
        <is>
          <t>HÄSSLEHOLM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15417-2022</t>
        </is>
      </c>
      <c r="B1025" s="1" t="n">
        <v>44659</v>
      </c>
      <c r="C1025" s="1" t="n">
        <v>45926</v>
      </c>
      <c r="D1025" t="inlineStr">
        <is>
          <t>SKÅNE LÄN</t>
        </is>
      </c>
      <c r="E1025" t="inlineStr">
        <is>
          <t>HÄSSLEHOLM</t>
        </is>
      </c>
      <c r="F1025" t="inlineStr">
        <is>
          <t>Kyrkan</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44262-2021</t>
        </is>
      </c>
      <c r="B1026" s="1" t="n">
        <v>44434</v>
      </c>
      <c r="C1026" s="1" t="n">
        <v>45926</v>
      </c>
      <c r="D1026" t="inlineStr">
        <is>
          <t>SKÅNE LÄN</t>
        </is>
      </c>
      <c r="E1026" t="inlineStr">
        <is>
          <t>HÄSSLEHOLM</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11607-2025</t>
        </is>
      </c>
      <c r="B1027" s="1" t="n">
        <v>45727</v>
      </c>
      <c r="C1027" s="1" t="n">
        <v>45926</v>
      </c>
      <c r="D1027" t="inlineStr">
        <is>
          <t>SKÅNE LÄN</t>
        </is>
      </c>
      <c r="E1027" t="inlineStr">
        <is>
          <t>HÄSSLEHOLM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50659-2023</t>
        </is>
      </c>
      <c r="B1028" s="1" t="n">
        <v>45217</v>
      </c>
      <c r="C1028" s="1" t="n">
        <v>45926</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13808-2021</t>
        </is>
      </c>
      <c r="B1029" s="1" t="n">
        <v>44276</v>
      </c>
      <c r="C1029" s="1" t="n">
        <v>45926</v>
      </c>
      <c r="D1029" t="inlineStr">
        <is>
          <t>SKÅNE LÄN</t>
        </is>
      </c>
      <c r="E1029" t="inlineStr">
        <is>
          <t>HÄSSLEHOLM</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67801-2021</t>
        </is>
      </c>
      <c r="B1030" s="1" t="n">
        <v>44525</v>
      </c>
      <c r="C1030" s="1" t="n">
        <v>45926</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2144-2023</t>
        </is>
      </c>
      <c r="B1031" s="1" t="n">
        <v>44940.79054398148</v>
      </c>
      <c r="C1031" s="1" t="n">
        <v>45926</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720-2025</t>
        </is>
      </c>
      <c r="B1032" s="1" t="n">
        <v>45665.3744212963</v>
      </c>
      <c r="C1032" s="1" t="n">
        <v>45926</v>
      </c>
      <c r="D1032" t="inlineStr">
        <is>
          <t>SKÅNE LÄN</t>
        </is>
      </c>
      <c r="E1032" t="inlineStr">
        <is>
          <t>HÄSSLEHOLM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12182-2025</t>
        </is>
      </c>
      <c r="B1033" s="1" t="n">
        <v>45729</v>
      </c>
      <c r="C1033" s="1" t="n">
        <v>45926</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43516-2025</t>
        </is>
      </c>
      <c r="B1034" s="1" t="n">
        <v>45911</v>
      </c>
      <c r="C1034" s="1" t="n">
        <v>45926</v>
      </c>
      <c r="D1034" t="inlineStr">
        <is>
          <t>SKÅNE LÄN</t>
        </is>
      </c>
      <c r="E1034" t="inlineStr">
        <is>
          <t>HÄSSLEHOLM</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37141-2021</t>
        </is>
      </c>
      <c r="B1035" s="1" t="n">
        <v>44396</v>
      </c>
      <c r="C1035" s="1" t="n">
        <v>45926</v>
      </c>
      <c r="D1035" t="inlineStr">
        <is>
          <t>SKÅNE LÄN</t>
        </is>
      </c>
      <c r="E1035" t="inlineStr">
        <is>
          <t>HÄSSLEHOLM</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7202-2022</t>
        </is>
      </c>
      <c r="B1036" s="1" t="n">
        <v>44606</v>
      </c>
      <c r="C1036" s="1" t="n">
        <v>45926</v>
      </c>
      <c r="D1036" t="inlineStr">
        <is>
          <t>SKÅNE LÄN</t>
        </is>
      </c>
      <c r="E1036" t="inlineStr">
        <is>
          <t>HÄSSLEHOLM</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60848-2022</t>
        </is>
      </c>
      <c r="B1037" s="1" t="n">
        <v>44914</v>
      </c>
      <c r="C1037" s="1" t="n">
        <v>45926</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6164-2023</t>
        </is>
      </c>
      <c r="B1038" s="1" t="n">
        <v>44964.66871527778</v>
      </c>
      <c r="C1038" s="1" t="n">
        <v>45926</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25726-2025</t>
        </is>
      </c>
      <c r="B1039" s="1" t="n">
        <v>45803</v>
      </c>
      <c r="C1039" s="1" t="n">
        <v>45926</v>
      </c>
      <c r="D1039" t="inlineStr">
        <is>
          <t>SKÅNE LÄN</t>
        </is>
      </c>
      <c r="E1039" t="inlineStr">
        <is>
          <t>HÄSSLEHOLM</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5476-2021</t>
        </is>
      </c>
      <c r="B1040" s="1" t="n">
        <v>44230</v>
      </c>
      <c r="C1040" s="1" t="n">
        <v>45926</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45392-2024</t>
        </is>
      </c>
      <c r="B1041" s="1" t="n">
        <v>45576.55008101852</v>
      </c>
      <c r="C1041" s="1" t="n">
        <v>45926</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21494-2023</t>
        </is>
      </c>
      <c r="B1042" s="1" t="n">
        <v>45063</v>
      </c>
      <c r="C1042" s="1" t="n">
        <v>45926</v>
      </c>
      <c r="D1042" t="inlineStr">
        <is>
          <t>SKÅNE LÄN</t>
        </is>
      </c>
      <c r="E1042" t="inlineStr">
        <is>
          <t>HÄSSLEHOLM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21495-2023</t>
        </is>
      </c>
      <c r="B1043" s="1" t="n">
        <v>45063</v>
      </c>
      <c r="C1043" s="1" t="n">
        <v>45926</v>
      </c>
      <c r="D1043" t="inlineStr">
        <is>
          <t>SKÅNE LÄN</t>
        </is>
      </c>
      <c r="E1043" t="inlineStr">
        <is>
          <t>HÄSSLEHOLM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6122-2021</t>
        </is>
      </c>
      <c r="B1044" s="1" t="n">
        <v>44232.55091435185</v>
      </c>
      <c r="C1044" s="1" t="n">
        <v>45926</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16454-2023</t>
        </is>
      </c>
      <c r="B1045" s="1" t="n">
        <v>45029.48425925926</v>
      </c>
      <c r="C1045" s="1" t="n">
        <v>45926</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62167-2022</t>
        </is>
      </c>
      <c r="B1046" s="1" t="n">
        <v>44915</v>
      </c>
      <c r="C1046" s="1" t="n">
        <v>45926</v>
      </c>
      <c r="D1046" t="inlineStr">
        <is>
          <t>SKÅNE LÄN</t>
        </is>
      </c>
      <c r="E1046" t="inlineStr">
        <is>
          <t>HÄSSLEHOLM</t>
        </is>
      </c>
      <c r="F1046" t="inlineStr">
        <is>
          <t>Kyrkan</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17335-2024</t>
        </is>
      </c>
      <c r="B1047" s="1" t="n">
        <v>45414.5687962963</v>
      </c>
      <c r="C1047" s="1" t="n">
        <v>45926</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62234-2022</t>
        </is>
      </c>
      <c r="B1048" s="1" t="n">
        <v>44922</v>
      </c>
      <c r="C1048" s="1" t="n">
        <v>45926</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34299-2024</t>
        </is>
      </c>
      <c r="B1049" s="1" t="n">
        <v>45524</v>
      </c>
      <c r="C1049" s="1" t="n">
        <v>45926</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24246-2023</t>
        </is>
      </c>
      <c r="B1050" s="1" t="n">
        <v>45079</v>
      </c>
      <c r="C1050" s="1" t="n">
        <v>45926</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24249-2023</t>
        </is>
      </c>
      <c r="B1051" s="1" t="n">
        <v>45079.62466435185</v>
      </c>
      <c r="C1051" s="1" t="n">
        <v>45926</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31989-2024</t>
        </is>
      </c>
      <c r="B1052" s="1" t="n">
        <v>45510.58085648148</v>
      </c>
      <c r="C1052" s="1" t="n">
        <v>45926</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1120-2024</t>
        </is>
      </c>
      <c r="B1053" s="1" t="n">
        <v>45302.4452662037</v>
      </c>
      <c r="C1053" s="1" t="n">
        <v>45926</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60973-2024</t>
        </is>
      </c>
      <c r="B1054" s="1" t="n">
        <v>45644</v>
      </c>
      <c r="C1054" s="1" t="n">
        <v>45926</v>
      </c>
      <c r="D1054" t="inlineStr">
        <is>
          <t>SKÅNE LÄN</t>
        </is>
      </c>
      <c r="E1054" t="inlineStr">
        <is>
          <t>HÄSSLEHOLM</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27478-2023</t>
        </is>
      </c>
      <c r="B1055" s="1" t="n">
        <v>45092</v>
      </c>
      <c r="C1055" s="1" t="n">
        <v>45926</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37898-2021</t>
        </is>
      </c>
      <c r="B1056" s="1" t="n">
        <v>44403</v>
      </c>
      <c r="C1056" s="1" t="n">
        <v>45926</v>
      </c>
      <c r="D1056" t="inlineStr">
        <is>
          <t>SKÅNE LÄN</t>
        </is>
      </c>
      <c r="E1056" t="inlineStr">
        <is>
          <t>HÄSSLEHOLM</t>
        </is>
      </c>
      <c r="F1056" t="inlineStr">
        <is>
          <t>Kommuner</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43741-2025</t>
        </is>
      </c>
      <c r="B1057" s="1" t="n">
        <v>45912.45541666666</v>
      </c>
      <c r="C1057" s="1" t="n">
        <v>45926</v>
      </c>
      <c r="D1057" t="inlineStr">
        <is>
          <t>SKÅNE LÄN</t>
        </is>
      </c>
      <c r="E1057" t="inlineStr">
        <is>
          <t>HÄSSLEHOLM</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11609-2025</t>
        </is>
      </c>
      <c r="B1058" s="1" t="n">
        <v>45727.44237268518</v>
      </c>
      <c r="C1058" s="1" t="n">
        <v>45926</v>
      </c>
      <c r="D1058" t="inlineStr">
        <is>
          <t>SKÅNE LÄN</t>
        </is>
      </c>
      <c r="E1058" t="inlineStr">
        <is>
          <t>HÄSSLEHOLM</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43738-2025</t>
        </is>
      </c>
      <c r="B1059" s="1" t="n">
        <v>45912.45037037037</v>
      </c>
      <c r="C1059" s="1" t="n">
        <v>45926</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26641-2023</t>
        </is>
      </c>
      <c r="B1060" s="1" t="n">
        <v>45092.89619212963</v>
      </c>
      <c r="C1060" s="1" t="n">
        <v>45926</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9697-2023</t>
        </is>
      </c>
      <c r="B1061" s="1" t="n">
        <v>44984</v>
      </c>
      <c r="C1061" s="1" t="n">
        <v>45926</v>
      </c>
      <c r="D1061" t="inlineStr">
        <is>
          <t>SKÅNE LÄN</t>
        </is>
      </c>
      <c r="E1061" t="inlineStr">
        <is>
          <t>HÄSSLEHOLM</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8209-2025</t>
        </is>
      </c>
      <c r="B1062" s="1" t="n">
        <v>45708.44244212963</v>
      </c>
      <c r="C1062" s="1" t="n">
        <v>45926</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6327-2021</t>
        </is>
      </c>
      <c r="B1063" s="1" t="n">
        <v>44235</v>
      </c>
      <c r="C1063" s="1" t="n">
        <v>45926</v>
      </c>
      <c r="D1063" t="inlineStr">
        <is>
          <t>SKÅNE LÄN</t>
        </is>
      </c>
      <c r="E1063" t="inlineStr">
        <is>
          <t>HÄSSLEHOLM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43869-2025</t>
        </is>
      </c>
      <c r="B1064" s="1" t="n">
        <v>45912.66452546296</v>
      </c>
      <c r="C1064" s="1" t="n">
        <v>45926</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16397-2022</t>
        </is>
      </c>
      <c r="B1065" s="1" t="n">
        <v>44671</v>
      </c>
      <c r="C1065" s="1" t="n">
        <v>45926</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16398-2022</t>
        </is>
      </c>
      <c r="B1066" s="1" t="n">
        <v>44671</v>
      </c>
      <c r="C1066" s="1" t="n">
        <v>45926</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42232-2022</t>
        </is>
      </c>
      <c r="B1067" s="1" t="n">
        <v>44830.77591435185</v>
      </c>
      <c r="C1067" s="1" t="n">
        <v>45926</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4512-2024</t>
        </is>
      </c>
      <c r="B1068" s="1" t="n">
        <v>45327.6312962963</v>
      </c>
      <c r="C1068" s="1" t="n">
        <v>45926</v>
      </c>
      <c r="D1068" t="inlineStr">
        <is>
          <t>SKÅNE LÄN</t>
        </is>
      </c>
      <c r="E1068" t="inlineStr">
        <is>
          <t>HÄSSLEHOLM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15512-2025</t>
        </is>
      </c>
      <c r="B1069" s="1" t="n">
        <v>45747</v>
      </c>
      <c r="C1069" s="1" t="n">
        <v>45926</v>
      </c>
      <c r="D1069" t="inlineStr">
        <is>
          <t>SKÅNE LÄN</t>
        </is>
      </c>
      <c r="E1069" t="inlineStr">
        <is>
          <t>HÄSSLEHOLM</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37038-2022</t>
        </is>
      </c>
      <c r="B1070" s="1" t="n">
        <v>44806.44232638889</v>
      </c>
      <c r="C1070" s="1" t="n">
        <v>45926</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39044-2024</t>
        </is>
      </c>
      <c r="B1071" s="1" t="n">
        <v>45548.47707175926</v>
      </c>
      <c r="C1071" s="1" t="n">
        <v>45926</v>
      </c>
      <c r="D1071" t="inlineStr">
        <is>
          <t>SKÅNE LÄN</t>
        </is>
      </c>
      <c r="E1071" t="inlineStr">
        <is>
          <t>HÄSSLEHOLM</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44614-2025</t>
        </is>
      </c>
      <c r="B1072" s="1" t="n">
        <v>45917.45422453704</v>
      </c>
      <c r="C1072" s="1" t="n">
        <v>45926</v>
      </c>
      <c r="D1072" t="inlineStr">
        <is>
          <t>SKÅNE LÄN</t>
        </is>
      </c>
      <c r="E1072" t="inlineStr">
        <is>
          <t>HÄSSLEHOLM</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5894-2023</t>
        </is>
      </c>
      <c r="B1073" s="1" t="n">
        <v>44963.65148148148</v>
      </c>
      <c r="C1073" s="1" t="n">
        <v>45926</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9502-2023</t>
        </is>
      </c>
      <c r="B1074" s="1" t="n">
        <v>44981.63278935185</v>
      </c>
      <c r="C1074" s="1" t="n">
        <v>45926</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44611-2025</t>
        </is>
      </c>
      <c r="B1075" s="1" t="n">
        <v>45917.45109953704</v>
      </c>
      <c r="C1075" s="1" t="n">
        <v>45926</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44616-2025</t>
        </is>
      </c>
      <c r="B1076" s="1" t="n">
        <v>45917.45572916666</v>
      </c>
      <c r="C1076" s="1" t="n">
        <v>45926</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48046-2023</t>
        </is>
      </c>
      <c r="B1077" s="1" t="n">
        <v>45204.85201388889</v>
      </c>
      <c r="C1077" s="1" t="n">
        <v>45926</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57749-2023</t>
        </is>
      </c>
      <c r="B1078" s="1" t="n">
        <v>45246</v>
      </c>
      <c r="C1078" s="1" t="n">
        <v>45926</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19020-2024</t>
        </is>
      </c>
      <c r="B1079" s="1" t="n">
        <v>45427.66167824074</v>
      </c>
      <c r="C1079" s="1" t="n">
        <v>45926</v>
      </c>
      <c r="D1079" t="inlineStr">
        <is>
          <t>SKÅNE LÄN</t>
        </is>
      </c>
      <c r="E1079" t="inlineStr">
        <is>
          <t>HÄSSLEHOLM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40734-2024</t>
        </is>
      </c>
      <c r="B1080" s="1" t="n">
        <v>45558</v>
      </c>
      <c r="C1080" s="1" t="n">
        <v>45926</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40738-2024</t>
        </is>
      </c>
      <c r="B1081" s="1" t="n">
        <v>45558</v>
      </c>
      <c r="C1081" s="1" t="n">
        <v>45926</v>
      </c>
      <c r="D1081" t="inlineStr">
        <is>
          <t>SKÅNE LÄN</t>
        </is>
      </c>
      <c r="E1081" t="inlineStr">
        <is>
          <t>HÄSSLEHOLM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1538-2024</t>
        </is>
      </c>
      <c r="B1082" s="1" t="n">
        <v>45306</v>
      </c>
      <c r="C1082" s="1" t="n">
        <v>45926</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36938-2025</t>
        </is>
      </c>
      <c r="B1083" s="1" t="n">
        <v>45874.58476851852</v>
      </c>
      <c r="C1083" s="1" t="n">
        <v>45926</v>
      </c>
      <c r="D1083" t="inlineStr">
        <is>
          <t>SKÅNE LÄN</t>
        </is>
      </c>
      <c r="E1083" t="inlineStr">
        <is>
          <t>HÄSSLEHOLM</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44330-2025</t>
        </is>
      </c>
      <c r="B1084" s="1" t="n">
        <v>45916.42120370371</v>
      </c>
      <c r="C1084" s="1" t="n">
        <v>45926</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49199-2024</t>
        </is>
      </c>
      <c r="B1085" s="1" t="n">
        <v>45595</v>
      </c>
      <c r="C1085" s="1" t="n">
        <v>45926</v>
      </c>
      <c r="D1085" t="inlineStr">
        <is>
          <t>SKÅNE LÄN</t>
        </is>
      </c>
      <c r="E1085" t="inlineStr">
        <is>
          <t>HÄSSLEHOLM</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44515-2025</t>
        </is>
      </c>
      <c r="B1086" s="1" t="n">
        <v>45916.7062037037</v>
      </c>
      <c r="C1086" s="1" t="n">
        <v>45926</v>
      </c>
      <c r="D1086" t="inlineStr">
        <is>
          <t>SKÅNE LÄN</t>
        </is>
      </c>
      <c r="E1086" t="inlineStr">
        <is>
          <t>HÄSSLEHOLM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44523-2025</t>
        </is>
      </c>
      <c r="B1087" s="1" t="n">
        <v>45916</v>
      </c>
      <c r="C1087" s="1" t="n">
        <v>45926</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3135-2023</t>
        </is>
      </c>
      <c r="B1088" s="1" t="n">
        <v>44946.51672453704</v>
      </c>
      <c r="C1088" s="1" t="n">
        <v>45926</v>
      </c>
      <c r="D1088" t="inlineStr">
        <is>
          <t>SKÅNE LÄN</t>
        </is>
      </c>
      <c r="E1088" t="inlineStr">
        <is>
          <t>HÄSSLEHOLM</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44624-2025</t>
        </is>
      </c>
      <c r="B1089" s="1" t="n">
        <v>45917.47152777778</v>
      </c>
      <c r="C1089" s="1" t="n">
        <v>45926</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6638-2021</t>
        </is>
      </c>
      <c r="B1090" s="1" t="n">
        <v>44235</v>
      </c>
      <c r="C1090" s="1" t="n">
        <v>45926</v>
      </c>
      <c r="D1090" t="inlineStr">
        <is>
          <t>SKÅNE LÄN</t>
        </is>
      </c>
      <c r="E1090" t="inlineStr">
        <is>
          <t>HÄSSLEHOLM</t>
        </is>
      </c>
      <c r="G1090" t="n">
        <v>112.4</v>
      </c>
      <c r="H1090" t="n">
        <v>0</v>
      </c>
      <c r="I1090" t="n">
        <v>0</v>
      </c>
      <c r="J1090" t="n">
        <v>0</v>
      </c>
      <c r="K1090" t="n">
        <v>0</v>
      </c>
      <c r="L1090" t="n">
        <v>0</v>
      </c>
      <c r="M1090" t="n">
        <v>0</v>
      </c>
      <c r="N1090" t="n">
        <v>0</v>
      </c>
      <c r="O1090" t="n">
        <v>0</v>
      </c>
      <c r="P1090" t="n">
        <v>0</v>
      </c>
      <c r="Q1090" t="n">
        <v>0</v>
      </c>
      <c r="R1090" s="2" t="inlineStr"/>
    </row>
    <row r="1091" ht="15" customHeight="1">
      <c r="A1091" t="inlineStr">
        <is>
          <t>A 45221-2025</t>
        </is>
      </c>
      <c r="B1091" s="1" t="n">
        <v>45919.57760416667</v>
      </c>
      <c r="C1091" s="1" t="n">
        <v>45926</v>
      </c>
      <c r="D1091" t="inlineStr">
        <is>
          <t>SKÅNE LÄN</t>
        </is>
      </c>
      <c r="E1091" t="inlineStr">
        <is>
          <t>HÄSSLEHOLM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45273-2025</t>
        </is>
      </c>
      <c r="B1092" s="1" t="n">
        <v>45919.70486111111</v>
      </c>
      <c r="C1092" s="1" t="n">
        <v>45926</v>
      </c>
      <c r="D1092" t="inlineStr">
        <is>
          <t>SKÅNE LÄN</t>
        </is>
      </c>
      <c r="E1092" t="inlineStr">
        <is>
          <t>HÄSSLEHOLM</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2712-2024</t>
        </is>
      </c>
      <c r="B1093" s="1" t="n">
        <v>45314</v>
      </c>
      <c r="C1093" s="1" t="n">
        <v>45926</v>
      </c>
      <c r="D1093" t="inlineStr">
        <is>
          <t>SKÅNE LÄN</t>
        </is>
      </c>
      <c r="E1093" t="inlineStr">
        <is>
          <t>HÄSSLEHOLM</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34342-2021</t>
        </is>
      </c>
      <c r="B1094" s="1" t="n">
        <v>44379</v>
      </c>
      <c r="C1094" s="1" t="n">
        <v>45926</v>
      </c>
      <c r="D1094" t="inlineStr">
        <is>
          <t>SKÅNE LÄN</t>
        </is>
      </c>
      <c r="E1094" t="inlineStr">
        <is>
          <t>HÄSSLEHOLM</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3507-2024</t>
        </is>
      </c>
      <c r="B1095" s="1" t="n">
        <v>45320.4906712963</v>
      </c>
      <c r="C1095" s="1" t="n">
        <v>45926</v>
      </c>
      <c r="D1095" t="inlineStr">
        <is>
          <t>SKÅNE LÄN</t>
        </is>
      </c>
      <c r="E1095" t="inlineStr">
        <is>
          <t>HÄSSLEHOLM</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49111-2023</t>
        </is>
      </c>
      <c r="B1096" s="1" t="n">
        <v>45210.44464120371</v>
      </c>
      <c r="C1096" s="1" t="n">
        <v>45926</v>
      </c>
      <c r="D1096" t="inlineStr">
        <is>
          <t>SKÅNE LÄN</t>
        </is>
      </c>
      <c r="E1096" t="inlineStr">
        <is>
          <t>HÄSSLEHOLM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61178-2022</t>
        </is>
      </c>
      <c r="B1097" s="1" t="n">
        <v>44915</v>
      </c>
      <c r="C1097" s="1" t="n">
        <v>45926</v>
      </c>
      <c r="D1097" t="inlineStr">
        <is>
          <t>SKÅNE LÄN</t>
        </is>
      </c>
      <c r="E1097" t="inlineStr">
        <is>
          <t>HÄSSLEHOLM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61185-2022</t>
        </is>
      </c>
      <c r="B1098" s="1" t="n">
        <v>44915</v>
      </c>
      <c r="C1098" s="1" t="n">
        <v>45926</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58915-2023</t>
        </is>
      </c>
      <c r="B1099" s="1" t="n">
        <v>45250</v>
      </c>
      <c r="C1099" s="1" t="n">
        <v>45926</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56986-2024</t>
        </is>
      </c>
      <c r="B1100" s="1" t="n">
        <v>45626</v>
      </c>
      <c r="C1100" s="1" t="n">
        <v>45926</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15508-2023</t>
        </is>
      </c>
      <c r="B1101" s="1" t="n">
        <v>45020.50045138889</v>
      </c>
      <c r="C1101" s="1" t="n">
        <v>45926</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46222-2022</t>
        </is>
      </c>
      <c r="B1102" s="1" t="n">
        <v>44847.58725694445</v>
      </c>
      <c r="C1102" s="1" t="n">
        <v>45926</v>
      </c>
      <c r="D1102" t="inlineStr">
        <is>
          <t>SKÅNE LÄN</t>
        </is>
      </c>
      <c r="E1102" t="inlineStr">
        <is>
          <t>HÄSSLEHOLM</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2567-2024</t>
        </is>
      </c>
      <c r="B1103" s="1" t="n">
        <v>45313.62460648148</v>
      </c>
      <c r="C1103" s="1" t="n">
        <v>45926</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28632-2024</t>
        </is>
      </c>
      <c r="B1104" s="1" t="n">
        <v>45478</v>
      </c>
      <c r="C1104" s="1" t="n">
        <v>45926</v>
      </c>
      <c r="D1104" t="inlineStr">
        <is>
          <t>SKÅNE LÄN</t>
        </is>
      </c>
      <c r="E1104" t="inlineStr">
        <is>
          <t>HÄSSLEHOLM</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15536-2025</t>
        </is>
      </c>
      <c r="B1105" s="1" t="n">
        <v>45747</v>
      </c>
      <c r="C1105" s="1" t="n">
        <v>45926</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11708-2025</t>
        </is>
      </c>
      <c r="B1106" s="1" t="n">
        <v>45727.58626157408</v>
      </c>
      <c r="C1106" s="1" t="n">
        <v>45926</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21028-2021</t>
        </is>
      </c>
      <c r="B1107" s="1" t="n">
        <v>44319</v>
      </c>
      <c r="C1107" s="1" t="n">
        <v>45926</v>
      </c>
      <c r="D1107" t="inlineStr">
        <is>
          <t>SKÅNE LÄN</t>
        </is>
      </c>
      <c r="E1107" t="inlineStr">
        <is>
          <t>HÄSSLEHOLM</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69357-2021</t>
        </is>
      </c>
      <c r="B1108" s="1" t="n">
        <v>44531</v>
      </c>
      <c r="C1108" s="1" t="n">
        <v>45926</v>
      </c>
      <c r="D1108" t="inlineStr">
        <is>
          <t>SKÅNE LÄN</t>
        </is>
      </c>
      <c r="E1108" t="inlineStr">
        <is>
          <t>HÄSSLEHOLM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37286-2025</t>
        </is>
      </c>
      <c r="B1109" s="1" t="n">
        <v>45876.50116898148</v>
      </c>
      <c r="C1109" s="1" t="n">
        <v>45926</v>
      </c>
      <c r="D1109" t="inlineStr">
        <is>
          <t>SKÅNE LÄN</t>
        </is>
      </c>
      <c r="E1109" t="inlineStr">
        <is>
          <t>HÄSSLEHOLM</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61934-2023</t>
        </is>
      </c>
      <c r="B1110" s="1" t="n">
        <v>45266.54125</v>
      </c>
      <c r="C1110" s="1" t="n">
        <v>45926</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45176-2025</t>
        </is>
      </c>
      <c r="B1111" s="1" t="n">
        <v>45919.52307870371</v>
      </c>
      <c r="C1111" s="1" t="n">
        <v>45926</v>
      </c>
      <c r="D1111" t="inlineStr">
        <is>
          <t>SKÅNE LÄN</t>
        </is>
      </c>
      <c r="E1111" t="inlineStr">
        <is>
          <t>HÄSSLEHOLM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45084-2025</t>
        </is>
      </c>
      <c r="B1112" s="1" t="n">
        <v>45918</v>
      </c>
      <c r="C1112" s="1" t="n">
        <v>45926</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37271-2025</t>
        </is>
      </c>
      <c r="B1113" s="1" t="n">
        <v>45876.47828703704</v>
      </c>
      <c r="C1113" s="1" t="n">
        <v>45926</v>
      </c>
      <c r="D1113" t="inlineStr">
        <is>
          <t>SKÅNE LÄN</t>
        </is>
      </c>
      <c r="E1113" t="inlineStr">
        <is>
          <t>HÄSSLEHOLM</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11715-2023</t>
        </is>
      </c>
      <c r="B1114" s="1" t="n">
        <v>44992</v>
      </c>
      <c r="C1114" s="1" t="n">
        <v>45926</v>
      </c>
      <c r="D1114" t="inlineStr">
        <is>
          <t>SKÅNE LÄN</t>
        </is>
      </c>
      <c r="E1114" t="inlineStr">
        <is>
          <t>HÄSSLEHOLM</t>
        </is>
      </c>
      <c r="F1114" t="inlineStr">
        <is>
          <t>Övriga Aktiebolag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38888-2023</t>
        </is>
      </c>
      <c r="B1115" s="1" t="n">
        <v>45161</v>
      </c>
      <c r="C1115" s="1" t="n">
        <v>45926</v>
      </c>
      <c r="D1115" t="inlineStr">
        <is>
          <t>SKÅNE LÄN</t>
        </is>
      </c>
      <c r="E1115" t="inlineStr">
        <is>
          <t>HÄSSLEHOLM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45763-2025</t>
        </is>
      </c>
      <c r="B1116" s="1" t="n">
        <v>45923.51778935185</v>
      </c>
      <c r="C1116" s="1" t="n">
        <v>45926</v>
      </c>
      <c r="D1116" t="inlineStr">
        <is>
          <t>SKÅNE LÄN</t>
        </is>
      </c>
      <c r="E1116" t="inlineStr">
        <is>
          <t>HÄSSLEHOLM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45443-2025</t>
        </is>
      </c>
      <c r="B1117" s="1" t="n">
        <v>45920</v>
      </c>
      <c r="C1117" s="1" t="n">
        <v>45926</v>
      </c>
      <c r="D1117" t="inlineStr">
        <is>
          <t>SKÅNE LÄN</t>
        </is>
      </c>
      <c r="E1117" t="inlineStr">
        <is>
          <t>HÄSSLEHOLM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45496-2025</t>
        </is>
      </c>
      <c r="B1118" s="1" t="n">
        <v>45922</v>
      </c>
      <c r="C1118" s="1" t="n">
        <v>45926</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59030-2024</t>
        </is>
      </c>
      <c r="B1119" s="1" t="n">
        <v>45636.68916666666</v>
      </c>
      <c r="C1119" s="1" t="n">
        <v>45926</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48663-2024</t>
        </is>
      </c>
      <c r="B1120" s="1" t="n">
        <v>45593.48892361111</v>
      </c>
      <c r="C1120" s="1" t="n">
        <v>45926</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32981-2025</t>
        </is>
      </c>
      <c r="B1121" s="1" t="n">
        <v>45839.86820601852</v>
      </c>
      <c r="C1121" s="1" t="n">
        <v>45926</v>
      </c>
      <c r="D1121" t="inlineStr">
        <is>
          <t>SKÅNE LÄN</t>
        </is>
      </c>
      <c r="E1121" t="inlineStr">
        <is>
          <t>HÄSSLEHOLM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15535-2025</t>
        </is>
      </c>
      <c r="B1122" s="1" t="n">
        <v>45747</v>
      </c>
      <c r="C1122" s="1" t="n">
        <v>45926</v>
      </c>
      <c r="D1122" t="inlineStr">
        <is>
          <t>SKÅNE LÄN</t>
        </is>
      </c>
      <c r="E1122" t="inlineStr">
        <is>
          <t>HÄSSLEHOLM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45683-2025</t>
        </is>
      </c>
      <c r="B1123" s="1" t="n">
        <v>45923.37590277778</v>
      </c>
      <c r="C1123" s="1" t="n">
        <v>45926</v>
      </c>
      <c r="D1123" t="inlineStr">
        <is>
          <t>SKÅNE LÄN</t>
        </is>
      </c>
      <c r="E1123" t="inlineStr">
        <is>
          <t>HÄSSLEHOLM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45414-2025</t>
        </is>
      </c>
      <c r="B1124" s="1" t="n">
        <v>45920</v>
      </c>
      <c r="C1124" s="1" t="n">
        <v>45926</v>
      </c>
      <c r="D1124" t="inlineStr">
        <is>
          <t>SKÅNE LÄN</t>
        </is>
      </c>
      <c r="E1124" t="inlineStr">
        <is>
          <t>HÄSSLEHOLM</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16862-2025</t>
        </is>
      </c>
      <c r="B1125" s="1" t="n">
        <v>45751</v>
      </c>
      <c r="C1125" s="1" t="n">
        <v>45926</v>
      </c>
      <c r="D1125" t="inlineStr">
        <is>
          <t>SKÅNE LÄN</t>
        </is>
      </c>
      <c r="E1125" t="inlineStr">
        <is>
          <t>HÄSSLEHOLM</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18109-2025</t>
        </is>
      </c>
      <c r="B1126" s="1" t="n">
        <v>45761</v>
      </c>
      <c r="C1126" s="1" t="n">
        <v>45926</v>
      </c>
      <c r="D1126" t="inlineStr">
        <is>
          <t>SKÅNE LÄN</t>
        </is>
      </c>
      <c r="E1126" t="inlineStr">
        <is>
          <t>HÄSSLEHOLM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45516-2025</t>
        </is>
      </c>
      <c r="B1127" s="1" t="n">
        <v>45922</v>
      </c>
      <c r="C1127" s="1" t="n">
        <v>45926</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45458-2025</t>
        </is>
      </c>
      <c r="B1128" s="1" t="n">
        <v>45920</v>
      </c>
      <c r="C1128" s="1" t="n">
        <v>45926</v>
      </c>
      <c r="D1128" t="inlineStr">
        <is>
          <t>SKÅNE LÄN</t>
        </is>
      </c>
      <c r="E1128" t="inlineStr">
        <is>
          <t>HÄSSLEHOLM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45465-2025</t>
        </is>
      </c>
      <c r="B1129" s="1" t="n">
        <v>45920</v>
      </c>
      <c r="C1129" s="1" t="n">
        <v>45926</v>
      </c>
      <c r="D1129" t="inlineStr">
        <is>
          <t>SKÅNE LÄN</t>
        </is>
      </c>
      <c r="E1129" t="inlineStr">
        <is>
          <t>HÄSSLEHOLM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45495-2025</t>
        </is>
      </c>
      <c r="B1130" s="1" t="n">
        <v>45922.56369212963</v>
      </c>
      <c r="C1130" s="1" t="n">
        <v>45926</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45514-2025</t>
        </is>
      </c>
      <c r="B1131" s="1" t="n">
        <v>45922</v>
      </c>
      <c r="C1131" s="1" t="n">
        <v>45926</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45314-2025</t>
        </is>
      </c>
      <c r="B1132" s="1" t="n">
        <v>45921.81738425926</v>
      </c>
      <c r="C1132" s="1" t="n">
        <v>45926</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45762-2025</t>
        </is>
      </c>
      <c r="B1133" s="1" t="n">
        <v>45923.51548611111</v>
      </c>
      <c r="C1133" s="1" t="n">
        <v>45926</v>
      </c>
      <c r="D1133" t="inlineStr">
        <is>
          <t>SKÅNE LÄN</t>
        </is>
      </c>
      <c r="E1133" t="inlineStr">
        <is>
          <t>HÄSSLEHOLM</t>
        </is>
      </c>
      <c r="G1133" t="n">
        <v>2.3</v>
      </c>
      <c r="H1133" t="n">
        <v>0</v>
      </c>
      <c r="I1133" t="n">
        <v>0</v>
      </c>
      <c r="J1133" t="n">
        <v>0</v>
      </c>
      <c r="K1133" t="n">
        <v>0</v>
      </c>
      <c r="L1133" t="n">
        <v>0</v>
      </c>
      <c r="M1133" t="n">
        <v>0</v>
      </c>
      <c r="N1133" t="n">
        <v>0</v>
      </c>
      <c r="O1133" t="n">
        <v>0</v>
      </c>
      <c r="P1133" t="n">
        <v>0</v>
      </c>
      <c r="Q1133" t="n">
        <v>0</v>
      </c>
      <c r="R1133" s="2" t="inlineStr"/>
    </row>
    <row r="1134">
      <c r="A1134" t="inlineStr">
        <is>
          <t>A 45764-2025</t>
        </is>
      </c>
      <c r="B1134" s="1" t="n">
        <v>45923.52037037037</v>
      </c>
      <c r="C1134" s="1" t="n">
        <v>45926</v>
      </c>
      <c r="D1134" t="inlineStr">
        <is>
          <t>SKÅNE LÄN</t>
        </is>
      </c>
      <c r="E1134" t="inlineStr">
        <is>
          <t>HÄSSLEHOLM</t>
        </is>
      </c>
      <c r="G1134" t="n">
        <v>6.3</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2025-09-26T11:59:14Z</dcterms:created>
  <dcterms:modified xmlns:dcterms="http://purl.org/dc/terms/" xmlns:xsi="http://www.w3.org/2001/XMLSchema-instance" xsi:type="dcterms:W3CDTF">2025-09-26T11:59:15Z</dcterms:modified>
</cp:coreProperties>
</file>