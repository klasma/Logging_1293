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46197</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46197</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46197</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46197</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46197</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46197</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46197</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21652-2026</t>
        </is>
      </c>
      <c r="B9" s="1" t="n">
        <v>46149</v>
      </c>
      <c r="C9" s="1" t="n">
        <v>46197</v>
      </c>
      <c r="D9" t="inlineStr">
        <is>
          <t>SKÅNE LÄN</t>
        </is>
      </c>
      <c r="E9" t="inlineStr">
        <is>
          <t>HÄSSLEHOLM</t>
        </is>
      </c>
      <c r="G9" t="n">
        <v>2.3</v>
      </c>
      <c r="H9" t="n">
        <v>2</v>
      </c>
      <c r="I9" t="n">
        <v>0</v>
      </c>
      <c r="J9" t="n">
        <v>0</v>
      </c>
      <c r="K9" t="n">
        <v>0</v>
      </c>
      <c r="L9" t="n">
        <v>1</v>
      </c>
      <c r="M9" t="n">
        <v>0</v>
      </c>
      <c r="N9" t="n">
        <v>0</v>
      </c>
      <c r="O9" t="n">
        <v>1</v>
      </c>
      <c r="P9" t="n">
        <v>1</v>
      </c>
      <c r="Q9" t="n">
        <v>6</v>
      </c>
      <c r="R9" s="2" t="inlineStr">
        <is>
          <t>Ask
Bäckbräsma
Glansfläck
Sälg
Svartvit flugsnappare
Trana</t>
        </is>
      </c>
      <c r="S9">
        <f>HYPERLINK("https://klasma.github.io/Logging_1293/artfynd/A 21652-2026 artfynd.xlsx", "A 21652-2026")</f>
        <v/>
      </c>
      <c r="T9">
        <f>HYPERLINK("https://klasma.github.io/Logging_1293/kartor/A 21652-2026 karta.png", "A 21652-2026")</f>
        <v/>
      </c>
      <c r="V9">
        <f>HYPERLINK("https://klasma.github.io/Logging_1293/klagomål/A 21652-2026 FSC-klagomål.docx", "A 21652-2026")</f>
        <v/>
      </c>
      <c r="W9">
        <f>HYPERLINK("https://klasma.github.io/Logging_1293/klagomålsmail/A 21652-2026 FSC-klagomål mail.docx", "A 21652-2026")</f>
        <v/>
      </c>
      <c r="X9">
        <f>HYPERLINK("https://klasma.github.io/Logging_1293/tillsyn/A 21652-2026 tillsynsbegäran.docx", "A 21652-2026")</f>
        <v/>
      </c>
      <c r="Y9">
        <f>HYPERLINK("https://klasma.github.io/Logging_1293/tillsynsmail/A 21652-2026 tillsynsbegäran mail.docx", "A 21652-2026")</f>
        <v/>
      </c>
      <c r="Z9">
        <f>HYPERLINK("https://klasma.github.io/Logging_1293/fåglar/A 21652-2026 prioriterade fågelarter.docx", "A 21652-2026")</f>
        <v/>
      </c>
    </row>
    <row r="10" ht="15" customHeight="1">
      <c r="A10" t="inlineStr">
        <is>
          <t>A 7862-2024</t>
        </is>
      </c>
      <c r="B10" s="1" t="n">
        <v>45348</v>
      </c>
      <c r="C10" s="1" t="n">
        <v>46197</v>
      </c>
      <c r="D10" t="inlineStr">
        <is>
          <t>SKÅNE LÄN</t>
        </is>
      </c>
      <c r="E10" t="inlineStr">
        <is>
          <t>HÄSSLEHOLM</t>
        </is>
      </c>
      <c r="G10" t="n">
        <v>5</v>
      </c>
      <c r="H10" t="n">
        <v>5</v>
      </c>
      <c r="I10" t="n">
        <v>1</v>
      </c>
      <c r="J10" t="n">
        <v>2</v>
      </c>
      <c r="K10" t="n">
        <v>0</v>
      </c>
      <c r="L10" t="n">
        <v>0</v>
      </c>
      <c r="M10" t="n">
        <v>0</v>
      </c>
      <c r="N10" t="n">
        <v>0</v>
      </c>
      <c r="O10" t="n">
        <v>2</v>
      </c>
      <c r="P10" t="n">
        <v>0</v>
      </c>
      <c r="Q10" t="n">
        <v>6</v>
      </c>
      <c r="R10" s="2" t="inlineStr">
        <is>
          <t>Gulsparv
Järnsparv
Stor revmossa
Spillkråka
Törnskata
Huggorm</t>
        </is>
      </c>
      <c r="S10">
        <f>HYPERLINK("https://klasma.github.io/Logging_1293/artfynd/A 7862-2024 artfynd.xlsx", "A 7862-2024")</f>
        <v/>
      </c>
      <c r="T10">
        <f>HYPERLINK("https://klasma.github.io/Logging_1293/kartor/A 7862-2024 karta.png", "A 7862-2024")</f>
        <v/>
      </c>
      <c r="V10">
        <f>HYPERLINK("https://klasma.github.io/Logging_1293/klagomål/A 7862-2024 FSC-klagomål.docx", "A 7862-2024")</f>
        <v/>
      </c>
      <c r="W10">
        <f>HYPERLINK("https://klasma.github.io/Logging_1293/klagomålsmail/A 7862-2024 FSC-klagomål mail.docx", "A 7862-2024")</f>
        <v/>
      </c>
      <c r="X10">
        <f>HYPERLINK("https://klasma.github.io/Logging_1293/tillsyn/A 7862-2024 tillsynsbegäran.docx", "A 7862-2024")</f>
        <v/>
      </c>
      <c r="Y10">
        <f>HYPERLINK("https://klasma.github.io/Logging_1293/tillsynsmail/A 7862-2024 tillsynsbegäran mail.docx", "A 7862-2024")</f>
        <v/>
      </c>
      <c r="Z10">
        <f>HYPERLINK("https://klasma.github.io/Logging_1293/fåglar/A 7862-2024 prioriterade fågelarter.docx", "A 7862-2024")</f>
        <v/>
      </c>
    </row>
    <row r="11" ht="15" customHeight="1">
      <c r="A11" t="inlineStr">
        <is>
          <t>A 4059-2023</t>
        </is>
      </c>
      <c r="B11" s="1" t="n">
        <v>44952</v>
      </c>
      <c r="C11" s="1" t="n">
        <v>46197</v>
      </c>
      <c r="D11" t="inlineStr">
        <is>
          <t>SKÅNE LÄN</t>
        </is>
      </c>
      <c r="E11" t="inlineStr">
        <is>
          <t>HÄSSLEHOLM</t>
        </is>
      </c>
      <c r="G11" t="n">
        <v>2.9</v>
      </c>
      <c r="H11" t="n">
        <v>5</v>
      </c>
      <c r="I11" t="n">
        <v>0</v>
      </c>
      <c r="J11" t="n">
        <v>0</v>
      </c>
      <c r="K11" t="n">
        <v>0</v>
      </c>
      <c r="L11" t="n">
        <v>0</v>
      </c>
      <c r="M11" t="n">
        <v>0</v>
      </c>
      <c r="N11" t="n">
        <v>0</v>
      </c>
      <c r="O11" t="n">
        <v>0</v>
      </c>
      <c r="P11" t="n">
        <v>0</v>
      </c>
      <c r="Q11" t="n">
        <v>5</v>
      </c>
      <c r="R11" s="2" t="inlineStr">
        <is>
          <t>Dvärgpipistrell
Gråskimlig fladdermus
Större brunfladdermus
Trollpipistrell
Vattenfladdermus</t>
        </is>
      </c>
      <c r="S11">
        <f>HYPERLINK("https://klasma.github.io/Logging_1293/artfynd/A 4059-2023 artfynd.xlsx", "A 4059-2023")</f>
        <v/>
      </c>
      <c r="T11">
        <f>HYPERLINK("https://klasma.github.io/Logging_1293/kartor/A 4059-2023 karta.png", "A 4059-2023")</f>
        <v/>
      </c>
      <c r="V11">
        <f>HYPERLINK("https://klasma.github.io/Logging_1293/klagomål/A 4059-2023 FSC-klagomål.docx", "A 4059-2023")</f>
        <v/>
      </c>
      <c r="W11">
        <f>HYPERLINK("https://klasma.github.io/Logging_1293/klagomålsmail/A 4059-2023 FSC-klagomål mail.docx", "A 4059-2023")</f>
        <v/>
      </c>
      <c r="X11">
        <f>HYPERLINK("https://klasma.github.io/Logging_1293/tillsyn/A 4059-2023 tillsynsbegäran.docx", "A 4059-2023")</f>
        <v/>
      </c>
      <c r="Y11">
        <f>HYPERLINK("https://klasma.github.io/Logging_1293/tillsynsmail/A 4059-2023 tillsynsbegäran mail.docx", "A 4059-2023")</f>
        <v/>
      </c>
    </row>
    <row r="12" ht="15" customHeight="1">
      <c r="A12" t="inlineStr">
        <is>
          <t>A 4615-2025</t>
        </is>
      </c>
      <c r="B12" s="1" t="n">
        <v>45687</v>
      </c>
      <c r="C12" s="1" t="n">
        <v>46197</v>
      </c>
      <c r="D12" t="inlineStr">
        <is>
          <t>SKÅNE LÄN</t>
        </is>
      </c>
      <c r="E12" t="inlineStr">
        <is>
          <t>HÄSSLEHOLM</t>
        </is>
      </c>
      <c r="G12" t="n">
        <v>1.7</v>
      </c>
      <c r="H12" t="n">
        <v>5</v>
      </c>
      <c r="I12" t="n">
        <v>0</v>
      </c>
      <c r="J12" t="n">
        <v>2</v>
      </c>
      <c r="K12" t="n">
        <v>0</v>
      </c>
      <c r="L12" t="n">
        <v>0</v>
      </c>
      <c r="M12" t="n">
        <v>0</v>
      </c>
      <c r="N12" t="n">
        <v>0</v>
      </c>
      <c r="O12" t="n">
        <v>2</v>
      </c>
      <c r="P12" t="n">
        <v>0</v>
      </c>
      <c r="Q12" t="n">
        <v>5</v>
      </c>
      <c r="R12" s="2" t="inlineStr">
        <is>
          <t>Entita
Talltita
Tjäder
Grönsiska
Kungsfågel</t>
        </is>
      </c>
      <c r="S12">
        <f>HYPERLINK("https://klasma.github.io/Logging_1293/artfynd/A 4615-2025 artfynd.xlsx", "A 4615-2025")</f>
        <v/>
      </c>
      <c r="T12">
        <f>HYPERLINK("https://klasma.github.io/Logging_1293/kartor/A 4615-2025 karta.png", "A 4615-2025")</f>
        <v/>
      </c>
      <c r="V12">
        <f>HYPERLINK("https://klasma.github.io/Logging_1293/klagomål/A 4615-2025 FSC-klagomål.docx", "A 4615-2025")</f>
        <v/>
      </c>
      <c r="W12">
        <f>HYPERLINK("https://klasma.github.io/Logging_1293/klagomålsmail/A 4615-2025 FSC-klagomål mail.docx", "A 4615-2025")</f>
        <v/>
      </c>
      <c r="X12">
        <f>HYPERLINK("https://klasma.github.io/Logging_1293/tillsyn/A 4615-2025 tillsynsbegäran.docx", "A 4615-2025")</f>
        <v/>
      </c>
      <c r="Y12">
        <f>HYPERLINK("https://klasma.github.io/Logging_1293/tillsynsmail/A 4615-2025 tillsynsbegäran mail.docx", "A 4615-2025")</f>
        <v/>
      </c>
      <c r="Z12">
        <f>HYPERLINK("https://klasma.github.io/Logging_1293/fåglar/A 4615-2025 prioriterade fågelarter.docx", "A 4615-2025")</f>
        <v/>
      </c>
    </row>
    <row r="13" ht="15" customHeight="1">
      <c r="A13" t="inlineStr">
        <is>
          <t>A 4598-2025</t>
        </is>
      </c>
      <c r="B13" s="1" t="n">
        <v>45687</v>
      </c>
      <c r="C13" s="1" t="n">
        <v>46197</v>
      </c>
      <c r="D13" t="inlineStr">
        <is>
          <t>SKÅNE LÄN</t>
        </is>
      </c>
      <c r="E13" t="inlineStr">
        <is>
          <t>HÄSSLEHOLM</t>
        </is>
      </c>
      <c r="G13" t="n">
        <v>3.3</v>
      </c>
      <c r="H13" t="n">
        <v>5</v>
      </c>
      <c r="I13" t="n">
        <v>0</v>
      </c>
      <c r="J13" t="n">
        <v>1</v>
      </c>
      <c r="K13" t="n">
        <v>0</v>
      </c>
      <c r="L13" t="n">
        <v>0</v>
      </c>
      <c r="M13" t="n">
        <v>0</v>
      </c>
      <c r="N13" t="n">
        <v>0</v>
      </c>
      <c r="O13" t="n">
        <v>1</v>
      </c>
      <c r="P13" t="n">
        <v>0</v>
      </c>
      <c r="Q13" t="n">
        <v>5</v>
      </c>
      <c r="R13" s="2" t="inlineStr">
        <is>
          <t>Entita
Spillkråka
Tofsmes
Grönsiska
Kungsfågel</t>
        </is>
      </c>
      <c r="S13">
        <f>HYPERLINK("https://klasma.github.io/Logging_1293/artfynd/A 4598-2025 artfynd.xlsx", "A 4598-2025")</f>
        <v/>
      </c>
      <c r="T13">
        <f>HYPERLINK("https://klasma.github.io/Logging_1293/kartor/A 4598-2025 karta.png", "A 4598-2025")</f>
        <v/>
      </c>
      <c r="V13">
        <f>HYPERLINK("https://klasma.github.io/Logging_1293/klagomål/A 4598-2025 FSC-klagomål.docx", "A 4598-2025")</f>
        <v/>
      </c>
      <c r="W13">
        <f>HYPERLINK("https://klasma.github.io/Logging_1293/klagomålsmail/A 4598-2025 FSC-klagomål mail.docx", "A 4598-2025")</f>
        <v/>
      </c>
      <c r="X13">
        <f>HYPERLINK("https://klasma.github.io/Logging_1293/tillsyn/A 4598-2025 tillsynsbegäran.docx", "A 4598-2025")</f>
        <v/>
      </c>
      <c r="Y13">
        <f>HYPERLINK("https://klasma.github.io/Logging_1293/tillsynsmail/A 4598-2025 tillsynsbegäran mail.docx", "A 4598-2025")</f>
        <v/>
      </c>
      <c r="Z13">
        <f>HYPERLINK("https://klasma.github.io/Logging_1293/fåglar/A 4598-2025 prioriterade fågelarter.docx", "A 4598-2025")</f>
        <v/>
      </c>
    </row>
    <row r="14" ht="15" customHeight="1">
      <c r="A14" t="inlineStr">
        <is>
          <t>A 24435-2026</t>
        </is>
      </c>
      <c r="B14" s="1" t="n">
        <v>46168</v>
      </c>
      <c r="C14" s="1" t="n">
        <v>46197</v>
      </c>
      <c r="D14" t="inlineStr">
        <is>
          <t>SKÅNE LÄN</t>
        </is>
      </c>
      <c r="E14" t="inlineStr">
        <is>
          <t>HÄSSLEHOLM</t>
        </is>
      </c>
      <c r="G14" t="n">
        <v>10.6</v>
      </c>
      <c r="H14" t="n">
        <v>0</v>
      </c>
      <c r="I14" t="n">
        <v>1</v>
      </c>
      <c r="J14" t="n">
        <v>0</v>
      </c>
      <c r="K14" t="n">
        <v>0</v>
      </c>
      <c r="L14" t="n">
        <v>0</v>
      </c>
      <c r="M14" t="n">
        <v>0</v>
      </c>
      <c r="N14" t="n">
        <v>0</v>
      </c>
      <c r="O14" t="n">
        <v>0</v>
      </c>
      <c r="P14" t="n">
        <v>0</v>
      </c>
      <c r="Q14" t="n">
        <v>5</v>
      </c>
      <c r="R14" s="2" t="inlineStr">
        <is>
          <t>Rostfläck
Bäckbräsma
Glansfläck
Kärrfibbla
Kärrviol</t>
        </is>
      </c>
      <c r="S14">
        <f>HYPERLINK("https://klasma.github.io/Logging_1293/artfynd/A 24435-2026 artfynd.xlsx", "A 24435-2026")</f>
        <v/>
      </c>
      <c r="T14">
        <f>HYPERLINK("https://klasma.github.io/Logging_1293/kartor/A 24435-2026 karta.png", "A 24435-2026")</f>
        <v/>
      </c>
      <c r="V14">
        <f>HYPERLINK("https://klasma.github.io/Logging_1293/klagomål/A 24435-2026 FSC-klagomål.docx", "A 24435-2026")</f>
        <v/>
      </c>
      <c r="W14">
        <f>HYPERLINK("https://klasma.github.io/Logging_1293/klagomålsmail/A 24435-2026 FSC-klagomål mail.docx", "A 24435-2026")</f>
        <v/>
      </c>
      <c r="X14">
        <f>HYPERLINK("https://klasma.github.io/Logging_1293/tillsyn/A 24435-2026 tillsynsbegäran.docx", "A 24435-2026")</f>
        <v/>
      </c>
      <c r="Y14">
        <f>HYPERLINK("https://klasma.github.io/Logging_1293/tillsynsmail/A 24435-2026 tillsynsbegäran mail.docx", "A 24435-2026")</f>
        <v/>
      </c>
    </row>
    <row r="15" ht="15" customHeight="1">
      <c r="A15" t="inlineStr">
        <is>
          <t>A 49384-2021</t>
        </is>
      </c>
      <c r="B15" s="1" t="n">
        <v>44454</v>
      </c>
      <c r="C15" s="1" t="n">
        <v>46197</v>
      </c>
      <c r="D15" t="inlineStr">
        <is>
          <t>SKÅNE LÄN</t>
        </is>
      </c>
      <c r="E15" t="inlineStr">
        <is>
          <t>HÄSSLEHOLM</t>
        </is>
      </c>
      <c r="G15" t="n">
        <v>2.6</v>
      </c>
      <c r="H15" t="n">
        <v>5</v>
      </c>
      <c r="I15" t="n">
        <v>0</v>
      </c>
      <c r="J15" t="n">
        <v>2</v>
      </c>
      <c r="K15" t="n">
        <v>0</v>
      </c>
      <c r="L15" t="n">
        <v>0</v>
      </c>
      <c r="M15" t="n">
        <v>0</v>
      </c>
      <c r="N15" t="n">
        <v>0</v>
      </c>
      <c r="O15" t="n">
        <v>2</v>
      </c>
      <c r="P15" t="n">
        <v>0</v>
      </c>
      <c r="Q15" t="n">
        <v>5</v>
      </c>
      <c r="R15" s="2" t="inlineStr">
        <is>
          <t>Kricka
Sädesärla
Grönsiska
Sävsparv
Trana</t>
        </is>
      </c>
      <c r="S15">
        <f>HYPERLINK("https://klasma.github.io/Logging_1293/artfynd/A 49384-2021 artfynd.xlsx", "A 49384-2021")</f>
        <v/>
      </c>
      <c r="T15">
        <f>HYPERLINK("https://klasma.github.io/Logging_1293/kartor/A 49384-2021 karta.png", "A 49384-2021")</f>
        <v/>
      </c>
      <c r="V15">
        <f>HYPERLINK("https://klasma.github.io/Logging_1293/klagomål/A 49384-2021 FSC-klagomål.docx", "A 49384-2021")</f>
        <v/>
      </c>
      <c r="W15">
        <f>HYPERLINK("https://klasma.github.io/Logging_1293/klagomålsmail/A 49384-2021 FSC-klagomål mail.docx", "A 49384-2021")</f>
        <v/>
      </c>
      <c r="X15">
        <f>HYPERLINK("https://klasma.github.io/Logging_1293/tillsyn/A 49384-2021 tillsynsbegäran.docx", "A 49384-2021")</f>
        <v/>
      </c>
      <c r="Y15">
        <f>HYPERLINK("https://klasma.github.io/Logging_1293/tillsynsmail/A 49384-2021 tillsynsbegäran mail.docx", "A 49384-2021")</f>
        <v/>
      </c>
      <c r="Z15">
        <f>HYPERLINK("https://klasma.github.io/Logging_1293/fåglar/A 49384-2021 prioriterade fågelarter.docx", "A 49384-2021")</f>
        <v/>
      </c>
    </row>
    <row r="16" ht="15" customHeight="1">
      <c r="A16" t="inlineStr">
        <is>
          <t>A 13890-2024</t>
        </is>
      </c>
      <c r="B16" s="1" t="n">
        <v>45391</v>
      </c>
      <c r="C16" s="1" t="n">
        <v>46197</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46197</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46197</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27390-2025</t>
        </is>
      </c>
      <c r="B19" s="1" t="n">
        <v>45812</v>
      </c>
      <c r="C19" s="1" t="n">
        <v>46197</v>
      </c>
      <c r="D19" t="inlineStr">
        <is>
          <t>SKÅNE LÄN</t>
        </is>
      </c>
      <c r="E19" t="inlineStr">
        <is>
          <t>HÄSSLEHOLM</t>
        </is>
      </c>
      <c r="G19" t="n">
        <v>3.2</v>
      </c>
      <c r="H19" t="n">
        <v>0</v>
      </c>
      <c r="I19" t="n">
        <v>1</v>
      </c>
      <c r="J19" t="n">
        <v>2</v>
      </c>
      <c r="K19" t="n">
        <v>0</v>
      </c>
      <c r="L19" t="n">
        <v>0</v>
      </c>
      <c r="M19" t="n">
        <v>0</v>
      </c>
      <c r="N19" t="n">
        <v>0</v>
      </c>
      <c r="O19" t="n">
        <v>2</v>
      </c>
      <c r="P19" t="n">
        <v>0</v>
      </c>
      <c r="Q19" t="n">
        <v>3</v>
      </c>
      <c r="R19" s="2" t="inlineStr">
        <is>
          <t>Grönhjon
Kattfotslav
Havstulpanlav</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14933-2023</t>
        </is>
      </c>
      <c r="B20" s="1" t="n">
        <v>45014</v>
      </c>
      <c r="C20" s="1" t="n">
        <v>46197</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4595-2025</t>
        </is>
      </c>
      <c r="B21" s="1" t="n">
        <v>45687</v>
      </c>
      <c r="C21" s="1" t="n">
        <v>46197</v>
      </c>
      <c r="D21" t="inlineStr">
        <is>
          <t>SKÅNE LÄN</t>
        </is>
      </c>
      <c r="E21" t="inlineStr">
        <is>
          <t>HÄSSLEHOLM</t>
        </is>
      </c>
      <c r="G21" t="n">
        <v>2.6</v>
      </c>
      <c r="H21" t="n">
        <v>2</v>
      </c>
      <c r="I21" t="n">
        <v>1</v>
      </c>
      <c r="J21" t="n">
        <v>1</v>
      </c>
      <c r="K21" t="n">
        <v>0</v>
      </c>
      <c r="L21" t="n">
        <v>0</v>
      </c>
      <c r="M21" t="n">
        <v>0</v>
      </c>
      <c r="N21" t="n">
        <v>0</v>
      </c>
      <c r="O21" t="n">
        <v>1</v>
      </c>
      <c r="P21" t="n">
        <v>0</v>
      </c>
      <c r="Q21" t="n">
        <v>3</v>
      </c>
      <c r="R21" s="2" t="inlineStr">
        <is>
          <t>Entita
Blåmossa
Tjäder</t>
        </is>
      </c>
      <c r="S21">
        <f>HYPERLINK("https://klasma.github.io/Logging_1293/artfynd/A 4595-2025 artfynd.xlsx", "A 4595-2025")</f>
        <v/>
      </c>
      <c r="T21">
        <f>HYPERLINK("https://klasma.github.io/Logging_1293/kartor/A 4595-2025 karta.png", "A 4595-2025")</f>
        <v/>
      </c>
      <c r="V21">
        <f>HYPERLINK("https://klasma.github.io/Logging_1293/klagomål/A 4595-2025 FSC-klagomål.docx", "A 4595-2025")</f>
        <v/>
      </c>
      <c r="W21">
        <f>HYPERLINK("https://klasma.github.io/Logging_1293/klagomålsmail/A 4595-2025 FSC-klagomål mail.docx", "A 4595-2025")</f>
        <v/>
      </c>
      <c r="X21">
        <f>HYPERLINK("https://klasma.github.io/Logging_1293/tillsyn/A 4595-2025 tillsynsbegäran.docx", "A 4595-2025")</f>
        <v/>
      </c>
      <c r="Y21">
        <f>HYPERLINK("https://klasma.github.io/Logging_1293/tillsynsmail/A 4595-2025 tillsynsbegäran mail.docx", "A 4595-2025")</f>
        <v/>
      </c>
      <c r="Z21">
        <f>HYPERLINK("https://klasma.github.io/Logging_1293/fåglar/A 4595-2025 prioriterade fågelarter.docx", "A 4595-2025")</f>
        <v/>
      </c>
    </row>
    <row r="22" ht="15" customHeight="1">
      <c r="A22" t="inlineStr">
        <is>
          <t>A 8253-2025</t>
        </is>
      </c>
      <c r="B22" s="1" t="n">
        <v>45708</v>
      </c>
      <c r="C22" s="1" t="n">
        <v>46197</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46197</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57676-2022</t>
        </is>
      </c>
      <c r="B24" s="1" t="n">
        <v>44897</v>
      </c>
      <c r="C24" s="1" t="n">
        <v>46197</v>
      </c>
      <c r="D24" t="inlineStr">
        <is>
          <t>SKÅNE LÄN</t>
        </is>
      </c>
      <c r="E24" t="inlineStr">
        <is>
          <t>HÄSSLEHOLM</t>
        </is>
      </c>
      <c r="G24" t="n">
        <v>1</v>
      </c>
      <c r="H24" t="n">
        <v>1</v>
      </c>
      <c r="I24" t="n">
        <v>1</v>
      </c>
      <c r="J24" t="n">
        <v>0</v>
      </c>
      <c r="K24" t="n">
        <v>0</v>
      </c>
      <c r="L24" t="n">
        <v>0</v>
      </c>
      <c r="M24" t="n">
        <v>0</v>
      </c>
      <c r="N24" t="n">
        <v>0</v>
      </c>
      <c r="O24" t="n">
        <v>0</v>
      </c>
      <c r="P24" t="n">
        <v>0</v>
      </c>
      <c r="Q24" t="n">
        <v>2</v>
      </c>
      <c r="R24" s="2" t="inlineStr">
        <is>
          <t>Brandticka
Mattlummer</t>
        </is>
      </c>
      <c r="S24">
        <f>HYPERLINK("https://klasma.github.io/Logging_1293/artfynd/A 57676-2022 artfynd.xlsx", "A 57676-2022")</f>
        <v/>
      </c>
      <c r="T24">
        <f>HYPERLINK("https://klasma.github.io/Logging_1293/kartor/A 57676-2022 karta.png", "A 57676-2022")</f>
        <v/>
      </c>
      <c r="V24">
        <f>HYPERLINK("https://klasma.github.io/Logging_1293/klagomål/A 57676-2022 FSC-klagomål.docx", "A 57676-2022")</f>
        <v/>
      </c>
      <c r="W24">
        <f>HYPERLINK("https://klasma.github.io/Logging_1293/klagomålsmail/A 57676-2022 FSC-klagomål mail.docx", "A 57676-2022")</f>
        <v/>
      </c>
      <c r="X24">
        <f>HYPERLINK("https://klasma.github.io/Logging_1293/tillsyn/A 57676-2022 tillsynsbegäran.docx", "A 57676-2022")</f>
        <v/>
      </c>
      <c r="Y24">
        <f>HYPERLINK("https://klasma.github.io/Logging_1293/tillsynsmail/A 57676-2022 tillsynsbegäran mail.docx", "A 57676-2022")</f>
        <v/>
      </c>
    </row>
    <row r="25" ht="15" customHeight="1">
      <c r="A25" t="inlineStr">
        <is>
          <t>A 25538-2024</t>
        </is>
      </c>
      <c r="B25" s="1" t="n">
        <v>45463</v>
      </c>
      <c r="C25" s="1" t="n">
        <v>46197</v>
      </c>
      <c r="D25" t="inlineStr">
        <is>
          <t>SKÅNE LÄN</t>
        </is>
      </c>
      <c r="E25" t="inlineStr">
        <is>
          <t>HÄSSLEHOLM</t>
        </is>
      </c>
      <c r="G25" t="n">
        <v>1.6</v>
      </c>
      <c r="H25" t="n">
        <v>0</v>
      </c>
      <c r="I25" t="n">
        <v>2</v>
      </c>
      <c r="J25" t="n">
        <v>0</v>
      </c>
      <c r="K25" t="n">
        <v>0</v>
      </c>
      <c r="L25" t="n">
        <v>0</v>
      </c>
      <c r="M25" t="n">
        <v>0</v>
      </c>
      <c r="N25" t="n">
        <v>0</v>
      </c>
      <c r="O25" t="n">
        <v>0</v>
      </c>
      <c r="P25" t="n">
        <v>0</v>
      </c>
      <c r="Q25" t="n">
        <v>2</v>
      </c>
      <c r="R25" s="2" t="inlineStr">
        <is>
          <t>Fällmossa
Guldlockmossa</t>
        </is>
      </c>
      <c r="S25">
        <f>HYPERLINK("https://klasma.github.io/Logging_1293/artfynd/A 25538-2024 artfynd.xlsx", "A 25538-2024")</f>
        <v/>
      </c>
      <c r="T25">
        <f>HYPERLINK("https://klasma.github.io/Logging_1293/kartor/A 25538-2024 karta.png", "A 25538-2024")</f>
        <v/>
      </c>
      <c r="V25">
        <f>HYPERLINK("https://klasma.github.io/Logging_1293/klagomål/A 25538-2024 FSC-klagomål.docx", "A 25538-2024")</f>
        <v/>
      </c>
      <c r="W25">
        <f>HYPERLINK("https://klasma.github.io/Logging_1293/klagomålsmail/A 25538-2024 FSC-klagomål mail.docx", "A 25538-2024")</f>
        <v/>
      </c>
      <c r="X25">
        <f>HYPERLINK("https://klasma.github.io/Logging_1293/tillsyn/A 25538-2024 tillsynsbegäran.docx", "A 25538-2024")</f>
        <v/>
      </c>
      <c r="Y25">
        <f>HYPERLINK("https://klasma.github.io/Logging_1293/tillsynsmail/A 25538-2024 tillsynsbegäran mail.docx", "A 25538-2024")</f>
        <v/>
      </c>
    </row>
    <row r="26" ht="15" customHeight="1">
      <c r="A26" t="inlineStr">
        <is>
          <t>A 46813-2024</t>
        </is>
      </c>
      <c r="B26" s="1" t="n">
        <v>45583</v>
      </c>
      <c r="C26" s="1" t="n">
        <v>46197</v>
      </c>
      <c r="D26" t="inlineStr">
        <is>
          <t>SKÅNE LÄN</t>
        </is>
      </c>
      <c r="E26" t="inlineStr">
        <is>
          <t>HÄSSLEHOLM</t>
        </is>
      </c>
      <c r="G26" t="n">
        <v>14.9</v>
      </c>
      <c r="H26" t="n">
        <v>2</v>
      </c>
      <c r="I26" t="n">
        <v>0</v>
      </c>
      <c r="J26" t="n">
        <v>0</v>
      </c>
      <c r="K26" t="n">
        <v>0</v>
      </c>
      <c r="L26" t="n">
        <v>0</v>
      </c>
      <c r="M26" t="n">
        <v>0</v>
      </c>
      <c r="N26" t="n">
        <v>0</v>
      </c>
      <c r="O26" t="n">
        <v>0</v>
      </c>
      <c r="P26" t="n">
        <v>0</v>
      </c>
      <c r="Q26" t="n">
        <v>2</v>
      </c>
      <c r="R26" s="2" t="inlineStr">
        <is>
          <t>Spillkråka
Gröngöling</t>
        </is>
      </c>
      <c r="S26">
        <f>HYPERLINK("https://klasma.github.io/Logging_1293/artfynd/A 46813-2024 artfynd.xlsx", "A 46813-2024")</f>
        <v/>
      </c>
      <c r="T26">
        <f>HYPERLINK("https://klasma.github.io/Logging_1293/kartor/A 46813-2024 karta.png", "A 46813-2024")</f>
        <v/>
      </c>
      <c r="V26">
        <f>HYPERLINK("https://klasma.github.io/Logging_1293/klagomål/A 46813-2024 FSC-klagomål.docx", "A 46813-2024")</f>
        <v/>
      </c>
      <c r="W26">
        <f>HYPERLINK("https://klasma.github.io/Logging_1293/klagomålsmail/A 46813-2024 FSC-klagomål mail.docx", "A 46813-2024")</f>
        <v/>
      </c>
      <c r="X26">
        <f>HYPERLINK("https://klasma.github.io/Logging_1293/tillsyn/A 46813-2024 tillsynsbegäran.docx", "A 46813-2024")</f>
        <v/>
      </c>
      <c r="Y26">
        <f>HYPERLINK("https://klasma.github.io/Logging_1293/tillsynsmail/A 46813-2024 tillsynsbegäran mail.docx", "A 46813-2024")</f>
        <v/>
      </c>
      <c r="Z26">
        <f>HYPERLINK("https://klasma.github.io/Logging_1293/fåglar/A 46813-2024 prioriterade fågelarter.docx", "A 46813-2024")</f>
        <v/>
      </c>
    </row>
    <row r="27" ht="15" customHeight="1">
      <c r="A27" t="inlineStr">
        <is>
          <t>A 14939-2023</t>
        </is>
      </c>
      <c r="B27" s="1" t="n">
        <v>45014</v>
      </c>
      <c r="C27" s="1" t="n">
        <v>46197</v>
      </c>
      <c r="D27" t="inlineStr">
        <is>
          <t>SKÅNE LÄN</t>
        </is>
      </c>
      <c r="E27" t="inlineStr">
        <is>
          <t>HÄSSLEHOLM</t>
        </is>
      </c>
      <c r="G27" t="n">
        <v>0.9</v>
      </c>
      <c r="H27" t="n">
        <v>0</v>
      </c>
      <c r="I27" t="n">
        <v>0</v>
      </c>
      <c r="J27" t="n">
        <v>1</v>
      </c>
      <c r="K27" t="n">
        <v>1</v>
      </c>
      <c r="L27" t="n">
        <v>0</v>
      </c>
      <c r="M27" t="n">
        <v>0</v>
      </c>
      <c r="N27" t="n">
        <v>0</v>
      </c>
      <c r="O27" t="n">
        <v>2</v>
      </c>
      <c r="P27" t="n">
        <v>1</v>
      </c>
      <c r="Q27" t="n">
        <v>2</v>
      </c>
      <c r="R27" s="2" t="inlineStr">
        <is>
          <t>Småvänderot
Gullpudra</t>
        </is>
      </c>
      <c r="S27">
        <f>HYPERLINK("https://klasma.github.io/Logging_1293/artfynd/A 14939-2023 artfynd.xlsx", "A 14939-2023")</f>
        <v/>
      </c>
      <c r="T27">
        <f>HYPERLINK("https://klasma.github.io/Logging_1293/kartor/A 14939-2023 karta.png", "A 14939-2023")</f>
        <v/>
      </c>
      <c r="V27">
        <f>HYPERLINK("https://klasma.github.io/Logging_1293/klagomål/A 14939-2023 FSC-klagomål.docx", "A 14939-2023")</f>
        <v/>
      </c>
      <c r="W27">
        <f>HYPERLINK("https://klasma.github.io/Logging_1293/klagomålsmail/A 14939-2023 FSC-klagomål mail.docx", "A 14939-2023")</f>
        <v/>
      </c>
      <c r="X27">
        <f>HYPERLINK("https://klasma.github.io/Logging_1293/tillsyn/A 14939-2023 tillsynsbegäran.docx", "A 14939-2023")</f>
        <v/>
      </c>
      <c r="Y27">
        <f>HYPERLINK("https://klasma.github.io/Logging_1293/tillsynsmail/A 14939-2023 tillsynsbegäran mail.docx", "A 14939-2023")</f>
        <v/>
      </c>
    </row>
    <row r="28" ht="15" customHeight="1">
      <c r="A28" t="inlineStr">
        <is>
          <t>A 8257-2025</t>
        </is>
      </c>
      <c r="B28" s="1" t="n">
        <v>45708</v>
      </c>
      <c r="C28" s="1" t="n">
        <v>46197</v>
      </c>
      <c r="D28" t="inlineStr">
        <is>
          <t>SKÅNE LÄN</t>
        </is>
      </c>
      <c r="E28" t="inlineStr">
        <is>
          <t>HÄSSLEHOLM</t>
        </is>
      </c>
      <c r="G28" t="n">
        <v>2.1</v>
      </c>
      <c r="H28" t="n">
        <v>2</v>
      </c>
      <c r="I28" t="n">
        <v>0</v>
      </c>
      <c r="J28" t="n">
        <v>1</v>
      </c>
      <c r="K28" t="n">
        <v>0</v>
      </c>
      <c r="L28" t="n">
        <v>0</v>
      </c>
      <c r="M28" t="n">
        <v>0</v>
      </c>
      <c r="N28" t="n">
        <v>0</v>
      </c>
      <c r="O28" t="n">
        <v>1</v>
      </c>
      <c r="P28" t="n">
        <v>0</v>
      </c>
      <c r="Q28" t="n">
        <v>2</v>
      </c>
      <c r="R28" s="2" t="inlineStr">
        <is>
          <t>Talltita
Grönsiska</t>
        </is>
      </c>
      <c r="S28">
        <f>HYPERLINK("https://klasma.github.io/Logging_1293/artfynd/A 8257-2025 artfynd.xlsx", "A 8257-2025")</f>
        <v/>
      </c>
      <c r="T28">
        <f>HYPERLINK("https://klasma.github.io/Logging_1293/kartor/A 8257-2025 karta.png", "A 8257-2025")</f>
        <v/>
      </c>
      <c r="V28">
        <f>HYPERLINK("https://klasma.github.io/Logging_1293/klagomål/A 8257-2025 FSC-klagomål.docx", "A 8257-2025")</f>
        <v/>
      </c>
      <c r="W28">
        <f>HYPERLINK("https://klasma.github.io/Logging_1293/klagomålsmail/A 8257-2025 FSC-klagomål mail.docx", "A 8257-2025")</f>
        <v/>
      </c>
      <c r="X28">
        <f>HYPERLINK("https://klasma.github.io/Logging_1293/tillsyn/A 8257-2025 tillsynsbegäran.docx", "A 8257-2025")</f>
        <v/>
      </c>
      <c r="Y28">
        <f>HYPERLINK("https://klasma.github.io/Logging_1293/tillsynsmail/A 8257-2025 tillsynsbegäran mail.docx", "A 8257-2025")</f>
        <v/>
      </c>
      <c r="Z28">
        <f>HYPERLINK("https://klasma.github.io/Logging_1293/fåglar/A 8257-2025 prioriterade fågelarter.docx", "A 8257-2025")</f>
        <v/>
      </c>
    </row>
    <row r="29" ht="15" customHeight="1">
      <c r="A29" t="inlineStr">
        <is>
          <t>A 49572-2022</t>
        </is>
      </c>
      <c r="B29" s="1" t="n">
        <v>44862</v>
      </c>
      <c r="C29" s="1" t="n">
        <v>46197</v>
      </c>
      <c r="D29" t="inlineStr">
        <is>
          <t>SKÅNE LÄN</t>
        </is>
      </c>
      <c r="E29" t="inlineStr">
        <is>
          <t>HÄSSLEHOLM</t>
        </is>
      </c>
      <c r="G29" t="n">
        <v>1.4</v>
      </c>
      <c r="H29" t="n">
        <v>1</v>
      </c>
      <c r="I29" t="n">
        <v>1</v>
      </c>
      <c r="J29" t="n">
        <v>0</v>
      </c>
      <c r="K29" t="n">
        <v>0</v>
      </c>
      <c r="L29" t="n">
        <v>0</v>
      </c>
      <c r="M29" t="n">
        <v>0</v>
      </c>
      <c r="N29" t="n">
        <v>0</v>
      </c>
      <c r="O29" t="n">
        <v>0</v>
      </c>
      <c r="P29" t="n">
        <v>0</v>
      </c>
      <c r="Q29" t="n">
        <v>2</v>
      </c>
      <c r="R29" s="2" t="inlineStr">
        <is>
          <t>Blåmossa
Revlummer</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21659-2026</t>
        </is>
      </c>
      <c r="B30" s="1" t="n">
        <v>46149</v>
      </c>
      <c r="C30" s="1" t="n">
        <v>46197</v>
      </c>
      <c r="D30" t="inlineStr">
        <is>
          <t>SKÅNE LÄN</t>
        </is>
      </c>
      <c r="E30" t="inlineStr">
        <is>
          <t>HÄSSLEHOLM</t>
        </is>
      </c>
      <c r="G30" t="n">
        <v>1.8</v>
      </c>
      <c r="H30" t="n">
        <v>2</v>
      </c>
      <c r="I30" t="n">
        <v>0</v>
      </c>
      <c r="J30" t="n">
        <v>1</v>
      </c>
      <c r="K30" t="n">
        <v>0</v>
      </c>
      <c r="L30" t="n">
        <v>0</v>
      </c>
      <c r="M30" t="n">
        <v>0</v>
      </c>
      <c r="N30" t="n">
        <v>0</v>
      </c>
      <c r="O30" t="n">
        <v>1</v>
      </c>
      <c r="P30" t="n">
        <v>0</v>
      </c>
      <c r="Q30" t="n">
        <v>2</v>
      </c>
      <c r="R30" s="2" t="inlineStr">
        <is>
          <t>Göktyta
Skogsduva</t>
        </is>
      </c>
      <c r="S30">
        <f>HYPERLINK("https://klasma.github.io/Logging_1293/artfynd/A 21659-2026 artfynd.xlsx", "A 21659-2026")</f>
        <v/>
      </c>
      <c r="T30">
        <f>HYPERLINK("https://klasma.github.io/Logging_1293/kartor/A 21659-2026 karta.png", "A 21659-2026")</f>
        <v/>
      </c>
      <c r="V30">
        <f>HYPERLINK("https://klasma.github.io/Logging_1293/klagomål/A 21659-2026 FSC-klagomål.docx", "A 21659-2026")</f>
        <v/>
      </c>
      <c r="W30">
        <f>HYPERLINK("https://klasma.github.io/Logging_1293/klagomålsmail/A 21659-2026 FSC-klagomål mail.docx", "A 21659-2026")</f>
        <v/>
      </c>
      <c r="X30">
        <f>HYPERLINK("https://klasma.github.io/Logging_1293/tillsyn/A 21659-2026 tillsynsbegäran.docx", "A 21659-2026")</f>
        <v/>
      </c>
      <c r="Y30">
        <f>HYPERLINK("https://klasma.github.io/Logging_1293/tillsynsmail/A 21659-2026 tillsynsbegäran mail.docx", "A 21659-2026")</f>
        <v/>
      </c>
      <c r="Z30">
        <f>HYPERLINK("https://klasma.github.io/Logging_1293/fåglar/A 21659-2026 prioriterade fågelarter.docx", "A 21659-2026")</f>
        <v/>
      </c>
    </row>
    <row r="31" ht="15" customHeight="1">
      <c r="A31" t="inlineStr">
        <is>
          <t>A 37457-2022</t>
        </is>
      </c>
      <c r="B31" s="1" t="n">
        <v>44809</v>
      </c>
      <c r="C31" s="1" t="n">
        <v>46197</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46197</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46197</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46197</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43874-2022</t>
        </is>
      </c>
      <c r="B35" s="1" t="n">
        <v>44838</v>
      </c>
      <c r="C35" s="1" t="n">
        <v>46197</v>
      </c>
      <c r="D35" t="inlineStr">
        <is>
          <t>SKÅNE LÄN</t>
        </is>
      </c>
      <c r="E35" t="inlineStr">
        <is>
          <t>HÄSSLEHOLM</t>
        </is>
      </c>
      <c r="G35" t="n">
        <v>2.1</v>
      </c>
      <c r="H35" t="n">
        <v>0</v>
      </c>
      <c r="I35" t="n">
        <v>0</v>
      </c>
      <c r="J35" t="n">
        <v>0</v>
      </c>
      <c r="K35" t="n">
        <v>1</v>
      </c>
      <c r="L35" t="n">
        <v>0</v>
      </c>
      <c r="M35" t="n">
        <v>0</v>
      </c>
      <c r="N35" t="n">
        <v>0</v>
      </c>
      <c r="O35" t="n">
        <v>1</v>
      </c>
      <c r="P35" t="n">
        <v>1</v>
      </c>
      <c r="Q35" t="n">
        <v>1</v>
      </c>
      <c r="R35" s="2" t="inlineStr">
        <is>
          <t>Igelkott</t>
        </is>
      </c>
      <c r="S35">
        <f>HYPERLINK("https://klasma.github.io/Logging_1293/artfynd/A 43874-2022 artfynd.xlsx", "A 43874-2022")</f>
        <v/>
      </c>
      <c r="T35">
        <f>HYPERLINK("https://klasma.github.io/Logging_1293/kartor/A 43874-2022 karta.png", "A 43874-2022")</f>
        <v/>
      </c>
      <c r="V35">
        <f>HYPERLINK("https://klasma.github.io/Logging_1293/klagomål/A 43874-2022 FSC-klagomål.docx", "A 43874-2022")</f>
        <v/>
      </c>
      <c r="W35">
        <f>HYPERLINK("https://klasma.github.io/Logging_1293/klagomålsmail/A 43874-2022 FSC-klagomål mail.docx", "A 43874-2022")</f>
        <v/>
      </c>
      <c r="X35">
        <f>HYPERLINK("https://klasma.github.io/Logging_1293/tillsyn/A 43874-2022 tillsynsbegäran.docx", "A 43874-2022")</f>
        <v/>
      </c>
      <c r="Y35">
        <f>HYPERLINK("https://klasma.github.io/Logging_1293/tillsynsmail/A 43874-2022 tillsynsbegäran mail.docx", "A 43874-2022")</f>
        <v/>
      </c>
    </row>
    <row r="36" ht="15" customHeight="1">
      <c r="A36" t="inlineStr">
        <is>
          <t>A 13018-2024</t>
        </is>
      </c>
      <c r="B36" s="1" t="n">
        <v>45385</v>
      </c>
      <c r="C36" s="1" t="n">
        <v>46197</v>
      </c>
      <c r="D36" t="inlineStr">
        <is>
          <t>SKÅNE LÄN</t>
        </is>
      </c>
      <c r="E36" t="inlineStr">
        <is>
          <t>HÄSSLEHOLM</t>
        </is>
      </c>
      <c r="G36" t="n">
        <v>4.8</v>
      </c>
      <c r="H36" t="n">
        <v>0</v>
      </c>
      <c r="I36" t="n">
        <v>0</v>
      </c>
      <c r="J36" t="n">
        <v>1</v>
      </c>
      <c r="K36" t="n">
        <v>0</v>
      </c>
      <c r="L36" t="n">
        <v>0</v>
      </c>
      <c r="M36" t="n">
        <v>0</v>
      </c>
      <c r="N36" t="n">
        <v>0</v>
      </c>
      <c r="O36" t="n">
        <v>1</v>
      </c>
      <c r="P36" t="n">
        <v>0</v>
      </c>
      <c r="Q36" t="n">
        <v>1</v>
      </c>
      <c r="R36" s="2" t="inlineStr">
        <is>
          <t>Älg</t>
        </is>
      </c>
      <c r="S36">
        <f>HYPERLINK("https://klasma.github.io/Logging_1293/artfynd/A 13018-2024 artfynd.xlsx", "A 13018-2024")</f>
        <v/>
      </c>
      <c r="T36">
        <f>HYPERLINK("https://klasma.github.io/Logging_1293/kartor/A 13018-2024 karta.png", "A 13018-2024")</f>
        <v/>
      </c>
      <c r="V36">
        <f>HYPERLINK("https://klasma.github.io/Logging_1293/klagomål/A 13018-2024 FSC-klagomål.docx", "A 13018-2024")</f>
        <v/>
      </c>
      <c r="W36">
        <f>HYPERLINK("https://klasma.github.io/Logging_1293/klagomålsmail/A 13018-2024 FSC-klagomål mail.docx", "A 13018-2024")</f>
        <v/>
      </c>
      <c r="X36">
        <f>HYPERLINK("https://klasma.github.io/Logging_1293/tillsyn/A 13018-2024 tillsynsbegäran.docx", "A 13018-2024")</f>
        <v/>
      </c>
      <c r="Y36">
        <f>HYPERLINK("https://klasma.github.io/Logging_1293/tillsynsmail/A 13018-2024 tillsynsbegäran mail.docx", "A 13018-2024")</f>
        <v/>
      </c>
    </row>
    <row r="37" ht="15" customHeight="1">
      <c r="A37" t="inlineStr">
        <is>
          <t>A 61929-2023</t>
        </is>
      </c>
      <c r="B37" s="1" t="n">
        <v>45266</v>
      </c>
      <c r="C37" s="1" t="n">
        <v>46197</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Slåttergubbe</t>
        </is>
      </c>
      <c r="S37">
        <f>HYPERLINK("https://klasma.github.io/Logging_1293/artfynd/A 61929-2023 artfynd.xlsx", "A 61929-2023")</f>
        <v/>
      </c>
      <c r="T37">
        <f>HYPERLINK("https://klasma.github.io/Logging_1293/kartor/A 61929-2023 karta.png", "A 61929-2023")</f>
        <v/>
      </c>
      <c r="V37">
        <f>HYPERLINK("https://klasma.github.io/Logging_1293/klagomål/A 61929-2023 FSC-klagomål.docx", "A 61929-2023")</f>
        <v/>
      </c>
      <c r="W37">
        <f>HYPERLINK("https://klasma.github.io/Logging_1293/klagomålsmail/A 61929-2023 FSC-klagomål mail.docx", "A 61929-2023")</f>
        <v/>
      </c>
      <c r="X37">
        <f>HYPERLINK("https://klasma.github.io/Logging_1293/tillsyn/A 61929-2023 tillsynsbegäran.docx", "A 61929-2023")</f>
        <v/>
      </c>
      <c r="Y37">
        <f>HYPERLINK("https://klasma.github.io/Logging_1293/tillsynsmail/A 61929-2023 tillsynsbegäran mail.docx", "A 61929-2023")</f>
        <v/>
      </c>
    </row>
    <row r="38" ht="15" customHeight="1">
      <c r="A38" t="inlineStr">
        <is>
          <t>A 54523-2024</t>
        </is>
      </c>
      <c r="B38" s="1" t="n">
        <v>45617</v>
      </c>
      <c r="C38" s="1" t="n">
        <v>46197</v>
      </c>
      <c r="D38" t="inlineStr">
        <is>
          <t>SKÅNE LÄN</t>
        </is>
      </c>
      <c r="E38" t="inlineStr">
        <is>
          <t>HÄSSLEHOLM</t>
        </is>
      </c>
      <c r="G38" t="n">
        <v>4.5</v>
      </c>
      <c r="H38" t="n">
        <v>1</v>
      </c>
      <c r="I38" t="n">
        <v>0</v>
      </c>
      <c r="J38" t="n">
        <v>0</v>
      </c>
      <c r="K38" t="n">
        <v>0</v>
      </c>
      <c r="L38" t="n">
        <v>0</v>
      </c>
      <c r="M38" t="n">
        <v>0</v>
      </c>
      <c r="N38" t="n">
        <v>0</v>
      </c>
      <c r="O38" t="n">
        <v>0</v>
      </c>
      <c r="P38" t="n">
        <v>0</v>
      </c>
      <c r="Q38" t="n">
        <v>1</v>
      </c>
      <c r="R38" s="2" t="inlineStr">
        <is>
          <t>Grönvit nattviol</t>
        </is>
      </c>
      <c r="S38">
        <f>HYPERLINK("https://klasma.github.io/Logging_1293/artfynd/A 54523-2024 artfynd.xlsx", "A 54523-2024")</f>
        <v/>
      </c>
      <c r="T38">
        <f>HYPERLINK("https://klasma.github.io/Logging_1293/kartor/A 54523-2024 karta.png", "A 54523-2024")</f>
        <v/>
      </c>
      <c r="V38">
        <f>HYPERLINK("https://klasma.github.io/Logging_1293/klagomål/A 54523-2024 FSC-klagomål.docx", "A 54523-2024")</f>
        <v/>
      </c>
      <c r="W38">
        <f>HYPERLINK("https://klasma.github.io/Logging_1293/klagomålsmail/A 54523-2024 FSC-klagomål mail.docx", "A 54523-2024")</f>
        <v/>
      </c>
      <c r="X38">
        <f>HYPERLINK("https://klasma.github.io/Logging_1293/tillsyn/A 54523-2024 tillsynsbegäran.docx", "A 54523-2024")</f>
        <v/>
      </c>
      <c r="Y38">
        <f>HYPERLINK("https://klasma.github.io/Logging_1293/tillsynsmail/A 54523-2024 tillsynsbegäran mail.docx", "A 54523-2024")</f>
        <v/>
      </c>
    </row>
    <row r="39" ht="15" customHeight="1">
      <c r="A39" t="inlineStr">
        <is>
          <t>A 58891-2022</t>
        </is>
      </c>
      <c r="B39" s="1" t="n">
        <v>44896</v>
      </c>
      <c r="C39" s="1" t="n">
        <v>46197</v>
      </c>
      <c r="D39" t="inlineStr">
        <is>
          <t>SKÅNE LÄN</t>
        </is>
      </c>
      <c r="E39" t="inlineStr">
        <is>
          <t>HÄSSLEHOLM</t>
        </is>
      </c>
      <c r="F39" t="inlineStr">
        <is>
          <t>Kyrkan</t>
        </is>
      </c>
      <c r="G39" t="n">
        <v>1.6</v>
      </c>
      <c r="H39" t="n">
        <v>1</v>
      </c>
      <c r="I39" t="n">
        <v>0</v>
      </c>
      <c r="J39" t="n">
        <v>0</v>
      </c>
      <c r="K39" t="n">
        <v>0</v>
      </c>
      <c r="L39" t="n">
        <v>0</v>
      </c>
      <c r="M39" t="n">
        <v>0</v>
      </c>
      <c r="N39" t="n">
        <v>0</v>
      </c>
      <c r="O39" t="n">
        <v>0</v>
      </c>
      <c r="P39" t="n">
        <v>0</v>
      </c>
      <c r="Q39" t="n">
        <v>1</v>
      </c>
      <c r="R39" s="2" t="inlineStr">
        <is>
          <t>Revlummer</t>
        </is>
      </c>
      <c r="S39">
        <f>HYPERLINK("https://klasma.github.io/Logging_1293/artfynd/A 58891-2022 artfynd.xlsx", "A 58891-2022")</f>
        <v/>
      </c>
      <c r="T39">
        <f>HYPERLINK("https://klasma.github.io/Logging_1293/kartor/A 58891-2022 karta.png", "A 58891-2022")</f>
        <v/>
      </c>
      <c r="V39">
        <f>HYPERLINK("https://klasma.github.io/Logging_1293/klagomål/A 58891-2022 FSC-klagomål.docx", "A 58891-2022")</f>
        <v/>
      </c>
      <c r="W39">
        <f>HYPERLINK("https://klasma.github.io/Logging_1293/klagomålsmail/A 58891-2022 FSC-klagomål mail.docx", "A 58891-2022")</f>
        <v/>
      </c>
      <c r="X39">
        <f>HYPERLINK("https://klasma.github.io/Logging_1293/tillsyn/A 58891-2022 tillsynsbegäran.docx", "A 58891-2022")</f>
        <v/>
      </c>
      <c r="Y39">
        <f>HYPERLINK("https://klasma.github.io/Logging_1293/tillsynsmail/A 58891-2022 tillsynsbegäran mail.docx", "A 58891-2022")</f>
        <v/>
      </c>
    </row>
    <row r="40" ht="15" customHeight="1">
      <c r="A40" t="inlineStr">
        <is>
          <t>A 16121-2025</t>
        </is>
      </c>
      <c r="B40" s="1" t="n">
        <v>45750</v>
      </c>
      <c r="C40" s="1" t="n">
        <v>46197</v>
      </c>
      <c r="D40" t="inlineStr">
        <is>
          <t>SKÅNE LÄN</t>
        </is>
      </c>
      <c r="E40" t="inlineStr">
        <is>
          <t>HÄSSLEHOLM</t>
        </is>
      </c>
      <c r="G40" t="n">
        <v>1.6</v>
      </c>
      <c r="H40" t="n">
        <v>0</v>
      </c>
      <c r="I40" t="n">
        <v>0</v>
      </c>
      <c r="J40" t="n">
        <v>0</v>
      </c>
      <c r="K40" t="n">
        <v>1</v>
      </c>
      <c r="L40" t="n">
        <v>0</v>
      </c>
      <c r="M40" t="n">
        <v>0</v>
      </c>
      <c r="N40" t="n">
        <v>0</v>
      </c>
      <c r="O40" t="n">
        <v>1</v>
      </c>
      <c r="P40" t="n">
        <v>1</v>
      </c>
      <c r="Q40" t="n">
        <v>1</v>
      </c>
      <c r="R40" s="2" t="inlineStr">
        <is>
          <t>Igelkott</t>
        </is>
      </c>
      <c r="S40">
        <f>HYPERLINK("https://klasma.github.io/Logging_1293/artfynd/A 16121-2025 artfynd.xlsx", "A 16121-2025")</f>
        <v/>
      </c>
      <c r="T40">
        <f>HYPERLINK("https://klasma.github.io/Logging_1293/kartor/A 16121-2025 karta.png", "A 16121-2025")</f>
        <v/>
      </c>
      <c r="V40">
        <f>HYPERLINK("https://klasma.github.io/Logging_1293/klagomål/A 16121-2025 FSC-klagomål.docx", "A 16121-2025")</f>
        <v/>
      </c>
      <c r="W40">
        <f>HYPERLINK("https://klasma.github.io/Logging_1293/klagomålsmail/A 16121-2025 FSC-klagomål mail.docx", "A 16121-2025")</f>
        <v/>
      </c>
      <c r="X40">
        <f>HYPERLINK("https://klasma.github.io/Logging_1293/tillsyn/A 16121-2025 tillsynsbegäran.docx", "A 16121-2025")</f>
        <v/>
      </c>
      <c r="Y40">
        <f>HYPERLINK("https://klasma.github.io/Logging_1293/tillsynsmail/A 16121-2025 tillsynsbegäran mail.docx", "A 16121-2025")</f>
        <v/>
      </c>
    </row>
    <row r="41" ht="15" customHeight="1">
      <c r="A41" t="inlineStr">
        <is>
          <t>A 16860-2025</t>
        </is>
      </c>
      <c r="B41" s="1" t="n">
        <v>45751</v>
      </c>
      <c r="C41" s="1" t="n">
        <v>46197</v>
      </c>
      <c r="D41" t="inlineStr">
        <is>
          <t>SKÅNE LÄN</t>
        </is>
      </c>
      <c r="E41" t="inlineStr">
        <is>
          <t>HÄSSLEHOLM</t>
        </is>
      </c>
      <c r="G41" t="n">
        <v>1.3</v>
      </c>
      <c r="H41" t="n">
        <v>1</v>
      </c>
      <c r="I41" t="n">
        <v>0</v>
      </c>
      <c r="J41" t="n">
        <v>0</v>
      </c>
      <c r="K41" t="n">
        <v>0</v>
      </c>
      <c r="L41" t="n">
        <v>0</v>
      </c>
      <c r="M41" t="n">
        <v>0</v>
      </c>
      <c r="N41" t="n">
        <v>0</v>
      </c>
      <c r="O41" t="n">
        <v>0</v>
      </c>
      <c r="P41" t="n">
        <v>0</v>
      </c>
      <c r="Q41" t="n">
        <v>1</v>
      </c>
      <c r="R41" s="2" t="inlineStr">
        <is>
          <t>Hårklomossa</t>
        </is>
      </c>
      <c r="S41">
        <f>HYPERLINK("https://klasma.github.io/Logging_1293/artfynd/A 16860-2025 artfynd.xlsx", "A 16860-2025")</f>
        <v/>
      </c>
      <c r="T41">
        <f>HYPERLINK("https://klasma.github.io/Logging_1293/kartor/A 16860-2025 karta.png", "A 16860-2025")</f>
        <v/>
      </c>
      <c r="V41">
        <f>HYPERLINK("https://klasma.github.io/Logging_1293/klagomål/A 16860-2025 FSC-klagomål.docx", "A 16860-2025")</f>
        <v/>
      </c>
      <c r="W41">
        <f>HYPERLINK("https://klasma.github.io/Logging_1293/klagomålsmail/A 16860-2025 FSC-klagomål mail.docx", "A 16860-2025")</f>
        <v/>
      </c>
      <c r="X41">
        <f>HYPERLINK("https://klasma.github.io/Logging_1293/tillsyn/A 16860-2025 tillsynsbegäran.docx", "A 16860-2025")</f>
        <v/>
      </c>
      <c r="Y41">
        <f>HYPERLINK("https://klasma.github.io/Logging_1293/tillsynsmail/A 16860-2025 tillsynsbegäran mail.docx", "A 16860-2025")</f>
        <v/>
      </c>
    </row>
    <row r="42" ht="15" customHeight="1">
      <c r="A42" t="inlineStr">
        <is>
          <t>A 27934-2025</t>
        </is>
      </c>
      <c r="B42" s="1" t="n">
        <v>45817</v>
      </c>
      <c r="C42" s="1" t="n">
        <v>46197</v>
      </c>
      <c r="D42" t="inlineStr">
        <is>
          <t>SKÅNE LÄN</t>
        </is>
      </c>
      <c r="E42" t="inlineStr">
        <is>
          <t>HÄSSLEHOLM</t>
        </is>
      </c>
      <c r="G42" t="n">
        <v>0.7</v>
      </c>
      <c r="H42" t="n">
        <v>0</v>
      </c>
      <c r="I42" t="n">
        <v>0</v>
      </c>
      <c r="J42" t="n">
        <v>0</v>
      </c>
      <c r="K42" t="n">
        <v>0</v>
      </c>
      <c r="L42" t="n">
        <v>0</v>
      </c>
      <c r="M42" t="n">
        <v>0</v>
      </c>
      <c r="N42" t="n">
        <v>0</v>
      </c>
      <c r="O42" t="n">
        <v>0</v>
      </c>
      <c r="P42" t="n">
        <v>0</v>
      </c>
      <c r="Q42" t="n">
        <v>1</v>
      </c>
      <c r="R42" s="2" t="inlineStr">
        <is>
          <t>Missne</t>
        </is>
      </c>
      <c r="S42">
        <f>HYPERLINK("https://klasma.github.io/Logging_1293/artfynd/A 27934-2025 artfynd.xlsx", "A 27934-2025")</f>
        <v/>
      </c>
      <c r="T42">
        <f>HYPERLINK("https://klasma.github.io/Logging_1293/kartor/A 27934-2025 karta.png", "A 27934-2025")</f>
        <v/>
      </c>
      <c r="V42">
        <f>HYPERLINK("https://klasma.github.io/Logging_1293/klagomål/A 27934-2025 FSC-klagomål.docx", "A 27934-2025")</f>
        <v/>
      </c>
      <c r="W42">
        <f>HYPERLINK("https://klasma.github.io/Logging_1293/klagomålsmail/A 27934-2025 FSC-klagomål mail.docx", "A 27934-2025")</f>
        <v/>
      </c>
      <c r="X42">
        <f>HYPERLINK("https://klasma.github.io/Logging_1293/tillsyn/A 27934-2025 tillsynsbegäran.docx", "A 27934-2025")</f>
        <v/>
      </c>
      <c r="Y42">
        <f>HYPERLINK("https://klasma.github.io/Logging_1293/tillsynsmail/A 27934-2025 tillsynsbegäran mail.docx", "A 27934-2025")</f>
        <v/>
      </c>
    </row>
    <row r="43" ht="15" customHeight="1">
      <c r="A43" t="inlineStr">
        <is>
          <t>A 40613-2025</t>
        </is>
      </c>
      <c r="B43" s="1" t="n">
        <v>45896</v>
      </c>
      <c r="C43" s="1" t="n">
        <v>46197</v>
      </c>
      <c r="D43" t="inlineStr">
        <is>
          <t>SKÅNE LÄN</t>
        </is>
      </c>
      <c r="E43" t="inlineStr">
        <is>
          <t>HÄSSLEHOLM</t>
        </is>
      </c>
      <c r="F43" t="inlineStr">
        <is>
          <t>Kyrkan</t>
        </is>
      </c>
      <c r="G43" t="n">
        <v>3.4</v>
      </c>
      <c r="H43" t="n">
        <v>1</v>
      </c>
      <c r="I43" t="n">
        <v>0</v>
      </c>
      <c r="J43" t="n">
        <v>0</v>
      </c>
      <c r="K43" t="n">
        <v>0</v>
      </c>
      <c r="L43" t="n">
        <v>0</v>
      </c>
      <c r="M43" t="n">
        <v>0</v>
      </c>
      <c r="N43" t="n">
        <v>0</v>
      </c>
      <c r="O43" t="n">
        <v>0</v>
      </c>
      <c r="P43" t="n">
        <v>0</v>
      </c>
      <c r="Q43" t="n">
        <v>1</v>
      </c>
      <c r="R43" s="2" t="inlineStr">
        <is>
          <t>Revlummer</t>
        </is>
      </c>
      <c r="S43">
        <f>HYPERLINK("https://klasma.github.io/Logging_1293/artfynd/A 40613-2025 artfynd.xlsx", "A 40613-2025")</f>
        <v/>
      </c>
      <c r="T43">
        <f>HYPERLINK("https://klasma.github.io/Logging_1293/kartor/A 40613-2025 karta.png", "A 40613-2025")</f>
        <v/>
      </c>
      <c r="V43">
        <f>HYPERLINK("https://klasma.github.io/Logging_1293/klagomål/A 40613-2025 FSC-klagomål.docx", "A 40613-2025")</f>
        <v/>
      </c>
      <c r="W43">
        <f>HYPERLINK("https://klasma.github.io/Logging_1293/klagomålsmail/A 40613-2025 FSC-klagomål mail.docx", "A 40613-2025")</f>
        <v/>
      </c>
      <c r="X43">
        <f>HYPERLINK("https://klasma.github.io/Logging_1293/tillsyn/A 40613-2025 tillsynsbegäran.docx", "A 40613-2025")</f>
        <v/>
      </c>
      <c r="Y43">
        <f>HYPERLINK("https://klasma.github.io/Logging_1293/tillsynsmail/A 40613-2025 tillsynsbegäran mail.docx", "A 40613-2025")</f>
        <v/>
      </c>
    </row>
    <row r="44" ht="15" customHeight="1">
      <c r="A44" t="inlineStr">
        <is>
          <t>A 4619-2025</t>
        </is>
      </c>
      <c r="B44" s="1" t="n">
        <v>45687</v>
      </c>
      <c r="C44" s="1" t="n">
        <v>46197</v>
      </c>
      <c r="D44" t="inlineStr">
        <is>
          <t>SKÅNE LÄN</t>
        </is>
      </c>
      <c r="E44" t="inlineStr">
        <is>
          <t>HÄSSLEHOLM</t>
        </is>
      </c>
      <c r="G44" t="n">
        <v>2.2</v>
      </c>
      <c r="H44" t="n">
        <v>0</v>
      </c>
      <c r="I44" t="n">
        <v>0</v>
      </c>
      <c r="J44" t="n">
        <v>0</v>
      </c>
      <c r="K44" t="n">
        <v>1</v>
      </c>
      <c r="L44" t="n">
        <v>0</v>
      </c>
      <c r="M44" t="n">
        <v>0</v>
      </c>
      <c r="N44" t="n">
        <v>0</v>
      </c>
      <c r="O44" t="n">
        <v>1</v>
      </c>
      <c r="P44" t="n">
        <v>1</v>
      </c>
      <c r="Q44" t="n">
        <v>1</v>
      </c>
      <c r="R44" s="2" t="inlineStr">
        <is>
          <t>Vildris</t>
        </is>
      </c>
      <c r="S44">
        <f>HYPERLINK("https://klasma.github.io/Logging_1293/artfynd/A 4619-2025 artfynd.xlsx", "A 4619-2025")</f>
        <v/>
      </c>
      <c r="T44">
        <f>HYPERLINK("https://klasma.github.io/Logging_1293/kartor/A 4619-2025 karta.png", "A 4619-2025")</f>
        <v/>
      </c>
      <c r="V44">
        <f>HYPERLINK("https://klasma.github.io/Logging_1293/klagomål/A 4619-2025 FSC-klagomål.docx", "A 4619-2025")</f>
        <v/>
      </c>
      <c r="W44">
        <f>HYPERLINK("https://klasma.github.io/Logging_1293/klagomålsmail/A 4619-2025 FSC-klagomål mail.docx", "A 4619-2025")</f>
        <v/>
      </c>
      <c r="X44">
        <f>HYPERLINK("https://klasma.github.io/Logging_1293/tillsyn/A 4619-2025 tillsynsbegäran.docx", "A 4619-2025")</f>
        <v/>
      </c>
      <c r="Y44">
        <f>HYPERLINK("https://klasma.github.io/Logging_1293/tillsynsmail/A 4619-2025 tillsynsbegäran mail.docx", "A 4619-2025")</f>
        <v/>
      </c>
    </row>
    <row r="45" ht="15" customHeight="1">
      <c r="A45" t="inlineStr">
        <is>
          <t>A 61498-2022</t>
        </is>
      </c>
      <c r="B45" s="1" t="n">
        <v>44910</v>
      </c>
      <c r="C45" s="1" t="n">
        <v>46197</v>
      </c>
      <c r="D45" t="inlineStr">
        <is>
          <t>SKÅNE LÄN</t>
        </is>
      </c>
      <c r="E45" t="inlineStr">
        <is>
          <t>HÄSSLEHOLM</t>
        </is>
      </c>
      <c r="F45" t="inlineStr">
        <is>
          <t>Kyrkan</t>
        </is>
      </c>
      <c r="G45" t="n">
        <v>3.2</v>
      </c>
      <c r="H45" t="n">
        <v>1</v>
      </c>
      <c r="I45" t="n">
        <v>0</v>
      </c>
      <c r="J45" t="n">
        <v>0</v>
      </c>
      <c r="K45" t="n">
        <v>0</v>
      </c>
      <c r="L45" t="n">
        <v>0</v>
      </c>
      <c r="M45" t="n">
        <v>0</v>
      </c>
      <c r="N45" t="n">
        <v>0</v>
      </c>
      <c r="O45" t="n">
        <v>0</v>
      </c>
      <c r="P45" t="n">
        <v>0</v>
      </c>
      <c r="Q45" t="n">
        <v>1</v>
      </c>
      <c r="R45" s="2" t="inlineStr">
        <is>
          <t>Revlummer</t>
        </is>
      </c>
      <c r="S45">
        <f>HYPERLINK("https://klasma.github.io/Logging_1293/artfynd/A 61498-2022 artfynd.xlsx", "A 61498-2022")</f>
        <v/>
      </c>
      <c r="T45">
        <f>HYPERLINK("https://klasma.github.io/Logging_1293/kartor/A 61498-2022 karta.png", "A 61498-2022")</f>
        <v/>
      </c>
      <c r="V45">
        <f>HYPERLINK("https://klasma.github.io/Logging_1293/klagomål/A 61498-2022 FSC-klagomål.docx", "A 61498-2022")</f>
        <v/>
      </c>
      <c r="W45">
        <f>HYPERLINK("https://klasma.github.io/Logging_1293/klagomålsmail/A 61498-2022 FSC-klagomål mail.docx", "A 61498-2022")</f>
        <v/>
      </c>
      <c r="X45">
        <f>HYPERLINK("https://klasma.github.io/Logging_1293/tillsyn/A 61498-2022 tillsynsbegäran.docx", "A 61498-2022")</f>
        <v/>
      </c>
      <c r="Y45">
        <f>HYPERLINK("https://klasma.github.io/Logging_1293/tillsynsmail/A 61498-2022 tillsynsbegäran mail.docx", "A 61498-2022")</f>
        <v/>
      </c>
    </row>
    <row r="46" ht="15" customHeight="1">
      <c r="A46" t="inlineStr">
        <is>
          <t>A 36240-2023</t>
        </is>
      </c>
      <c r="B46" s="1" t="n">
        <v>45150</v>
      </c>
      <c r="C46" s="1" t="n">
        <v>46197</v>
      </c>
      <c r="D46" t="inlineStr">
        <is>
          <t>SKÅNE LÄN</t>
        </is>
      </c>
      <c r="E46" t="inlineStr">
        <is>
          <t>HÄSSLEHOLM</t>
        </is>
      </c>
      <c r="G46" t="n">
        <v>1.5</v>
      </c>
      <c r="H46" t="n">
        <v>1</v>
      </c>
      <c r="I46" t="n">
        <v>0</v>
      </c>
      <c r="J46" t="n">
        <v>0</v>
      </c>
      <c r="K46" t="n">
        <v>0</v>
      </c>
      <c r="L46" t="n">
        <v>0</v>
      </c>
      <c r="M46" t="n">
        <v>0</v>
      </c>
      <c r="N46" t="n">
        <v>0</v>
      </c>
      <c r="O46" t="n">
        <v>0</v>
      </c>
      <c r="P46" t="n">
        <v>0</v>
      </c>
      <c r="Q46" t="n">
        <v>1</v>
      </c>
      <c r="R46" s="2" t="inlineStr">
        <is>
          <t>Törnskata</t>
        </is>
      </c>
      <c r="S46">
        <f>HYPERLINK("https://klasma.github.io/Logging_1293/artfynd/A 36240-2023 artfynd.xlsx", "A 36240-2023")</f>
        <v/>
      </c>
      <c r="T46">
        <f>HYPERLINK("https://klasma.github.io/Logging_1293/kartor/A 36240-2023 karta.png", "A 36240-2023")</f>
        <v/>
      </c>
      <c r="V46">
        <f>HYPERLINK("https://klasma.github.io/Logging_1293/klagomål/A 36240-2023 FSC-klagomål.docx", "A 36240-2023")</f>
        <v/>
      </c>
      <c r="W46">
        <f>HYPERLINK("https://klasma.github.io/Logging_1293/klagomålsmail/A 36240-2023 FSC-klagomål mail.docx", "A 36240-2023")</f>
        <v/>
      </c>
      <c r="X46">
        <f>HYPERLINK("https://klasma.github.io/Logging_1293/tillsyn/A 36240-2023 tillsynsbegäran.docx", "A 36240-2023")</f>
        <v/>
      </c>
      <c r="Y46">
        <f>HYPERLINK("https://klasma.github.io/Logging_1293/tillsynsmail/A 36240-2023 tillsynsbegäran mail.docx", "A 36240-2023")</f>
        <v/>
      </c>
      <c r="Z46">
        <f>HYPERLINK("https://klasma.github.io/Logging_1293/fåglar/A 36240-2023 prioriterade fågelarter.docx", "A 36240-2023")</f>
        <v/>
      </c>
    </row>
    <row r="47" ht="15" customHeight="1">
      <c r="A47" t="inlineStr">
        <is>
          <t>A 29649-2025</t>
        </is>
      </c>
      <c r="B47" s="1" t="n">
        <v>45825</v>
      </c>
      <c r="C47" s="1" t="n">
        <v>46197</v>
      </c>
      <c r="D47" t="inlineStr">
        <is>
          <t>SKÅNE LÄN</t>
        </is>
      </c>
      <c r="E47" t="inlineStr">
        <is>
          <t>HÄSSLEHOLM</t>
        </is>
      </c>
      <c r="G47" t="n">
        <v>2.6</v>
      </c>
      <c r="H47" t="n">
        <v>0</v>
      </c>
      <c r="I47" t="n">
        <v>1</v>
      </c>
      <c r="J47" t="n">
        <v>0</v>
      </c>
      <c r="K47" t="n">
        <v>0</v>
      </c>
      <c r="L47" t="n">
        <v>0</v>
      </c>
      <c r="M47" t="n">
        <v>0</v>
      </c>
      <c r="N47" t="n">
        <v>0</v>
      </c>
      <c r="O47" t="n">
        <v>0</v>
      </c>
      <c r="P47" t="n">
        <v>0</v>
      </c>
      <c r="Q47" t="n">
        <v>1</v>
      </c>
      <c r="R47" s="2" t="inlineStr">
        <is>
          <t>Tibast</t>
        </is>
      </c>
      <c r="S47">
        <f>HYPERLINK("https://klasma.github.io/Logging_1293/artfynd/A 29649-2025 artfynd.xlsx", "A 29649-2025")</f>
        <v/>
      </c>
      <c r="T47">
        <f>HYPERLINK("https://klasma.github.io/Logging_1293/kartor/A 29649-2025 karta.png", "A 29649-2025")</f>
        <v/>
      </c>
      <c r="V47">
        <f>HYPERLINK("https://klasma.github.io/Logging_1293/klagomål/A 29649-2025 FSC-klagomål.docx", "A 29649-2025")</f>
        <v/>
      </c>
      <c r="W47">
        <f>HYPERLINK("https://klasma.github.io/Logging_1293/klagomålsmail/A 29649-2025 FSC-klagomål mail.docx", "A 29649-2025")</f>
        <v/>
      </c>
      <c r="X47">
        <f>HYPERLINK("https://klasma.github.io/Logging_1293/tillsyn/A 29649-2025 tillsynsbegäran.docx", "A 29649-2025")</f>
        <v/>
      </c>
      <c r="Y47">
        <f>HYPERLINK("https://klasma.github.io/Logging_1293/tillsynsmail/A 29649-2025 tillsynsbegäran mail.docx", "A 29649-2025")</f>
        <v/>
      </c>
    </row>
    <row r="48" ht="15" customHeight="1">
      <c r="A48" t="inlineStr">
        <is>
          <t>A 12338-2024</t>
        </is>
      </c>
      <c r="B48" s="1" t="n">
        <v>45378</v>
      </c>
      <c r="C48" s="1" t="n">
        <v>46197</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Skogsalm</t>
        </is>
      </c>
      <c r="S48">
        <f>HYPERLINK("https://klasma.github.io/Logging_1293/artfynd/A 12338-2024 artfynd.xlsx", "A 12338-2024")</f>
        <v/>
      </c>
      <c r="T48">
        <f>HYPERLINK("https://klasma.github.io/Logging_1293/kartor/A 12338-2024 karta.png", "A 12338-2024")</f>
        <v/>
      </c>
      <c r="V48">
        <f>HYPERLINK("https://klasma.github.io/Logging_1293/klagomål/A 12338-2024 FSC-klagomål.docx", "A 12338-2024")</f>
        <v/>
      </c>
      <c r="W48">
        <f>HYPERLINK("https://klasma.github.io/Logging_1293/klagomålsmail/A 12338-2024 FSC-klagomål mail.docx", "A 12338-2024")</f>
        <v/>
      </c>
      <c r="X48">
        <f>HYPERLINK("https://klasma.github.io/Logging_1293/tillsyn/A 12338-2024 tillsynsbegäran.docx", "A 12338-2024")</f>
        <v/>
      </c>
      <c r="Y48">
        <f>HYPERLINK("https://klasma.github.io/Logging_1293/tillsynsmail/A 12338-2024 tillsynsbegäran mail.docx", "A 12338-2024")</f>
        <v/>
      </c>
    </row>
    <row r="49" ht="15" customHeight="1">
      <c r="A49" t="inlineStr">
        <is>
          <t>A 9289-2025</t>
        </is>
      </c>
      <c r="B49" s="1" t="n">
        <v>45714</v>
      </c>
      <c r="C49" s="1" t="n">
        <v>46197</v>
      </c>
      <c r="D49" t="inlineStr">
        <is>
          <t>SKÅNE LÄN</t>
        </is>
      </c>
      <c r="E49" t="inlineStr">
        <is>
          <t>HÄSSLEHOLM</t>
        </is>
      </c>
      <c r="G49" t="n">
        <v>18</v>
      </c>
      <c r="H49" t="n">
        <v>0</v>
      </c>
      <c r="I49" t="n">
        <v>1</v>
      </c>
      <c r="J49" t="n">
        <v>0</v>
      </c>
      <c r="K49" t="n">
        <v>0</v>
      </c>
      <c r="L49" t="n">
        <v>0</v>
      </c>
      <c r="M49" t="n">
        <v>0</v>
      </c>
      <c r="N49" t="n">
        <v>0</v>
      </c>
      <c r="O49" t="n">
        <v>0</v>
      </c>
      <c r="P49" t="n">
        <v>0</v>
      </c>
      <c r="Q49" t="n">
        <v>1</v>
      </c>
      <c r="R49" s="2" t="inlineStr">
        <is>
          <t>Tibast</t>
        </is>
      </c>
      <c r="S49">
        <f>HYPERLINK("https://klasma.github.io/Logging_1293/artfynd/A 9289-2025 artfynd.xlsx", "A 9289-2025")</f>
        <v/>
      </c>
      <c r="T49">
        <f>HYPERLINK("https://klasma.github.io/Logging_1293/kartor/A 9289-2025 karta.png", "A 9289-2025")</f>
        <v/>
      </c>
      <c r="V49">
        <f>HYPERLINK("https://klasma.github.io/Logging_1293/klagomål/A 9289-2025 FSC-klagomål.docx", "A 9289-2025")</f>
        <v/>
      </c>
      <c r="W49">
        <f>HYPERLINK("https://klasma.github.io/Logging_1293/klagomålsmail/A 9289-2025 FSC-klagomål mail.docx", "A 9289-2025")</f>
        <v/>
      </c>
      <c r="X49">
        <f>HYPERLINK("https://klasma.github.io/Logging_1293/tillsyn/A 9289-2025 tillsynsbegäran.docx", "A 9289-2025")</f>
        <v/>
      </c>
      <c r="Y49">
        <f>HYPERLINK("https://klasma.github.io/Logging_1293/tillsynsmail/A 9289-2025 tillsynsbegäran mail.docx", "A 9289-2025")</f>
        <v/>
      </c>
    </row>
    <row r="50" ht="15" customHeight="1">
      <c r="A50" t="inlineStr">
        <is>
          <t>A 8223-2025</t>
        </is>
      </c>
      <c r="B50" s="1" t="n">
        <v>45708</v>
      </c>
      <c r="C50" s="1" t="n">
        <v>46197</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row>
    <row r="51" ht="15" customHeight="1">
      <c r="A51" t="inlineStr">
        <is>
          <t>A 27242-2022</t>
        </is>
      </c>
      <c r="B51" s="1" t="n">
        <v>44741</v>
      </c>
      <c r="C51" s="1" t="n">
        <v>46197</v>
      </c>
      <c r="D51" t="inlineStr">
        <is>
          <t>SKÅNE LÄN</t>
        </is>
      </c>
      <c r="E51" t="inlineStr">
        <is>
          <t>HÄSSLEHOLM</t>
        </is>
      </c>
      <c r="G51" t="n">
        <v>1.9</v>
      </c>
      <c r="H51" t="n">
        <v>0</v>
      </c>
      <c r="I51" t="n">
        <v>0</v>
      </c>
      <c r="J51" t="n">
        <v>0</v>
      </c>
      <c r="K51" t="n">
        <v>1</v>
      </c>
      <c r="L51" t="n">
        <v>0</v>
      </c>
      <c r="M51" t="n">
        <v>0</v>
      </c>
      <c r="N51" t="n">
        <v>0</v>
      </c>
      <c r="O51" t="n">
        <v>1</v>
      </c>
      <c r="P51" t="n">
        <v>1</v>
      </c>
      <c r="Q51" t="n">
        <v>1</v>
      </c>
      <c r="R51" s="2" t="inlineStr">
        <is>
          <t>Vildris</t>
        </is>
      </c>
      <c r="S51">
        <f>HYPERLINK("https://klasma.github.io/Logging_1293/artfynd/A 27242-2022 artfynd.xlsx", "A 27242-2022")</f>
        <v/>
      </c>
      <c r="T51">
        <f>HYPERLINK("https://klasma.github.io/Logging_1293/kartor/A 27242-2022 karta.png", "A 27242-2022")</f>
        <v/>
      </c>
      <c r="V51">
        <f>HYPERLINK("https://klasma.github.io/Logging_1293/klagomål/A 27242-2022 FSC-klagomål.docx", "A 27242-2022")</f>
        <v/>
      </c>
      <c r="W51">
        <f>HYPERLINK("https://klasma.github.io/Logging_1293/klagomålsmail/A 27242-2022 FSC-klagomål mail.docx", "A 27242-2022")</f>
        <v/>
      </c>
      <c r="X51">
        <f>HYPERLINK("https://klasma.github.io/Logging_1293/tillsyn/A 27242-2022 tillsynsbegäran.docx", "A 27242-2022")</f>
        <v/>
      </c>
      <c r="Y51">
        <f>HYPERLINK("https://klasma.github.io/Logging_1293/tillsynsmail/A 27242-2022 tillsynsbegäran mail.docx", "A 27242-2022")</f>
        <v/>
      </c>
    </row>
    <row r="52" ht="15" customHeight="1">
      <c r="A52" t="inlineStr">
        <is>
          <t>A 53056-2025</t>
        </is>
      </c>
      <c r="B52" s="1" t="n">
        <v>45958</v>
      </c>
      <c r="C52" s="1" t="n">
        <v>46197</v>
      </c>
      <c r="D52" t="inlineStr">
        <is>
          <t>SKÅNE LÄN</t>
        </is>
      </c>
      <c r="E52" t="inlineStr">
        <is>
          <t>HÄSSLEHOLM</t>
        </is>
      </c>
      <c r="G52" t="n">
        <v>1.5</v>
      </c>
      <c r="H52" t="n">
        <v>0</v>
      </c>
      <c r="I52" t="n">
        <v>0</v>
      </c>
      <c r="J52" t="n">
        <v>1</v>
      </c>
      <c r="K52" t="n">
        <v>0</v>
      </c>
      <c r="L52" t="n">
        <v>0</v>
      </c>
      <c r="M52" t="n">
        <v>0</v>
      </c>
      <c r="N52" t="n">
        <v>0</v>
      </c>
      <c r="O52" t="n">
        <v>1</v>
      </c>
      <c r="P52" t="n">
        <v>0</v>
      </c>
      <c r="Q52" t="n">
        <v>1</v>
      </c>
      <c r="R52" s="2" t="inlineStr">
        <is>
          <t>Gullpudra</t>
        </is>
      </c>
      <c r="S52">
        <f>HYPERLINK("https://klasma.github.io/Logging_1293/artfynd/A 53056-2025 artfynd.xlsx", "A 53056-2025")</f>
        <v/>
      </c>
      <c r="T52">
        <f>HYPERLINK("https://klasma.github.io/Logging_1293/kartor/A 53056-2025 karta.png", "A 53056-2025")</f>
        <v/>
      </c>
      <c r="V52">
        <f>HYPERLINK("https://klasma.github.io/Logging_1293/klagomål/A 53056-2025 FSC-klagomål.docx", "A 53056-2025")</f>
        <v/>
      </c>
      <c r="W52">
        <f>HYPERLINK("https://klasma.github.io/Logging_1293/klagomålsmail/A 53056-2025 FSC-klagomål mail.docx", "A 53056-2025")</f>
        <v/>
      </c>
      <c r="X52">
        <f>HYPERLINK("https://klasma.github.io/Logging_1293/tillsyn/A 53056-2025 tillsynsbegäran.docx", "A 53056-2025")</f>
        <v/>
      </c>
      <c r="Y52">
        <f>HYPERLINK("https://klasma.github.io/Logging_1293/tillsynsmail/A 53056-2025 tillsynsbegäran mail.docx", "A 53056-2025")</f>
        <v/>
      </c>
    </row>
    <row r="53" ht="15" customHeight="1">
      <c r="A53" t="inlineStr">
        <is>
          <t>A 26857-2025</t>
        </is>
      </c>
      <c r="B53" s="1" t="n">
        <v>45810</v>
      </c>
      <c r="C53" s="1" t="n">
        <v>46197</v>
      </c>
      <c r="D53" t="inlineStr">
        <is>
          <t>SKÅNE LÄN</t>
        </is>
      </c>
      <c r="E53" t="inlineStr">
        <is>
          <t>HÄSSLEHOLM</t>
        </is>
      </c>
      <c r="G53" t="n">
        <v>0.8</v>
      </c>
      <c r="H53" t="n">
        <v>1</v>
      </c>
      <c r="I53" t="n">
        <v>0</v>
      </c>
      <c r="J53" t="n">
        <v>0</v>
      </c>
      <c r="K53" t="n">
        <v>1</v>
      </c>
      <c r="L53" t="n">
        <v>0</v>
      </c>
      <c r="M53" t="n">
        <v>0</v>
      </c>
      <c r="N53" t="n">
        <v>0</v>
      </c>
      <c r="O53" t="n">
        <v>1</v>
      </c>
      <c r="P53" t="n">
        <v>1</v>
      </c>
      <c r="Q53" t="n">
        <v>1</v>
      </c>
      <c r="R53" s="2" t="inlineStr">
        <is>
          <t>Blå kärrhök</t>
        </is>
      </c>
      <c r="S53">
        <f>HYPERLINK("https://klasma.github.io/Logging_1293/artfynd/A 26857-2025 artfynd.xlsx", "A 26857-2025")</f>
        <v/>
      </c>
      <c r="T53">
        <f>HYPERLINK("https://klasma.github.io/Logging_1293/kartor/A 26857-2025 karta.png", "A 26857-2025")</f>
        <v/>
      </c>
      <c r="V53">
        <f>HYPERLINK("https://klasma.github.io/Logging_1293/klagomål/A 26857-2025 FSC-klagomål.docx", "A 26857-2025")</f>
        <v/>
      </c>
      <c r="W53">
        <f>HYPERLINK("https://klasma.github.io/Logging_1293/klagomålsmail/A 26857-2025 FSC-klagomål mail.docx", "A 26857-2025")</f>
        <v/>
      </c>
      <c r="X53">
        <f>HYPERLINK("https://klasma.github.io/Logging_1293/tillsyn/A 26857-2025 tillsynsbegäran.docx", "A 26857-2025")</f>
        <v/>
      </c>
      <c r="Y53">
        <f>HYPERLINK("https://klasma.github.io/Logging_1293/tillsynsmail/A 26857-2025 tillsynsbegäran mail.docx", "A 26857-2025")</f>
        <v/>
      </c>
      <c r="Z53">
        <f>HYPERLINK("https://klasma.github.io/Logging_1293/fåglar/A 26857-2025 prioriterade fågelarter.docx", "A 26857-2025")</f>
        <v/>
      </c>
    </row>
    <row r="54" ht="15" customHeight="1">
      <c r="A54" t="inlineStr">
        <is>
          <t>A 57533-2025</t>
        </is>
      </c>
      <c r="B54" s="1" t="n">
        <v>45980</v>
      </c>
      <c r="C54" s="1" t="n">
        <v>46197</v>
      </c>
      <c r="D54" t="inlineStr">
        <is>
          <t>SKÅNE LÄN</t>
        </is>
      </c>
      <c r="E54" t="inlineStr">
        <is>
          <t>HÄSSLEHOLM</t>
        </is>
      </c>
      <c r="G54" t="n">
        <v>0.9</v>
      </c>
      <c r="H54" t="n">
        <v>0</v>
      </c>
      <c r="I54" t="n">
        <v>1</v>
      </c>
      <c r="J54" t="n">
        <v>0</v>
      </c>
      <c r="K54" t="n">
        <v>0</v>
      </c>
      <c r="L54" t="n">
        <v>0</v>
      </c>
      <c r="M54" t="n">
        <v>0</v>
      </c>
      <c r="N54" t="n">
        <v>0</v>
      </c>
      <c r="O54" t="n">
        <v>0</v>
      </c>
      <c r="P54" t="n">
        <v>0</v>
      </c>
      <c r="Q54" t="n">
        <v>1</v>
      </c>
      <c r="R54" s="2" t="inlineStr">
        <is>
          <t>Strutbräken</t>
        </is>
      </c>
      <c r="S54">
        <f>HYPERLINK("https://klasma.github.io/Logging_1293/artfynd/A 57533-2025 artfynd.xlsx", "A 57533-2025")</f>
        <v/>
      </c>
      <c r="T54">
        <f>HYPERLINK("https://klasma.github.io/Logging_1293/kartor/A 57533-2025 karta.png", "A 57533-2025")</f>
        <v/>
      </c>
      <c r="V54">
        <f>HYPERLINK("https://klasma.github.io/Logging_1293/klagomål/A 57533-2025 FSC-klagomål.docx", "A 57533-2025")</f>
        <v/>
      </c>
      <c r="W54">
        <f>HYPERLINK("https://klasma.github.io/Logging_1293/klagomålsmail/A 57533-2025 FSC-klagomål mail.docx", "A 57533-2025")</f>
        <v/>
      </c>
      <c r="X54">
        <f>HYPERLINK("https://klasma.github.io/Logging_1293/tillsyn/A 57533-2025 tillsynsbegäran.docx", "A 57533-2025")</f>
        <v/>
      </c>
      <c r="Y54">
        <f>HYPERLINK("https://klasma.github.io/Logging_1293/tillsynsmail/A 57533-2025 tillsynsbegäran mail.docx", "A 57533-2025")</f>
        <v/>
      </c>
    </row>
    <row r="55" ht="15" customHeight="1">
      <c r="A55" t="inlineStr">
        <is>
          <t>A 13894-2026</t>
        </is>
      </c>
      <c r="B55" s="1" t="n">
        <v>46098</v>
      </c>
      <c r="C55" s="1" t="n">
        <v>46197</v>
      </c>
      <c r="D55" t="inlineStr">
        <is>
          <t>SKÅNE LÄN</t>
        </is>
      </c>
      <c r="E55" t="inlineStr">
        <is>
          <t>HÄSSLEHOLM</t>
        </is>
      </c>
      <c r="G55" t="n">
        <v>2.6</v>
      </c>
      <c r="H55" t="n">
        <v>1</v>
      </c>
      <c r="I55" t="n">
        <v>0</v>
      </c>
      <c r="J55" t="n">
        <v>1</v>
      </c>
      <c r="K55" t="n">
        <v>0</v>
      </c>
      <c r="L55" t="n">
        <v>0</v>
      </c>
      <c r="M55" t="n">
        <v>0</v>
      </c>
      <c r="N55" t="n">
        <v>0</v>
      </c>
      <c r="O55" t="n">
        <v>1</v>
      </c>
      <c r="P55" t="n">
        <v>0</v>
      </c>
      <c r="Q55" t="n">
        <v>1</v>
      </c>
      <c r="R55" s="2" t="inlineStr">
        <is>
          <t>Entita</t>
        </is>
      </c>
      <c r="S55">
        <f>HYPERLINK("https://klasma.github.io/Logging_1293/artfynd/A 13894-2026 artfynd.xlsx", "A 13894-2026")</f>
        <v/>
      </c>
      <c r="T55">
        <f>HYPERLINK("https://klasma.github.io/Logging_1293/kartor/A 13894-2026 karta.png", "A 13894-2026")</f>
        <v/>
      </c>
      <c r="V55">
        <f>HYPERLINK("https://klasma.github.io/Logging_1293/klagomål/A 13894-2026 FSC-klagomål.docx", "A 13894-2026")</f>
        <v/>
      </c>
      <c r="W55">
        <f>HYPERLINK("https://klasma.github.io/Logging_1293/klagomålsmail/A 13894-2026 FSC-klagomål mail.docx", "A 13894-2026")</f>
        <v/>
      </c>
      <c r="X55">
        <f>HYPERLINK("https://klasma.github.io/Logging_1293/tillsyn/A 13894-2026 tillsynsbegäran.docx", "A 13894-2026")</f>
        <v/>
      </c>
      <c r="Y55">
        <f>HYPERLINK("https://klasma.github.io/Logging_1293/tillsynsmail/A 13894-2026 tillsynsbegäran mail.docx", "A 13894-2026")</f>
        <v/>
      </c>
      <c r="Z55">
        <f>HYPERLINK("https://klasma.github.io/Logging_1293/fåglar/A 13894-2026 prioriterade fågelarter.docx", "A 13894-2026")</f>
        <v/>
      </c>
    </row>
    <row r="56" ht="15" customHeight="1">
      <c r="A56" t="inlineStr">
        <is>
          <t>A 63487-2025</t>
        </is>
      </c>
      <c r="B56" s="1" t="n">
        <v>46013</v>
      </c>
      <c r="C56" s="1" t="n">
        <v>46197</v>
      </c>
      <c r="D56" t="inlineStr">
        <is>
          <t>SKÅNE LÄN</t>
        </is>
      </c>
      <c r="E56" t="inlineStr">
        <is>
          <t>HÄSSLEHOLM</t>
        </is>
      </c>
      <c r="F56" t="inlineStr">
        <is>
          <t>Kommuner</t>
        </is>
      </c>
      <c r="G56" t="n">
        <v>9.800000000000001</v>
      </c>
      <c r="H56" t="n">
        <v>1</v>
      </c>
      <c r="I56" t="n">
        <v>0</v>
      </c>
      <c r="J56" t="n">
        <v>0</v>
      </c>
      <c r="K56" t="n">
        <v>0</v>
      </c>
      <c r="L56" t="n">
        <v>0</v>
      </c>
      <c r="M56" t="n">
        <v>0</v>
      </c>
      <c r="N56" t="n">
        <v>0</v>
      </c>
      <c r="O56" t="n">
        <v>0</v>
      </c>
      <c r="P56" t="n">
        <v>0</v>
      </c>
      <c r="Q56" t="n">
        <v>1</v>
      </c>
      <c r="R56" s="2" t="inlineStr">
        <is>
          <t>Kungsfågel</t>
        </is>
      </c>
      <c r="S56">
        <f>HYPERLINK("https://klasma.github.io/Logging_1293/artfynd/A 63487-2025 artfynd.xlsx", "A 63487-2025")</f>
        <v/>
      </c>
      <c r="T56">
        <f>HYPERLINK("https://klasma.github.io/Logging_1293/kartor/A 63487-2025 karta.png", "A 63487-2025")</f>
        <v/>
      </c>
      <c r="V56">
        <f>HYPERLINK("https://klasma.github.io/Logging_1293/klagomål/A 63487-2025 FSC-klagomål.docx", "A 63487-2025")</f>
        <v/>
      </c>
      <c r="W56">
        <f>HYPERLINK("https://klasma.github.io/Logging_1293/klagomålsmail/A 63487-2025 FSC-klagomål mail.docx", "A 63487-2025")</f>
        <v/>
      </c>
      <c r="X56">
        <f>HYPERLINK("https://klasma.github.io/Logging_1293/tillsyn/A 63487-2025 tillsynsbegäran.docx", "A 63487-2025")</f>
        <v/>
      </c>
      <c r="Y56">
        <f>HYPERLINK("https://klasma.github.io/Logging_1293/tillsynsmail/A 63487-2025 tillsynsbegäran mail.docx", "A 63487-2025")</f>
        <v/>
      </c>
    </row>
    <row r="57" ht="15" customHeight="1">
      <c r="A57" t="inlineStr">
        <is>
          <t>A 16550-2025</t>
        </is>
      </c>
      <c r="B57" s="1" t="n">
        <v>45751</v>
      </c>
      <c r="C57" s="1" t="n">
        <v>46197</v>
      </c>
      <c r="D57" t="inlineStr">
        <is>
          <t>SKÅNE LÄN</t>
        </is>
      </c>
      <c r="E57" t="inlineStr">
        <is>
          <t>HÄSSLEHOLM</t>
        </is>
      </c>
      <c r="G57" t="n">
        <v>0.7</v>
      </c>
      <c r="H57" t="n">
        <v>0</v>
      </c>
      <c r="I57" t="n">
        <v>1</v>
      </c>
      <c r="J57" t="n">
        <v>0</v>
      </c>
      <c r="K57" t="n">
        <v>0</v>
      </c>
      <c r="L57" t="n">
        <v>0</v>
      </c>
      <c r="M57" t="n">
        <v>0</v>
      </c>
      <c r="N57" t="n">
        <v>0</v>
      </c>
      <c r="O57" t="n">
        <v>0</v>
      </c>
      <c r="P57" t="n">
        <v>0</v>
      </c>
      <c r="Q57" t="n">
        <v>1</v>
      </c>
      <c r="R57" s="2" t="inlineStr">
        <is>
          <t>Skuggsprötmossa</t>
        </is>
      </c>
      <c r="S57">
        <f>HYPERLINK("https://klasma.github.io/Logging_1293/artfynd/A 16550-2025 artfynd.xlsx", "A 16550-2025")</f>
        <v/>
      </c>
      <c r="T57">
        <f>HYPERLINK("https://klasma.github.io/Logging_1293/kartor/A 16550-2025 karta.png", "A 16550-2025")</f>
        <v/>
      </c>
      <c r="V57">
        <f>HYPERLINK("https://klasma.github.io/Logging_1293/klagomål/A 16550-2025 FSC-klagomål.docx", "A 16550-2025")</f>
        <v/>
      </c>
      <c r="W57">
        <f>HYPERLINK("https://klasma.github.io/Logging_1293/klagomålsmail/A 16550-2025 FSC-klagomål mail.docx", "A 16550-2025")</f>
        <v/>
      </c>
      <c r="X57">
        <f>HYPERLINK("https://klasma.github.io/Logging_1293/tillsyn/A 16550-2025 tillsynsbegäran.docx", "A 16550-2025")</f>
        <v/>
      </c>
      <c r="Y57">
        <f>HYPERLINK("https://klasma.github.io/Logging_1293/tillsynsmail/A 16550-2025 tillsynsbegäran mail.docx", "A 16550-2025")</f>
        <v/>
      </c>
    </row>
    <row r="58" ht="15" customHeight="1">
      <c r="A58" t="inlineStr">
        <is>
          <t>A 23857-2024</t>
        </is>
      </c>
      <c r="B58" s="1" t="n">
        <v>45455</v>
      </c>
      <c r="C58" s="1" t="n">
        <v>46197</v>
      </c>
      <c r="D58" t="inlineStr">
        <is>
          <t>SKÅNE LÄN</t>
        </is>
      </c>
      <c r="E58" t="inlineStr">
        <is>
          <t>HÄSSLEHOLM</t>
        </is>
      </c>
      <c r="G58" t="n">
        <v>3</v>
      </c>
      <c r="H58" t="n">
        <v>0</v>
      </c>
      <c r="I58" t="n">
        <v>0</v>
      </c>
      <c r="J58" t="n">
        <v>0</v>
      </c>
      <c r="K58" t="n">
        <v>0</v>
      </c>
      <c r="L58" t="n">
        <v>0</v>
      </c>
      <c r="M58" t="n">
        <v>0</v>
      </c>
      <c r="N58" t="n">
        <v>0</v>
      </c>
      <c r="O58" t="n">
        <v>0</v>
      </c>
      <c r="P58" t="n">
        <v>0</v>
      </c>
      <c r="Q58" t="n">
        <v>1</v>
      </c>
      <c r="R58" s="2" t="inlineStr">
        <is>
          <t>Missne</t>
        </is>
      </c>
      <c r="S58">
        <f>HYPERLINK("https://klasma.github.io/Logging_1293/artfynd/A 23857-2024 artfynd.xlsx", "A 23857-2024")</f>
        <v/>
      </c>
      <c r="T58">
        <f>HYPERLINK("https://klasma.github.io/Logging_1293/kartor/A 23857-2024 karta.png", "A 23857-2024")</f>
        <v/>
      </c>
      <c r="V58">
        <f>HYPERLINK("https://klasma.github.io/Logging_1293/klagomål/A 23857-2024 FSC-klagomål.docx", "A 23857-2024")</f>
        <v/>
      </c>
      <c r="W58">
        <f>HYPERLINK("https://klasma.github.io/Logging_1293/klagomålsmail/A 23857-2024 FSC-klagomål mail.docx", "A 23857-2024")</f>
        <v/>
      </c>
      <c r="X58">
        <f>HYPERLINK("https://klasma.github.io/Logging_1293/tillsyn/A 23857-2024 tillsynsbegäran.docx", "A 23857-2024")</f>
        <v/>
      </c>
      <c r="Y58">
        <f>HYPERLINK("https://klasma.github.io/Logging_1293/tillsynsmail/A 23857-2024 tillsynsbegäran mail.docx", "A 23857-2024")</f>
        <v/>
      </c>
    </row>
    <row r="59" ht="15" customHeight="1">
      <c r="A59" t="inlineStr">
        <is>
          <t>A 25533-2024</t>
        </is>
      </c>
      <c r="B59" s="1" t="n">
        <v>45463</v>
      </c>
      <c r="C59" s="1" t="n">
        <v>46197</v>
      </c>
      <c r="D59" t="inlineStr">
        <is>
          <t>SKÅNE LÄN</t>
        </is>
      </c>
      <c r="E59" t="inlineStr">
        <is>
          <t>HÄSSLEHOLM</t>
        </is>
      </c>
      <c r="G59" t="n">
        <v>1.8</v>
      </c>
      <c r="H59" t="n">
        <v>1</v>
      </c>
      <c r="I59" t="n">
        <v>0</v>
      </c>
      <c r="J59" t="n">
        <v>0</v>
      </c>
      <c r="K59" t="n">
        <v>0</v>
      </c>
      <c r="L59" t="n">
        <v>0</v>
      </c>
      <c r="M59" t="n">
        <v>0</v>
      </c>
      <c r="N59" t="n">
        <v>0</v>
      </c>
      <c r="O59" t="n">
        <v>0</v>
      </c>
      <c r="P59" t="n">
        <v>0</v>
      </c>
      <c r="Q59" t="n">
        <v>1</v>
      </c>
      <c r="R59" s="2" t="inlineStr">
        <is>
          <t>Fiskgjuse</t>
        </is>
      </c>
      <c r="S59">
        <f>HYPERLINK("https://klasma.github.io/Logging_1293/artfynd/A 25533-2024 artfynd.xlsx", "A 25533-2024")</f>
        <v/>
      </c>
      <c r="T59">
        <f>HYPERLINK("https://klasma.github.io/Logging_1293/kartor/A 25533-2024 karta.png", "A 25533-2024")</f>
        <v/>
      </c>
      <c r="V59">
        <f>HYPERLINK("https://klasma.github.io/Logging_1293/klagomål/A 25533-2024 FSC-klagomål.docx", "A 25533-2024")</f>
        <v/>
      </c>
      <c r="W59">
        <f>HYPERLINK("https://klasma.github.io/Logging_1293/klagomålsmail/A 25533-2024 FSC-klagomål mail.docx", "A 25533-2024")</f>
        <v/>
      </c>
      <c r="X59">
        <f>HYPERLINK("https://klasma.github.io/Logging_1293/tillsyn/A 25533-2024 tillsynsbegäran.docx", "A 25533-2024")</f>
        <v/>
      </c>
      <c r="Y59">
        <f>HYPERLINK("https://klasma.github.io/Logging_1293/tillsynsmail/A 25533-2024 tillsynsbegäran mail.docx", "A 25533-2024")</f>
        <v/>
      </c>
      <c r="Z59">
        <f>HYPERLINK("https://klasma.github.io/Logging_1293/fåglar/A 25533-2024 prioriterade fågelarter.docx", "A 25533-2024")</f>
        <v/>
      </c>
    </row>
    <row r="60" ht="15" customHeight="1">
      <c r="A60" t="inlineStr">
        <is>
          <t>A 34834-2023</t>
        </is>
      </c>
      <c r="B60" s="1" t="n">
        <v>45141</v>
      </c>
      <c r="C60" s="1" t="n">
        <v>46197</v>
      </c>
      <c r="D60" t="inlineStr">
        <is>
          <t>SKÅNE LÄN</t>
        </is>
      </c>
      <c r="E60" t="inlineStr">
        <is>
          <t>HÄSSLEHOLM</t>
        </is>
      </c>
      <c r="G60" t="n">
        <v>1</v>
      </c>
      <c r="H60" t="n">
        <v>1</v>
      </c>
      <c r="I60" t="n">
        <v>0</v>
      </c>
      <c r="J60" t="n">
        <v>0</v>
      </c>
      <c r="K60" t="n">
        <v>0</v>
      </c>
      <c r="L60" t="n">
        <v>0</v>
      </c>
      <c r="M60" t="n">
        <v>0</v>
      </c>
      <c r="N60" t="n">
        <v>0</v>
      </c>
      <c r="O60" t="n">
        <v>0</v>
      </c>
      <c r="P60" t="n">
        <v>0</v>
      </c>
      <c r="Q60" t="n">
        <v>1</v>
      </c>
      <c r="R60" s="2" t="inlineStr">
        <is>
          <t>Lopplummer (aggregat)</t>
        </is>
      </c>
      <c r="S60">
        <f>HYPERLINK("https://klasma.github.io/Logging_1293/artfynd/A 34834-2023 artfynd.xlsx", "A 34834-2023")</f>
        <v/>
      </c>
      <c r="T60">
        <f>HYPERLINK("https://klasma.github.io/Logging_1293/kartor/A 34834-2023 karta.png", "A 34834-2023")</f>
        <v/>
      </c>
      <c r="V60">
        <f>HYPERLINK("https://klasma.github.io/Logging_1293/klagomål/A 34834-2023 FSC-klagomål.docx", "A 34834-2023")</f>
        <v/>
      </c>
      <c r="W60">
        <f>HYPERLINK("https://klasma.github.io/Logging_1293/klagomålsmail/A 34834-2023 FSC-klagomål mail.docx", "A 34834-2023")</f>
        <v/>
      </c>
      <c r="X60">
        <f>HYPERLINK("https://klasma.github.io/Logging_1293/tillsyn/A 34834-2023 tillsynsbegäran.docx", "A 34834-2023")</f>
        <v/>
      </c>
      <c r="Y60">
        <f>HYPERLINK("https://klasma.github.io/Logging_1293/tillsynsmail/A 34834-2023 tillsynsbegäran mail.docx", "A 34834-2023")</f>
        <v/>
      </c>
    </row>
    <row r="61" ht="15" customHeight="1">
      <c r="A61" t="inlineStr">
        <is>
          <t>A 25944-2026</t>
        </is>
      </c>
      <c r="B61" s="1" t="n">
        <v>46181</v>
      </c>
      <c r="C61" s="1" t="n">
        <v>46197</v>
      </c>
      <c r="D61" t="inlineStr">
        <is>
          <t>SKÅNE LÄN</t>
        </is>
      </c>
      <c r="E61" t="inlineStr">
        <is>
          <t>HÄSSLEHOLM</t>
        </is>
      </c>
      <c r="G61" t="n">
        <v>3.4</v>
      </c>
      <c r="H61" t="n">
        <v>0</v>
      </c>
      <c r="I61" t="n">
        <v>0</v>
      </c>
      <c r="J61" t="n">
        <v>1</v>
      </c>
      <c r="K61" t="n">
        <v>0</v>
      </c>
      <c r="L61" t="n">
        <v>0</v>
      </c>
      <c r="M61" t="n">
        <v>0</v>
      </c>
      <c r="N61" t="n">
        <v>0</v>
      </c>
      <c r="O61" t="n">
        <v>1</v>
      </c>
      <c r="P61" t="n">
        <v>0</v>
      </c>
      <c r="Q61" t="n">
        <v>1</v>
      </c>
      <c r="R61" s="2" t="inlineStr">
        <is>
          <t>Sydlig sotticka</t>
        </is>
      </c>
      <c r="S61">
        <f>HYPERLINK("https://klasma.github.io/Logging_1293/artfynd/A 25944-2026 artfynd.xlsx", "A 25944-2026")</f>
        <v/>
      </c>
      <c r="T61">
        <f>HYPERLINK("https://klasma.github.io/Logging_1293/kartor/A 25944-2026 karta.png", "A 25944-2026")</f>
        <v/>
      </c>
      <c r="V61">
        <f>HYPERLINK("https://klasma.github.io/Logging_1293/klagomål/A 25944-2026 FSC-klagomål.docx", "A 25944-2026")</f>
        <v/>
      </c>
      <c r="W61">
        <f>HYPERLINK("https://klasma.github.io/Logging_1293/klagomålsmail/A 25944-2026 FSC-klagomål mail.docx", "A 25944-2026")</f>
        <v/>
      </c>
      <c r="X61">
        <f>HYPERLINK("https://klasma.github.io/Logging_1293/tillsyn/A 25944-2026 tillsynsbegäran.docx", "A 25944-2026")</f>
        <v/>
      </c>
      <c r="Y61">
        <f>HYPERLINK("https://klasma.github.io/Logging_1293/tillsynsmail/A 25944-2026 tillsynsbegäran mail.docx", "A 25944-2026")</f>
        <v/>
      </c>
    </row>
    <row r="62" ht="15" customHeight="1">
      <c r="A62" t="inlineStr">
        <is>
          <t>A 417-2022</t>
        </is>
      </c>
      <c r="B62" s="1" t="n">
        <v>44565</v>
      </c>
      <c r="C62" s="1" t="n">
        <v>46197</v>
      </c>
      <c r="D62" t="inlineStr">
        <is>
          <t>SKÅNE LÄN</t>
        </is>
      </c>
      <c r="E62" t="inlineStr">
        <is>
          <t>HÄSSLEHOLM</t>
        </is>
      </c>
      <c r="G62" t="n">
        <v>0</v>
      </c>
      <c r="H62" t="n">
        <v>0</v>
      </c>
      <c r="I62" t="n">
        <v>0</v>
      </c>
      <c r="J62" t="n">
        <v>0</v>
      </c>
      <c r="K62" t="n">
        <v>1</v>
      </c>
      <c r="L62" t="n">
        <v>0</v>
      </c>
      <c r="M62" t="n">
        <v>0</v>
      </c>
      <c r="N62" t="n">
        <v>0</v>
      </c>
      <c r="O62" t="n">
        <v>1</v>
      </c>
      <c r="P62" t="n">
        <v>1</v>
      </c>
      <c r="Q62" t="n">
        <v>1</v>
      </c>
      <c r="R62" s="2" t="inlineStr">
        <is>
          <t>Igelkott</t>
        </is>
      </c>
      <c r="S62">
        <f>HYPERLINK("https://klasma.github.io/Logging_1293/artfynd/A 417-2022 artfynd.xlsx", "A 417-2022")</f>
        <v/>
      </c>
      <c r="T62">
        <f>HYPERLINK("https://klasma.github.io/Logging_1293/kartor/A 417-2022 karta.png", "A 417-2022")</f>
        <v/>
      </c>
      <c r="V62">
        <f>HYPERLINK("https://klasma.github.io/Logging_1293/klagomål/A 417-2022 FSC-klagomål.docx", "A 417-2022")</f>
        <v/>
      </c>
      <c r="W62">
        <f>HYPERLINK("https://klasma.github.io/Logging_1293/klagomålsmail/A 417-2022 FSC-klagomål mail.docx", "A 417-2022")</f>
        <v/>
      </c>
      <c r="X62">
        <f>HYPERLINK("https://klasma.github.io/Logging_1293/tillsyn/A 417-2022 tillsynsbegäran.docx", "A 417-2022")</f>
        <v/>
      </c>
      <c r="Y62">
        <f>HYPERLINK("https://klasma.github.io/Logging_1293/tillsynsmail/A 417-2022 tillsynsbegäran mail.docx", "A 417-2022")</f>
        <v/>
      </c>
    </row>
    <row r="63" ht="15" customHeight="1">
      <c r="A63" t="inlineStr">
        <is>
          <t>A 29272-2023</t>
        </is>
      </c>
      <c r="B63" s="1" t="n">
        <v>45105</v>
      </c>
      <c r="C63" s="1" t="n">
        <v>46197</v>
      </c>
      <c r="D63" t="inlineStr">
        <is>
          <t>SKÅNE LÄN</t>
        </is>
      </c>
      <c r="E63" t="inlineStr">
        <is>
          <t>HÄSSLEHOLM</t>
        </is>
      </c>
      <c r="G63" t="n">
        <v>2.2</v>
      </c>
      <c r="H63" t="n">
        <v>0</v>
      </c>
      <c r="I63" t="n">
        <v>1</v>
      </c>
      <c r="J63" t="n">
        <v>0</v>
      </c>
      <c r="K63" t="n">
        <v>0</v>
      </c>
      <c r="L63" t="n">
        <v>0</v>
      </c>
      <c r="M63" t="n">
        <v>0</v>
      </c>
      <c r="N63" t="n">
        <v>0</v>
      </c>
      <c r="O63" t="n">
        <v>0</v>
      </c>
      <c r="P63" t="n">
        <v>0</v>
      </c>
      <c r="Q63" t="n">
        <v>1</v>
      </c>
      <c r="R63" s="2" t="inlineStr">
        <is>
          <t>Sotlav</t>
        </is>
      </c>
      <c r="S63">
        <f>HYPERLINK("https://klasma.github.io/Logging_1293/artfynd/A 29272-2023 artfynd.xlsx", "A 29272-2023")</f>
        <v/>
      </c>
      <c r="T63">
        <f>HYPERLINK("https://klasma.github.io/Logging_1293/kartor/A 29272-2023 karta.png", "A 29272-2023")</f>
        <v/>
      </c>
      <c r="V63">
        <f>HYPERLINK("https://klasma.github.io/Logging_1293/klagomål/A 29272-2023 FSC-klagomål.docx", "A 29272-2023")</f>
        <v/>
      </c>
      <c r="W63">
        <f>HYPERLINK("https://klasma.github.io/Logging_1293/klagomålsmail/A 29272-2023 FSC-klagomål mail.docx", "A 29272-2023")</f>
        <v/>
      </c>
      <c r="X63">
        <f>HYPERLINK("https://klasma.github.io/Logging_1293/tillsyn/A 29272-2023 tillsynsbegäran.docx", "A 29272-2023")</f>
        <v/>
      </c>
      <c r="Y63">
        <f>HYPERLINK("https://klasma.github.io/Logging_1293/tillsynsmail/A 29272-2023 tillsynsbegäran mail.docx", "A 29272-2023")</f>
        <v/>
      </c>
    </row>
    <row r="64" ht="15" customHeight="1">
      <c r="A64" t="inlineStr">
        <is>
          <t>A 15698-2023</t>
        </is>
      </c>
      <c r="B64" s="1" t="n">
        <v>45021</v>
      </c>
      <c r="C64" s="1" t="n">
        <v>46197</v>
      </c>
      <c r="D64" t="inlineStr">
        <is>
          <t>SKÅNE LÄN</t>
        </is>
      </c>
      <c r="E64" t="inlineStr">
        <is>
          <t>HÄSSLEHOLM</t>
        </is>
      </c>
      <c r="F64" t="inlineStr">
        <is>
          <t>Kommuner</t>
        </is>
      </c>
      <c r="G64" t="n">
        <v>5.5</v>
      </c>
      <c r="H64" t="n">
        <v>0</v>
      </c>
      <c r="I64" t="n">
        <v>0</v>
      </c>
      <c r="J64" t="n">
        <v>0</v>
      </c>
      <c r="K64" t="n">
        <v>1</v>
      </c>
      <c r="L64" t="n">
        <v>0</v>
      </c>
      <c r="M64" t="n">
        <v>0</v>
      </c>
      <c r="N64" t="n">
        <v>0</v>
      </c>
      <c r="O64" t="n">
        <v>1</v>
      </c>
      <c r="P64" t="n">
        <v>1</v>
      </c>
      <c r="Q64" t="n">
        <v>1</v>
      </c>
      <c r="R64" s="2" t="inlineStr">
        <is>
          <t>Igelkott</t>
        </is>
      </c>
      <c r="S64">
        <f>HYPERLINK("https://klasma.github.io/Logging_1293/artfynd/A 15698-2023 artfynd.xlsx", "A 15698-2023")</f>
        <v/>
      </c>
      <c r="T64">
        <f>HYPERLINK("https://klasma.github.io/Logging_1293/kartor/A 15698-2023 karta.png", "A 15698-2023")</f>
        <v/>
      </c>
      <c r="V64">
        <f>HYPERLINK("https://klasma.github.io/Logging_1293/klagomål/A 15698-2023 FSC-klagomål.docx", "A 15698-2023")</f>
        <v/>
      </c>
      <c r="W64">
        <f>HYPERLINK("https://klasma.github.io/Logging_1293/klagomålsmail/A 15698-2023 FSC-klagomål mail.docx", "A 15698-2023")</f>
        <v/>
      </c>
      <c r="X64">
        <f>HYPERLINK("https://klasma.github.io/Logging_1293/tillsyn/A 15698-2023 tillsynsbegäran.docx", "A 15698-2023")</f>
        <v/>
      </c>
      <c r="Y64">
        <f>HYPERLINK("https://klasma.github.io/Logging_1293/tillsynsmail/A 15698-2023 tillsynsbegäran mail.docx", "A 15698-2023")</f>
        <v/>
      </c>
    </row>
    <row r="65" ht="15" customHeight="1">
      <c r="A65" t="inlineStr">
        <is>
          <t>A 21328-2023</t>
        </is>
      </c>
      <c r="B65" s="1" t="n">
        <v>45062</v>
      </c>
      <c r="C65" s="1" t="n">
        <v>46197</v>
      </c>
      <c r="D65" t="inlineStr">
        <is>
          <t>SKÅNE LÄN</t>
        </is>
      </c>
      <c r="E65" t="inlineStr">
        <is>
          <t>HÄSSLEHOLM</t>
        </is>
      </c>
      <c r="G65" t="n">
        <v>2.1</v>
      </c>
      <c r="H65" t="n">
        <v>0</v>
      </c>
      <c r="I65" t="n">
        <v>1</v>
      </c>
      <c r="J65" t="n">
        <v>0</v>
      </c>
      <c r="K65" t="n">
        <v>0</v>
      </c>
      <c r="L65" t="n">
        <v>0</v>
      </c>
      <c r="M65" t="n">
        <v>0</v>
      </c>
      <c r="N65" t="n">
        <v>0</v>
      </c>
      <c r="O65" t="n">
        <v>0</v>
      </c>
      <c r="P65" t="n">
        <v>0</v>
      </c>
      <c r="Q65" t="n">
        <v>1</v>
      </c>
      <c r="R65" s="2" t="inlineStr">
        <is>
          <t>Tibast</t>
        </is>
      </c>
      <c r="S65">
        <f>HYPERLINK("https://klasma.github.io/Logging_1293/artfynd/A 21328-2023 artfynd.xlsx", "A 21328-2023")</f>
        <v/>
      </c>
      <c r="T65">
        <f>HYPERLINK("https://klasma.github.io/Logging_1293/kartor/A 21328-2023 karta.png", "A 21328-2023")</f>
        <v/>
      </c>
      <c r="V65">
        <f>HYPERLINK("https://klasma.github.io/Logging_1293/klagomål/A 21328-2023 FSC-klagomål.docx", "A 21328-2023")</f>
        <v/>
      </c>
      <c r="W65">
        <f>HYPERLINK("https://klasma.github.io/Logging_1293/klagomålsmail/A 21328-2023 FSC-klagomål mail.docx", "A 21328-2023")</f>
        <v/>
      </c>
      <c r="X65">
        <f>HYPERLINK("https://klasma.github.io/Logging_1293/tillsyn/A 21328-2023 tillsynsbegäran.docx", "A 21328-2023")</f>
        <v/>
      </c>
      <c r="Y65">
        <f>HYPERLINK("https://klasma.github.io/Logging_1293/tillsynsmail/A 21328-2023 tillsynsbegäran mail.docx", "A 21328-2023")</f>
        <v/>
      </c>
    </row>
    <row r="66" ht="15" customHeight="1">
      <c r="A66" t="inlineStr">
        <is>
          <t>A 20280-2025</t>
        </is>
      </c>
      <c r="B66" s="1" t="n">
        <v>45774</v>
      </c>
      <c r="C66" s="1" t="n">
        <v>46197</v>
      </c>
      <c r="D66" t="inlineStr">
        <is>
          <t>SKÅNE LÄN</t>
        </is>
      </c>
      <c r="E66" t="inlineStr">
        <is>
          <t>HÄSSLEHOLM</t>
        </is>
      </c>
      <c r="G66" t="n">
        <v>3</v>
      </c>
      <c r="H66" t="n">
        <v>0</v>
      </c>
      <c r="I66" t="n">
        <v>0</v>
      </c>
      <c r="J66" t="n">
        <v>0</v>
      </c>
      <c r="K66" t="n">
        <v>1</v>
      </c>
      <c r="L66" t="n">
        <v>0</v>
      </c>
      <c r="M66" t="n">
        <v>0</v>
      </c>
      <c r="N66" t="n">
        <v>0</v>
      </c>
      <c r="O66" t="n">
        <v>1</v>
      </c>
      <c r="P66" t="n">
        <v>1</v>
      </c>
      <c r="Q66" t="n">
        <v>1</v>
      </c>
      <c r="R66" s="2" t="inlineStr">
        <is>
          <t>Revig blodrot</t>
        </is>
      </c>
      <c r="S66">
        <f>HYPERLINK("https://klasma.github.io/Logging_1293/artfynd/A 20280-2025 artfynd.xlsx", "A 20280-2025")</f>
        <v/>
      </c>
      <c r="T66">
        <f>HYPERLINK("https://klasma.github.io/Logging_1293/kartor/A 20280-2025 karta.png", "A 20280-2025")</f>
        <v/>
      </c>
      <c r="V66">
        <f>HYPERLINK("https://klasma.github.io/Logging_1293/klagomål/A 20280-2025 FSC-klagomål.docx", "A 20280-2025")</f>
        <v/>
      </c>
      <c r="W66">
        <f>HYPERLINK("https://klasma.github.io/Logging_1293/klagomålsmail/A 20280-2025 FSC-klagomål mail.docx", "A 20280-2025")</f>
        <v/>
      </c>
      <c r="X66">
        <f>HYPERLINK("https://klasma.github.io/Logging_1293/tillsyn/A 20280-2025 tillsynsbegäran.docx", "A 20280-2025")</f>
        <v/>
      </c>
      <c r="Y66">
        <f>HYPERLINK("https://klasma.github.io/Logging_1293/tillsynsmail/A 20280-2025 tillsynsbegäran mail.docx", "A 20280-2025")</f>
        <v/>
      </c>
    </row>
    <row r="67" ht="15" customHeight="1">
      <c r="A67" t="inlineStr">
        <is>
          <t>A 61707-2024</t>
        </is>
      </c>
      <c r="B67" s="1" t="n">
        <v>45648</v>
      </c>
      <c r="C67" s="1" t="n">
        <v>46197</v>
      </c>
      <c r="D67" t="inlineStr">
        <is>
          <t>SKÅNE LÄN</t>
        </is>
      </c>
      <c r="E67" t="inlineStr">
        <is>
          <t>HÄSSLEHOLM</t>
        </is>
      </c>
      <c r="G67" t="n">
        <v>3.2</v>
      </c>
      <c r="H67" t="n">
        <v>0</v>
      </c>
      <c r="I67" t="n">
        <v>0</v>
      </c>
      <c r="J67" t="n">
        <v>1</v>
      </c>
      <c r="K67" t="n">
        <v>0</v>
      </c>
      <c r="L67" t="n">
        <v>0</v>
      </c>
      <c r="M67" t="n">
        <v>0</v>
      </c>
      <c r="N67" t="n">
        <v>0</v>
      </c>
      <c r="O67" t="n">
        <v>1</v>
      </c>
      <c r="P67" t="n">
        <v>0</v>
      </c>
      <c r="Q67" t="n">
        <v>1</v>
      </c>
      <c r="R67" s="2" t="inlineStr">
        <is>
          <t>Rödlånke</t>
        </is>
      </c>
      <c r="S67">
        <f>HYPERLINK("https://klasma.github.io/Logging_1293/artfynd/A 61707-2024 artfynd.xlsx", "A 61707-2024")</f>
        <v/>
      </c>
      <c r="T67">
        <f>HYPERLINK("https://klasma.github.io/Logging_1293/kartor/A 61707-2024 karta.png", "A 61707-2024")</f>
        <v/>
      </c>
      <c r="V67">
        <f>HYPERLINK("https://klasma.github.io/Logging_1293/klagomål/A 61707-2024 FSC-klagomål.docx", "A 61707-2024")</f>
        <v/>
      </c>
      <c r="W67">
        <f>HYPERLINK("https://klasma.github.io/Logging_1293/klagomålsmail/A 61707-2024 FSC-klagomål mail.docx", "A 61707-2024")</f>
        <v/>
      </c>
      <c r="X67">
        <f>HYPERLINK("https://klasma.github.io/Logging_1293/tillsyn/A 61707-2024 tillsynsbegäran.docx", "A 61707-2024")</f>
        <v/>
      </c>
      <c r="Y67">
        <f>HYPERLINK("https://klasma.github.io/Logging_1293/tillsynsmail/A 61707-2024 tillsynsbegäran mail.docx", "A 61707-2024")</f>
        <v/>
      </c>
    </row>
    <row r="68" ht="15" customHeight="1">
      <c r="A68" t="inlineStr">
        <is>
          <t>A 6634-2024</t>
        </is>
      </c>
      <c r="B68" s="1" t="n">
        <v>45341</v>
      </c>
      <c r="C68" s="1" t="n">
        <v>46197</v>
      </c>
      <c r="D68" t="inlineStr">
        <is>
          <t>SKÅNE LÄN</t>
        </is>
      </c>
      <c r="E68" t="inlineStr">
        <is>
          <t>HÄSSLEHOLM</t>
        </is>
      </c>
      <c r="G68" t="n">
        <v>1.9</v>
      </c>
      <c r="H68" t="n">
        <v>0</v>
      </c>
      <c r="I68" t="n">
        <v>0</v>
      </c>
      <c r="J68" t="n">
        <v>0</v>
      </c>
      <c r="K68" t="n">
        <v>1</v>
      </c>
      <c r="L68" t="n">
        <v>0</v>
      </c>
      <c r="M68" t="n">
        <v>0</v>
      </c>
      <c r="N68" t="n">
        <v>0</v>
      </c>
      <c r="O68" t="n">
        <v>1</v>
      </c>
      <c r="P68" t="n">
        <v>1</v>
      </c>
      <c r="Q68" t="n">
        <v>1</v>
      </c>
      <c r="R68" s="2" t="inlineStr">
        <is>
          <t>Revig blodrot</t>
        </is>
      </c>
      <c r="S68">
        <f>HYPERLINK("https://klasma.github.io/Logging_1293/artfynd/A 6634-2024 artfynd.xlsx", "A 6634-2024")</f>
        <v/>
      </c>
      <c r="T68">
        <f>HYPERLINK("https://klasma.github.io/Logging_1293/kartor/A 6634-2024 karta.png", "A 6634-2024")</f>
        <v/>
      </c>
      <c r="V68">
        <f>HYPERLINK("https://klasma.github.io/Logging_1293/klagomål/A 6634-2024 FSC-klagomål.docx", "A 6634-2024")</f>
        <v/>
      </c>
      <c r="W68">
        <f>HYPERLINK("https://klasma.github.io/Logging_1293/klagomålsmail/A 6634-2024 FSC-klagomål mail.docx", "A 6634-2024")</f>
        <v/>
      </c>
      <c r="X68">
        <f>HYPERLINK("https://klasma.github.io/Logging_1293/tillsyn/A 6634-2024 tillsynsbegäran.docx", "A 6634-2024")</f>
        <v/>
      </c>
      <c r="Y68">
        <f>HYPERLINK("https://klasma.github.io/Logging_1293/tillsynsmail/A 6634-2024 tillsynsbegäran mail.docx", "A 6634-2024")</f>
        <v/>
      </c>
    </row>
    <row r="69" ht="15" customHeight="1">
      <c r="A69" t="inlineStr">
        <is>
          <t>A 60925-2024</t>
        </is>
      </c>
      <c r="B69" s="1" t="n">
        <v>45645</v>
      </c>
      <c r="C69" s="1" t="n">
        <v>46197</v>
      </c>
      <c r="D69" t="inlineStr">
        <is>
          <t>SKÅNE LÄN</t>
        </is>
      </c>
      <c r="E69" t="inlineStr">
        <is>
          <t>HÄSSLEHOLM</t>
        </is>
      </c>
      <c r="G69" t="n">
        <v>1.8</v>
      </c>
      <c r="H69" t="n">
        <v>0</v>
      </c>
      <c r="I69" t="n">
        <v>0</v>
      </c>
      <c r="J69" t="n">
        <v>0</v>
      </c>
      <c r="K69" t="n">
        <v>0</v>
      </c>
      <c r="L69" t="n">
        <v>1</v>
      </c>
      <c r="M69" t="n">
        <v>0</v>
      </c>
      <c r="N69" t="n">
        <v>0</v>
      </c>
      <c r="O69" t="n">
        <v>1</v>
      </c>
      <c r="P69" t="n">
        <v>1</v>
      </c>
      <c r="Q69" t="n">
        <v>1</v>
      </c>
      <c r="R69" s="2" t="inlineStr">
        <is>
          <t>Ask</t>
        </is>
      </c>
      <c r="S69">
        <f>HYPERLINK("https://klasma.github.io/Logging_1293/artfynd/A 60925-2024 artfynd.xlsx", "A 60925-2024")</f>
        <v/>
      </c>
      <c r="T69">
        <f>HYPERLINK("https://klasma.github.io/Logging_1293/kartor/A 60925-2024 karta.png", "A 60925-2024")</f>
        <v/>
      </c>
      <c r="V69">
        <f>HYPERLINK("https://klasma.github.io/Logging_1293/klagomål/A 60925-2024 FSC-klagomål.docx", "A 60925-2024")</f>
        <v/>
      </c>
      <c r="W69">
        <f>HYPERLINK("https://klasma.github.io/Logging_1293/klagomålsmail/A 60925-2024 FSC-klagomål mail.docx", "A 60925-2024")</f>
        <v/>
      </c>
      <c r="X69">
        <f>HYPERLINK("https://klasma.github.io/Logging_1293/tillsyn/A 60925-2024 tillsynsbegäran.docx", "A 60925-2024")</f>
        <v/>
      </c>
      <c r="Y69">
        <f>HYPERLINK("https://klasma.github.io/Logging_1293/tillsynsmail/A 60925-2024 tillsynsbegäran mail.docx", "A 60925-2024")</f>
        <v/>
      </c>
    </row>
    <row r="70" ht="15" customHeight="1">
      <c r="A70" t="inlineStr">
        <is>
          <t>A 2194-2025</t>
        </is>
      </c>
      <c r="B70" s="1" t="n">
        <v>45673</v>
      </c>
      <c r="C70" s="1" t="n">
        <v>46197</v>
      </c>
      <c r="D70" t="inlineStr">
        <is>
          <t>SKÅNE LÄN</t>
        </is>
      </c>
      <c r="E70" t="inlineStr">
        <is>
          <t>HÄSSLEHOLM</t>
        </is>
      </c>
      <c r="G70" t="n">
        <v>3.4</v>
      </c>
      <c r="H70" t="n">
        <v>1</v>
      </c>
      <c r="I70" t="n">
        <v>0</v>
      </c>
      <c r="J70" t="n">
        <v>0</v>
      </c>
      <c r="K70" t="n">
        <v>0</v>
      </c>
      <c r="L70" t="n">
        <v>0</v>
      </c>
      <c r="M70" t="n">
        <v>0</v>
      </c>
      <c r="N70" t="n">
        <v>0</v>
      </c>
      <c r="O70" t="n">
        <v>0</v>
      </c>
      <c r="P70" t="n">
        <v>0</v>
      </c>
      <c r="Q70" t="n">
        <v>1</v>
      </c>
      <c r="R70" s="2" t="inlineStr">
        <is>
          <t>Utter</t>
        </is>
      </c>
      <c r="S70">
        <f>HYPERLINK("https://klasma.github.io/Logging_1293/artfynd/A 2194-2025 artfynd.xlsx", "A 2194-2025")</f>
        <v/>
      </c>
      <c r="T70">
        <f>HYPERLINK("https://klasma.github.io/Logging_1293/kartor/A 2194-2025 karta.png", "A 2194-2025")</f>
        <v/>
      </c>
      <c r="V70">
        <f>HYPERLINK("https://klasma.github.io/Logging_1293/klagomål/A 2194-2025 FSC-klagomål.docx", "A 2194-2025")</f>
        <v/>
      </c>
      <c r="W70">
        <f>HYPERLINK("https://klasma.github.io/Logging_1293/klagomålsmail/A 2194-2025 FSC-klagomål mail.docx", "A 2194-2025")</f>
        <v/>
      </c>
      <c r="X70">
        <f>HYPERLINK("https://klasma.github.io/Logging_1293/tillsyn/A 2194-2025 tillsynsbegäran.docx", "A 2194-2025")</f>
        <v/>
      </c>
      <c r="Y70">
        <f>HYPERLINK("https://klasma.github.io/Logging_1293/tillsynsmail/A 2194-2025 tillsynsbegäran mail.docx", "A 2194-2025")</f>
        <v/>
      </c>
    </row>
    <row r="71" ht="15" customHeight="1">
      <c r="A71" t="inlineStr">
        <is>
          <t>A 42735-2024</t>
        </is>
      </c>
      <c r="B71" s="1" t="n">
        <v>45566</v>
      </c>
      <c r="C71" s="1" t="n">
        <v>46197</v>
      </c>
      <c r="D71" t="inlineStr">
        <is>
          <t>SKÅNE LÄN</t>
        </is>
      </c>
      <c r="E71" t="inlineStr">
        <is>
          <t>HÄSSLEHOLM</t>
        </is>
      </c>
      <c r="G71" t="n">
        <v>3.7</v>
      </c>
      <c r="H71" t="n">
        <v>1</v>
      </c>
      <c r="I71" t="n">
        <v>0</v>
      </c>
      <c r="J71" t="n">
        <v>0</v>
      </c>
      <c r="K71" t="n">
        <v>0</v>
      </c>
      <c r="L71" t="n">
        <v>0</v>
      </c>
      <c r="M71" t="n">
        <v>0</v>
      </c>
      <c r="N71" t="n">
        <v>0</v>
      </c>
      <c r="O71" t="n">
        <v>0</v>
      </c>
      <c r="P71" t="n">
        <v>0</v>
      </c>
      <c r="Q71" t="n">
        <v>1</v>
      </c>
      <c r="R71" s="2" t="inlineStr">
        <is>
          <t>Revlummer</t>
        </is>
      </c>
      <c r="S71">
        <f>HYPERLINK("https://klasma.github.io/Logging_1293/artfynd/A 42735-2024 artfynd.xlsx", "A 42735-2024")</f>
        <v/>
      </c>
      <c r="T71">
        <f>HYPERLINK("https://klasma.github.io/Logging_1293/kartor/A 42735-2024 karta.png", "A 42735-2024")</f>
        <v/>
      </c>
      <c r="V71">
        <f>HYPERLINK("https://klasma.github.io/Logging_1293/klagomål/A 42735-2024 FSC-klagomål.docx", "A 42735-2024")</f>
        <v/>
      </c>
      <c r="W71">
        <f>HYPERLINK("https://klasma.github.io/Logging_1293/klagomålsmail/A 42735-2024 FSC-klagomål mail.docx", "A 42735-2024")</f>
        <v/>
      </c>
      <c r="X71">
        <f>HYPERLINK("https://klasma.github.io/Logging_1293/tillsyn/A 42735-2024 tillsynsbegäran.docx", "A 42735-2024")</f>
        <v/>
      </c>
      <c r="Y71">
        <f>HYPERLINK("https://klasma.github.io/Logging_1293/tillsynsmail/A 42735-2024 tillsynsbegäran mail.docx", "A 42735-2024")</f>
        <v/>
      </c>
    </row>
    <row r="72" ht="15" customHeight="1">
      <c r="A72" t="inlineStr">
        <is>
          <t>A 24985-2025</t>
        </is>
      </c>
      <c r="B72" s="1" t="n">
        <v>45799</v>
      </c>
      <c r="C72" s="1" t="n">
        <v>46197</v>
      </c>
      <c r="D72" t="inlineStr">
        <is>
          <t>SKÅNE LÄN</t>
        </is>
      </c>
      <c r="E72" t="inlineStr">
        <is>
          <t>HÄSSLEHOLM</t>
        </is>
      </c>
      <c r="G72" t="n">
        <v>2.3</v>
      </c>
      <c r="H72" t="n">
        <v>1</v>
      </c>
      <c r="I72" t="n">
        <v>0</v>
      </c>
      <c r="J72" t="n">
        <v>1</v>
      </c>
      <c r="K72" t="n">
        <v>0</v>
      </c>
      <c r="L72" t="n">
        <v>0</v>
      </c>
      <c r="M72" t="n">
        <v>0</v>
      </c>
      <c r="N72" t="n">
        <v>0</v>
      </c>
      <c r="O72" t="n">
        <v>1</v>
      </c>
      <c r="P72" t="n">
        <v>0</v>
      </c>
      <c r="Q72" t="n">
        <v>1</v>
      </c>
      <c r="R72" s="2" t="inlineStr">
        <is>
          <t>Enkelbeckasin</t>
        </is>
      </c>
      <c r="S72">
        <f>HYPERLINK("https://klasma.github.io/Logging_1293/artfynd/A 24985-2025 artfynd.xlsx", "A 24985-2025")</f>
        <v/>
      </c>
      <c r="T72">
        <f>HYPERLINK("https://klasma.github.io/Logging_1293/kartor/A 24985-2025 karta.png", "A 24985-2025")</f>
        <v/>
      </c>
      <c r="V72">
        <f>HYPERLINK("https://klasma.github.io/Logging_1293/klagomål/A 24985-2025 FSC-klagomål.docx", "A 24985-2025")</f>
        <v/>
      </c>
      <c r="W72">
        <f>HYPERLINK("https://klasma.github.io/Logging_1293/klagomålsmail/A 24985-2025 FSC-klagomål mail.docx", "A 24985-2025")</f>
        <v/>
      </c>
      <c r="X72">
        <f>HYPERLINK("https://klasma.github.io/Logging_1293/tillsyn/A 24985-2025 tillsynsbegäran.docx", "A 24985-2025")</f>
        <v/>
      </c>
      <c r="Y72">
        <f>HYPERLINK("https://klasma.github.io/Logging_1293/tillsynsmail/A 24985-2025 tillsynsbegäran mail.docx", "A 24985-2025")</f>
        <v/>
      </c>
      <c r="Z72">
        <f>HYPERLINK("https://klasma.github.io/Logging_1293/fåglar/A 24985-2025 prioriterade fågelarter.docx", "A 24985-2025")</f>
        <v/>
      </c>
    </row>
    <row r="73" ht="15" customHeight="1">
      <c r="A73" t="inlineStr">
        <is>
          <t>A 55618-2022</t>
        </is>
      </c>
      <c r="B73" s="1" t="n">
        <v>44883</v>
      </c>
      <c r="C73" s="1" t="n">
        <v>46197</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46197</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46197</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46197</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46197</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46197</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46197</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46197</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46197</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46197</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46197</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46197</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46197</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46197</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46197</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49324-2021</t>
        </is>
      </c>
      <c r="B88" s="1" t="n">
        <v>44454</v>
      </c>
      <c r="C88" s="1" t="n">
        <v>46197</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54175-2021</t>
        </is>
      </c>
      <c r="B89" s="1" t="n">
        <v>44470</v>
      </c>
      <c r="C89" s="1" t="n">
        <v>46197</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14402-2022</t>
        </is>
      </c>
      <c r="B90" s="1" t="n">
        <v>44652</v>
      </c>
      <c r="C90" s="1" t="n">
        <v>46197</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7249-2022</t>
        </is>
      </c>
      <c r="B91" s="1" t="n">
        <v>44606</v>
      </c>
      <c r="C91" s="1" t="n">
        <v>46197</v>
      </c>
      <c r="D91" t="inlineStr">
        <is>
          <t>SKÅNE LÄN</t>
        </is>
      </c>
      <c r="E91" t="inlineStr">
        <is>
          <t>HÄSSLEHOLM</t>
        </is>
      </c>
      <c r="F91" t="inlineStr">
        <is>
          <t>Övriga Aktiebolag</t>
        </is>
      </c>
      <c r="G91" t="n">
        <v>0.6</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46197</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23962-2022</t>
        </is>
      </c>
      <c r="B93" s="1" t="n">
        <v>44722</v>
      </c>
      <c r="C93" s="1" t="n">
        <v>46197</v>
      </c>
      <c r="D93" t="inlineStr">
        <is>
          <t>SKÅNE LÄN</t>
        </is>
      </c>
      <c r="E93" t="inlineStr">
        <is>
          <t>HÄSSLEHOLM</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46197</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50094-2021</t>
        </is>
      </c>
      <c r="B95" s="1" t="n">
        <v>44456</v>
      </c>
      <c r="C95" s="1" t="n">
        <v>46197</v>
      </c>
      <c r="D95" t="inlineStr">
        <is>
          <t>SKÅNE LÄN</t>
        </is>
      </c>
      <c r="E95" t="inlineStr">
        <is>
          <t>HÄSSLEHOLM</t>
        </is>
      </c>
      <c r="G95" t="n">
        <v>1.9</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46197</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46197</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46197</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46197</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46197</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46197</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46197</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46197</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46197</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46197</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50618-2021</t>
        </is>
      </c>
      <c r="B106" s="1" t="n">
        <v>44459</v>
      </c>
      <c r="C106" s="1" t="n">
        <v>46197</v>
      </c>
      <c r="D106" t="inlineStr">
        <is>
          <t>SKÅNE LÄN</t>
        </is>
      </c>
      <c r="E106" t="inlineStr">
        <is>
          <t>HÄSSLEHOLM</t>
        </is>
      </c>
      <c r="F106" t="inlineStr">
        <is>
          <t>Kyrkan</t>
        </is>
      </c>
      <c r="G106" t="n">
        <v>15.1</v>
      </c>
      <c r="H106" t="n">
        <v>0</v>
      </c>
      <c r="I106" t="n">
        <v>0</v>
      </c>
      <c r="J106" t="n">
        <v>0</v>
      </c>
      <c r="K106" t="n">
        <v>0</v>
      </c>
      <c r="L106" t="n">
        <v>0</v>
      </c>
      <c r="M106" t="n">
        <v>0</v>
      </c>
      <c r="N106" t="n">
        <v>0</v>
      </c>
      <c r="O106" t="n">
        <v>0</v>
      </c>
      <c r="P106" t="n">
        <v>0</v>
      </c>
      <c r="Q106" t="n">
        <v>0</v>
      </c>
      <c r="R106" s="2" t="inlineStr"/>
    </row>
    <row r="107" ht="15" customHeight="1">
      <c r="A107" t="inlineStr">
        <is>
          <t>A 69419-2021</t>
        </is>
      </c>
      <c r="B107" s="1" t="n">
        <v>44531</v>
      </c>
      <c r="C107" s="1" t="n">
        <v>46197</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26387-2022</t>
        </is>
      </c>
      <c r="B108" s="1" t="n">
        <v>44735</v>
      </c>
      <c r="C108" s="1" t="n">
        <v>46197</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40764-2022</t>
        </is>
      </c>
      <c r="B109" s="1" t="n">
        <v>44820</v>
      </c>
      <c r="C109" s="1" t="n">
        <v>46197</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46197</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46197</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61073-2021</t>
        </is>
      </c>
      <c r="B112" s="1" t="n">
        <v>44497</v>
      </c>
      <c r="C112" s="1" t="n">
        <v>46197</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2765-2022</t>
        </is>
      </c>
      <c r="B113" s="1" t="n">
        <v>44580</v>
      </c>
      <c r="C113" s="1" t="n">
        <v>46197</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37181-2022</t>
        </is>
      </c>
      <c r="B114" s="1" t="n">
        <v>44806</v>
      </c>
      <c r="C114" s="1" t="n">
        <v>46197</v>
      </c>
      <c r="D114" t="inlineStr">
        <is>
          <t>SKÅNE LÄN</t>
        </is>
      </c>
      <c r="E114" t="inlineStr">
        <is>
          <t>HÄSSLEHOLM</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46197</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46197</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46197</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46197</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v>
      </c>
      <c r="C119" s="1" t="n">
        <v>46197</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46197</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4156-2022</t>
        </is>
      </c>
      <c r="B121" s="1" t="n">
        <v>44588</v>
      </c>
      <c r="C121" s="1" t="n">
        <v>46197</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v>
      </c>
      <c r="C122" s="1" t="n">
        <v>46197</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46197</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46217-2022</t>
        </is>
      </c>
      <c r="B124" s="1" t="n">
        <v>44846</v>
      </c>
      <c r="C124" s="1" t="n">
        <v>46197</v>
      </c>
      <c r="D124" t="inlineStr">
        <is>
          <t>SKÅNE LÄN</t>
        </is>
      </c>
      <c r="E124" t="inlineStr">
        <is>
          <t>HÄSSLEHOLM</t>
        </is>
      </c>
      <c r="G124" t="n">
        <v>3.1</v>
      </c>
      <c r="H124" t="n">
        <v>0</v>
      </c>
      <c r="I124" t="n">
        <v>0</v>
      </c>
      <c r="J124" t="n">
        <v>0</v>
      </c>
      <c r="K124" t="n">
        <v>0</v>
      </c>
      <c r="L124" t="n">
        <v>0</v>
      </c>
      <c r="M124" t="n">
        <v>0</v>
      </c>
      <c r="N124" t="n">
        <v>0</v>
      </c>
      <c r="O124" t="n">
        <v>0</v>
      </c>
      <c r="P124" t="n">
        <v>0</v>
      </c>
      <c r="Q124" t="n">
        <v>0</v>
      </c>
      <c r="R124" s="2" t="inlineStr"/>
    </row>
    <row r="125" ht="15" customHeight="1">
      <c r="A125" t="inlineStr">
        <is>
          <t>A 34684-2021</t>
        </is>
      </c>
      <c r="B125" s="1" t="n">
        <v>44382</v>
      </c>
      <c r="C125" s="1" t="n">
        <v>46197</v>
      </c>
      <c r="D125" t="inlineStr">
        <is>
          <t>SKÅNE LÄN</t>
        </is>
      </c>
      <c r="E125" t="inlineStr">
        <is>
          <t>HÄSSLEHOLM</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74293-2021</t>
        </is>
      </c>
      <c r="B126" s="1" t="n">
        <v>44558</v>
      </c>
      <c r="C126" s="1" t="n">
        <v>46197</v>
      </c>
      <c r="D126" t="inlineStr">
        <is>
          <t>SKÅNE LÄN</t>
        </is>
      </c>
      <c r="E126" t="inlineStr">
        <is>
          <t>HÄSSLEHOLM</t>
        </is>
      </c>
      <c r="F126" t="inlineStr">
        <is>
          <t>Kyrkan</t>
        </is>
      </c>
      <c r="G126" t="n">
        <v>3.3</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v>
      </c>
      <c r="C127" s="1" t="n">
        <v>46197</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46197</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46197</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63972-2021</t>
        </is>
      </c>
      <c r="B130" s="1" t="n">
        <v>44509</v>
      </c>
      <c r="C130" s="1" t="n">
        <v>46197</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46197</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46197</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37334-2021</t>
        </is>
      </c>
      <c r="B133" s="1" t="n">
        <v>44397</v>
      </c>
      <c r="C133" s="1" t="n">
        <v>46197</v>
      </c>
      <c r="D133" t="inlineStr">
        <is>
          <t>SKÅNE LÄN</t>
        </is>
      </c>
      <c r="E133" t="inlineStr">
        <is>
          <t>HÄSSLEHOLM</t>
        </is>
      </c>
      <c r="G133" t="n">
        <v>0.7</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46197</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46197</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46197</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46197</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4161-2022</t>
        </is>
      </c>
      <c r="B138" s="1" t="n">
        <v>44588</v>
      </c>
      <c r="C138" s="1" t="n">
        <v>46197</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34679-2021</t>
        </is>
      </c>
      <c r="B139" s="1" t="n">
        <v>44382</v>
      </c>
      <c r="C139" s="1" t="n">
        <v>46197</v>
      </c>
      <c r="D139" t="inlineStr">
        <is>
          <t>SKÅNE LÄN</t>
        </is>
      </c>
      <c r="E139" t="inlineStr">
        <is>
          <t>HÄSSLEHOLM</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1535-2022</t>
        </is>
      </c>
      <c r="B140" s="1" t="n">
        <v>44573</v>
      </c>
      <c r="C140" s="1" t="n">
        <v>46197</v>
      </c>
      <c r="D140" t="inlineStr">
        <is>
          <t>SKÅNE LÄN</t>
        </is>
      </c>
      <c r="E140" t="inlineStr">
        <is>
          <t>HÄSSLEHOLM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40702-2021</t>
        </is>
      </c>
      <c r="B141" s="1" t="n">
        <v>44420</v>
      </c>
      <c r="C141" s="1" t="n">
        <v>46197</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46197</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46197</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56989-2021</t>
        </is>
      </c>
      <c r="B144" s="1" t="n">
        <v>44482</v>
      </c>
      <c r="C144" s="1" t="n">
        <v>46197</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51159-2021</t>
        </is>
      </c>
      <c r="B145" s="1" t="n">
        <v>44461</v>
      </c>
      <c r="C145" s="1" t="n">
        <v>46197</v>
      </c>
      <c r="D145" t="inlineStr">
        <is>
          <t>SKÅNE LÄN</t>
        </is>
      </c>
      <c r="E145" t="inlineStr">
        <is>
          <t>HÄSSLEHOLM</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46197</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46197</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39102-2022</t>
        </is>
      </c>
      <c r="B148" s="1" t="n">
        <v>44817</v>
      </c>
      <c r="C148" s="1" t="n">
        <v>46197</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47112-2021</t>
        </is>
      </c>
      <c r="B149" s="1" t="n">
        <v>44446</v>
      </c>
      <c r="C149" s="1" t="n">
        <v>46197</v>
      </c>
      <c r="D149" t="inlineStr">
        <is>
          <t>SKÅNE LÄN</t>
        </is>
      </c>
      <c r="E149" t="inlineStr">
        <is>
          <t>HÄSSLEHOLM</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6414-2022</t>
        </is>
      </c>
      <c r="B150" s="1" t="n">
        <v>44600</v>
      </c>
      <c r="C150" s="1" t="n">
        <v>46197</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56431-2021</t>
        </is>
      </c>
      <c r="B151" s="1" t="n">
        <v>44480</v>
      </c>
      <c r="C151" s="1" t="n">
        <v>46197</v>
      </c>
      <c r="D151" t="inlineStr">
        <is>
          <t>SKÅNE LÄN</t>
        </is>
      </c>
      <c r="E151" t="inlineStr">
        <is>
          <t>HÄSSLEHOLM</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52567-2021</t>
        </is>
      </c>
      <c r="B152" s="1" t="n">
        <v>44466</v>
      </c>
      <c r="C152" s="1" t="n">
        <v>46197</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74297-2021</t>
        </is>
      </c>
      <c r="B153" s="1" t="n">
        <v>44558</v>
      </c>
      <c r="C153" s="1" t="n">
        <v>46197</v>
      </c>
      <c r="D153" t="inlineStr">
        <is>
          <t>SKÅNE LÄN</t>
        </is>
      </c>
      <c r="E153" t="inlineStr">
        <is>
          <t>HÄSSLEHOLM</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52295-2021</t>
        </is>
      </c>
      <c r="B154" s="1" t="n">
        <v>44463</v>
      </c>
      <c r="C154" s="1" t="n">
        <v>46197</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68909-2021</t>
        </is>
      </c>
      <c r="B155" s="1" t="n">
        <v>44530</v>
      </c>
      <c r="C155" s="1" t="n">
        <v>46197</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5091-2022</t>
        </is>
      </c>
      <c r="B156" s="1" t="n">
        <v>44593</v>
      </c>
      <c r="C156" s="1" t="n">
        <v>46197</v>
      </c>
      <c r="D156" t="inlineStr">
        <is>
          <t>SKÅNE LÄN</t>
        </is>
      </c>
      <c r="E156" t="inlineStr">
        <is>
          <t>HÄSSLEHOLM</t>
        </is>
      </c>
      <c r="G156" t="n">
        <v>2.5</v>
      </c>
      <c r="H156" t="n">
        <v>0</v>
      </c>
      <c r="I156" t="n">
        <v>0</v>
      </c>
      <c r="J156" t="n">
        <v>0</v>
      </c>
      <c r="K156" t="n">
        <v>0</v>
      </c>
      <c r="L156" t="n">
        <v>0</v>
      </c>
      <c r="M156" t="n">
        <v>0</v>
      </c>
      <c r="N156" t="n">
        <v>0</v>
      </c>
      <c r="O156" t="n">
        <v>0</v>
      </c>
      <c r="P156" t="n">
        <v>0</v>
      </c>
      <c r="Q156" t="n">
        <v>0</v>
      </c>
      <c r="R156" s="2" t="inlineStr"/>
    </row>
    <row r="157" ht="15" customHeight="1">
      <c r="A157" t="inlineStr">
        <is>
          <t>A 15986-2022</t>
        </is>
      </c>
      <c r="B157" s="1" t="n">
        <v>44664</v>
      </c>
      <c r="C157" s="1" t="n">
        <v>46197</v>
      </c>
      <c r="D157" t="inlineStr">
        <is>
          <t>SKÅNE LÄN</t>
        </is>
      </c>
      <c r="E157" t="inlineStr">
        <is>
          <t>HÄSSLEHOLM</t>
        </is>
      </c>
      <c r="F157" t="inlineStr">
        <is>
          <t>Kyrkan</t>
        </is>
      </c>
      <c r="G157" t="n">
        <v>6</v>
      </c>
      <c r="H157" t="n">
        <v>0</v>
      </c>
      <c r="I157" t="n">
        <v>0</v>
      </c>
      <c r="J157" t="n">
        <v>0</v>
      </c>
      <c r="K157" t="n">
        <v>0</v>
      </c>
      <c r="L157" t="n">
        <v>0</v>
      </c>
      <c r="M157" t="n">
        <v>0</v>
      </c>
      <c r="N157" t="n">
        <v>0</v>
      </c>
      <c r="O157" t="n">
        <v>0</v>
      </c>
      <c r="P157" t="n">
        <v>0</v>
      </c>
      <c r="Q157" t="n">
        <v>0</v>
      </c>
      <c r="R157" s="2" t="inlineStr"/>
    </row>
    <row r="158" ht="15" customHeight="1">
      <c r="A158" t="inlineStr">
        <is>
          <t>A 60260-2021</t>
        </is>
      </c>
      <c r="B158" s="1" t="n">
        <v>44495</v>
      </c>
      <c r="C158" s="1" t="n">
        <v>46197</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51888-2021</t>
        </is>
      </c>
      <c r="B159" s="1" t="n">
        <v>44462</v>
      </c>
      <c r="C159" s="1" t="n">
        <v>46197</v>
      </c>
      <c r="D159" t="inlineStr">
        <is>
          <t>SKÅNE LÄN</t>
        </is>
      </c>
      <c r="E159" t="inlineStr">
        <is>
          <t>HÄSSLEHOLM</t>
        </is>
      </c>
      <c r="G159" t="n">
        <v>5.6</v>
      </c>
      <c r="H159" t="n">
        <v>0</v>
      </c>
      <c r="I159" t="n">
        <v>0</v>
      </c>
      <c r="J159" t="n">
        <v>0</v>
      </c>
      <c r="K159" t="n">
        <v>0</v>
      </c>
      <c r="L159" t="n">
        <v>0</v>
      </c>
      <c r="M159" t="n">
        <v>0</v>
      </c>
      <c r="N159" t="n">
        <v>0</v>
      </c>
      <c r="O159" t="n">
        <v>0</v>
      </c>
      <c r="P159" t="n">
        <v>0</v>
      </c>
      <c r="Q159" t="n">
        <v>0</v>
      </c>
      <c r="R159" s="2" t="inlineStr"/>
    </row>
    <row r="160" ht="15" customHeight="1">
      <c r="A160" t="inlineStr">
        <is>
          <t>A 52786-2021</t>
        </is>
      </c>
      <c r="B160" s="1" t="n">
        <v>44467</v>
      </c>
      <c r="C160" s="1" t="n">
        <v>46197</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v>
      </c>
      <c r="C161" s="1" t="n">
        <v>46197</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46197</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v>
      </c>
      <c r="C163" s="1" t="n">
        <v>46197</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27959-2022</t>
        </is>
      </c>
      <c r="B164" s="1" t="n">
        <v>44744</v>
      </c>
      <c r="C164" s="1" t="n">
        <v>46197</v>
      </c>
      <c r="D164" t="inlineStr">
        <is>
          <t>SKÅNE LÄN</t>
        </is>
      </c>
      <c r="E164" t="inlineStr">
        <is>
          <t>HÄSSLEHOLM</t>
        </is>
      </c>
      <c r="G164" t="n">
        <v>3</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46197</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418-2022</t>
        </is>
      </c>
      <c r="B166" s="1" t="n">
        <v>44565</v>
      </c>
      <c r="C166" s="1" t="n">
        <v>46197</v>
      </c>
      <c r="D166" t="inlineStr">
        <is>
          <t>SKÅNE LÄN</t>
        </is>
      </c>
      <c r="E166" t="inlineStr">
        <is>
          <t>HÄSSLEHOLM</t>
        </is>
      </c>
      <c r="G166" t="n">
        <v>0</v>
      </c>
      <c r="H166" t="n">
        <v>0</v>
      </c>
      <c r="I166" t="n">
        <v>0</v>
      </c>
      <c r="J166" t="n">
        <v>0</v>
      </c>
      <c r="K166" t="n">
        <v>0</v>
      </c>
      <c r="L166" t="n">
        <v>0</v>
      </c>
      <c r="M166" t="n">
        <v>0</v>
      </c>
      <c r="N166" t="n">
        <v>0</v>
      </c>
      <c r="O166" t="n">
        <v>0</v>
      </c>
      <c r="P166" t="n">
        <v>0</v>
      </c>
      <c r="Q166" t="n">
        <v>0</v>
      </c>
      <c r="R166" s="2" t="inlineStr"/>
    </row>
    <row r="167" ht="15" customHeight="1">
      <c r="A167" t="inlineStr">
        <is>
          <t>A 51893-2021</t>
        </is>
      </c>
      <c r="B167" s="1" t="n">
        <v>44462</v>
      </c>
      <c r="C167" s="1" t="n">
        <v>46197</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55394-2022</t>
        </is>
      </c>
      <c r="B168" s="1" t="n">
        <v>44887</v>
      </c>
      <c r="C168" s="1" t="n">
        <v>46197</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45357-2022</t>
        </is>
      </c>
      <c r="B169" s="1" t="n">
        <v>44844</v>
      </c>
      <c r="C169" s="1" t="n">
        <v>46197</v>
      </c>
      <c r="D169" t="inlineStr">
        <is>
          <t>SKÅNE LÄN</t>
        </is>
      </c>
      <c r="E169" t="inlineStr">
        <is>
          <t>HÄSSLEHOLM</t>
        </is>
      </c>
      <c r="G169" t="n">
        <v>5.8</v>
      </c>
      <c r="H169" t="n">
        <v>0</v>
      </c>
      <c r="I169" t="n">
        <v>0</v>
      </c>
      <c r="J169" t="n">
        <v>0</v>
      </c>
      <c r="K169" t="n">
        <v>0</v>
      </c>
      <c r="L169" t="n">
        <v>0</v>
      </c>
      <c r="M169" t="n">
        <v>0</v>
      </c>
      <c r="N169" t="n">
        <v>0</v>
      </c>
      <c r="O169" t="n">
        <v>0</v>
      </c>
      <c r="P169" t="n">
        <v>0</v>
      </c>
      <c r="Q169" t="n">
        <v>0</v>
      </c>
      <c r="R169" s="2" t="inlineStr"/>
    </row>
    <row r="170" ht="15" customHeight="1">
      <c r="A170" t="inlineStr">
        <is>
          <t>A 45989-2021</t>
        </is>
      </c>
      <c r="B170" s="1" t="n">
        <v>44441</v>
      </c>
      <c r="C170" s="1" t="n">
        <v>46197</v>
      </c>
      <c r="D170" t="inlineStr">
        <is>
          <t>SKÅNE LÄN</t>
        </is>
      </c>
      <c r="E170" t="inlineStr">
        <is>
          <t>HÄSSLEHOLM</t>
        </is>
      </c>
      <c r="G170" t="n">
        <v>1</v>
      </c>
      <c r="H170" t="n">
        <v>0</v>
      </c>
      <c r="I170" t="n">
        <v>0</v>
      </c>
      <c r="J170" t="n">
        <v>0</v>
      </c>
      <c r="K170" t="n">
        <v>0</v>
      </c>
      <c r="L170" t="n">
        <v>0</v>
      </c>
      <c r="M170" t="n">
        <v>0</v>
      </c>
      <c r="N170" t="n">
        <v>0</v>
      </c>
      <c r="O170" t="n">
        <v>0</v>
      </c>
      <c r="P170" t="n">
        <v>0</v>
      </c>
      <c r="Q170" t="n">
        <v>0</v>
      </c>
      <c r="R170" s="2" t="inlineStr"/>
    </row>
    <row r="171" ht="15" customHeight="1">
      <c r="A171" t="inlineStr">
        <is>
          <t>A 7250-2022</t>
        </is>
      </c>
      <c r="B171" s="1" t="n">
        <v>44606</v>
      </c>
      <c r="C171" s="1" t="n">
        <v>46197</v>
      </c>
      <c r="D171" t="inlineStr">
        <is>
          <t>SKÅNE LÄN</t>
        </is>
      </c>
      <c r="E171" t="inlineStr">
        <is>
          <t>HÄSSLEHOLM</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7904-2022</t>
        </is>
      </c>
      <c r="B172" s="1" t="n">
        <v>44607</v>
      </c>
      <c r="C172" s="1" t="n">
        <v>46197</v>
      </c>
      <c r="D172" t="inlineStr">
        <is>
          <t>SKÅNE LÄN</t>
        </is>
      </c>
      <c r="E172" t="inlineStr">
        <is>
          <t>HÄSSLEHOLM</t>
        </is>
      </c>
      <c r="F172" t="inlineStr">
        <is>
          <t>Kyrkan</t>
        </is>
      </c>
      <c r="G172" t="n">
        <v>3.9</v>
      </c>
      <c r="H172" t="n">
        <v>0</v>
      </c>
      <c r="I172" t="n">
        <v>0</v>
      </c>
      <c r="J172" t="n">
        <v>0</v>
      </c>
      <c r="K172" t="n">
        <v>0</v>
      </c>
      <c r="L172" t="n">
        <v>0</v>
      </c>
      <c r="M172" t="n">
        <v>0</v>
      </c>
      <c r="N172" t="n">
        <v>0</v>
      </c>
      <c r="O172" t="n">
        <v>0</v>
      </c>
      <c r="P172" t="n">
        <v>0</v>
      </c>
      <c r="Q172" t="n">
        <v>0</v>
      </c>
      <c r="R172" s="2" t="inlineStr"/>
    </row>
    <row r="173" ht="15" customHeight="1">
      <c r="A173" t="inlineStr">
        <is>
          <t>A 51895-2021</t>
        </is>
      </c>
      <c r="B173" s="1" t="n">
        <v>44462</v>
      </c>
      <c r="C173" s="1" t="n">
        <v>46197</v>
      </c>
      <c r="D173" t="inlineStr">
        <is>
          <t>SKÅNE LÄN</t>
        </is>
      </c>
      <c r="E173" t="inlineStr">
        <is>
          <t>HÄSSLEHOLM</t>
        </is>
      </c>
      <c r="G173" t="n">
        <v>5.7</v>
      </c>
      <c r="H173" t="n">
        <v>0</v>
      </c>
      <c r="I173" t="n">
        <v>0</v>
      </c>
      <c r="J173" t="n">
        <v>0</v>
      </c>
      <c r="K173" t="n">
        <v>0</v>
      </c>
      <c r="L173" t="n">
        <v>0</v>
      </c>
      <c r="M173" t="n">
        <v>0</v>
      </c>
      <c r="N173" t="n">
        <v>0</v>
      </c>
      <c r="O173" t="n">
        <v>0</v>
      </c>
      <c r="P173" t="n">
        <v>0</v>
      </c>
      <c r="Q173" t="n">
        <v>0</v>
      </c>
      <c r="R173" s="2" t="inlineStr"/>
    </row>
    <row r="174" ht="15" customHeight="1">
      <c r="A174" t="inlineStr">
        <is>
          <t>A 219-2022</t>
        </is>
      </c>
      <c r="B174" s="1" t="n">
        <v>44564</v>
      </c>
      <c r="C174" s="1" t="n">
        <v>46197</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6048-2022</t>
        </is>
      </c>
      <c r="B175" s="1" t="n">
        <v>44599</v>
      </c>
      <c r="C175" s="1" t="n">
        <v>46197</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46197</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46197</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6253-2022</t>
        </is>
      </c>
      <c r="B178" s="1" t="n">
        <v>44600</v>
      </c>
      <c r="C178" s="1" t="n">
        <v>46197</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7262-2022</t>
        </is>
      </c>
      <c r="B179" s="1" t="n">
        <v>44606</v>
      </c>
      <c r="C179" s="1" t="n">
        <v>46197</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64826-2021</t>
        </is>
      </c>
      <c r="B180" s="1" t="n">
        <v>44512</v>
      </c>
      <c r="C180" s="1" t="n">
        <v>46197</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46197</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46197</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v>
      </c>
      <c r="C183" s="1" t="n">
        <v>46197</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46197</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25955-2022</t>
        </is>
      </c>
      <c r="B185" s="1" t="n">
        <v>44734</v>
      </c>
      <c r="C185" s="1" t="n">
        <v>46197</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46197</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3992-2022</t>
        </is>
      </c>
      <c r="B187" s="1" t="n">
        <v>44587</v>
      </c>
      <c r="C187" s="1" t="n">
        <v>46197</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7306-2025</t>
        </is>
      </c>
      <c r="B188" s="1" t="n">
        <v>45702</v>
      </c>
      <c r="C188" s="1" t="n">
        <v>46197</v>
      </c>
      <c r="D188" t="inlineStr">
        <is>
          <t>SKÅNE LÄN</t>
        </is>
      </c>
      <c r="E188" t="inlineStr">
        <is>
          <t>HÄSSLEHOLM</t>
        </is>
      </c>
      <c r="F188" t="inlineStr">
        <is>
          <t>Övriga Aktiebolag</t>
        </is>
      </c>
      <c r="G188" t="n">
        <v>3.3</v>
      </c>
      <c r="H188" t="n">
        <v>0</v>
      </c>
      <c r="I188" t="n">
        <v>0</v>
      </c>
      <c r="J188" t="n">
        <v>0</v>
      </c>
      <c r="K188" t="n">
        <v>0</v>
      </c>
      <c r="L188" t="n">
        <v>0</v>
      </c>
      <c r="M188" t="n">
        <v>0</v>
      </c>
      <c r="N188" t="n">
        <v>0</v>
      </c>
      <c r="O188" t="n">
        <v>0</v>
      </c>
      <c r="P188" t="n">
        <v>0</v>
      </c>
      <c r="Q188" t="n">
        <v>0</v>
      </c>
      <c r="R188" s="2" t="inlineStr"/>
    </row>
    <row r="189" ht="15" customHeight="1">
      <c r="A189" t="inlineStr">
        <is>
          <t>A 7308-2025</t>
        </is>
      </c>
      <c r="B189" s="1" t="n">
        <v>45702</v>
      </c>
      <c r="C189" s="1" t="n">
        <v>46197</v>
      </c>
      <c r="D189" t="inlineStr">
        <is>
          <t>SKÅNE LÄN</t>
        </is>
      </c>
      <c r="E189" t="inlineStr">
        <is>
          <t>HÄSSLEHOLM</t>
        </is>
      </c>
      <c r="F189" t="inlineStr">
        <is>
          <t>Övriga Aktiebolag</t>
        </is>
      </c>
      <c r="G189" t="n">
        <v>4.8</v>
      </c>
      <c r="H189" t="n">
        <v>0</v>
      </c>
      <c r="I189" t="n">
        <v>0</v>
      </c>
      <c r="J189" t="n">
        <v>0</v>
      </c>
      <c r="K189" t="n">
        <v>0</v>
      </c>
      <c r="L189" t="n">
        <v>0</v>
      </c>
      <c r="M189" t="n">
        <v>0</v>
      </c>
      <c r="N189" t="n">
        <v>0</v>
      </c>
      <c r="O189" t="n">
        <v>0</v>
      </c>
      <c r="P189" t="n">
        <v>0</v>
      </c>
      <c r="Q189" t="n">
        <v>0</v>
      </c>
      <c r="R189" s="2" t="inlineStr"/>
    </row>
    <row r="190" ht="15" customHeight="1">
      <c r="A190" t="inlineStr">
        <is>
          <t>A 4512-2024</t>
        </is>
      </c>
      <c r="B190" s="1" t="n">
        <v>45327</v>
      </c>
      <c r="C190" s="1" t="n">
        <v>46197</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4916-2024</t>
        </is>
      </c>
      <c r="B191" s="1" t="n">
        <v>45329</v>
      </c>
      <c r="C191" s="1" t="n">
        <v>46197</v>
      </c>
      <c r="D191" t="inlineStr">
        <is>
          <t>SKÅNE LÄN</t>
        </is>
      </c>
      <c r="E191" t="inlineStr">
        <is>
          <t>HÄSSLEHOLM</t>
        </is>
      </c>
      <c r="G191" t="n">
        <v>1.3</v>
      </c>
      <c r="H191" t="n">
        <v>0</v>
      </c>
      <c r="I191" t="n">
        <v>0</v>
      </c>
      <c r="J191" t="n">
        <v>0</v>
      </c>
      <c r="K191" t="n">
        <v>0</v>
      </c>
      <c r="L191" t="n">
        <v>0</v>
      </c>
      <c r="M191" t="n">
        <v>0</v>
      </c>
      <c r="N191" t="n">
        <v>0</v>
      </c>
      <c r="O191" t="n">
        <v>0</v>
      </c>
      <c r="P191" t="n">
        <v>0</v>
      </c>
      <c r="Q191" t="n">
        <v>0</v>
      </c>
      <c r="R191" s="2" t="inlineStr"/>
    </row>
    <row r="192" ht="15" customHeight="1">
      <c r="A192" t="inlineStr">
        <is>
          <t>A 28236-2022</t>
        </is>
      </c>
      <c r="B192" s="1" t="n">
        <v>44746</v>
      </c>
      <c r="C192" s="1" t="n">
        <v>46197</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5016-2024</t>
        </is>
      </c>
      <c r="B193" s="1" t="n">
        <v>45329</v>
      </c>
      <c r="C193" s="1" t="n">
        <v>46197</v>
      </c>
      <c r="D193" t="inlineStr">
        <is>
          <t>SKÅNE LÄN</t>
        </is>
      </c>
      <c r="E193" t="inlineStr">
        <is>
          <t>HÄSSLEHOLM</t>
        </is>
      </c>
      <c r="G193" t="n">
        <v>3.2</v>
      </c>
      <c r="H193" t="n">
        <v>0</v>
      </c>
      <c r="I193" t="n">
        <v>0</v>
      </c>
      <c r="J193" t="n">
        <v>0</v>
      </c>
      <c r="K193" t="n">
        <v>0</v>
      </c>
      <c r="L193" t="n">
        <v>0</v>
      </c>
      <c r="M193" t="n">
        <v>0</v>
      </c>
      <c r="N193" t="n">
        <v>0</v>
      </c>
      <c r="O193" t="n">
        <v>0</v>
      </c>
      <c r="P193" t="n">
        <v>0</v>
      </c>
      <c r="Q193" t="n">
        <v>0</v>
      </c>
      <c r="R193" s="2" t="inlineStr"/>
    </row>
    <row r="194" ht="15" customHeight="1">
      <c r="A194" t="inlineStr">
        <is>
          <t>A 20279-2025</t>
        </is>
      </c>
      <c r="B194" s="1" t="n">
        <v>45774</v>
      </c>
      <c r="C194" s="1" t="n">
        <v>46197</v>
      </c>
      <c r="D194" t="inlineStr">
        <is>
          <t>SKÅNE LÄN</t>
        </is>
      </c>
      <c r="E194" t="inlineStr">
        <is>
          <t>HÄSSLEHOLM</t>
        </is>
      </c>
      <c r="G194" t="n">
        <v>0.8</v>
      </c>
      <c r="H194" t="n">
        <v>0</v>
      </c>
      <c r="I194" t="n">
        <v>0</v>
      </c>
      <c r="J194" t="n">
        <v>0</v>
      </c>
      <c r="K194" t="n">
        <v>0</v>
      </c>
      <c r="L194" t="n">
        <v>0</v>
      </c>
      <c r="M194" t="n">
        <v>0</v>
      </c>
      <c r="N194" t="n">
        <v>0</v>
      </c>
      <c r="O194" t="n">
        <v>0</v>
      </c>
      <c r="P194" t="n">
        <v>0</v>
      </c>
      <c r="Q194" t="n">
        <v>0</v>
      </c>
      <c r="R194" s="2" t="inlineStr"/>
    </row>
    <row r="195" ht="15" customHeight="1">
      <c r="A195" t="inlineStr">
        <is>
          <t>A 62199-2022</t>
        </is>
      </c>
      <c r="B195" s="1" t="n">
        <v>44915</v>
      </c>
      <c r="C195" s="1" t="n">
        <v>46197</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26642-2023</t>
        </is>
      </c>
      <c r="B196" s="1" t="n">
        <v>45092</v>
      </c>
      <c r="C196" s="1" t="n">
        <v>46197</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677-2024</t>
        </is>
      </c>
      <c r="B197" s="1" t="n">
        <v>45300</v>
      </c>
      <c r="C197" s="1" t="n">
        <v>46197</v>
      </c>
      <c r="D197" t="inlineStr">
        <is>
          <t>SKÅNE LÄN</t>
        </is>
      </c>
      <c r="E197" t="inlineStr">
        <is>
          <t>HÄSSLEHOLM</t>
        </is>
      </c>
      <c r="G197" t="n">
        <v>6.8</v>
      </c>
      <c r="H197" t="n">
        <v>0</v>
      </c>
      <c r="I197" t="n">
        <v>0</v>
      </c>
      <c r="J197" t="n">
        <v>0</v>
      </c>
      <c r="K197" t="n">
        <v>0</v>
      </c>
      <c r="L197" t="n">
        <v>0</v>
      </c>
      <c r="M197" t="n">
        <v>0</v>
      </c>
      <c r="N197" t="n">
        <v>0</v>
      </c>
      <c r="O197" t="n">
        <v>0</v>
      </c>
      <c r="P197" t="n">
        <v>0</v>
      </c>
      <c r="Q197" t="n">
        <v>0</v>
      </c>
      <c r="R197" s="2" t="inlineStr"/>
    </row>
    <row r="198" ht="15" customHeight="1">
      <c r="A198" t="inlineStr">
        <is>
          <t>A 18580-2023</t>
        </is>
      </c>
      <c r="B198" s="1" t="n">
        <v>45043</v>
      </c>
      <c r="C198" s="1" t="n">
        <v>46197</v>
      </c>
      <c r="D198" t="inlineStr">
        <is>
          <t>SKÅNE LÄN</t>
        </is>
      </c>
      <c r="E198" t="inlineStr">
        <is>
          <t>HÄSSLEHOLM</t>
        </is>
      </c>
      <c r="G198" t="n">
        <v>1.5</v>
      </c>
      <c r="H198" t="n">
        <v>0</v>
      </c>
      <c r="I198" t="n">
        <v>0</v>
      </c>
      <c r="J198" t="n">
        <v>0</v>
      </c>
      <c r="K198" t="n">
        <v>0</v>
      </c>
      <c r="L198" t="n">
        <v>0</v>
      </c>
      <c r="M198" t="n">
        <v>0</v>
      </c>
      <c r="N198" t="n">
        <v>0</v>
      </c>
      <c r="O198" t="n">
        <v>0</v>
      </c>
      <c r="P198" t="n">
        <v>0</v>
      </c>
      <c r="Q198" t="n">
        <v>0</v>
      </c>
      <c r="R198" s="2" t="inlineStr"/>
    </row>
    <row r="199" ht="15" customHeight="1">
      <c r="A199" t="inlineStr">
        <is>
          <t>A 15562-2024</t>
        </is>
      </c>
      <c r="B199" s="1" t="n">
        <v>45401</v>
      </c>
      <c r="C199" s="1" t="n">
        <v>46197</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9323-2025</t>
        </is>
      </c>
      <c r="B200" s="1" t="n">
        <v>45714</v>
      </c>
      <c r="C200" s="1" t="n">
        <v>46197</v>
      </c>
      <c r="D200" t="inlineStr">
        <is>
          <t>SKÅNE LÄN</t>
        </is>
      </c>
      <c r="E200" t="inlineStr">
        <is>
          <t>HÄSSLEHOLM</t>
        </is>
      </c>
      <c r="G200" t="n">
        <v>5.2</v>
      </c>
      <c r="H200" t="n">
        <v>0</v>
      </c>
      <c r="I200" t="n">
        <v>0</v>
      </c>
      <c r="J200" t="n">
        <v>0</v>
      </c>
      <c r="K200" t="n">
        <v>0</v>
      </c>
      <c r="L200" t="n">
        <v>0</v>
      </c>
      <c r="M200" t="n">
        <v>0</v>
      </c>
      <c r="N200" t="n">
        <v>0</v>
      </c>
      <c r="O200" t="n">
        <v>0</v>
      </c>
      <c r="P200" t="n">
        <v>0</v>
      </c>
      <c r="Q200" t="n">
        <v>0</v>
      </c>
      <c r="R200" s="2" t="inlineStr"/>
    </row>
    <row r="201" ht="15" customHeight="1">
      <c r="A201" t="inlineStr">
        <is>
          <t>A 17335-2024</t>
        </is>
      </c>
      <c r="B201" s="1" t="n">
        <v>45414</v>
      </c>
      <c r="C201" s="1" t="n">
        <v>46197</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49250-2022</t>
        </is>
      </c>
      <c r="B202" s="1" t="n">
        <v>44858</v>
      </c>
      <c r="C202" s="1" t="n">
        <v>46197</v>
      </c>
      <c r="D202" t="inlineStr">
        <is>
          <t>SKÅNE LÄN</t>
        </is>
      </c>
      <c r="E202" t="inlineStr">
        <is>
          <t>HÄSSLEHOLM</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8759-2024</t>
        </is>
      </c>
      <c r="B203" s="1" t="n">
        <v>45356</v>
      </c>
      <c r="C203" s="1" t="n">
        <v>46197</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50000-2023</t>
        </is>
      </c>
      <c r="B204" s="1" t="n">
        <v>45215</v>
      </c>
      <c r="C204" s="1" t="n">
        <v>46197</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50607-2023</t>
        </is>
      </c>
      <c r="B205" s="1" t="n">
        <v>45210</v>
      </c>
      <c r="C205" s="1" t="n">
        <v>46197</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50616-2023</t>
        </is>
      </c>
      <c r="B206" s="1" t="n">
        <v>45210</v>
      </c>
      <c r="C206" s="1" t="n">
        <v>46197</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23946-2023</t>
        </is>
      </c>
      <c r="B207" s="1" t="n">
        <v>45078</v>
      </c>
      <c r="C207" s="1" t="n">
        <v>46197</v>
      </c>
      <c r="D207" t="inlineStr">
        <is>
          <t>SKÅNE LÄN</t>
        </is>
      </c>
      <c r="E207" t="inlineStr">
        <is>
          <t>HÄSSLEHOLM</t>
        </is>
      </c>
      <c r="G207" t="n">
        <v>0.2</v>
      </c>
      <c r="H207" t="n">
        <v>0</v>
      </c>
      <c r="I207" t="n">
        <v>0</v>
      </c>
      <c r="J207" t="n">
        <v>0</v>
      </c>
      <c r="K207" t="n">
        <v>0</v>
      </c>
      <c r="L207" t="n">
        <v>0</v>
      </c>
      <c r="M207" t="n">
        <v>0</v>
      </c>
      <c r="N207" t="n">
        <v>0</v>
      </c>
      <c r="O207" t="n">
        <v>0</v>
      </c>
      <c r="P207" t="n">
        <v>0</v>
      </c>
      <c r="Q207" t="n">
        <v>0</v>
      </c>
      <c r="R207" s="2" t="inlineStr"/>
    </row>
    <row r="208" ht="15" customHeight="1">
      <c r="A208" t="inlineStr">
        <is>
          <t>A 12936-2025</t>
        </is>
      </c>
      <c r="B208" s="1" t="n">
        <v>45734</v>
      </c>
      <c r="C208" s="1" t="n">
        <v>46197</v>
      </c>
      <c r="D208" t="inlineStr">
        <is>
          <t>SKÅNE LÄN</t>
        </is>
      </c>
      <c r="E208" t="inlineStr">
        <is>
          <t>HÄSSLEHOLM</t>
        </is>
      </c>
      <c r="G208" t="n">
        <v>1.7</v>
      </c>
      <c r="H208" t="n">
        <v>0</v>
      </c>
      <c r="I208" t="n">
        <v>0</v>
      </c>
      <c r="J208" t="n">
        <v>0</v>
      </c>
      <c r="K208" t="n">
        <v>0</v>
      </c>
      <c r="L208" t="n">
        <v>0</v>
      </c>
      <c r="M208" t="n">
        <v>0</v>
      </c>
      <c r="N208" t="n">
        <v>0</v>
      </c>
      <c r="O208" t="n">
        <v>0</v>
      </c>
      <c r="P208" t="n">
        <v>0</v>
      </c>
      <c r="Q208" t="n">
        <v>0</v>
      </c>
      <c r="R208" s="2" t="inlineStr"/>
    </row>
    <row r="209" ht="15" customHeight="1">
      <c r="A209" t="inlineStr">
        <is>
          <t>A 8749-2024</t>
        </is>
      </c>
      <c r="B209" s="1" t="n">
        <v>45356</v>
      </c>
      <c r="C209" s="1" t="n">
        <v>46197</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8752-2024</t>
        </is>
      </c>
      <c r="B210" s="1" t="n">
        <v>45356</v>
      </c>
      <c r="C210" s="1" t="n">
        <v>46197</v>
      </c>
      <c r="D210" t="inlineStr">
        <is>
          <t>SKÅNE LÄN</t>
        </is>
      </c>
      <c r="E210" t="inlineStr">
        <is>
          <t>HÄSSLEHOLM</t>
        </is>
      </c>
      <c r="G210" t="n">
        <v>3.4</v>
      </c>
      <c r="H210" t="n">
        <v>0</v>
      </c>
      <c r="I210" t="n">
        <v>0</v>
      </c>
      <c r="J210" t="n">
        <v>0</v>
      </c>
      <c r="K210" t="n">
        <v>0</v>
      </c>
      <c r="L210" t="n">
        <v>0</v>
      </c>
      <c r="M210" t="n">
        <v>0</v>
      </c>
      <c r="N210" t="n">
        <v>0</v>
      </c>
      <c r="O210" t="n">
        <v>0</v>
      </c>
      <c r="P210" t="n">
        <v>0</v>
      </c>
      <c r="Q210" t="n">
        <v>0</v>
      </c>
      <c r="R210" s="2" t="inlineStr"/>
    </row>
    <row r="211" ht="15" customHeight="1">
      <c r="A211" t="inlineStr">
        <is>
          <t>A 42906-2022</t>
        </is>
      </c>
      <c r="B211" s="1" t="n">
        <v>44833</v>
      </c>
      <c r="C211" s="1" t="n">
        <v>46197</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15036-2024</t>
        </is>
      </c>
      <c r="B212" s="1" t="n">
        <v>45399</v>
      </c>
      <c r="C212" s="1" t="n">
        <v>46197</v>
      </c>
      <c r="D212" t="inlineStr">
        <is>
          <t>SKÅNE LÄN</t>
        </is>
      </c>
      <c r="E212" t="inlineStr">
        <is>
          <t>HÄSSLEHOLM</t>
        </is>
      </c>
      <c r="G212" t="n">
        <v>1.6</v>
      </c>
      <c r="H212" t="n">
        <v>0</v>
      </c>
      <c r="I212" t="n">
        <v>0</v>
      </c>
      <c r="J212" t="n">
        <v>0</v>
      </c>
      <c r="K212" t="n">
        <v>0</v>
      </c>
      <c r="L212" t="n">
        <v>0</v>
      </c>
      <c r="M212" t="n">
        <v>0</v>
      </c>
      <c r="N212" t="n">
        <v>0</v>
      </c>
      <c r="O212" t="n">
        <v>0</v>
      </c>
      <c r="P212" t="n">
        <v>0</v>
      </c>
      <c r="Q212" t="n">
        <v>0</v>
      </c>
      <c r="R212" s="2" t="inlineStr"/>
    </row>
    <row r="213" ht="15" customHeight="1">
      <c r="A213" t="inlineStr">
        <is>
          <t>A 58915-2023</t>
        </is>
      </c>
      <c r="B213" s="1" t="n">
        <v>45250</v>
      </c>
      <c r="C213" s="1" t="n">
        <v>46197</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20494-2024</t>
        </is>
      </c>
      <c r="B214" s="1" t="n">
        <v>45435</v>
      </c>
      <c r="C214" s="1" t="n">
        <v>46197</v>
      </c>
      <c r="D214" t="inlineStr">
        <is>
          <t>SKÅNE LÄN</t>
        </is>
      </c>
      <c r="E214" t="inlineStr">
        <is>
          <t>HÄSSLEHOLM</t>
        </is>
      </c>
      <c r="G214" t="n">
        <v>1.4</v>
      </c>
      <c r="H214" t="n">
        <v>0</v>
      </c>
      <c r="I214" t="n">
        <v>0</v>
      </c>
      <c r="J214" t="n">
        <v>0</v>
      </c>
      <c r="K214" t="n">
        <v>0</v>
      </c>
      <c r="L214" t="n">
        <v>0</v>
      </c>
      <c r="M214" t="n">
        <v>0</v>
      </c>
      <c r="N214" t="n">
        <v>0</v>
      </c>
      <c r="O214" t="n">
        <v>0</v>
      </c>
      <c r="P214" t="n">
        <v>0</v>
      </c>
      <c r="Q214" t="n">
        <v>0</v>
      </c>
      <c r="R214" s="2" t="inlineStr"/>
    </row>
    <row r="215" ht="15" customHeight="1">
      <c r="A215" t="inlineStr">
        <is>
          <t>A 57033-2022</t>
        </is>
      </c>
      <c r="B215" s="1" t="n">
        <v>44895</v>
      </c>
      <c r="C215" s="1" t="n">
        <v>46197</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27177-2024</t>
        </is>
      </c>
      <c r="B216" s="1" t="n">
        <v>45471</v>
      </c>
      <c r="C216" s="1" t="n">
        <v>46197</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42428-2022</t>
        </is>
      </c>
      <c r="B217" s="1" t="n">
        <v>44831</v>
      </c>
      <c r="C217" s="1" t="n">
        <v>46197</v>
      </c>
      <c r="D217" t="inlineStr">
        <is>
          <t>SKÅNE LÄN</t>
        </is>
      </c>
      <c r="E217" t="inlineStr">
        <is>
          <t>HÄSSLEHOLM</t>
        </is>
      </c>
      <c r="G217" t="n">
        <v>2.8</v>
      </c>
      <c r="H217" t="n">
        <v>0</v>
      </c>
      <c r="I217" t="n">
        <v>0</v>
      </c>
      <c r="J217" t="n">
        <v>0</v>
      </c>
      <c r="K217" t="n">
        <v>0</v>
      </c>
      <c r="L217" t="n">
        <v>0</v>
      </c>
      <c r="M217" t="n">
        <v>0</v>
      </c>
      <c r="N217" t="n">
        <v>0</v>
      </c>
      <c r="O217" t="n">
        <v>0</v>
      </c>
      <c r="P217" t="n">
        <v>0</v>
      </c>
      <c r="Q217" t="n">
        <v>0</v>
      </c>
      <c r="R217" s="2" t="inlineStr"/>
    </row>
    <row r="218" ht="15" customHeight="1">
      <c r="A218" t="inlineStr">
        <is>
          <t>A 44697-2021</t>
        </is>
      </c>
      <c r="B218" s="1" t="n">
        <v>44438</v>
      </c>
      <c r="C218" s="1" t="n">
        <v>46197</v>
      </c>
      <c r="D218" t="inlineStr">
        <is>
          <t>SKÅNE LÄN</t>
        </is>
      </c>
      <c r="E218" t="inlineStr">
        <is>
          <t>HÄSSLEHOLM</t>
        </is>
      </c>
      <c r="G218" t="n">
        <v>4.8</v>
      </c>
      <c r="H218" t="n">
        <v>0</v>
      </c>
      <c r="I218" t="n">
        <v>0</v>
      </c>
      <c r="J218" t="n">
        <v>0</v>
      </c>
      <c r="K218" t="n">
        <v>0</v>
      </c>
      <c r="L218" t="n">
        <v>0</v>
      </c>
      <c r="M218" t="n">
        <v>0</v>
      </c>
      <c r="N218" t="n">
        <v>0</v>
      </c>
      <c r="O218" t="n">
        <v>0</v>
      </c>
      <c r="P218" t="n">
        <v>0</v>
      </c>
      <c r="Q218" t="n">
        <v>0</v>
      </c>
      <c r="R218" s="2" t="inlineStr"/>
    </row>
    <row r="219" ht="15" customHeight="1">
      <c r="A219" t="inlineStr">
        <is>
          <t>A 22595-2024</t>
        </is>
      </c>
      <c r="B219" s="1" t="n">
        <v>45447</v>
      </c>
      <c r="C219" s="1" t="n">
        <v>46197</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61186-2022</t>
        </is>
      </c>
      <c r="B220" s="1" t="n">
        <v>44915</v>
      </c>
      <c r="C220" s="1" t="n">
        <v>46197</v>
      </c>
      <c r="D220" t="inlineStr">
        <is>
          <t>SKÅNE LÄN</t>
        </is>
      </c>
      <c r="E220" t="inlineStr">
        <is>
          <t>HÄSSLEHOLM</t>
        </is>
      </c>
      <c r="G220" t="n">
        <v>2.9</v>
      </c>
      <c r="H220" t="n">
        <v>0</v>
      </c>
      <c r="I220" t="n">
        <v>0</v>
      </c>
      <c r="J220" t="n">
        <v>0</v>
      </c>
      <c r="K220" t="n">
        <v>0</v>
      </c>
      <c r="L220" t="n">
        <v>0</v>
      </c>
      <c r="M220" t="n">
        <v>0</v>
      </c>
      <c r="N220" t="n">
        <v>0</v>
      </c>
      <c r="O220" t="n">
        <v>0</v>
      </c>
      <c r="P220" t="n">
        <v>0</v>
      </c>
      <c r="Q220" t="n">
        <v>0</v>
      </c>
      <c r="R220" s="2" t="inlineStr"/>
    </row>
    <row r="221" ht="15" customHeight="1">
      <c r="A221" t="inlineStr">
        <is>
          <t>A 53067-2022</t>
        </is>
      </c>
      <c r="B221" s="1" t="n">
        <v>44873</v>
      </c>
      <c r="C221" s="1" t="n">
        <v>46197</v>
      </c>
      <c r="D221" t="inlineStr">
        <is>
          <t>SKÅNE LÄN</t>
        </is>
      </c>
      <c r="E221" t="inlineStr">
        <is>
          <t>HÄSSLEHOLM</t>
        </is>
      </c>
      <c r="G221" t="n">
        <v>1.2</v>
      </c>
      <c r="H221" t="n">
        <v>0</v>
      </c>
      <c r="I221" t="n">
        <v>0</v>
      </c>
      <c r="J221" t="n">
        <v>0</v>
      </c>
      <c r="K221" t="n">
        <v>0</v>
      </c>
      <c r="L221" t="n">
        <v>0</v>
      </c>
      <c r="M221" t="n">
        <v>0</v>
      </c>
      <c r="N221" t="n">
        <v>0</v>
      </c>
      <c r="O221" t="n">
        <v>0</v>
      </c>
      <c r="P221" t="n">
        <v>0</v>
      </c>
      <c r="Q221" t="n">
        <v>0</v>
      </c>
      <c r="R221" s="2" t="inlineStr"/>
    </row>
    <row r="222" ht="15" customHeight="1">
      <c r="A222" t="inlineStr">
        <is>
          <t>A 38148-2022</t>
        </is>
      </c>
      <c r="B222" s="1" t="n">
        <v>44811</v>
      </c>
      <c r="C222" s="1" t="n">
        <v>46197</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34342-2021</t>
        </is>
      </c>
      <c r="B223" s="1" t="n">
        <v>44379</v>
      </c>
      <c r="C223" s="1" t="n">
        <v>46197</v>
      </c>
      <c r="D223" t="inlineStr">
        <is>
          <t>SKÅNE LÄN</t>
        </is>
      </c>
      <c r="E223" t="inlineStr">
        <is>
          <t>HÄSSLEHOLM</t>
        </is>
      </c>
      <c r="G223" t="n">
        <v>7</v>
      </c>
      <c r="H223" t="n">
        <v>0</v>
      </c>
      <c r="I223" t="n">
        <v>0</v>
      </c>
      <c r="J223" t="n">
        <v>0</v>
      </c>
      <c r="K223" t="n">
        <v>0</v>
      </c>
      <c r="L223" t="n">
        <v>0</v>
      </c>
      <c r="M223" t="n">
        <v>0</v>
      </c>
      <c r="N223" t="n">
        <v>0</v>
      </c>
      <c r="O223" t="n">
        <v>0</v>
      </c>
      <c r="P223" t="n">
        <v>0</v>
      </c>
      <c r="Q223" t="n">
        <v>0</v>
      </c>
      <c r="R223" s="2" t="inlineStr"/>
    </row>
    <row r="224" ht="15" customHeight="1">
      <c r="A224" t="inlineStr">
        <is>
          <t>A 1120-2024</t>
        </is>
      </c>
      <c r="B224" s="1" t="n">
        <v>45302</v>
      </c>
      <c r="C224" s="1" t="n">
        <v>46197</v>
      </c>
      <c r="D224" t="inlineStr">
        <is>
          <t>SKÅNE LÄN</t>
        </is>
      </c>
      <c r="E224" t="inlineStr">
        <is>
          <t>HÄSSLEHOLM</t>
        </is>
      </c>
      <c r="G224" t="n">
        <v>2.7</v>
      </c>
      <c r="H224" t="n">
        <v>0</v>
      </c>
      <c r="I224" t="n">
        <v>0</v>
      </c>
      <c r="J224" t="n">
        <v>0</v>
      </c>
      <c r="K224" t="n">
        <v>0</v>
      </c>
      <c r="L224" t="n">
        <v>0</v>
      </c>
      <c r="M224" t="n">
        <v>0</v>
      </c>
      <c r="N224" t="n">
        <v>0</v>
      </c>
      <c r="O224" t="n">
        <v>0</v>
      </c>
      <c r="P224" t="n">
        <v>0</v>
      </c>
      <c r="Q224" t="n">
        <v>0</v>
      </c>
      <c r="R224" s="2" t="inlineStr"/>
    </row>
    <row r="225" ht="15" customHeight="1">
      <c r="A225" t="inlineStr">
        <is>
          <t>A 22594-2024</t>
        </is>
      </c>
      <c r="B225" s="1" t="n">
        <v>45447</v>
      </c>
      <c r="C225" s="1" t="n">
        <v>46197</v>
      </c>
      <c r="D225" t="inlineStr">
        <is>
          <t>SKÅNE LÄN</t>
        </is>
      </c>
      <c r="E225" t="inlineStr">
        <is>
          <t>HÄSSLEHOLM</t>
        </is>
      </c>
      <c r="G225" t="n">
        <v>1.1</v>
      </c>
      <c r="H225" t="n">
        <v>0</v>
      </c>
      <c r="I225" t="n">
        <v>0</v>
      </c>
      <c r="J225" t="n">
        <v>0</v>
      </c>
      <c r="K225" t="n">
        <v>0</v>
      </c>
      <c r="L225" t="n">
        <v>0</v>
      </c>
      <c r="M225" t="n">
        <v>0</v>
      </c>
      <c r="N225" t="n">
        <v>0</v>
      </c>
      <c r="O225" t="n">
        <v>0</v>
      </c>
      <c r="P225" t="n">
        <v>0</v>
      </c>
      <c r="Q225" t="n">
        <v>0</v>
      </c>
      <c r="R225" s="2" t="inlineStr"/>
    </row>
    <row r="226" ht="15" customHeight="1">
      <c r="A226" t="inlineStr">
        <is>
          <t>A 12780-2024</t>
        </is>
      </c>
      <c r="B226" s="1" t="n">
        <v>45384</v>
      </c>
      <c r="C226" s="1" t="n">
        <v>46197</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55056-2021</t>
        </is>
      </c>
      <c r="B227" s="1" t="n">
        <v>44474</v>
      </c>
      <c r="C227" s="1" t="n">
        <v>46197</v>
      </c>
      <c r="D227" t="inlineStr">
        <is>
          <t>SKÅNE LÄN</t>
        </is>
      </c>
      <c r="E227" t="inlineStr">
        <is>
          <t>HÄSSLEHOLM</t>
        </is>
      </c>
      <c r="G227" t="n">
        <v>2.5</v>
      </c>
      <c r="H227" t="n">
        <v>0</v>
      </c>
      <c r="I227" t="n">
        <v>0</v>
      </c>
      <c r="J227" t="n">
        <v>0</v>
      </c>
      <c r="K227" t="n">
        <v>0</v>
      </c>
      <c r="L227" t="n">
        <v>0</v>
      </c>
      <c r="M227" t="n">
        <v>0</v>
      </c>
      <c r="N227" t="n">
        <v>0</v>
      </c>
      <c r="O227" t="n">
        <v>0</v>
      </c>
      <c r="P227" t="n">
        <v>0</v>
      </c>
      <c r="Q227" t="n">
        <v>0</v>
      </c>
      <c r="R227" s="2" t="inlineStr"/>
    </row>
    <row r="228" ht="15" customHeight="1">
      <c r="A228" t="inlineStr">
        <is>
          <t>A 42776-2021</t>
        </is>
      </c>
      <c r="B228" s="1" t="n">
        <v>44428</v>
      </c>
      <c r="C228" s="1" t="n">
        <v>46197</v>
      </c>
      <c r="D228" t="inlineStr">
        <is>
          <t>SKÅNE LÄN</t>
        </is>
      </c>
      <c r="E228" t="inlineStr">
        <is>
          <t>HÄSSLEHOLM</t>
        </is>
      </c>
      <c r="G228" t="n">
        <v>3.2</v>
      </c>
      <c r="H228" t="n">
        <v>0</v>
      </c>
      <c r="I228" t="n">
        <v>0</v>
      </c>
      <c r="J228" t="n">
        <v>0</v>
      </c>
      <c r="K228" t="n">
        <v>0</v>
      </c>
      <c r="L228" t="n">
        <v>0</v>
      </c>
      <c r="M228" t="n">
        <v>0</v>
      </c>
      <c r="N228" t="n">
        <v>0</v>
      </c>
      <c r="O228" t="n">
        <v>0</v>
      </c>
      <c r="P228" t="n">
        <v>0</v>
      </c>
      <c r="Q228" t="n">
        <v>0</v>
      </c>
      <c r="R228" s="2" t="inlineStr"/>
    </row>
    <row r="229" ht="15" customHeight="1">
      <c r="A229" t="inlineStr">
        <is>
          <t>A 4042-2023</t>
        </is>
      </c>
      <c r="B229" s="1" t="n">
        <v>44952</v>
      </c>
      <c r="C229" s="1" t="n">
        <v>46197</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28457-2024</t>
        </is>
      </c>
      <c r="B230" s="1" t="n">
        <v>45477</v>
      </c>
      <c r="C230" s="1" t="n">
        <v>46197</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24865-2024</t>
        </is>
      </c>
      <c r="B231" s="1" t="n">
        <v>45461</v>
      </c>
      <c r="C231" s="1" t="n">
        <v>46197</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3123-2023</t>
        </is>
      </c>
      <c r="B232" s="1" t="n">
        <v>44946</v>
      </c>
      <c r="C232" s="1" t="n">
        <v>46197</v>
      </c>
      <c r="D232" t="inlineStr">
        <is>
          <t>SKÅNE LÄN</t>
        </is>
      </c>
      <c r="E232" t="inlineStr">
        <is>
          <t>HÄSSLEHOLM</t>
        </is>
      </c>
      <c r="G232" t="n">
        <v>3.5</v>
      </c>
      <c r="H232" t="n">
        <v>0</v>
      </c>
      <c r="I232" t="n">
        <v>0</v>
      </c>
      <c r="J232" t="n">
        <v>0</v>
      </c>
      <c r="K232" t="n">
        <v>0</v>
      </c>
      <c r="L232" t="n">
        <v>0</v>
      </c>
      <c r="M232" t="n">
        <v>0</v>
      </c>
      <c r="N232" t="n">
        <v>0</v>
      </c>
      <c r="O232" t="n">
        <v>0</v>
      </c>
      <c r="P232" t="n">
        <v>0</v>
      </c>
      <c r="Q232" t="n">
        <v>0</v>
      </c>
      <c r="R232" s="2" t="inlineStr"/>
    </row>
    <row r="233" ht="15" customHeight="1">
      <c r="A233" t="inlineStr">
        <is>
          <t>A 3126-2023</t>
        </is>
      </c>
      <c r="B233" s="1" t="n">
        <v>44946</v>
      </c>
      <c r="C233" s="1" t="n">
        <v>46197</v>
      </c>
      <c r="D233" t="inlineStr">
        <is>
          <t>SKÅNE LÄN</t>
        </is>
      </c>
      <c r="E233" t="inlineStr">
        <is>
          <t>HÄSSLEHOLM</t>
        </is>
      </c>
      <c r="G233" t="n">
        <v>2.2</v>
      </c>
      <c r="H233" t="n">
        <v>0</v>
      </c>
      <c r="I233" t="n">
        <v>0</v>
      </c>
      <c r="J233" t="n">
        <v>0</v>
      </c>
      <c r="K233" t="n">
        <v>0</v>
      </c>
      <c r="L233" t="n">
        <v>0</v>
      </c>
      <c r="M233" t="n">
        <v>0</v>
      </c>
      <c r="N233" t="n">
        <v>0</v>
      </c>
      <c r="O233" t="n">
        <v>0</v>
      </c>
      <c r="P233" t="n">
        <v>0</v>
      </c>
      <c r="Q233" t="n">
        <v>0</v>
      </c>
      <c r="R233" s="2" t="inlineStr"/>
    </row>
    <row r="234" ht="15" customHeight="1">
      <c r="A234" t="inlineStr">
        <is>
          <t>A 12468-2024</t>
        </is>
      </c>
      <c r="B234" s="1" t="n">
        <v>45379</v>
      </c>
      <c r="C234" s="1" t="n">
        <v>46197</v>
      </c>
      <c r="D234" t="inlineStr">
        <is>
          <t>SKÅNE LÄN</t>
        </is>
      </c>
      <c r="E234" t="inlineStr">
        <is>
          <t>HÄSSLEHOLM</t>
        </is>
      </c>
      <c r="G234" t="n">
        <v>15.5</v>
      </c>
      <c r="H234" t="n">
        <v>0</v>
      </c>
      <c r="I234" t="n">
        <v>0</v>
      </c>
      <c r="J234" t="n">
        <v>0</v>
      </c>
      <c r="K234" t="n">
        <v>0</v>
      </c>
      <c r="L234" t="n">
        <v>0</v>
      </c>
      <c r="M234" t="n">
        <v>0</v>
      </c>
      <c r="N234" t="n">
        <v>0</v>
      </c>
      <c r="O234" t="n">
        <v>0</v>
      </c>
      <c r="P234" t="n">
        <v>0</v>
      </c>
      <c r="Q234" t="n">
        <v>0</v>
      </c>
      <c r="R234" s="2" t="inlineStr"/>
    </row>
    <row r="235" ht="15" customHeight="1">
      <c r="A235" t="inlineStr">
        <is>
          <t>A 57665-2022</t>
        </is>
      </c>
      <c r="B235" s="1" t="n">
        <v>44897</v>
      </c>
      <c r="C235" s="1" t="n">
        <v>46197</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25057-2024</t>
        </is>
      </c>
      <c r="B236" s="1" t="n">
        <v>45462</v>
      </c>
      <c r="C236" s="1" t="n">
        <v>46197</v>
      </c>
      <c r="D236" t="inlineStr">
        <is>
          <t>SKÅNE LÄN</t>
        </is>
      </c>
      <c r="E236" t="inlineStr">
        <is>
          <t>HÄSSLEHOLM</t>
        </is>
      </c>
      <c r="G236" t="n">
        <v>4.3</v>
      </c>
      <c r="H236" t="n">
        <v>0</v>
      </c>
      <c r="I236" t="n">
        <v>0</v>
      </c>
      <c r="J236" t="n">
        <v>0</v>
      </c>
      <c r="K236" t="n">
        <v>0</v>
      </c>
      <c r="L236" t="n">
        <v>0</v>
      </c>
      <c r="M236" t="n">
        <v>0</v>
      </c>
      <c r="N236" t="n">
        <v>0</v>
      </c>
      <c r="O236" t="n">
        <v>0</v>
      </c>
      <c r="P236" t="n">
        <v>0</v>
      </c>
      <c r="Q236" t="n">
        <v>0</v>
      </c>
      <c r="R236" s="2" t="inlineStr"/>
    </row>
    <row r="237" ht="15" customHeight="1">
      <c r="A237" t="inlineStr">
        <is>
          <t>A 25213-2023</t>
        </is>
      </c>
      <c r="B237" s="1" t="n">
        <v>45086</v>
      </c>
      <c r="C237" s="1" t="n">
        <v>46197</v>
      </c>
      <c r="D237" t="inlineStr">
        <is>
          <t>SKÅNE LÄN</t>
        </is>
      </c>
      <c r="E237" t="inlineStr">
        <is>
          <t>HÄSSLEHOLM</t>
        </is>
      </c>
      <c r="G237" t="n">
        <v>7.2</v>
      </c>
      <c r="H237" t="n">
        <v>0</v>
      </c>
      <c r="I237" t="n">
        <v>0</v>
      </c>
      <c r="J237" t="n">
        <v>0</v>
      </c>
      <c r="K237" t="n">
        <v>0</v>
      </c>
      <c r="L237" t="n">
        <v>0</v>
      </c>
      <c r="M237" t="n">
        <v>0</v>
      </c>
      <c r="N237" t="n">
        <v>0</v>
      </c>
      <c r="O237" t="n">
        <v>0</v>
      </c>
      <c r="P237" t="n">
        <v>0</v>
      </c>
      <c r="Q237" t="n">
        <v>0</v>
      </c>
      <c r="R237" s="2" t="inlineStr"/>
    </row>
    <row r="238" ht="15" customHeight="1">
      <c r="A238" t="inlineStr">
        <is>
          <t>A 51287-2022</t>
        </is>
      </c>
      <c r="B238" s="1" t="n">
        <v>44868</v>
      </c>
      <c r="C238" s="1" t="n">
        <v>46197</v>
      </c>
      <c r="D238" t="inlineStr">
        <is>
          <t>SKÅNE LÄN</t>
        </is>
      </c>
      <c r="E238" t="inlineStr">
        <is>
          <t>HÄSSLEHOLM</t>
        </is>
      </c>
      <c r="G238" t="n">
        <v>2.2</v>
      </c>
      <c r="H238" t="n">
        <v>0</v>
      </c>
      <c r="I238" t="n">
        <v>0</v>
      </c>
      <c r="J238" t="n">
        <v>0</v>
      </c>
      <c r="K238" t="n">
        <v>0</v>
      </c>
      <c r="L238" t="n">
        <v>0</v>
      </c>
      <c r="M238" t="n">
        <v>0</v>
      </c>
      <c r="N238" t="n">
        <v>0</v>
      </c>
      <c r="O238" t="n">
        <v>0</v>
      </c>
      <c r="P238" t="n">
        <v>0</v>
      </c>
      <c r="Q238" t="n">
        <v>0</v>
      </c>
      <c r="R238" s="2" t="inlineStr"/>
    </row>
    <row r="239" ht="15" customHeight="1">
      <c r="A239" t="inlineStr">
        <is>
          <t>A 4009-2024</t>
        </is>
      </c>
      <c r="B239" s="1" t="n">
        <v>45323</v>
      </c>
      <c r="C239" s="1" t="n">
        <v>46197</v>
      </c>
      <c r="D239" t="inlineStr">
        <is>
          <t>SKÅNE LÄN</t>
        </is>
      </c>
      <c r="E239" t="inlineStr">
        <is>
          <t>HÄSSLEHOLM</t>
        </is>
      </c>
      <c r="G239" t="n">
        <v>2.4</v>
      </c>
      <c r="H239" t="n">
        <v>0</v>
      </c>
      <c r="I239" t="n">
        <v>0</v>
      </c>
      <c r="J239" t="n">
        <v>0</v>
      </c>
      <c r="K239" t="n">
        <v>0</v>
      </c>
      <c r="L239" t="n">
        <v>0</v>
      </c>
      <c r="M239" t="n">
        <v>0</v>
      </c>
      <c r="N239" t="n">
        <v>0</v>
      </c>
      <c r="O239" t="n">
        <v>0</v>
      </c>
      <c r="P239" t="n">
        <v>0</v>
      </c>
      <c r="Q239" t="n">
        <v>0</v>
      </c>
      <c r="R239" s="2" t="inlineStr"/>
    </row>
    <row r="240" ht="15" customHeight="1">
      <c r="A240" t="inlineStr">
        <is>
          <t>A 60848-2022</t>
        </is>
      </c>
      <c r="B240" s="1" t="n">
        <v>44914</v>
      </c>
      <c r="C240" s="1" t="n">
        <v>46197</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54671-2022</t>
        </is>
      </c>
      <c r="B241" s="1" t="n">
        <v>44883</v>
      </c>
      <c r="C241" s="1" t="n">
        <v>46197</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10028-2024</t>
        </is>
      </c>
      <c r="B242" s="1" t="n">
        <v>45363</v>
      </c>
      <c r="C242" s="1" t="n">
        <v>46197</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53887-2023</t>
        </is>
      </c>
      <c r="B243" s="1" t="n">
        <v>45231</v>
      </c>
      <c r="C243" s="1" t="n">
        <v>46197</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49167-2022</t>
        </is>
      </c>
      <c r="B244" s="1" t="n">
        <v>44860</v>
      </c>
      <c r="C244" s="1" t="n">
        <v>46197</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28071-2023</t>
        </is>
      </c>
      <c r="B245" s="1" t="n">
        <v>45099</v>
      </c>
      <c r="C245" s="1" t="n">
        <v>46197</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61158-2022</t>
        </is>
      </c>
      <c r="B246" s="1" t="n">
        <v>44915</v>
      </c>
      <c r="C246" s="1" t="n">
        <v>46197</v>
      </c>
      <c r="D246" t="inlineStr">
        <is>
          <t>SKÅNE LÄN</t>
        </is>
      </c>
      <c r="E246" t="inlineStr">
        <is>
          <t>HÄSSLEHOLM</t>
        </is>
      </c>
      <c r="G246" t="n">
        <v>8.4</v>
      </c>
      <c r="H246" t="n">
        <v>0</v>
      </c>
      <c r="I246" t="n">
        <v>0</v>
      </c>
      <c r="J246" t="n">
        <v>0</v>
      </c>
      <c r="K246" t="n">
        <v>0</v>
      </c>
      <c r="L246" t="n">
        <v>0</v>
      </c>
      <c r="M246" t="n">
        <v>0</v>
      </c>
      <c r="N246" t="n">
        <v>0</v>
      </c>
      <c r="O246" t="n">
        <v>0</v>
      </c>
      <c r="P246" t="n">
        <v>0</v>
      </c>
      <c r="Q246" t="n">
        <v>0</v>
      </c>
      <c r="R246" s="2" t="inlineStr"/>
    </row>
    <row r="247" ht="15" customHeight="1">
      <c r="A247" t="inlineStr">
        <is>
          <t>A 3507-2024</t>
        </is>
      </c>
      <c r="B247" s="1" t="n">
        <v>45320</v>
      </c>
      <c r="C247" s="1" t="n">
        <v>46197</v>
      </c>
      <c r="D247" t="inlineStr">
        <is>
          <t>SKÅNE LÄN</t>
        </is>
      </c>
      <c r="E247" t="inlineStr">
        <is>
          <t>HÄSSLEHOLM</t>
        </is>
      </c>
      <c r="G247" t="n">
        <v>6.4</v>
      </c>
      <c r="H247" t="n">
        <v>0</v>
      </c>
      <c r="I247" t="n">
        <v>0</v>
      </c>
      <c r="J247" t="n">
        <v>0</v>
      </c>
      <c r="K247" t="n">
        <v>0</v>
      </c>
      <c r="L247" t="n">
        <v>0</v>
      </c>
      <c r="M247" t="n">
        <v>0</v>
      </c>
      <c r="N247" t="n">
        <v>0</v>
      </c>
      <c r="O247" t="n">
        <v>0</v>
      </c>
      <c r="P247" t="n">
        <v>0</v>
      </c>
      <c r="Q247" t="n">
        <v>0</v>
      </c>
      <c r="R247" s="2" t="inlineStr"/>
    </row>
    <row r="248" ht="15" customHeight="1">
      <c r="A248" t="inlineStr">
        <is>
          <t>A 57649-2022</t>
        </is>
      </c>
      <c r="B248" s="1" t="n">
        <v>44897</v>
      </c>
      <c r="C248" s="1" t="n">
        <v>46197</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22132-2024</t>
        </is>
      </c>
      <c r="B249" s="1" t="n">
        <v>45444</v>
      </c>
      <c r="C249" s="1" t="n">
        <v>46197</v>
      </c>
      <c r="D249" t="inlineStr">
        <is>
          <t>SKÅNE LÄN</t>
        </is>
      </c>
      <c r="E249" t="inlineStr">
        <is>
          <t>HÄSSLEHOLM</t>
        </is>
      </c>
      <c r="G249" t="n">
        <v>3.1</v>
      </c>
      <c r="H249" t="n">
        <v>0</v>
      </c>
      <c r="I249" t="n">
        <v>0</v>
      </c>
      <c r="J249" t="n">
        <v>0</v>
      </c>
      <c r="K249" t="n">
        <v>0</v>
      </c>
      <c r="L249" t="n">
        <v>0</v>
      </c>
      <c r="M249" t="n">
        <v>0</v>
      </c>
      <c r="N249" t="n">
        <v>0</v>
      </c>
      <c r="O249" t="n">
        <v>0</v>
      </c>
      <c r="P249" t="n">
        <v>0</v>
      </c>
      <c r="Q249" t="n">
        <v>0</v>
      </c>
      <c r="R249" s="2" t="inlineStr"/>
    </row>
    <row r="250" ht="15" customHeight="1">
      <c r="A250" t="inlineStr">
        <is>
          <t>A 54171-2022</t>
        </is>
      </c>
      <c r="B250" s="1" t="n">
        <v>44881</v>
      </c>
      <c r="C250" s="1" t="n">
        <v>46197</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4119-2024</t>
        </is>
      </c>
      <c r="B251" s="1" t="n">
        <v>45323</v>
      </c>
      <c r="C251" s="1" t="n">
        <v>46197</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48877-2024</t>
        </is>
      </c>
      <c r="B252" s="1" t="n">
        <v>45594</v>
      </c>
      <c r="C252" s="1" t="n">
        <v>46197</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1619-2022</t>
        </is>
      </c>
      <c r="B253" s="1" t="n">
        <v>44573</v>
      </c>
      <c r="C253" s="1" t="n">
        <v>46197</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3245-2022</t>
        </is>
      </c>
      <c r="B254" s="1" t="n">
        <v>44583</v>
      </c>
      <c r="C254" s="1" t="n">
        <v>46197</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23864-2024</t>
        </is>
      </c>
      <c r="B255" s="1" t="n">
        <v>45455</v>
      </c>
      <c r="C255" s="1" t="n">
        <v>46197</v>
      </c>
      <c r="D255" t="inlineStr">
        <is>
          <t>SKÅNE LÄN</t>
        </is>
      </c>
      <c r="E255" t="inlineStr">
        <is>
          <t>HÄSSLEHOLM</t>
        </is>
      </c>
      <c r="G255" t="n">
        <v>6.2</v>
      </c>
      <c r="H255" t="n">
        <v>0</v>
      </c>
      <c r="I255" t="n">
        <v>0</v>
      </c>
      <c r="J255" t="n">
        <v>0</v>
      </c>
      <c r="K255" t="n">
        <v>0</v>
      </c>
      <c r="L255" t="n">
        <v>0</v>
      </c>
      <c r="M255" t="n">
        <v>0</v>
      </c>
      <c r="N255" t="n">
        <v>0</v>
      </c>
      <c r="O255" t="n">
        <v>0</v>
      </c>
      <c r="P255" t="n">
        <v>0</v>
      </c>
      <c r="Q255" t="n">
        <v>0</v>
      </c>
      <c r="R255" s="2" t="inlineStr"/>
    </row>
    <row r="256" ht="15" customHeight="1">
      <c r="A256" t="inlineStr">
        <is>
          <t>A 54174-2022</t>
        </is>
      </c>
      <c r="B256" s="1" t="n">
        <v>44881</v>
      </c>
      <c r="C256" s="1" t="n">
        <v>46197</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52235-2021</t>
        </is>
      </c>
      <c r="B257" s="1" t="n">
        <v>44463</v>
      </c>
      <c r="C257" s="1" t="n">
        <v>46197</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31255-2024</t>
        </is>
      </c>
      <c r="B258" s="1" t="n">
        <v>45503</v>
      </c>
      <c r="C258" s="1" t="n">
        <v>46197</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4787-2023</t>
        </is>
      </c>
      <c r="B259" s="1" t="n">
        <v>44957</v>
      </c>
      <c r="C259" s="1" t="n">
        <v>46197</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4788-2023</t>
        </is>
      </c>
      <c r="B260" s="1" t="n">
        <v>44957</v>
      </c>
      <c r="C260" s="1" t="n">
        <v>46197</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53302-2022</t>
        </is>
      </c>
      <c r="B261" s="1" t="n">
        <v>44877</v>
      </c>
      <c r="C261" s="1" t="n">
        <v>46197</v>
      </c>
      <c r="D261" t="inlineStr">
        <is>
          <t>SKÅNE LÄN</t>
        </is>
      </c>
      <c r="E261" t="inlineStr">
        <is>
          <t>HÄSSLEHOLM</t>
        </is>
      </c>
      <c r="G261" t="n">
        <v>0.1</v>
      </c>
      <c r="H261" t="n">
        <v>0</v>
      </c>
      <c r="I261" t="n">
        <v>0</v>
      </c>
      <c r="J261" t="n">
        <v>0</v>
      </c>
      <c r="K261" t="n">
        <v>0</v>
      </c>
      <c r="L261" t="n">
        <v>0</v>
      </c>
      <c r="M261" t="n">
        <v>0</v>
      </c>
      <c r="N261" t="n">
        <v>0</v>
      </c>
      <c r="O261" t="n">
        <v>0</v>
      </c>
      <c r="P261" t="n">
        <v>0</v>
      </c>
      <c r="Q261" t="n">
        <v>0</v>
      </c>
      <c r="R261" s="2" t="inlineStr"/>
    </row>
    <row r="262" ht="15" customHeight="1">
      <c r="A262" t="inlineStr">
        <is>
          <t>A 52642-2021</t>
        </is>
      </c>
      <c r="B262" s="1" t="n">
        <v>44466</v>
      </c>
      <c r="C262" s="1" t="n">
        <v>46197</v>
      </c>
      <c r="D262" t="inlineStr">
        <is>
          <t>SKÅNE LÄN</t>
        </is>
      </c>
      <c r="E262" t="inlineStr">
        <is>
          <t>HÄSSLEHOLM</t>
        </is>
      </c>
      <c r="G262" t="n">
        <v>3.7</v>
      </c>
      <c r="H262" t="n">
        <v>0</v>
      </c>
      <c r="I262" t="n">
        <v>0</v>
      </c>
      <c r="J262" t="n">
        <v>0</v>
      </c>
      <c r="K262" t="n">
        <v>0</v>
      </c>
      <c r="L262" t="n">
        <v>0</v>
      </c>
      <c r="M262" t="n">
        <v>0</v>
      </c>
      <c r="N262" t="n">
        <v>0</v>
      </c>
      <c r="O262" t="n">
        <v>0</v>
      </c>
      <c r="P262" t="n">
        <v>0</v>
      </c>
      <c r="Q262" t="n">
        <v>0</v>
      </c>
      <c r="R262" s="2" t="inlineStr"/>
    </row>
    <row r="263" ht="15" customHeight="1">
      <c r="A263" t="inlineStr">
        <is>
          <t>A 29850-2024</t>
        </is>
      </c>
      <c r="B263" s="1" t="n">
        <v>45485</v>
      </c>
      <c r="C263" s="1" t="n">
        <v>46197</v>
      </c>
      <c r="D263" t="inlineStr">
        <is>
          <t>SKÅNE LÄN</t>
        </is>
      </c>
      <c r="E263" t="inlineStr">
        <is>
          <t>HÄSSLEHOLM</t>
        </is>
      </c>
      <c r="G263" t="n">
        <v>0.9</v>
      </c>
      <c r="H263" t="n">
        <v>0</v>
      </c>
      <c r="I263" t="n">
        <v>0</v>
      </c>
      <c r="J263" t="n">
        <v>0</v>
      </c>
      <c r="K263" t="n">
        <v>0</v>
      </c>
      <c r="L263" t="n">
        <v>0</v>
      </c>
      <c r="M263" t="n">
        <v>0</v>
      </c>
      <c r="N263" t="n">
        <v>0</v>
      </c>
      <c r="O263" t="n">
        <v>0</v>
      </c>
      <c r="P263" t="n">
        <v>0</v>
      </c>
      <c r="Q263" t="n">
        <v>0</v>
      </c>
      <c r="R263" s="2" t="inlineStr"/>
    </row>
    <row r="264" ht="15" customHeight="1">
      <c r="A264" t="inlineStr">
        <is>
          <t>A 40734-2024</t>
        </is>
      </c>
      <c r="B264" s="1" t="n">
        <v>45558</v>
      </c>
      <c r="C264" s="1" t="n">
        <v>46197</v>
      </c>
      <c r="D264" t="inlineStr">
        <is>
          <t>SKÅNE LÄN</t>
        </is>
      </c>
      <c r="E264" t="inlineStr">
        <is>
          <t>HÄSSLEHOLM</t>
        </is>
      </c>
      <c r="G264" t="n">
        <v>1.4</v>
      </c>
      <c r="H264" t="n">
        <v>0</v>
      </c>
      <c r="I264" t="n">
        <v>0</v>
      </c>
      <c r="J264" t="n">
        <v>0</v>
      </c>
      <c r="K264" t="n">
        <v>0</v>
      </c>
      <c r="L264" t="n">
        <v>0</v>
      </c>
      <c r="M264" t="n">
        <v>0</v>
      </c>
      <c r="N264" t="n">
        <v>0</v>
      </c>
      <c r="O264" t="n">
        <v>0</v>
      </c>
      <c r="P264" t="n">
        <v>0</v>
      </c>
      <c r="Q264" t="n">
        <v>0</v>
      </c>
      <c r="R264" s="2" t="inlineStr"/>
    </row>
    <row r="265" ht="15" customHeight="1">
      <c r="A265" t="inlineStr">
        <is>
          <t>A 40738-2024</t>
        </is>
      </c>
      <c r="B265" s="1" t="n">
        <v>45558</v>
      </c>
      <c r="C265" s="1" t="n">
        <v>46197</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62041-2022</t>
        </is>
      </c>
      <c r="B266" s="1" t="n">
        <v>44918</v>
      </c>
      <c r="C266" s="1" t="n">
        <v>46197</v>
      </c>
      <c r="D266" t="inlineStr">
        <is>
          <t>SKÅNE LÄN</t>
        </is>
      </c>
      <c r="E266" t="inlineStr">
        <is>
          <t>HÄSSLEHOLM</t>
        </is>
      </c>
      <c r="G266" t="n">
        <v>2.8</v>
      </c>
      <c r="H266" t="n">
        <v>0</v>
      </c>
      <c r="I266" t="n">
        <v>0</v>
      </c>
      <c r="J266" t="n">
        <v>0</v>
      </c>
      <c r="K266" t="n">
        <v>0</v>
      </c>
      <c r="L266" t="n">
        <v>0</v>
      </c>
      <c r="M266" t="n">
        <v>0</v>
      </c>
      <c r="N266" t="n">
        <v>0</v>
      </c>
      <c r="O266" t="n">
        <v>0</v>
      </c>
      <c r="P266" t="n">
        <v>0</v>
      </c>
      <c r="Q266" t="n">
        <v>0</v>
      </c>
      <c r="R266" s="2" t="inlineStr"/>
    </row>
    <row r="267" ht="15" customHeight="1">
      <c r="A267" t="inlineStr">
        <is>
          <t>A 25430-2025</t>
        </is>
      </c>
      <c r="B267" s="1" t="n">
        <v>45800</v>
      </c>
      <c r="C267" s="1" t="n">
        <v>46197</v>
      </c>
      <c r="D267" t="inlineStr">
        <is>
          <t>SKÅNE LÄN</t>
        </is>
      </c>
      <c r="E267" t="inlineStr">
        <is>
          <t>HÄSSLEHOLM</t>
        </is>
      </c>
      <c r="G267" t="n">
        <v>0.9</v>
      </c>
      <c r="H267" t="n">
        <v>0</v>
      </c>
      <c r="I267" t="n">
        <v>0</v>
      </c>
      <c r="J267" t="n">
        <v>0</v>
      </c>
      <c r="K267" t="n">
        <v>0</v>
      </c>
      <c r="L267" t="n">
        <v>0</v>
      </c>
      <c r="M267" t="n">
        <v>0</v>
      </c>
      <c r="N267" t="n">
        <v>0</v>
      </c>
      <c r="O267" t="n">
        <v>0</v>
      </c>
      <c r="P267" t="n">
        <v>0</v>
      </c>
      <c r="Q267" t="n">
        <v>0</v>
      </c>
      <c r="R267" s="2" t="inlineStr"/>
    </row>
    <row r="268" ht="15" customHeight="1">
      <c r="A268" t="inlineStr">
        <is>
          <t>A 32210-2024</t>
        </is>
      </c>
      <c r="B268" s="1" t="n">
        <v>45511</v>
      </c>
      <c r="C268" s="1" t="n">
        <v>46197</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11470-2025</t>
        </is>
      </c>
      <c r="B269" s="1" t="n">
        <v>45726</v>
      </c>
      <c r="C269" s="1" t="n">
        <v>46197</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59431-2023</t>
        </is>
      </c>
      <c r="B270" s="1" t="n">
        <v>45254</v>
      </c>
      <c r="C270" s="1" t="n">
        <v>46197</v>
      </c>
      <c r="D270" t="inlineStr">
        <is>
          <t>SKÅNE LÄN</t>
        </is>
      </c>
      <c r="E270" t="inlineStr">
        <is>
          <t>HÄSSLEHOLM</t>
        </is>
      </c>
      <c r="G270" t="n">
        <v>1.7</v>
      </c>
      <c r="H270" t="n">
        <v>0</v>
      </c>
      <c r="I270" t="n">
        <v>0</v>
      </c>
      <c r="J270" t="n">
        <v>0</v>
      </c>
      <c r="K270" t="n">
        <v>0</v>
      </c>
      <c r="L270" t="n">
        <v>0</v>
      </c>
      <c r="M270" t="n">
        <v>0</v>
      </c>
      <c r="N270" t="n">
        <v>0</v>
      </c>
      <c r="O270" t="n">
        <v>0</v>
      </c>
      <c r="P270" t="n">
        <v>0</v>
      </c>
      <c r="Q270" t="n">
        <v>0</v>
      </c>
      <c r="R270" s="2" t="inlineStr"/>
    </row>
    <row r="271" ht="15" customHeight="1">
      <c r="A271" t="inlineStr">
        <is>
          <t>A 59433-2023</t>
        </is>
      </c>
      <c r="B271" s="1" t="n">
        <v>45254</v>
      </c>
      <c r="C271" s="1" t="n">
        <v>46197</v>
      </c>
      <c r="D271" t="inlineStr">
        <is>
          <t>SKÅNE LÄN</t>
        </is>
      </c>
      <c r="E271" t="inlineStr">
        <is>
          <t>HÄSSLEHOLM</t>
        </is>
      </c>
      <c r="G271" t="n">
        <v>3.1</v>
      </c>
      <c r="H271" t="n">
        <v>0</v>
      </c>
      <c r="I271" t="n">
        <v>0</v>
      </c>
      <c r="J271" t="n">
        <v>0</v>
      </c>
      <c r="K271" t="n">
        <v>0</v>
      </c>
      <c r="L271" t="n">
        <v>0</v>
      </c>
      <c r="M271" t="n">
        <v>0</v>
      </c>
      <c r="N271" t="n">
        <v>0</v>
      </c>
      <c r="O271" t="n">
        <v>0</v>
      </c>
      <c r="P271" t="n">
        <v>0</v>
      </c>
      <c r="Q271" t="n">
        <v>0</v>
      </c>
      <c r="R271" s="2" t="inlineStr"/>
    </row>
    <row r="272" ht="15" customHeight="1">
      <c r="A272" t="inlineStr">
        <is>
          <t>A 34342-2021</t>
        </is>
      </c>
      <c r="B272" s="1" t="n">
        <v>44379</v>
      </c>
      <c r="C272" s="1" t="n">
        <v>46197</v>
      </c>
      <c r="D272" t="inlineStr">
        <is>
          <t>SKÅNE LÄN</t>
        </is>
      </c>
      <c r="E272" t="inlineStr">
        <is>
          <t>HÄSSLEHOLM</t>
        </is>
      </c>
      <c r="G272" t="n">
        <v>7</v>
      </c>
      <c r="H272" t="n">
        <v>0</v>
      </c>
      <c r="I272" t="n">
        <v>0</v>
      </c>
      <c r="J272" t="n">
        <v>0</v>
      </c>
      <c r="K272" t="n">
        <v>0</v>
      </c>
      <c r="L272" t="n">
        <v>0</v>
      </c>
      <c r="M272" t="n">
        <v>0</v>
      </c>
      <c r="N272" t="n">
        <v>0</v>
      </c>
      <c r="O272" t="n">
        <v>0</v>
      </c>
      <c r="P272" t="n">
        <v>0</v>
      </c>
      <c r="Q272" t="n">
        <v>0</v>
      </c>
      <c r="R272" s="2" t="inlineStr"/>
    </row>
    <row r="273" ht="15" customHeight="1">
      <c r="A273" t="inlineStr">
        <is>
          <t>A 25615-2025</t>
        </is>
      </c>
      <c r="B273" s="1" t="n">
        <v>45803</v>
      </c>
      <c r="C273" s="1" t="n">
        <v>46197</v>
      </c>
      <c r="D273" t="inlineStr">
        <is>
          <t>SKÅNE LÄN</t>
        </is>
      </c>
      <c r="E273" t="inlineStr">
        <is>
          <t>HÄSSLEHOLM</t>
        </is>
      </c>
      <c r="G273" t="n">
        <v>2.6</v>
      </c>
      <c r="H273" t="n">
        <v>0</v>
      </c>
      <c r="I273" t="n">
        <v>0</v>
      </c>
      <c r="J273" t="n">
        <v>0</v>
      </c>
      <c r="K273" t="n">
        <v>0</v>
      </c>
      <c r="L273" t="n">
        <v>0</v>
      </c>
      <c r="M273" t="n">
        <v>0</v>
      </c>
      <c r="N273" t="n">
        <v>0</v>
      </c>
      <c r="O273" t="n">
        <v>0</v>
      </c>
      <c r="P273" t="n">
        <v>0</v>
      </c>
      <c r="Q273" t="n">
        <v>0</v>
      </c>
      <c r="R273" s="2" t="inlineStr"/>
    </row>
    <row r="274" ht="15" customHeight="1">
      <c r="A274" t="inlineStr">
        <is>
          <t>A 45399-2022</t>
        </is>
      </c>
      <c r="B274" s="1" t="n">
        <v>44844</v>
      </c>
      <c r="C274" s="1" t="n">
        <v>46197</v>
      </c>
      <c r="D274" t="inlineStr">
        <is>
          <t>SKÅNE LÄN</t>
        </is>
      </c>
      <c r="E274" t="inlineStr">
        <is>
          <t>HÄSSLEHOLM</t>
        </is>
      </c>
      <c r="G274" t="n">
        <v>0</v>
      </c>
      <c r="H274" t="n">
        <v>0</v>
      </c>
      <c r="I274" t="n">
        <v>0</v>
      </c>
      <c r="J274" t="n">
        <v>0</v>
      </c>
      <c r="K274" t="n">
        <v>0</v>
      </c>
      <c r="L274" t="n">
        <v>0</v>
      </c>
      <c r="M274" t="n">
        <v>0</v>
      </c>
      <c r="N274" t="n">
        <v>0</v>
      </c>
      <c r="O274" t="n">
        <v>0</v>
      </c>
      <c r="P274" t="n">
        <v>0</v>
      </c>
      <c r="Q274" t="n">
        <v>0</v>
      </c>
      <c r="R274" s="2" t="inlineStr"/>
    </row>
    <row r="275" ht="15" customHeight="1">
      <c r="A275" t="inlineStr">
        <is>
          <t>A 25431-2025</t>
        </is>
      </c>
      <c r="B275" s="1" t="n">
        <v>45800</v>
      </c>
      <c r="C275" s="1" t="n">
        <v>46197</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25432-2025</t>
        </is>
      </c>
      <c r="B276" s="1" t="n">
        <v>45800</v>
      </c>
      <c r="C276" s="1" t="n">
        <v>46197</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11412-2025</t>
        </is>
      </c>
      <c r="B277" s="1" t="n">
        <v>45726</v>
      </c>
      <c r="C277" s="1" t="n">
        <v>46197</v>
      </c>
      <c r="D277" t="inlineStr">
        <is>
          <t>SKÅNE LÄN</t>
        </is>
      </c>
      <c r="E277" t="inlineStr">
        <is>
          <t>HÄSSLEHOLM</t>
        </is>
      </c>
      <c r="G277" t="n">
        <v>2.1</v>
      </c>
      <c r="H277" t="n">
        <v>0</v>
      </c>
      <c r="I277" t="n">
        <v>0</v>
      </c>
      <c r="J277" t="n">
        <v>0</v>
      </c>
      <c r="K277" t="n">
        <v>0</v>
      </c>
      <c r="L277" t="n">
        <v>0</v>
      </c>
      <c r="M277" t="n">
        <v>0</v>
      </c>
      <c r="N277" t="n">
        <v>0</v>
      </c>
      <c r="O277" t="n">
        <v>0</v>
      </c>
      <c r="P277" t="n">
        <v>0</v>
      </c>
      <c r="Q277" t="n">
        <v>0</v>
      </c>
      <c r="R277" s="2" t="inlineStr"/>
    </row>
    <row r="278" ht="15" customHeight="1">
      <c r="A278" t="inlineStr">
        <is>
          <t>A 32881-2024</t>
        </is>
      </c>
      <c r="B278" s="1" t="n">
        <v>45516</v>
      </c>
      <c r="C278" s="1" t="n">
        <v>46197</v>
      </c>
      <c r="D278" t="inlineStr">
        <is>
          <t>SKÅNE LÄN</t>
        </is>
      </c>
      <c r="E278" t="inlineStr">
        <is>
          <t>HÄSSLEHOLM</t>
        </is>
      </c>
      <c r="G278" t="n">
        <v>6.3</v>
      </c>
      <c r="H278" t="n">
        <v>0</v>
      </c>
      <c r="I278" t="n">
        <v>0</v>
      </c>
      <c r="J278" t="n">
        <v>0</v>
      </c>
      <c r="K278" t="n">
        <v>0</v>
      </c>
      <c r="L278" t="n">
        <v>0</v>
      </c>
      <c r="M278" t="n">
        <v>0</v>
      </c>
      <c r="N278" t="n">
        <v>0</v>
      </c>
      <c r="O278" t="n">
        <v>0</v>
      </c>
      <c r="P278" t="n">
        <v>0</v>
      </c>
      <c r="Q278" t="n">
        <v>0</v>
      </c>
      <c r="R278" s="2" t="inlineStr"/>
    </row>
    <row r="279" ht="15" customHeight="1">
      <c r="A279" t="inlineStr">
        <is>
          <t>A 2743-2023</t>
        </is>
      </c>
      <c r="B279" s="1" t="n">
        <v>44944</v>
      </c>
      <c r="C279" s="1" t="n">
        <v>46197</v>
      </c>
      <c r="D279" t="inlineStr">
        <is>
          <t>SKÅNE LÄN</t>
        </is>
      </c>
      <c r="E279" t="inlineStr">
        <is>
          <t>HÄSSLEHOLM</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11466-2025</t>
        </is>
      </c>
      <c r="B280" s="1" t="n">
        <v>45726</v>
      </c>
      <c r="C280" s="1" t="n">
        <v>46197</v>
      </c>
      <c r="D280" t="inlineStr">
        <is>
          <t>SKÅNE LÄN</t>
        </is>
      </c>
      <c r="E280" t="inlineStr">
        <is>
          <t>HÄSSLEHOLM</t>
        </is>
      </c>
      <c r="G280" t="n">
        <v>3.2</v>
      </c>
      <c r="H280" t="n">
        <v>0</v>
      </c>
      <c r="I280" t="n">
        <v>0</v>
      </c>
      <c r="J280" t="n">
        <v>0</v>
      </c>
      <c r="K280" t="n">
        <v>0</v>
      </c>
      <c r="L280" t="n">
        <v>0</v>
      </c>
      <c r="M280" t="n">
        <v>0</v>
      </c>
      <c r="N280" t="n">
        <v>0</v>
      </c>
      <c r="O280" t="n">
        <v>0</v>
      </c>
      <c r="P280" t="n">
        <v>0</v>
      </c>
      <c r="Q280" t="n">
        <v>0</v>
      </c>
      <c r="R280" s="2" t="inlineStr"/>
    </row>
    <row r="281" ht="15" customHeight="1">
      <c r="A281" t="inlineStr">
        <is>
          <t>A 26232-2025</t>
        </is>
      </c>
      <c r="B281" s="1" t="n">
        <v>45805</v>
      </c>
      <c r="C281" s="1" t="n">
        <v>46197</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62044-2022</t>
        </is>
      </c>
      <c r="B282" s="1" t="n">
        <v>44918</v>
      </c>
      <c r="C282" s="1" t="n">
        <v>46197</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6164-2023</t>
        </is>
      </c>
      <c r="B283" s="1" t="n">
        <v>44964</v>
      </c>
      <c r="C283" s="1" t="n">
        <v>46197</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26244-2025</t>
        </is>
      </c>
      <c r="B284" s="1" t="n">
        <v>45805</v>
      </c>
      <c r="C284" s="1" t="n">
        <v>46197</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37318-2024</t>
        </is>
      </c>
      <c r="B285" s="1" t="n">
        <v>45540</v>
      </c>
      <c r="C285" s="1" t="n">
        <v>46197</v>
      </c>
      <c r="D285" t="inlineStr">
        <is>
          <t>SKÅNE LÄN</t>
        </is>
      </c>
      <c r="E285" t="inlineStr">
        <is>
          <t>HÄSSLEHOLM</t>
        </is>
      </c>
      <c r="G285" t="n">
        <v>3.9</v>
      </c>
      <c r="H285" t="n">
        <v>0</v>
      </c>
      <c r="I285" t="n">
        <v>0</v>
      </c>
      <c r="J285" t="n">
        <v>0</v>
      </c>
      <c r="K285" t="n">
        <v>0</v>
      </c>
      <c r="L285" t="n">
        <v>0</v>
      </c>
      <c r="M285" t="n">
        <v>0</v>
      </c>
      <c r="N285" t="n">
        <v>0</v>
      </c>
      <c r="O285" t="n">
        <v>0</v>
      </c>
      <c r="P285" t="n">
        <v>0</v>
      </c>
      <c r="Q285" t="n">
        <v>0</v>
      </c>
      <c r="R285" s="2" t="inlineStr"/>
    </row>
    <row r="286" ht="15" customHeight="1">
      <c r="A286" t="inlineStr">
        <is>
          <t>A 37324-2024</t>
        </is>
      </c>
      <c r="B286" s="1" t="n">
        <v>45540</v>
      </c>
      <c r="C286" s="1" t="n">
        <v>46197</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38358-2024</t>
        </is>
      </c>
      <c r="B287" s="1" t="n">
        <v>45545</v>
      </c>
      <c r="C287" s="1" t="n">
        <v>46197</v>
      </c>
      <c r="D287" t="inlineStr">
        <is>
          <t>SKÅNE LÄN</t>
        </is>
      </c>
      <c r="E287" t="inlineStr">
        <is>
          <t>HÄSSLEHOLM</t>
        </is>
      </c>
      <c r="G287" t="n">
        <v>9</v>
      </c>
      <c r="H287" t="n">
        <v>0</v>
      </c>
      <c r="I287" t="n">
        <v>0</v>
      </c>
      <c r="J287" t="n">
        <v>0</v>
      </c>
      <c r="K287" t="n">
        <v>0</v>
      </c>
      <c r="L287" t="n">
        <v>0</v>
      </c>
      <c r="M287" t="n">
        <v>0</v>
      </c>
      <c r="N287" t="n">
        <v>0</v>
      </c>
      <c r="O287" t="n">
        <v>0</v>
      </c>
      <c r="P287" t="n">
        <v>0</v>
      </c>
      <c r="Q287" t="n">
        <v>0</v>
      </c>
      <c r="R287" s="2" t="inlineStr"/>
    </row>
    <row r="288" ht="15" customHeight="1">
      <c r="A288" t="inlineStr">
        <is>
          <t>A 25176-2024</t>
        </is>
      </c>
      <c r="B288" s="1" t="n">
        <v>45462</v>
      </c>
      <c r="C288" s="1" t="n">
        <v>46197</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3726-2024</t>
        </is>
      </c>
      <c r="B289" s="1" t="n">
        <v>45321</v>
      </c>
      <c r="C289" s="1" t="n">
        <v>46197</v>
      </c>
      <c r="D289" t="inlineStr">
        <is>
          <t>SKÅNE LÄN</t>
        </is>
      </c>
      <c r="E289" t="inlineStr">
        <is>
          <t>HÄSSLEHOLM</t>
        </is>
      </c>
      <c r="G289" t="n">
        <v>0.3</v>
      </c>
      <c r="H289" t="n">
        <v>0</v>
      </c>
      <c r="I289" t="n">
        <v>0</v>
      </c>
      <c r="J289" t="n">
        <v>0</v>
      </c>
      <c r="K289" t="n">
        <v>0</v>
      </c>
      <c r="L289" t="n">
        <v>0</v>
      </c>
      <c r="M289" t="n">
        <v>0</v>
      </c>
      <c r="N289" t="n">
        <v>0</v>
      </c>
      <c r="O289" t="n">
        <v>0</v>
      </c>
      <c r="P289" t="n">
        <v>0</v>
      </c>
      <c r="Q289" t="n">
        <v>0</v>
      </c>
      <c r="R289" s="2" t="inlineStr"/>
    </row>
    <row r="290" ht="15" customHeight="1">
      <c r="A290" t="inlineStr">
        <is>
          <t>A 39044-2024</t>
        </is>
      </c>
      <c r="B290" s="1" t="n">
        <v>45548</v>
      </c>
      <c r="C290" s="1" t="n">
        <v>46197</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14255-2024</t>
        </is>
      </c>
      <c r="B291" s="1" t="n">
        <v>45393</v>
      </c>
      <c r="C291" s="1" t="n">
        <v>46197</v>
      </c>
      <c r="D291" t="inlineStr">
        <is>
          <t>SKÅNE LÄN</t>
        </is>
      </c>
      <c r="E291" t="inlineStr">
        <is>
          <t>HÄSSLEHOLM</t>
        </is>
      </c>
      <c r="G291" t="n">
        <v>11.9</v>
      </c>
      <c r="H291" t="n">
        <v>0</v>
      </c>
      <c r="I291" t="n">
        <v>0</v>
      </c>
      <c r="J291" t="n">
        <v>0</v>
      </c>
      <c r="K291" t="n">
        <v>0</v>
      </c>
      <c r="L291" t="n">
        <v>0</v>
      </c>
      <c r="M291" t="n">
        <v>0</v>
      </c>
      <c r="N291" t="n">
        <v>0</v>
      </c>
      <c r="O291" t="n">
        <v>0</v>
      </c>
      <c r="P291" t="n">
        <v>0</v>
      </c>
      <c r="Q291" t="n">
        <v>0</v>
      </c>
      <c r="R291" s="2" t="inlineStr"/>
    </row>
    <row r="292" ht="15" customHeight="1">
      <c r="A292" t="inlineStr">
        <is>
          <t>A 16368-2025</t>
        </is>
      </c>
      <c r="B292" s="1" t="n">
        <v>45751</v>
      </c>
      <c r="C292" s="1" t="n">
        <v>46197</v>
      </c>
      <c r="D292" t="inlineStr">
        <is>
          <t>SKÅNE LÄN</t>
        </is>
      </c>
      <c r="E292" t="inlineStr">
        <is>
          <t>HÄSSLEHOLM</t>
        </is>
      </c>
      <c r="G292" t="n">
        <v>5</v>
      </c>
      <c r="H292" t="n">
        <v>0</v>
      </c>
      <c r="I292" t="n">
        <v>0</v>
      </c>
      <c r="J292" t="n">
        <v>0</v>
      </c>
      <c r="K292" t="n">
        <v>0</v>
      </c>
      <c r="L292" t="n">
        <v>0</v>
      </c>
      <c r="M292" t="n">
        <v>0</v>
      </c>
      <c r="N292" t="n">
        <v>0</v>
      </c>
      <c r="O292" t="n">
        <v>0</v>
      </c>
      <c r="P292" t="n">
        <v>0</v>
      </c>
      <c r="Q292" t="n">
        <v>0</v>
      </c>
      <c r="R292" s="2" t="inlineStr"/>
    </row>
    <row r="293" ht="15" customHeight="1">
      <c r="A293" t="inlineStr">
        <is>
          <t>A 3298-2026</t>
        </is>
      </c>
      <c r="B293" s="1" t="n">
        <v>46041</v>
      </c>
      <c r="C293" s="1" t="n">
        <v>46197</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20058-2023</t>
        </is>
      </c>
      <c r="B294" s="1" t="n">
        <v>45054</v>
      </c>
      <c r="C294" s="1" t="n">
        <v>46197</v>
      </c>
      <c r="D294" t="inlineStr">
        <is>
          <t>SKÅNE LÄN</t>
        </is>
      </c>
      <c r="E294" t="inlineStr">
        <is>
          <t>HÄSSLEHOLM</t>
        </is>
      </c>
      <c r="G294" t="n">
        <v>1.4</v>
      </c>
      <c r="H294" t="n">
        <v>0</v>
      </c>
      <c r="I294" t="n">
        <v>0</v>
      </c>
      <c r="J294" t="n">
        <v>0</v>
      </c>
      <c r="K294" t="n">
        <v>0</v>
      </c>
      <c r="L294" t="n">
        <v>0</v>
      </c>
      <c r="M294" t="n">
        <v>0</v>
      </c>
      <c r="N294" t="n">
        <v>0</v>
      </c>
      <c r="O294" t="n">
        <v>0</v>
      </c>
      <c r="P294" t="n">
        <v>0</v>
      </c>
      <c r="Q294" t="n">
        <v>0</v>
      </c>
      <c r="R294" s="2" t="inlineStr"/>
    </row>
    <row r="295" ht="15" customHeight="1">
      <c r="A295" t="inlineStr">
        <is>
          <t>A 10897-2023</t>
        </is>
      </c>
      <c r="B295" s="1" t="n">
        <v>44985</v>
      </c>
      <c r="C295" s="1" t="n">
        <v>46197</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26403-2024</t>
        </is>
      </c>
      <c r="B296" s="1" t="n">
        <v>45469</v>
      </c>
      <c r="C296" s="1" t="n">
        <v>46197</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26403-2024</t>
        </is>
      </c>
      <c r="B297" s="1" t="n">
        <v>45469</v>
      </c>
      <c r="C297" s="1" t="n">
        <v>46197</v>
      </c>
      <c r="D297" t="inlineStr">
        <is>
          <t>SKÅNE LÄN</t>
        </is>
      </c>
      <c r="E297" t="inlineStr">
        <is>
          <t>HÄSSLEHOLM</t>
        </is>
      </c>
      <c r="G297" t="n">
        <v>2.6</v>
      </c>
      <c r="H297" t="n">
        <v>0</v>
      </c>
      <c r="I297" t="n">
        <v>0</v>
      </c>
      <c r="J297" t="n">
        <v>0</v>
      </c>
      <c r="K297" t="n">
        <v>0</v>
      </c>
      <c r="L297" t="n">
        <v>0</v>
      </c>
      <c r="M297" t="n">
        <v>0</v>
      </c>
      <c r="N297" t="n">
        <v>0</v>
      </c>
      <c r="O297" t="n">
        <v>0</v>
      </c>
      <c r="P297" t="n">
        <v>0</v>
      </c>
      <c r="Q297" t="n">
        <v>0</v>
      </c>
      <c r="R297" s="2" t="inlineStr"/>
    </row>
    <row r="298" ht="15" customHeight="1">
      <c r="A298" t="inlineStr">
        <is>
          <t>A 27393-2025</t>
        </is>
      </c>
      <c r="B298" s="1" t="n">
        <v>45812</v>
      </c>
      <c r="C298" s="1" t="n">
        <v>46197</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16108-2025</t>
        </is>
      </c>
      <c r="B299" s="1" t="n">
        <v>45750</v>
      </c>
      <c r="C299" s="1" t="n">
        <v>46197</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24776-2025</t>
        </is>
      </c>
      <c r="B300" s="1" t="n">
        <v>45799</v>
      </c>
      <c r="C300" s="1" t="n">
        <v>46197</v>
      </c>
      <c r="D300" t="inlineStr">
        <is>
          <t>SKÅNE LÄN</t>
        </is>
      </c>
      <c r="E300" t="inlineStr">
        <is>
          <t>HÄSSLEHOLM</t>
        </is>
      </c>
      <c r="G300" t="n">
        <v>5.4</v>
      </c>
      <c r="H300" t="n">
        <v>0</v>
      </c>
      <c r="I300" t="n">
        <v>0</v>
      </c>
      <c r="J300" t="n">
        <v>0</v>
      </c>
      <c r="K300" t="n">
        <v>0</v>
      </c>
      <c r="L300" t="n">
        <v>0</v>
      </c>
      <c r="M300" t="n">
        <v>0</v>
      </c>
      <c r="N300" t="n">
        <v>0</v>
      </c>
      <c r="O300" t="n">
        <v>0</v>
      </c>
      <c r="P300" t="n">
        <v>0</v>
      </c>
      <c r="Q300" t="n">
        <v>0</v>
      </c>
      <c r="R300" s="2" t="inlineStr"/>
    </row>
    <row r="301" ht="15" customHeight="1">
      <c r="A301" t="inlineStr">
        <is>
          <t>A 9239-2025</t>
        </is>
      </c>
      <c r="B301" s="1" t="n">
        <v>45714</v>
      </c>
      <c r="C301" s="1" t="n">
        <v>46197</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56986-2024</t>
        </is>
      </c>
      <c r="B302" s="1" t="n">
        <v>45626</v>
      </c>
      <c r="C302" s="1" t="n">
        <v>46197</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49111-2023</t>
        </is>
      </c>
      <c r="B303" s="1" t="n">
        <v>45210</v>
      </c>
      <c r="C303" s="1" t="n">
        <v>46197</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28240-2025</t>
        </is>
      </c>
      <c r="B304" s="1" t="n">
        <v>45817</v>
      </c>
      <c r="C304" s="1" t="n">
        <v>46197</v>
      </c>
      <c r="D304" t="inlineStr">
        <is>
          <t>SKÅNE LÄN</t>
        </is>
      </c>
      <c r="E304" t="inlineStr">
        <is>
          <t>HÄSSLEHOLM</t>
        </is>
      </c>
      <c r="G304" t="n">
        <v>7.7</v>
      </c>
      <c r="H304" t="n">
        <v>0</v>
      </c>
      <c r="I304" t="n">
        <v>0</v>
      </c>
      <c r="J304" t="n">
        <v>0</v>
      </c>
      <c r="K304" t="n">
        <v>0</v>
      </c>
      <c r="L304" t="n">
        <v>0</v>
      </c>
      <c r="M304" t="n">
        <v>0</v>
      </c>
      <c r="N304" t="n">
        <v>0</v>
      </c>
      <c r="O304" t="n">
        <v>0</v>
      </c>
      <c r="P304" t="n">
        <v>0</v>
      </c>
      <c r="Q304" t="n">
        <v>0</v>
      </c>
      <c r="R304" s="2" t="inlineStr"/>
    </row>
    <row r="305" ht="15" customHeight="1">
      <c r="A305" t="inlineStr">
        <is>
          <t>A 39453-2025</t>
        </is>
      </c>
      <c r="B305" s="1" t="n">
        <v>45889</v>
      </c>
      <c r="C305" s="1" t="n">
        <v>46197</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27940-2025</t>
        </is>
      </c>
      <c r="B306" s="1" t="n">
        <v>45817</v>
      </c>
      <c r="C306" s="1" t="n">
        <v>46197</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27887-2025</t>
        </is>
      </c>
      <c r="B307" s="1" t="n">
        <v>45817</v>
      </c>
      <c r="C307" s="1" t="n">
        <v>46197</v>
      </c>
      <c r="D307" t="inlineStr">
        <is>
          <t>SKÅNE LÄN</t>
        </is>
      </c>
      <c r="E307" t="inlineStr">
        <is>
          <t>HÄSSLEHOLM</t>
        </is>
      </c>
      <c r="G307" t="n">
        <v>4.8</v>
      </c>
      <c r="H307" t="n">
        <v>0</v>
      </c>
      <c r="I307" t="n">
        <v>0</v>
      </c>
      <c r="J307" t="n">
        <v>0</v>
      </c>
      <c r="K307" t="n">
        <v>0</v>
      </c>
      <c r="L307" t="n">
        <v>0</v>
      </c>
      <c r="M307" t="n">
        <v>0</v>
      </c>
      <c r="N307" t="n">
        <v>0</v>
      </c>
      <c r="O307" t="n">
        <v>0</v>
      </c>
      <c r="P307" t="n">
        <v>0</v>
      </c>
      <c r="Q307" t="n">
        <v>0</v>
      </c>
      <c r="R307" s="2" t="inlineStr"/>
    </row>
    <row r="308" ht="15" customHeight="1">
      <c r="A308" t="inlineStr">
        <is>
          <t>A 49827-2022</t>
        </is>
      </c>
      <c r="B308" s="1" t="n">
        <v>44859</v>
      </c>
      <c r="C308" s="1" t="n">
        <v>46197</v>
      </c>
      <c r="D308" t="inlineStr">
        <is>
          <t>SKÅNE LÄN</t>
        </is>
      </c>
      <c r="E308" t="inlineStr">
        <is>
          <t>HÄSSLEHOLM</t>
        </is>
      </c>
      <c r="G308" t="n">
        <v>6.1</v>
      </c>
      <c r="H308" t="n">
        <v>0</v>
      </c>
      <c r="I308" t="n">
        <v>0</v>
      </c>
      <c r="J308" t="n">
        <v>0</v>
      </c>
      <c r="K308" t="n">
        <v>0</v>
      </c>
      <c r="L308" t="n">
        <v>0</v>
      </c>
      <c r="M308" t="n">
        <v>0</v>
      </c>
      <c r="N308" t="n">
        <v>0</v>
      </c>
      <c r="O308" t="n">
        <v>0</v>
      </c>
      <c r="P308" t="n">
        <v>0</v>
      </c>
      <c r="Q308" t="n">
        <v>0</v>
      </c>
      <c r="R308" s="2" t="inlineStr"/>
    </row>
    <row r="309" ht="15" customHeight="1">
      <c r="A309" t="inlineStr">
        <is>
          <t>A 39366-2025</t>
        </is>
      </c>
      <c r="B309" s="1" t="n">
        <v>45889</v>
      </c>
      <c r="C309" s="1" t="n">
        <v>46197</v>
      </c>
      <c r="D309" t="inlineStr">
        <is>
          <t>SKÅNE LÄN</t>
        </is>
      </c>
      <c r="E309" t="inlineStr">
        <is>
          <t>HÄSSLEHOLM</t>
        </is>
      </c>
      <c r="G309" t="n">
        <v>1</v>
      </c>
      <c r="H309" t="n">
        <v>0</v>
      </c>
      <c r="I309" t="n">
        <v>0</v>
      </c>
      <c r="J309" t="n">
        <v>0</v>
      </c>
      <c r="K309" t="n">
        <v>0</v>
      </c>
      <c r="L309" t="n">
        <v>0</v>
      </c>
      <c r="M309" t="n">
        <v>0</v>
      </c>
      <c r="N309" t="n">
        <v>0</v>
      </c>
      <c r="O309" t="n">
        <v>0</v>
      </c>
      <c r="P309" t="n">
        <v>0</v>
      </c>
      <c r="Q309" t="n">
        <v>0</v>
      </c>
      <c r="R309" s="2" t="inlineStr"/>
    </row>
    <row r="310" ht="15" customHeight="1">
      <c r="A310" t="inlineStr">
        <is>
          <t>A 28251-2025</t>
        </is>
      </c>
      <c r="B310" s="1" t="n">
        <v>45817</v>
      </c>
      <c r="C310" s="1" t="n">
        <v>46197</v>
      </c>
      <c r="D310" t="inlineStr">
        <is>
          <t>SKÅNE LÄN</t>
        </is>
      </c>
      <c r="E310" t="inlineStr">
        <is>
          <t>HÄSSLEHOLM</t>
        </is>
      </c>
      <c r="G310" t="n">
        <v>7.2</v>
      </c>
      <c r="H310" t="n">
        <v>0</v>
      </c>
      <c r="I310" t="n">
        <v>0</v>
      </c>
      <c r="J310" t="n">
        <v>0</v>
      </c>
      <c r="K310" t="n">
        <v>0</v>
      </c>
      <c r="L310" t="n">
        <v>0</v>
      </c>
      <c r="M310" t="n">
        <v>0</v>
      </c>
      <c r="N310" t="n">
        <v>0</v>
      </c>
      <c r="O310" t="n">
        <v>0</v>
      </c>
      <c r="P310" t="n">
        <v>0</v>
      </c>
      <c r="Q310" t="n">
        <v>0</v>
      </c>
      <c r="R310" s="2" t="inlineStr"/>
    </row>
    <row r="311" ht="15" customHeight="1">
      <c r="A311" t="inlineStr">
        <is>
          <t>A 34299-2024</t>
        </is>
      </c>
      <c r="B311" s="1" t="n">
        <v>45524</v>
      </c>
      <c r="C311" s="1" t="n">
        <v>46197</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28122-2025</t>
        </is>
      </c>
      <c r="B312" s="1" t="n">
        <v>45817</v>
      </c>
      <c r="C312" s="1" t="n">
        <v>46197</v>
      </c>
      <c r="D312" t="inlineStr">
        <is>
          <t>SKÅNE LÄN</t>
        </is>
      </c>
      <c r="E312" t="inlineStr">
        <is>
          <t>HÄSSLEHOLM</t>
        </is>
      </c>
      <c r="G312" t="n">
        <v>2.4</v>
      </c>
      <c r="H312" t="n">
        <v>0</v>
      </c>
      <c r="I312" t="n">
        <v>0</v>
      </c>
      <c r="J312" t="n">
        <v>0</v>
      </c>
      <c r="K312" t="n">
        <v>0</v>
      </c>
      <c r="L312" t="n">
        <v>0</v>
      </c>
      <c r="M312" t="n">
        <v>0</v>
      </c>
      <c r="N312" t="n">
        <v>0</v>
      </c>
      <c r="O312" t="n">
        <v>0</v>
      </c>
      <c r="P312" t="n">
        <v>0</v>
      </c>
      <c r="Q312" t="n">
        <v>0</v>
      </c>
      <c r="R312" s="2" t="inlineStr"/>
    </row>
    <row r="313" ht="15" customHeight="1">
      <c r="A313" t="inlineStr">
        <is>
          <t>A 60846-2022</t>
        </is>
      </c>
      <c r="B313" s="1" t="n">
        <v>44914</v>
      </c>
      <c r="C313" s="1" t="n">
        <v>46197</v>
      </c>
      <c r="D313" t="inlineStr">
        <is>
          <t>SKÅNE LÄN</t>
        </is>
      </c>
      <c r="E313" t="inlineStr">
        <is>
          <t>HÄSSLEHOLM</t>
        </is>
      </c>
      <c r="G313" t="n">
        <v>2.1</v>
      </c>
      <c r="H313" t="n">
        <v>0</v>
      </c>
      <c r="I313" t="n">
        <v>0</v>
      </c>
      <c r="J313" t="n">
        <v>0</v>
      </c>
      <c r="K313" t="n">
        <v>0</v>
      </c>
      <c r="L313" t="n">
        <v>0</v>
      </c>
      <c r="M313" t="n">
        <v>0</v>
      </c>
      <c r="N313" t="n">
        <v>0</v>
      </c>
      <c r="O313" t="n">
        <v>0</v>
      </c>
      <c r="P313" t="n">
        <v>0</v>
      </c>
      <c r="Q313" t="n">
        <v>0</v>
      </c>
      <c r="R313" s="2" t="inlineStr"/>
    </row>
    <row r="314" ht="15" customHeight="1">
      <c r="A314" t="inlineStr">
        <is>
          <t>A 54408-2024</t>
        </is>
      </c>
      <c r="B314" s="1" t="n">
        <v>45617</v>
      </c>
      <c r="C314" s="1" t="n">
        <v>46197</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14008-2023</t>
        </is>
      </c>
      <c r="B315" s="1" t="n">
        <v>45008</v>
      </c>
      <c r="C315" s="1" t="n">
        <v>46197</v>
      </c>
      <c r="D315" t="inlineStr">
        <is>
          <t>SKÅNE LÄN</t>
        </is>
      </c>
      <c r="E315" t="inlineStr">
        <is>
          <t>HÄSSLEHOLM</t>
        </is>
      </c>
      <c r="G315" t="n">
        <v>3.3</v>
      </c>
      <c r="H315" t="n">
        <v>0</v>
      </c>
      <c r="I315" t="n">
        <v>0</v>
      </c>
      <c r="J315" t="n">
        <v>0</v>
      </c>
      <c r="K315" t="n">
        <v>0</v>
      </c>
      <c r="L315" t="n">
        <v>0</v>
      </c>
      <c r="M315" t="n">
        <v>0</v>
      </c>
      <c r="N315" t="n">
        <v>0</v>
      </c>
      <c r="O315" t="n">
        <v>0</v>
      </c>
      <c r="P315" t="n">
        <v>0</v>
      </c>
      <c r="Q315" t="n">
        <v>0</v>
      </c>
      <c r="R315" s="2" t="inlineStr"/>
    </row>
    <row r="316" ht="15" customHeight="1">
      <c r="A316" t="inlineStr">
        <is>
          <t>A 39937-2025</t>
        </is>
      </c>
      <c r="B316" s="1" t="n">
        <v>45891</v>
      </c>
      <c r="C316" s="1" t="n">
        <v>46197</v>
      </c>
      <c r="D316" t="inlineStr">
        <is>
          <t>SKÅNE LÄN</t>
        </is>
      </c>
      <c r="E316" t="inlineStr">
        <is>
          <t>HÄSSLEHOLM</t>
        </is>
      </c>
      <c r="G316" t="n">
        <v>4.5</v>
      </c>
      <c r="H316" t="n">
        <v>0</v>
      </c>
      <c r="I316" t="n">
        <v>0</v>
      </c>
      <c r="J316" t="n">
        <v>0</v>
      </c>
      <c r="K316" t="n">
        <v>0</v>
      </c>
      <c r="L316" t="n">
        <v>0</v>
      </c>
      <c r="M316" t="n">
        <v>0</v>
      </c>
      <c r="N316" t="n">
        <v>0</v>
      </c>
      <c r="O316" t="n">
        <v>0</v>
      </c>
      <c r="P316" t="n">
        <v>0</v>
      </c>
      <c r="Q316" t="n">
        <v>0</v>
      </c>
      <c r="R316" s="2" t="inlineStr"/>
    </row>
    <row r="317" ht="15" customHeight="1">
      <c r="A317" t="inlineStr">
        <is>
          <t>A 20493-2024</t>
        </is>
      </c>
      <c r="B317" s="1" t="n">
        <v>45435</v>
      </c>
      <c r="C317" s="1" t="n">
        <v>46197</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41874-2024</t>
        </is>
      </c>
      <c r="B318" s="1" t="n">
        <v>45561</v>
      </c>
      <c r="C318" s="1" t="n">
        <v>46197</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11798-2022</t>
        </is>
      </c>
      <c r="B319" s="1" t="n">
        <v>44634</v>
      </c>
      <c r="C319" s="1" t="n">
        <v>46197</v>
      </c>
      <c r="D319" t="inlineStr">
        <is>
          <t>SKÅNE LÄN</t>
        </is>
      </c>
      <c r="E319" t="inlineStr">
        <is>
          <t>HÄSSLEHOLM</t>
        </is>
      </c>
      <c r="G319" t="n">
        <v>2.8</v>
      </c>
      <c r="H319" t="n">
        <v>0</v>
      </c>
      <c r="I319" t="n">
        <v>0</v>
      </c>
      <c r="J319" t="n">
        <v>0</v>
      </c>
      <c r="K319" t="n">
        <v>0</v>
      </c>
      <c r="L319" t="n">
        <v>0</v>
      </c>
      <c r="M319" t="n">
        <v>0</v>
      </c>
      <c r="N319" t="n">
        <v>0</v>
      </c>
      <c r="O319" t="n">
        <v>0</v>
      </c>
      <c r="P319" t="n">
        <v>0</v>
      </c>
      <c r="Q319" t="n">
        <v>0</v>
      </c>
      <c r="R319" s="2" t="inlineStr"/>
    </row>
    <row r="320" ht="15" customHeight="1">
      <c r="A320" t="inlineStr">
        <is>
          <t>A 29170-2025</t>
        </is>
      </c>
      <c r="B320" s="1" t="n">
        <v>45821</v>
      </c>
      <c r="C320" s="1" t="n">
        <v>46197</v>
      </c>
      <c r="D320" t="inlineStr">
        <is>
          <t>SKÅNE LÄN</t>
        </is>
      </c>
      <c r="E320" t="inlineStr">
        <is>
          <t>HÄSSLEHOLM</t>
        </is>
      </c>
      <c r="G320" t="n">
        <v>3.1</v>
      </c>
      <c r="H320" t="n">
        <v>0</v>
      </c>
      <c r="I320" t="n">
        <v>0</v>
      </c>
      <c r="J320" t="n">
        <v>0</v>
      </c>
      <c r="K320" t="n">
        <v>0</v>
      </c>
      <c r="L320" t="n">
        <v>0</v>
      </c>
      <c r="M320" t="n">
        <v>0</v>
      </c>
      <c r="N320" t="n">
        <v>0</v>
      </c>
      <c r="O320" t="n">
        <v>0</v>
      </c>
      <c r="P320" t="n">
        <v>0</v>
      </c>
      <c r="Q320" t="n">
        <v>0</v>
      </c>
      <c r="R320" s="2" t="inlineStr"/>
    </row>
    <row r="321" ht="15" customHeight="1">
      <c r="A321" t="inlineStr">
        <is>
          <t>A 39223-2024</t>
        </is>
      </c>
      <c r="B321" s="1" t="n">
        <v>45550</v>
      </c>
      <c r="C321" s="1" t="n">
        <v>46197</v>
      </c>
      <c r="D321" t="inlineStr">
        <is>
          <t>SKÅNE LÄN</t>
        </is>
      </c>
      <c r="E321" t="inlineStr">
        <is>
          <t>HÄSSLEHOLM</t>
        </is>
      </c>
      <c r="G321" t="n">
        <v>3.1</v>
      </c>
      <c r="H321" t="n">
        <v>0</v>
      </c>
      <c r="I321" t="n">
        <v>0</v>
      </c>
      <c r="J321" t="n">
        <v>0</v>
      </c>
      <c r="K321" t="n">
        <v>0</v>
      </c>
      <c r="L321" t="n">
        <v>0</v>
      </c>
      <c r="M321" t="n">
        <v>0</v>
      </c>
      <c r="N321" t="n">
        <v>0</v>
      </c>
      <c r="O321" t="n">
        <v>0</v>
      </c>
      <c r="P321" t="n">
        <v>0</v>
      </c>
      <c r="Q321" t="n">
        <v>0</v>
      </c>
      <c r="R321" s="2" t="inlineStr"/>
    </row>
    <row r="322" ht="15" customHeight="1">
      <c r="A322" t="inlineStr">
        <is>
          <t>A 29168-2025</t>
        </is>
      </c>
      <c r="B322" s="1" t="n">
        <v>45821</v>
      </c>
      <c r="C322" s="1" t="n">
        <v>46197</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3904-2026</t>
        </is>
      </c>
      <c r="B323" s="1" t="n">
        <v>46043</v>
      </c>
      <c r="C323" s="1" t="n">
        <v>46197</v>
      </c>
      <c r="D323" t="inlineStr">
        <is>
          <t>SKÅNE LÄN</t>
        </is>
      </c>
      <c r="E323" t="inlineStr">
        <is>
          <t>HÄSSLEHOLM</t>
        </is>
      </c>
      <c r="G323" t="n">
        <v>1.3</v>
      </c>
      <c r="H323" t="n">
        <v>0</v>
      </c>
      <c r="I323" t="n">
        <v>0</v>
      </c>
      <c r="J323" t="n">
        <v>0</v>
      </c>
      <c r="K323" t="n">
        <v>0</v>
      </c>
      <c r="L323" t="n">
        <v>0</v>
      </c>
      <c r="M323" t="n">
        <v>0</v>
      </c>
      <c r="N323" t="n">
        <v>0</v>
      </c>
      <c r="O323" t="n">
        <v>0</v>
      </c>
      <c r="P323" t="n">
        <v>0</v>
      </c>
      <c r="Q323" t="n">
        <v>0</v>
      </c>
      <c r="R323" s="2" t="inlineStr"/>
    </row>
    <row r="324" ht="15" customHeight="1">
      <c r="A324" t="inlineStr">
        <is>
          <t>A 14700-2023</t>
        </is>
      </c>
      <c r="B324" s="1" t="n">
        <v>45014</v>
      </c>
      <c r="C324" s="1" t="n">
        <v>46197</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41400-2025</t>
        </is>
      </c>
      <c r="B325" s="1" t="n">
        <v>45901</v>
      </c>
      <c r="C325" s="1" t="n">
        <v>46197</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3531-2023</t>
        </is>
      </c>
      <c r="B326" s="1" t="n">
        <v>44950</v>
      </c>
      <c r="C326" s="1" t="n">
        <v>46197</v>
      </c>
      <c r="D326" t="inlineStr">
        <is>
          <t>SKÅNE LÄN</t>
        </is>
      </c>
      <c r="E326" t="inlineStr">
        <is>
          <t>HÄSSLEHOLM</t>
        </is>
      </c>
      <c r="G326" t="n">
        <v>10.1</v>
      </c>
      <c r="H326" t="n">
        <v>0</v>
      </c>
      <c r="I326" t="n">
        <v>0</v>
      </c>
      <c r="J326" t="n">
        <v>0</v>
      </c>
      <c r="K326" t="n">
        <v>0</v>
      </c>
      <c r="L326" t="n">
        <v>0</v>
      </c>
      <c r="M326" t="n">
        <v>0</v>
      </c>
      <c r="N326" t="n">
        <v>0</v>
      </c>
      <c r="O326" t="n">
        <v>0</v>
      </c>
      <c r="P326" t="n">
        <v>0</v>
      </c>
      <c r="Q326" t="n">
        <v>0</v>
      </c>
      <c r="R326" s="2" t="inlineStr"/>
    </row>
    <row r="327" ht="15" customHeight="1">
      <c r="A327" t="inlineStr">
        <is>
          <t>A 4579-2025</t>
        </is>
      </c>
      <c r="B327" s="1" t="n">
        <v>45687</v>
      </c>
      <c r="C327" s="1" t="n">
        <v>46197</v>
      </c>
      <c r="D327" t="inlineStr">
        <is>
          <t>SKÅNE LÄN</t>
        </is>
      </c>
      <c r="E327" t="inlineStr">
        <is>
          <t>HÄSSLEHOLM</t>
        </is>
      </c>
      <c r="G327" t="n">
        <v>2.8</v>
      </c>
      <c r="H327" t="n">
        <v>0</v>
      </c>
      <c r="I327" t="n">
        <v>0</v>
      </c>
      <c r="J327" t="n">
        <v>0</v>
      </c>
      <c r="K327" t="n">
        <v>0</v>
      </c>
      <c r="L327" t="n">
        <v>0</v>
      </c>
      <c r="M327" t="n">
        <v>0</v>
      </c>
      <c r="N327" t="n">
        <v>0</v>
      </c>
      <c r="O327" t="n">
        <v>0</v>
      </c>
      <c r="P327" t="n">
        <v>0</v>
      </c>
      <c r="Q327" t="n">
        <v>0</v>
      </c>
      <c r="R327" s="2" t="inlineStr"/>
    </row>
    <row r="328" ht="15" customHeight="1">
      <c r="A328" t="inlineStr">
        <is>
          <t>A 18623-2023</t>
        </is>
      </c>
      <c r="B328" s="1" t="n">
        <v>45043</v>
      </c>
      <c r="C328" s="1" t="n">
        <v>46197</v>
      </c>
      <c r="D328" t="inlineStr">
        <is>
          <t>SKÅNE LÄN</t>
        </is>
      </c>
      <c r="E328" t="inlineStr">
        <is>
          <t>HÄSSLEHOLM</t>
        </is>
      </c>
      <c r="G328" t="n">
        <v>3.2</v>
      </c>
      <c r="H328" t="n">
        <v>0</v>
      </c>
      <c r="I328" t="n">
        <v>0</v>
      </c>
      <c r="J328" t="n">
        <v>0</v>
      </c>
      <c r="K328" t="n">
        <v>0</v>
      </c>
      <c r="L328" t="n">
        <v>0</v>
      </c>
      <c r="M328" t="n">
        <v>0</v>
      </c>
      <c r="N328" t="n">
        <v>0</v>
      </c>
      <c r="O328" t="n">
        <v>0</v>
      </c>
      <c r="P328" t="n">
        <v>0</v>
      </c>
      <c r="Q328" t="n">
        <v>0</v>
      </c>
      <c r="R328" s="2" t="inlineStr"/>
    </row>
    <row r="329" ht="15" customHeight="1">
      <c r="A329" t="inlineStr">
        <is>
          <t>A 41401-2025</t>
        </is>
      </c>
      <c r="B329" s="1" t="n">
        <v>45901</v>
      </c>
      <c r="C329" s="1" t="n">
        <v>46197</v>
      </c>
      <c r="D329" t="inlineStr">
        <is>
          <t>SKÅNE LÄN</t>
        </is>
      </c>
      <c r="E329" t="inlineStr">
        <is>
          <t>HÄSSLEHOLM</t>
        </is>
      </c>
      <c r="G329" t="n">
        <v>0.4</v>
      </c>
      <c r="H329" t="n">
        <v>0</v>
      </c>
      <c r="I329" t="n">
        <v>0</v>
      </c>
      <c r="J329" t="n">
        <v>0</v>
      </c>
      <c r="K329" t="n">
        <v>0</v>
      </c>
      <c r="L329" t="n">
        <v>0</v>
      </c>
      <c r="M329" t="n">
        <v>0</v>
      </c>
      <c r="N329" t="n">
        <v>0</v>
      </c>
      <c r="O329" t="n">
        <v>0</v>
      </c>
      <c r="P329" t="n">
        <v>0</v>
      </c>
      <c r="Q329" t="n">
        <v>0</v>
      </c>
      <c r="R329" s="2" t="inlineStr"/>
    </row>
    <row r="330" ht="15" customHeight="1">
      <c r="A330" t="inlineStr">
        <is>
          <t>A 3663-2024</t>
        </is>
      </c>
      <c r="B330" s="1" t="n">
        <v>45321</v>
      </c>
      <c r="C330" s="1" t="n">
        <v>46197</v>
      </c>
      <c r="D330" t="inlineStr">
        <is>
          <t>SKÅNE LÄN</t>
        </is>
      </c>
      <c r="E330" t="inlineStr">
        <is>
          <t>HÄSSLEHOLM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67801-2021</t>
        </is>
      </c>
      <c r="B331" s="1" t="n">
        <v>44525</v>
      </c>
      <c r="C331" s="1" t="n">
        <v>46197</v>
      </c>
      <c r="D331" t="inlineStr">
        <is>
          <t>SKÅNE LÄN</t>
        </is>
      </c>
      <c r="E331" t="inlineStr">
        <is>
          <t>HÄSSLEHOLM</t>
        </is>
      </c>
      <c r="G331" t="n">
        <v>2.2</v>
      </c>
      <c r="H331" t="n">
        <v>0</v>
      </c>
      <c r="I331" t="n">
        <v>0</v>
      </c>
      <c r="J331" t="n">
        <v>0</v>
      </c>
      <c r="K331" t="n">
        <v>0</v>
      </c>
      <c r="L331" t="n">
        <v>0</v>
      </c>
      <c r="M331" t="n">
        <v>0</v>
      </c>
      <c r="N331" t="n">
        <v>0</v>
      </c>
      <c r="O331" t="n">
        <v>0</v>
      </c>
      <c r="P331" t="n">
        <v>0</v>
      </c>
      <c r="Q331" t="n">
        <v>0</v>
      </c>
      <c r="R331" s="2" t="inlineStr"/>
    </row>
    <row r="332" ht="15" customHeight="1">
      <c r="A332" t="inlineStr">
        <is>
          <t>A 31159-2025</t>
        </is>
      </c>
      <c r="B332" s="1" t="n">
        <v>45832</v>
      </c>
      <c r="C332" s="1" t="n">
        <v>46197</v>
      </c>
      <c r="D332" t="inlineStr">
        <is>
          <t>SKÅNE LÄN</t>
        </is>
      </c>
      <c r="E332" t="inlineStr">
        <is>
          <t>HÄSSLEHOLM</t>
        </is>
      </c>
      <c r="G332" t="n">
        <v>1</v>
      </c>
      <c r="H332" t="n">
        <v>0</v>
      </c>
      <c r="I332" t="n">
        <v>0</v>
      </c>
      <c r="J332" t="n">
        <v>0</v>
      </c>
      <c r="K332" t="n">
        <v>0</v>
      </c>
      <c r="L332" t="n">
        <v>0</v>
      </c>
      <c r="M332" t="n">
        <v>0</v>
      </c>
      <c r="N332" t="n">
        <v>0</v>
      </c>
      <c r="O332" t="n">
        <v>0</v>
      </c>
      <c r="P332" t="n">
        <v>0</v>
      </c>
      <c r="Q332" t="n">
        <v>0</v>
      </c>
      <c r="R332" s="2" t="inlineStr"/>
    </row>
    <row r="333" ht="15" customHeight="1">
      <c r="A333" t="inlineStr">
        <is>
          <t>A 45398-2024</t>
        </is>
      </c>
      <c r="B333" s="1" t="n">
        <v>45576</v>
      </c>
      <c r="C333" s="1" t="n">
        <v>46197</v>
      </c>
      <c r="D333" t="inlineStr">
        <is>
          <t>SKÅNE LÄN</t>
        </is>
      </c>
      <c r="E333" t="inlineStr">
        <is>
          <t>HÄSSLEHOLM</t>
        </is>
      </c>
      <c r="G333" t="n">
        <v>4.2</v>
      </c>
      <c r="H333" t="n">
        <v>0</v>
      </c>
      <c r="I333" t="n">
        <v>0</v>
      </c>
      <c r="J333" t="n">
        <v>0</v>
      </c>
      <c r="K333" t="n">
        <v>0</v>
      </c>
      <c r="L333" t="n">
        <v>0</v>
      </c>
      <c r="M333" t="n">
        <v>0</v>
      </c>
      <c r="N333" t="n">
        <v>0</v>
      </c>
      <c r="O333" t="n">
        <v>0</v>
      </c>
      <c r="P333" t="n">
        <v>0</v>
      </c>
      <c r="Q333" t="n">
        <v>0</v>
      </c>
      <c r="R333" s="2" t="inlineStr"/>
    </row>
    <row r="334" ht="15" customHeight="1">
      <c r="A334" t="inlineStr">
        <is>
          <t>A 4809-2025</t>
        </is>
      </c>
      <c r="B334" s="1" t="n">
        <v>45688</v>
      </c>
      <c r="C334" s="1" t="n">
        <v>46197</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59030-2024</t>
        </is>
      </c>
      <c r="B335" s="1" t="n">
        <v>45636</v>
      </c>
      <c r="C335" s="1" t="n">
        <v>46197</v>
      </c>
      <c r="D335" t="inlineStr">
        <is>
          <t>SKÅNE LÄN</t>
        </is>
      </c>
      <c r="E335" t="inlineStr">
        <is>
          <t>HÄSSLEHOLM</t>
        </is>
      </c>
      <c r="G335" t="n">
        <v>1.5</v>
      </c>
      <c r="H335" t="n">
        <v>0</v>
      </c>
      <c r="I335" t="n">
        <v>0</v>
      </c>
      <c r="J335" t="n">
        <v>0</v>
      </c>
      <c r="K335" t="n">
        <v>0</v>
      </c>
      <c r="L335" t="n">
        <v>0</v>
      </c>
      <c r="M335" t="n">
        <v>0</v>
      </c>
      <c r="N335" t="n">
        <v>0</v>
      </c>
      <c r="O335" t="n">
        <v>0</v>
      </c>
      <c r="P335" t="n">
        <v>0</v>
      </c>
      <c r="Q335" t="n">
        <v>0</v>
      </c>
      <c r="R335" s="2" t="inlineStr"/>
    </row>
    <row r="336" ht="15" customHeight="1">
      <c r="A336" t="inlineStr">
        <is>
          <t>A 7481-2023</t>
        </is>
      </c>
      <c r="B336" s="1" t="n">
        <v>44971</v>
      </c>
      <c r="C336" s="1" t="n">
        <v>46197</v>
      </c>
      <c r="D336" t="inlineStr">
        <is>
          <t>SKÅNE LÄN</t>
        </is>
      </c>
      <c r="E336" t="inlineStr">
        <is>
          <t>HÄSSLEHOLM</t>
        </is>
      </c>
      <c r="G336" t="n">
        <v>1.4</v>
      </c>
      <c r="H336" t="n">
        <v>0</v>
      </c>
      <c r="I336" t="n">
        <v>0</v>
      </c>
      <c r="J336" t="n">
        <v>0</v>
      </c>
      <c r="K336" t="n">
        <v>0</v>
      </c>
      <c r="L336" t="n">
        <v>0</v>
      </c>
      <c r="M336" t="n">
        <v>0</v>
      </c>
      <c r="N336" t="n">
        <v>0</v>
      </c>
      <c r="O336" t="n">
        <v>0</v>
      </c>
      <c r="P336" t="n">
        <v>0</v>
      </c>
      <c r="Q336" t="n">
        <v>0</v>
      </c>
      <c r="R336" s="2" t="inlineStr"/>
    </row>
    <row r="337" ht="15" customHeight="1">
      <c r="A337" t="inlineStr">
        <is>
          <t>A 35150-2023</t>
        </is>
      </c>
      <c r="B337" s="1" t="n">
        <v>45145</v>
      </c>
      <c r="C337" s="1" t="n">
        <v>46197</v>
      </c>
      <c r="D337" t="inlineStr">
        <is>
          <t>SKÅNE LÄN</t>
        </is>
      </c>
      <c r="E337" t="inlineStr">
        <is>
          <t>HÄSSLEHOLM</t>
        </is>
      </c>
      <c r="G337" t="n">
        <v>4.9</v>
      </c>
      <c r="H337" t="n">
        <v>0</v>
      </c>
      <c r="I337" t="n">
        <v>0</v>
      </c>
      <c r="J337" t="n">
        <v>0</v>
      </c>
      <c r="K337" t="n">
        <v>0</v>
      </c>
      <c r="L337" t="n">
        <v>0</v>
      </c>
      <c r="M337" t="n">
        <v>0</v>
      </c>
      <c r="N337" t="n">
        <v>0</v>
      </c>
      <c r="O337" t="n">
        <v>0</v>
      </c>
      <c r="P337" t="n">
        <v>0</v>
      </c>
      <c r="Q337" t="n">
        <v>0</v>
      </c>
      <c r="R337" s="2" t="inlineStr"/>
    </row>
    <row r="338" ht="15" customHeight="1">
      <c r="A338" t="inlineStr">
        <is>
          <t>A 3715-2026</t>
        </is>
      </c>
      <c r="B338" s="1" t="n">
        <v>46043</v>
      </c>
      <c r="C338" s="1" t="n">
        <v>46197</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42520-2025</t>
        </is>
      </c>
      <c r="B339" s="1" t="n">
        <v>45905</v>
      </c>
      <c r="C339" s="1" t="n">
        <v>46197</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12507-2022</t>
        </is>
      </c>
      <c r="B340" s="1" t="n">
        <v>44638</v>
      </c>
      <c r="C340" s="1" t="n">
        <v>46197</v>
      </c>
      <c r="D340" t="inlineStr">
        <is>
          <t>SKÅNE LÄN</t>
        </is>
      </c>
      <c r="E340" t="inlineStr">
        <is>
          <t>HÄSSLEHOLM</t>
        </is>
      </c>
      <c r="G340" t="n">
        <v>2.7</v>
      </c>
      <c r="H340" t="n">
        <v>0</v>
      </c>
      <c r="I340" t="n">
        <v>0</v>
      </c>
      <c r="J340" t="n">
        <v>0</v>
      </c>
      <c r="K340" t="n">
        <v>0</v>
      </c>
      <c r="L340" t="n">
        <v>0</v>
      </c>
      <c r="M340" t="n">
        <v>0</v>
      </c>
      <c r="N340" t="n">
        <v>0</v>
      </c>
      <c r="O340" t="n">
        <v>0</v>
      </c>
      <c r="P340" t="n">
        <v>0</v>
      </c>
      <c r="Q340" t="n">
        <v>0</v>
      </c>
      <c r="R340" s="2" t="inlineStr"/>
    </row>
    <row r="341" ht="15" customHeight="1">
      <c r="A341" t="inlineStr">
        <is>
          <t>A 43332-2025</t>
        </is>
      </c>
      <c r="B341" s="1" t="n">
        <v>45910</v>
      </c>
      <c r="C341" s="1" t="n">
        <v>46197</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32585-2025</t>
        </is>
      </c>
      <c r="B342" s="1" t="n">
        <v>45838</v>
      </c>
      <c r="C342" s="1" t="n">
        <v>46197</v>
      </c>
      <c r="D342" t="inlineStr">
        <is>
          <t>SKÅNE LÄN</t>
        </is>
      </c>
      <c r="E342" t="inlineStr">
        <is>
          <t>HÄSSLEHOLM</t>
        </is>
      </c>
      <c r="G342" t="n">
        <v>2.1</v>
      </c>
      <c r="H342" t="n">
        <v>0</v>
      </c>
      <c r="I342" t="n">
        <v>0</v>
      </c>
      <c r="J342" t="n">
        <v>0</v>
      </c>
      <c r="K342" t="n">
        <v>0</v>
      </c>
      <c r="L342" t="n">
        <v>0</v>
      </c>
      <c r="M342" t="n">
        <v>0</v>
      </c>
      <c r="N342" t="n">
        <v>0</v>
      </c>
      <c r="O342" t="n">
        <v>0</v>
      </c>
      <c r="P342" t="n">
        <v>0</v>
      </c>
      <c r="Q342" t="n">
        <v>0</v>
      </c>
      <c r="R342" s="2" t="inlineStr"/>
    </row>
    <row r="343" ht="15" customHeight="1">
      <c r="A343" t="inlineStr">
        <is>
          <t>A 32592-2025</t>
        </is>
      </c>
      <c r="B343" s="1" t="n">
        <v>45838</v>
      </c>
      <c r="C343" s="1" t="n">
        <v>46197</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22690-2022</t>
        </is>
      </c>
      <c r="B344" s="1" t="n">
        <v>44714</v>
      </c>
      <c r="C344" s="1" t="n">
        <v>46197</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57079-2022</t>
        </is>
      </c>
      <c r="B345" s="1" t="n">
        <v>44895</v>
      </c>
      <c r="C345" s="1" t="n">
        <v>46197</v>
      </c>
      <c r="D345" t="inlineStr">
        <is>
          <t>SKÅNE LÄN</t>
        </is>
      </c>
      <c r="E345" t="inlineStr">
        <is>
          <t>HÄSSLEHOLM</t>
        </is>
      </c>
      <c r="G345" t="n">
        <v>2.6</v>
      </c>
      <c r="H345" t="n">
        <v>0</v>
      </c>
      <c r="I345" t="n">
        <v>0</v>
      </c>
      <c r="J345" t="n">
        <v>0</v>
      </c>
      <c r="K345" t="n">
        <v>0</v>
      </c>
      <c r="L345" t="n">
        <v>0</v>
      </c>
      <c r="M345" t="n">
        <v>0</v>
      </c>
      <c r="N345" t="n">
        <v>0</v>
      </c>
      <c r="O345" t="n">
        <v>0</v>
      </c>
      <c r="P345" t="n">
        <v>0</v>
      </c>
      <c r="Q345" t="n">
        <v>0</v>
      </c>
      <c r="R345" s="2" t="inlineStr"/>
    </row>
    <row r="346" ht="15" customHeight="1">
      <c r="A346" t="inlineStr">
        <is>
          <t>A 43516-2025</t>
        </is>
      </c>
      <c r="B346" s="1" t="n">
        <v>45911</v>
      </c>
      <c r="C346" s="1" t="n">
        <v>46197</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43738-2025</t>
        </is>
      </c>
      <c r="B347" s="1" t="n">
        <v>45912</v>
      </c>
      <c r="C347" s="1" t="n">
        <v>46197</v>
      </c>
      <c r="D347" t="inlineStr">
        <is>
          <t>SKÅNE LÄN</t>
        </is>
      </c>
      <c r="E347" t="inlineStr">
        <is>
          <t>HÄSSLEHOLM</t>
        </is>
      </c>
      <c r="G347" t="n">
        <v>1.3</v>
      </c>
      <c r="H347" t="n">
        <v>0</v>
      </c>
      <c r="I347" t="n">
        <v>0</v>
      </c>
      <c r="J347" t="n">
        <v>0</v>
      </c>
      <c r="K347" t="n">
        <v>0</v>
      </c>
      <c r="L347" t="n">
        <v>0</v>
      </c>
      <c r="M347" t="n">
        <v>0</v>
      </c>
      <c r="N347" t="n">
        <v>0</v>
      </c>
      <c r="O347" t="n">
        <v>0</v>
      </c>
      <c r="P347" t="n">
        <v>0</v>
      </c>
      <c r="Q347" t="n">
        <v>0</v>
      </c>
      <c r="R347" s="2" t="inlineStr"/>
    </row>
    <row r="348" ht="15" customHeight="1">
      <c r="A348" t="inlineStr">
        <is>
          <t>A 43741-2025</t>
        </is>
      </c>
      <c r="B348" s="1" t="n">
        <v>45912</v>
      </c>
      <c r="C348" s="1" t="n">
        <v>46197</v>
      </c>
      <c r="D348" t="inlineStr">
        <is>
          <t>SKÅNE LÄN</t>
        </is>
      </c>
      <c r="E348" t="inlineStr">
        <is>
          <t>HÄSSLEHOLM</t>
        </is>
      </c>
      <c r="G348" t="n">
        <v>4.3</v>
      </c>
      <c r="H348" t="n">
        <v>0</v>
      </c>
      <c r="I348" t="n">
        <v>0</v>
      </c>
      <c r="J348" t="n">
        <v>0</v>
      </c>
      <c r="K348" t="n">
        <v>0</v>
      </c>
      <c r="L348" t="n">
        <v>0</v>
      </c>
      <c r="M348" t="n">
        <v>0</v>
      </c>
      <c r="N348" t="n">
        <v>0</v>
      </c>
      <c r="O348" t="n">
        <v>0</v>
      </c>
      <c r="P348" t="n">
        <v>0</v>
      </c>
      <c r="Q348" t="n">
        <v>0</v>
      </c>
      <c r="R348" s="2" t="inlineStr"/>
    </row>
    <row r="349" ht="15" customHeight="1">
      <c r="A349" t="inlineStr">
        <is>
          <t>A 15417-2022</t>
        </is>
      </c>
      <c r="B349" s="1" t="n">
        <v>44659</v>
      </c>
      <c r="C349" s="1" t="n">
        <v>46197</v>
      </c>
      <c r="D349" t="inlineStr">
        <is>
          <t>SKÅNE LÄN</t>
        </is>
      </c>
      <c r="E349" t="inlineStr">
        <is>
          <t>HÄSSLEHOLM</t>
        </is>
      </c>
      <c r="F349" t="inlineStr">
        <is>
          <t>Kyrkan</t>
        </is>
      </c>
      <c r="G349" t="n">
        <v>2.9</v>
      </c>
      <c r="H349" t="n">
        <v>0</v>
      </c>
      <c r="I349" t="n">
        <v>0</v>
      </c>
      <c r="J349" t="n">
        <v>0</v>
      </c>
      <c r="K349" t="n">
        <v>0</v>
      </c>
      <c r="L349" t="n">
        <v>0</v>
      </c>
      <c r="M349" t="n">
        <v>0</v>
      </c>
      <c r="N349" t="n">
        <v>0</v>
      </c>
      <c r="O349" t="n">
        <v>0</v>
      </c>
      <c r="P349" t="n">
        <v>0</v>
      </c>
      <c r="Q349" t="n">
        <v>0</v>
      </c>
      <c r="R349" s="2" t="inlineStr"/>
    </row>
    <row r="350" ht="15" customHeight="1">
      <c r="A350" t="inlineStr">
        <is>
          <t>A 20564-2023</t>
        </is>
      </c>
      <c r="B350" s="1" t="n">
        <v>45057</v>
      </c>
      <c r="C350" s="1" t="n">
        <v>46197</v>
      </c>
      <c r="D350" t="inlineStr">
        <is>
          <t>SKÅNE LÄN</t>
        </is>
      </c>
      <c r="E350" t="inlineStr">
        <is>
          <t>HÄSSLEHOLM</t>
        </is>
      </c>
      <c r="G350" t="n">
        <v>2.6</v>
      </c>
      <c r="H350" t="n">
        <v>0</v>
      </c>
      <c r="I350" t="n">
        <v>0</v>
      </c>
      <c r="J350" t="n">
        <v>0</v>
      </c>
      <c r="K350" t="n">
        <v>0</v>
      </c>
      <c r="L350" t="n">
        <v>0</v>
      </c>
      <c r="M350" t="n">
        <v>0</v>
      </c>
      <c r="N350" t="n">
        <v>0</v>
      </c>
      <c r="O350" t="n">
        <v>0</v>
      </c>
      <c r="P350" t="n">
        <v>0</v>
      </c>
      <c r="Q350" t="n">
        <v>0</v>
      </c>
      <c r="R350" s="2" t="inlineStr"/>
    </row>
    <row r="351" ht="15" customHeight="1">
      <c r="A351" t="inlineStr">
        <is>
          <t>A 43869-2025</t>
        </is>
      </c>
      <c r="B351" s="1" t="n">
        <v>45912</v>
      </c>
      <c r="C351" s="1" t="n">
        <v>46197</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41694-2024</t>
        </is>
      </c>
      <c r="B352" s="1" t="n">
        <v>45560</v>
      </c>
      <c r="C352" s="1" t="n">
        <v>46197</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47757-2024</t>
        </is>
      </c>
      <c r="B353" s="1" t="n">
        <v>45588</v>
      </c>
      <c r="C353" s="1" t="n">
        <v>46197</v>
      </c>
      <c r="D353" t="inlineStr">
        <is>
          <t>SKÅNE LÄN</t>
        </is>
      </c>
      <c r="E353" t="inlineStr">
        <is>
          <t>HÄSSLEHOLM</t>
        </is>
      </c>
      <c r="G353" t="n">
        <v>5.5</v>
      </c>
      <c r="H353" t="n">
        <v>0</v>
      </c>
      <c r="I353" t="n">
        <v>0</v>
      </c>
      <c r="J353" t="n">
        <v>0</v>
      </c>
      <c r="K353" t="n">
        <v>0</v>
      </c>
      <c r="L353" t="n">
        <v>0</v>
      </c>
      <c r="M353" t="n">
        <v>0</v>
      </c>
      <c r="N353" t="n">
        <v>0</v>
      </c>
      <c r="O353" t="n">
        <v>0</v>
      </c>
      <c r="P353" t="n">
        <v>0</v>
      </c>
      <c r="Q353" t="n">
        <v>0</v>
      </c>
      <c r="R353" s="2" t="inlineStr"/>
    </row>
    <row r="354" ht="15" customHeight="1">
      <c r="A354" t="inlineStr">
        <is>
          <t>A 2663-2023</t>
        </is>
      </c>
      <c r="B354" s="1" t="n">
        <v>44942</v>
      </c>
      <c r="C354" s="1" t="n">
        <v>46197</v>
      </c>
      <c r="D354" t="inlineStr">
        <is>
          <t>SKÅNE LÄN</t>
        </is>
      </c>
      <c r="E354" t="inlineStr">
        <is>
          <t>HÄSSLEHOLM</t>
        </is>
      </c>
      <c r="F354" t="inlineStr">
        <is>
          <t>Kyrkan</t>
        </is>
      </c>
      <c r="G354" t="n">
        <v>0.8</v>
      </c>
      <c r="H354" t="n">
        <v>0</v>
      </c>
      <c r="I354" t="n">
        <v>0</v>
      </c>
      <c r="J354" t="n">
        <v>0</v>
      </c>
      <c r="K354" t="n">
        <v>0</v>
      </c>
      <c r="L354" t="n">
        <v>0</v>
      </c>
      <c r="M354" t="n">
        <v>0</v>
      </c>
      <c r="N354" t="n">
        <v>0</v>
      </c>
      <c r="O354" t="n">
        <v>0</v>
      </c>
      <c r="P354" t="n">
        <v>0</v>
      </c>
      <c r="Q354" t="n">
        <v>0</v>
      </c>
      <c r="R354" s="2" t="inlineStr"/>
    </row>
    <row r="355" ht="15" customHeight="1">
      <c r="A355" t="inlineStr">
        <is>
          <t>A 33948-2025</t>
        </is>
      </c>
      <c r="B355" s="1" t="n">
        <v>45842</v>
      </c>
      <c r="C355" s="1" t="n">
        <v>46197</v>
      </c>
      <c r="D355" t="inlineStr">
        <is>
          <t>SKÅNE LÄN</t>
        </is>
      </c>
      <c r="E355" t="inlineStr">
        <is>
          <t>HÄSSLEHOLM</t>
        </is>
      </c>
      <c r="G355" t="n">
        <v>8.5</v>
      </c>
      <c r="H355" t="n">
        <v>0</v>
      </c>
      <c r="I355" t="n">
        <v>0</v>
      </c>
      <c r="J355" t="n">
        <v>0</v>
      </c>
      <c r="K355" t="n">
        <v>0</v>
      </c>
      <c r="L355" t="n">
        <v>0</v>
      </c>
      <c r="M355" t="n">
        <v>0</v>
      </c>
      <c r="N355" t="n">
        <v>0</v>
      </c>
      <c r="O355" t="n">
        <v>0</v>
      </c>
      <c r="P355" t="n">
        <v>0</v>
      </c>
      <c r="Q355" t="n">
        <v>0</v>
      </c>
      <c r="R355" s="2" t="inlineStr"/>
    </row>
    <row r="356" ht="15" customHeight="1">
      <c r="A356" t="inlineStr">
        <is>
          <t>A 7192-2025</t>
        </is>
      </c>
      <c r="B356" s="1" t="n">
        <v>45702</v>
      </c>
      <c r="C356" s="1" t="n">
        <v>46197</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33877-2025</t>
        </is>
      </c>
      <c r="B357" s="1" t="n">
        <v>45842</v>
      </c>
      <c r="C357" s="1" t="n">
        <v>46197</v>
      </c>
      <c r="D357" t="inlineStr">
        <is>
          <t>SKÅNE LÄN</t>
        </is>
      </c>
      <c r="E357" t="inlineStr">
        <is>
          <t>HÄSSLEHOLM</t>
        </is>
      </c>
      <c r="G357" t="n">
        <v>3.9</v>
      </c>
      <c r="H357" t="n">
        <v>0</v>
      </c>
      <c r="I357" t="n">
        <v>0</v>
      </c>
      <c r="J357" t="n">
        <v>0</v>
      </c>
      <c r="K357" t="n">
        <v>0</v>
      </c>
      <c r="L357" t="n">
        <v>0</v>
      </c>
      <c r="M357" t="n">
        <v>0</v>
      </c>
      <c r="N357" t="n">
        <v>0</v>
      </c>
      <c r="O357" t="n">
        <v>0</v>
      </c>
      <c r="P357" t="n">
        <v>0</v>
      </c>
      <c r="Q357" t="n">
        <v>0</v>
      </c>
      <c r="R357" s="2" t="inlineStr"/>
    </row>
    <row r="358" ht="15" customHeight="1">
      <c r="A358" t="inlineStr">
        <is>
          <t>A 27954-2022</t>
        </is>
      </c>
      <c r="B358" s="1" t="n">
        <v>44743</v>
      </c>
      <c r="C358" s="1" t="n">
        <v>46197</v>
      </c>
      <c r="D358" t="inlineStr">
        <is>
          <t>SKÅNE LÄN</t>
        </is>
      </c>
      <c r="E358" t="inlineStr">
        <is>
          <t>HÄSSLEHOLM</t>
        </is>
      </c>
      <c r="G358" t="n">
        <v>9.4</v>
      </c>
      <c r="H358" t="n">
        <v>0</v>
      </c>
      <c r="I358" t="n">
        <v>0</v>
      </c>
      <c r="J358" t="n">
        <v>0</v>
      </c>
      <c r="K358" t="n">
        <v>0</v>
      </c>
      <c r="L358" t="n">
        <v>0</v>
      </c>
      <c r="M358" t="n">
        <v>0</v>
      </c>
      <c r="N358" t="n">
        <v>0</v>
      </c>
      <c r="O358" t="n">
        <v>0</v>
      </c>
      <c r="P358" t="n">
        <v>0</v>
      </c>
      <c r="Q358" t="n">
        <v>0</v>
      </c>
      <c r="R358" s="2" t="inlineStr"/>
    </row>
    <row r="359" ht="15" customHeight="1">
      <c r="A359" t="inlineStr">
        <is>
          <t>A 33950-2025</t>
        </is>
      </c>
      <c r="B359" s="1" t="n">
        <v>45842</v>
      </c>
      <c r="C359" s="1" t="n">
        <v>46197</v>
      </c>
      <c r="D359" t="inlineStr">
        <is>
          <t>SKÅNE LÄN</t>
        </is>
      </c>
      <c r="E359" t="inlineStr">
        <is>
          <t>HÄSSLEHOLM</t>
        </is>
      </c>
      <c r="G359" t="n">
        <v>5.7</v>
      </c>
      <c r="H359" t="n">
        <v>0</v>
      </c>
      <c r="I359" t="n">
        <v>0</v>
      </c>
      <c r="J359" t="n">
        <v>0</v>
      </c>
      <c r="K359" t="n">
        <v>0</v>
      </c>
      <c r="L359" t="n">
        <v>0</v>
      </c>
      <c r="M359" t="n">
        <v>0</v>
      </c>
      <c r="N359" t="n">
        <v>0</v>
      </c>
      <c r="O359" t="n">
        <v>0</v>
      </c>
      <c r="P359" t="n">
        <v>0</v>
      </c>
      <c r="Q359" t="n">
        <v>0</v>
      </c>
      <c r="R359" s="2" t="inlineStr"/>
    </row>
    <row r="360" ht="15" customHeight="1">
      <c r="A360" t="inlineStr">
        <is>
          <t>A 45984-2021</t>
        </is>
      </c>
      <c r="B360" s="1" t="n">
        <v>44441</v>
      </c>
      <c r="C360" s="1" t="n">
        <v>46197</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61170-2022</t>
        </is>
      </c>
      <c r="B361" s="1" t="n">
        <v>44915</v>
      </c>
      <c r="C361" s="1" t="n">
        <v>46197</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3862-2026</t>
        </is>
      </c>
      <c r="B362" s="1" t="n">
        <v>46043</v>
      </c>
      <c r="C362" s="1" t="n">
        <v>46197</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34174-2025</t>
        </is>
      </c>
      <c r="B363" s="1" t="n">
        <v>45844</v>
      </c>
      <c r="C363" s="1" t="n">
        <v>46197</v>
      </c>
      <c r="D363" t="inlineStr">
        <is>
          <t>SKÅNE LÄN</t>
        </is>
      </c>
      <c r="E363" t="inlineStr">
        <is>
          <t>HÄSSLEHOLM</t>
        </is>
      </c>
      <c r="G363" t="n">
        <v>4.7</v>
      </c>
      <c r="H363" t="n">
        <v>0</v>
      </c>
      <c r="I363" t="n">
        <v>0</v>
      </c>
      <c r="J363" t="n">
        <v>0</v>
      </c>
      <c r="K363" t="n">
        <v>0</v>
      </c>
      <c r="L363" t="n">
        <v>0</v>
      </c>
      <c r="M363" t="n">
        <v>0</v>
      </c>
      <c r="N363" t="n">
        <v>0</v>
      </c>
      <c r="O363" t="n">
        <v>0</v>
      </c>
      <c r="P363" t="n">
        <v>0</v>
      </c>
      <c r="Q363" t="n">
        <v>0</v>
      </c>
      <c r="R363" s="2" t="inlineStr"/>
    </row>
    <row r="364" ht="15" customHeight="1">
      <c r="A364" t="inlineStr">
        <is>
          <t>A 6835-2023</t>
        </is>
      </c>
      <c r="B364" s="1" t="n">
        <v>44967</v>
      </c>
      <c r="C364" s="1" t="n">
        <v>46197</v>
      </c>
      <c r="D364" t="inlineStr">
        <is>
          <t>SKÅNE LÄN</t>
        </is>
      </c>
      <c r="E364" t="inlineStr">
        <is>
          <t>HÄSSLEHOLM</t>
        </is>
      </c>
      <c r="G364" t="n">
        <v>4.8</v>
      </c>
      <c r="H364" t="n">
        <v>0</v>
      </c>
      <c r="I364" t="n">
        <v>0</v>
      </c>
      <c r="J364" t="n">
        <v>0</v>
      </c>
      <c r="K364" t="n">
        <v>0</v>
      </c>
      <c r="L364" t="n">
        <v>0</v>
      </c>
      <c r="M364" t="n">
        <v>0</v>
      </c>
      <c r="N364" t="n">
        <v>0</v>
      </c>
      <c r="O364" t="n">
        <v>0</v>
      </c>
      <c r="P364" t="n">
        <v>0</v>
      </c>
      <c r="Q364" t="n">
        <v>0</v>
      </c>
      <c r="R364" s="2" t="inlineStr"/>
    </row>
    <row r="365" ht="15" customHeight="1">
      <c r="A365" t="inlineStr">
        <is>
          <t>A 44611-2025</t>
        </is>
      </c>
      <c r="B365" s="1" t="n">
        <v>45917</v>
      </c>
      <c r="C365" s="1" t="n">
        <v>46197</v>
      </c>
      <c r="D365" t="inlineStr">
        <is>
          <t>SKÅNE LÄN</t>
        </is>
      </c>
      <c r="E365" t="inlineStr">
        <is>
          <t>HÄSSLEHOLM</t>
        </is>
      </c>
      <c r="G365" t="n">
        <v>1.3</v>
      </c>
      <c r="H365" t="n">
        <v>0</v>
      </c>
      <c r="I365" t="n">
        <v>0</v>
      </c>
      <c r="J365" t="n">
        <v>0</v>
      </c>
      <c r="K365" t="n">
        <v>0</v>
      </c>
      <c r="L365" t="n">
        <v>0</v>
      </c>
      <c r="M365" t="n">
        <v>0</v>
      </c>
      <c r="N365" t="n">
        <v>0</v>
      </c>
      <c r="O365" t="n">
        <v>0</v>
      </c>
      <c r="P365" t="n">
        <v>0</v>
      </c>
      <c r="Q365" t="n">
        <v>0</v>
      </c>
      <c r="R365" s="2" t="inlineStr"/>
    </row>
    <row r="366" ht="15" customHeight="1">
      <c r="A366" t="inlineStr">
        <is>
          <t>A 34177-2025</t>
        </is>
      </c>
      <c r="B366" s="1" t="n">
        <v>45844</v>
      </c>
      <c r="C366" s="1" t="n">
        <v>46197</v>
      </c>
      <c r="D366" t="inlineStr">
        <is>
          <t>SKÅNE LÄN</t>
        </is>
      </c>
      <c r="E366" t="inlineStr">
        <is>
          <t>HÄSSLEHOLM</t>
        </is>
      </c>
      <c r="G366" t="n">
        <v>3</v>
      </c>
      <c r="H366" t="n">
        <v>0</v>
      </c>
      <c r="I366" t="n">
        <v>0</v>
      </c>
      <c r="J366" t="n">
        <v>0</v>
      </c>
      <c r="K366" t="n">
        <v>0</v>
      </c>
      <c r="L366" t="n">
        <v>0</v>
      </c>
      <c r="M366" t="n">
        <v>0</v>
      </c>
      <c r="N366" t="n">
        <v>0</v>
      </c>
      <c r="O366" t="n">
        <v>0</v>
      </c>
      <c r="P366" t="n">
        <v>0</v>
      </c>
      <c r="Q366" t="n">
        <v>0</v>
      </c>
      <c r="R366" s="2" t="inlineStr"/>
    </row>
    <row r="367" ht="15" customHeight="1">
      <c r="A367" t="inlineStr">
        <is>
          <t>A 44616-2025</t>
        </is>
      </c>
      <c r="B367" s="1" t="n">
        <v>45917</v>
      </c>
      <c r="C367" s="1" t="n">
        <v>46197</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32958-2023</t>
        </is>
      </c>
      <c r="B368" s="1" t="n">
        <v>45125</v>
      </c>
      <c r="C368" s="1" t="n">
        <v>46197</v>
      </c>
      <c r="D368" t="inlineStr">
        <is>
          <t>SKÅNE LÄN</t>
        </is>
      </c>
      <c r="E368" t="inlineStr">
        <is>
          <t>HÄSSLEHOLM</t>
        </is>
      </c>
      <c r="G368" t="n">
        <v>7.9</v>
      </c>
      <c r="H368" t="n">
        <v>0</v>
      </c>
      <c r="I368" t="n">
        <v>0</v>
      </c>
      <c r="J368" t="n">
        <v>0</v>
      </c>
      <c r="K368" t="n">
        <v>0</v>
      </c>
      <c r="L368" t="n">
        <v>0</v>
      </c>
      <c r="M368" t="n">
        <v>0</v>
      </c>
      <c r="N368" t="n">
        <v>0</v>
      </c>
      <c r="O368" t="n">
        <v>0</v>
      </c>
      <c r="P368" t="n">
        <v>0</v>
      </c>
      <c r="Q368" t="n">
        <v>0</v>
      </c>
      <c r="R368" s="2" t="inlineStr"/>
    </row>
    <row r="369" ht="15" customHeight="1">
      <c r="A369" t="inlineStr">
        <is>
          <t>A 44614-2025</t>
        </is>
      </c>
      <c r="B369" s="1" t="n">
        <v>45917</v>
      </c>
      <c r="C369" s="1" t="n">
        <v>46197</v>
      </c>
      <c r="D369" t="inlineStr">
        <is>
          <t>SKÅNE LÄN</t>
        </is>
      </c>
      <c r="E369" t="inlineStr">
        <is>
          <t>HÄSSLEHOLM</t>
        </is>
      </c>
      <c r="G369" t="n">
        <v>5.4</v>
      </c>
      <c r="H369" t="n">
        <v>0</v>
      </c>
      <c r="I369" t="n">
        <v>0</v>
      </c>
      <c r="J369" t="n">
        <v>0</v>
      </c>
      <c r="K369" t="n">
        <v>0</v>
      </c>
      <c r="L369" t="n">
        <v>0</v>
      </c>
      <c r="M369" t="n">
        <v>0</v>
      </c>
      <c r="N369" t="n">
        <v>0</v>
      </c>
      <c r="O369" t="n">
        <v>0</v>
      </c>
      <c r="P369" t="n">
        <v>0</v>
      </c>
      <c r="Q369" t="n">
        <v>0</v>
      </c>
      <c r="R369" s="2" t="inlineStr"/>
    </row>
    <row r="370" ht="15" customHeight="1">
      <c r="A370" t="inlineStr">
        <is>
          <t>A 31933-2024</t>
        </is>
      </c>
      <c r="B370" s="1" t="n">
        <v>45510</v>
      </c>
      <c r="C370" s="1" t="n">
        <v>46197</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9098-2022</t>
        </is>
      </c>
      <c r="B371" s="1" t="n">
        <v>44615</v>
      </c>
      <c r="C371" s="1" t="n">
        <v>46197</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34883-2023</t>
        </is>
      </c>
      <c r="B372" s="1" t="n">
        <v>45142</v>
      </c>
      <c r="C372" s="1" t="n">
        <v>46197</v>
      </c>
      <c r="D372" t="inlineStr">
        <is>
          <t>SKÅNE LÄN</t>
        </is>
      </c>
      <c r="E372" t="inlineStr">
        <is>
          <t>HÄSSLEHOLM</t>
        </is>
      </c>
      <c r="G372" t="n">
        <v>2.5</v>
      </c>
      <c r="H372" t="n">
        <v>0</v>
      </c>
      <c r="I372" t="n">
        <v>0</v>
      </c>
      <c r="J372" t="n">
        <v>0</v>
      </c>
      <c r="K372" t="n">
        <v>0</v>
      </c>
      <c r="L372" t="n">
        <v>0</v>
      </c>
      <c r="M372" t="n">
        <v>0</v>
      </c>
      <c r="N372" t="n">
        <v>0</v>
      </c>
      <c r="O372" t="n">
        <v>0</v>
      </c>
      <c r="P372" t="n">
        <v>0</v>
      </c>
      <c r="Q372" t="n">
        <v>0</v>
      </c>
      <c r="R372" s="2" t="inlineStr"/>
    </row>
    <row r="373" ht="15" customHeight="1">
      <c r="A373" t="inlineStr">
        <is>
          <t>A 34886-2023</t>
        </is>
      </c>
      <c r="B373" s="1" t="n">
        <v>45142</v>
      </c>
      <c r="C373" s="1" t="n">
        <v>46197</v>
      </c>
      <c r="D373" t="inlineStr">
        <is>
          <t>SKÅNE LÄN</t>
        </is>
      </c>
      <c r="E373" t="inlineStr">
        <is>
          <t>HÄSSLEHOLM</t>
        </is>
      </c>
      <c r="G373" t="n">
        <v>1.3</v>
      </c>
      <c r="H373" t="n">
        <v>0</v>
      </c>
      <c r="I373" t="n">
        <v>0</v>
      </c>
      <c r="J373" t="n">
        <v>0</v>
      </c>
      <c r="K373" t="n">
        <v>0</v>
      </c>
      <c r="L373" t="n">
        <v>0</v>
      </c>
      <c r="M373" t="n">
        <v>0</v>
      </c>
      <c r="N373" t="n">
        <v>0</v>
      </c>
      <c r="O373" t="n">
        <v>0</v>
      </c>
      <c r="P373" t="n">
        <v>0</v>
      </c>
      <c r="Q373" t="n">
        <v>0</v>
      </c>
      <c r="R373" s="2" t="inlineStr"/>
    </row>
    <row r="374" ht="15" customHeight="1">
      <c r="A374" t="inlineStr">
        <is>
          <t>A 7476-2025</t>
        </is>
      </c>
      <c r="B374" s="1" t="n">
        <v>45702</v>
      </c>
      <c r="C374" s="1" t="n">
        <v>46197</v>
      </c>
      <c r="D374" t="inlineStr">
        <is>
          <t>SKÅNE LÄN</t>
        </is>
      </c>
      <c r="E374" t="inlineStr">
        <is>
          <t>HÄSSLEHOLM</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54659-2023</t>
        </is>
      </c>
      <c r="B375" s="1" t="n">
        <v>45235</v>
      </c>
      <c r="C375" s="1" t="n">
        <v>46197</v>
      </c>
      <c r="D375" t="inlineStr">
        <is>
          <t>SKÅNE LÄN</t>
        </is>
      </c>
      <c r="E375" t="inlineStr">
        <is>
          <t>HÄSSLEHOLM</t>
        </is>
      </c>
      <c r="G375" t="n">
        <v>5</v>
      </c>
      <c r="H375" t="n">
        <v>0</v>
      </c>
      <c r="I375" t="n">
        <v>0</v>
      </c>
      <c r="J375" t="n">
        <v>0</v>
      </c>
      <c r="K375" t="n">
        <v>0</v>
      </c>
      <c r="L375" t="n">
        <v>0</v>
      </c>
      <c r="M375" t="n">
        <v>0</v>
      </c>
      <c r="N375" t="n">
        <v>0</v>
      </c>
      <c r="O375" t="n">
        <v>0</v>
      </c>
      <c r="P375" t="n">
        <v>0</v>
      </c>
      <c r="Q375" t="n">
        <v>0</v>
      </c>
      <c r="R375" s="2" t="inlineStr"/>
    </row>
    <row r="376" ht="15" customHeight="1">
      <c r="A376" t="inlineStr">
        <is>
          <t>A 12558-2023</t>
        </is>
      </c>
      <c r="B376" s="1" t="n">
        <v>45000</v>
      </c>
      <c r="C376" s="1" t="n">
        <v>46197</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45516-2025</t>
        </is>
      </c>
      <c r="B377" s="1" t="n">
        <v>45922</v>
      </c>
      <c r="C377" s="1" t="n">
        <v>46197</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13673-2023</t>
        </is>
      </c>
      <c r="B378" s="1" t="n">
        <v>45006</v>
      </c>
      <c r="C378" s="1" t="n">
        <v>46197</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45514-2025</t>
        </is>
      </c>
      <c r="B379" s="1" t="n">
        <v>45922</v>
      </c>
      <c r="C379" s="1" t="n">
        <v>46197</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48844-2023</t>
        </is>
      </c>
      <c r="B380" s="1" t="n">
        <v>45209</v>
      </c>
      <c r="C380" s="1" t="n">
        <v>46197</v>
      </c>
      <c r="D380" t="inlineStr">
        <is>
          <t>SKÅNE LÄN</t>
        </is>
      </c>
      <c r="E380" t="inlineStr">
        <is>
          <t>HÄSSLEHOLM</t>
        </is>
      </c>
      <c r="G380" t="n">
        <v>4</v>
      </c>
      <c r="H380" t="n">
        <v>0</v>
      </c>
      <c r="I380" t="n">
        <v>0</v>
      </c>
      <c r="J380" t="n">
        <v>0</v>
      </c>
      <c r="K380" t="n">
        <v>0</v>
      </c>
      <c r="L380" t="n">
        <v>0</v>
      </c>
      <c r="M380" t="n">
        <v>0</v>
      </c>
      <c r="N380" t="n">
        <v>0</v>
      </c>
      <c r="O380" t="n">
        <v>0</v>
      </c>
      <c r="P380" t="n">
        <v>0</v>
      </c>
      <c r="Q380" t="n">
        <v>0</v>
      </c>
      <c r="R380" s="2" t="inlineStr"/>
    </row>
    <row r="381" ht="15" customHeight="1">
      <c r="A381" t="inlineStr">
        <is>
          <t>A 45221-2025</t>
        </is>
      </c>
      <c r="B381" s="1" t="n">
        <v>45919</v>
      </c>
      <c r="C381" s="1" t="n">
        <v>46197</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45496-2025</t>
        </is>
      </c>
      <c r="B382" s="1" t="n">
        <v>45922</v>
      </c>
      <c r="C382" s="1" t="n">
        <v>46197</v>
      </c>
      <c r="D382" t="inlineStr">
        <is>
          <t>SKÅNE LÄN</t>
        </is>
      </c>
      <c r="E382" t="inlineStr">
        <is>
          <t>HÄSSLEHOLM</t>
        </is>
      </c>
      <c r="G382" t="n">
        <v>1.3</v>
      </c>
      <c r="H382" t="n">
        <v>0</v>
      </c>
      <c r="I382" t="n">
        <v>0</v>
      </c>
      <c r="J382" t="n">
        <v>0</v>
      </c>
      <c r="K382" t="n">
        <v>0</v>
      </c>
      <c r="L382" t="n">
        <v>0</v>
      </c>
      <c r="M382" t="n">
        <v>0</v>
      </c>
      <c r="N382" t="n">
        <v>0</v>
      </c>
      <c r="O382" t="n">
        <v>0</v>
      </c>
      <c r="P382" t="n">
        <v>0</v>
      </c>
      <c r="Q382" t="n">
        <v>0</v>
      </c>
      <c r="R382" s="2" t="inlineStr"/>
    </row>
    <row r="383" ht="15" customHeight="1">
      <c r="A383" t="inlineStr">
        <is>
          <t>A 9678-2025</t>
        </is>
      </c>
      <c r="B383" s="1" t="n">
        <v>45716</v>
      </c>
      <c r="C383" s="1" t="n">
        <v>46197</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45683-2025</t>
        </is>
      </c>
      <c r="B384" s="1" t="n">
        <v>45923</v>
      </c>
      <c r="C384" s="1" t="n">
        <v>46197</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34869-2025</t>
        </is>
      </c>
      <c r="B385" s="1" t="n">
        <v>45849</v>
      </c>
      <c r="C385" s="1" t="n">
        <v>46197</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11121-2023</t>
        </is>
      </c>
      <c r="B386" s="1" t="n">
        <v>44986</v>
      </c>
      <c r="C386" s="1" t="n">
        <v>46197</v>
      </c>
      <c r="D386" t="inlineStr">
        <is>
          <t>SKÅNE LÄN</t>
        </is>
      </c>
      <c r="E386" t="inlineStr">
        <is>
          <t>HÄSSLEHOLM</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21329-2023</t>
        </is>
      </c>
      <c r="B387" s="1" t="n">
        <v>45062</v>
      </c>
      <c r="C387" s="1" t="n">
        <v>46197</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45763-2025</t>
        </is>
      </c>
      <c r="B388" s="1" t="n">
        <v>45923</v>
      </c>
      <c r="C388" s="1" t="n">
        <v>46197</v>
      </c>
      <c r="D388" t="inlineStr">
        <is>
          <t>SKÅNE LÄN</t>
        </is>
      </c>
      <c r="E388" t="inlineStr">
        <is>
          <t>HÄSSLEHOLM</t>
        </is>
      </c>
      <c r="G388" t="n">
        <v>4.8</v>
      </c>
      <c r="H388" t="n">
        <v>0</v>
      </c>
      <c r="I388" t="n">
        <v>0</v>
      </c>
      <c r="J388" t="n">
        <v>0</v>
      </c>
      <c r="K388" t="n">
        <v>0</v>
      </c>
      <c r="L388" t="n">
        <v>0</v>
      </c>
      <c r="M388" t="n">
        <v>0</v>
      </c>
      <c r="N388" t="n">
        <v>0</v>
      </c>
      <c r="O388" t="n">
        <v>0</v>
      </c>
      <c r="P388" t="n">
        <v>0</v>
      </c>
      <c r="Q388" t="n">
        <v>0</v>
      </c>
      <c r="R388" s="2" t="inlineStr"/>
    </row>
    <row r="389" ht="15" customHeight="1">
      <c r="A389" t="inlineStr">
        <is>
          <t>A 45764-2025</t>
        </is>
      </c>
      <c r="B389" s="1" t="n">
        <v>45923</v>
      </c>
      <c r="C389" s="1" t="n">
        <v>46197</v>
      </c>
      <c r="D389" t="inlineStr">
        <is>
          <t>SKÅNE LÄN</t>
        </is>
      </c>
      <c r="E389" t="inlineStr">
        <is>
          <t>HÄSSLEHOLM</t>
        </is>
      </c>
      <c r="G389" t="n">
        <v>6.3</v>
      </c>
      <c r="H389" t="n">
        <v>0</v>
      </c>
      <c r="I389" t="n">
        <v>0</v>
      </c>
      <c r="J389" t="n">
        <v>0</v>
      </c>
      <c r="K389" t="n">
        <v>0</v>
      </c>
      <c r="L389" t="n">
        <v>0</v>
      </c>
      <c r="M389" t="n">
        <v>0</v>
      </c>
      <c r="N389" t="n">
        <v>0</v>
      </c>
      <c r="O389" t="n">
        <v>0</v>
      </c>
      <c r="P389" t="n">
        <v>0</v>
      </c>
      <c r="Q389" t="n">
        <v>0</v>
      </c>
      <c r="R389" s="2" t="inlineStr"/>
    </row>
    <row r="390" ht="15" customHeight="1">
      <c r="A390" t="inlineStr">
        <is>
          <t>A 11116-2023</t>
        </is>
      </c>
      <c r="B390" s="1" t="n">
        <v>44986</v>
      </c>
      <c r="C390" s="1" t="n">
        <v>46197</v>
      </c>
      <c r="D390" t="inlineStr">
        <is>
          <t>SKÅNE LÄN</t>
        </is>
      </c>
      <c r="E390" t="inlineStr">
        <is>
          <t>HÄSSLEHOLM</t>
        </is>
      </c>
      <c r="F390" t="inlineStr">
        <is>
          <t>Kommuner</t>
        </is>
      </c>
      <c r="G390" t="n">
        <v>15.1</v>
      </c>
      <c r="H390" t="n">
        <v>0</v>
      </c>
      <c r="I390" t="n">
        <v>0</v>
      </c>
      <c r="J390" t="n">
        <v>0</v>
      </c>
      <c r="K390" t="n">
        <v>0</v>
      </c>
      <c r="L390" t="n">
        <v>0</v>
      </c>
      <c r="M390" t="n">
        <v>0</v>
      </c>
      <c r="N390" t="n">
        <v>0</v>
      </c>
      <c r="O390" t="n">
        <v>0</v>
      </c>
      <c r="P390" t="n">
        <v>0</v>
      </c>
      <c r="Q390" t="n">
        <v>0</v>
      </c>
      <c r="R390" s="2" t="inlineStr"/>
    </row>
    <row r="391" ht="15" customHeight="1">
      <c r="A391" t="inlineStr">
        <is>
          <t>A 45762-2025</t>
        </is>
      </c>
      <c r="B391" s="1" t="n">
        <v>45923</v>
      </c>
      <c r="C391" s="1" t="n">
        <v>46197</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20970-2025</t>
        </is>
      </c>
      <c r="B392" s="1" t="n">
        <v>45777</v>
      </c>
      <c r="C392" s="1" t="n">
        <v>46197</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9668-2025</t>
        </is>
      </c>
      <c r="B393" s="1" t="n">
        <v>45716</v>
      </c>
      <c r="C393" s="1" t="n">
        <v>46197</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45222-2023</t>
        </is>
      </c>
      <c r="B394" s="1" t="n">
        <v>45191</v>
      </c>
      <c r="C394" s="1" t="n">
        <v>46197</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13310-2025</t>
        </is>
      </c>
      <c r="B395" s="1" t="n">
        <v>45735</v>
      </c>
      <c r="C395" s="1" t="n">
        <v>46197</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17413-2025</t>
        </is>
      </c>
      <c r="B396" s="1" t="n">
        <v>45757</v>
      </c>
      <c r="C396" s="1" t="n">
        <v>46197</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46605-2025</t>
        </is>
      </c>
      <c r="B397" s="1" t="n">
        <v>45926</v>
      </c>
      <c r="C397" s="1" t="n">
        <v>46197</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46786-2025</t>
        </is>
      </c>
      <c r="B398" s="1" t="n">
        <v>45926</v>
      </c>
      <c r="C398" s="1" t="n">
        <v>46197</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15055-2023</t>
        </is>
      </c>
      <c r="B399" s="1" t="n">
        <v>45015</v>
      </c>
      <c r="C399" s="1" t="n">
        <v>46197</v>
      </c>
      <c r="D399" t="inlineStr">
        <is>
          <t>SKÅNE LÄN</t>
        </is>
      </c>
      <c r="E399" t="inlineStr">
        <is>
          <t>HÄSSLEHOLM</t>
        </is>
      </c>
      <c r="G399" t="n">
        <v>1.9</v>
      </c>
      <c r="H399" t="n">
        <v>0</v>
      </c>
      <c r="I399" t="n">
        <v>0</v>
      </c>
      <c r="J399" t="n">
        <v>0</v>
      </c>
      <c r="K399" t="n">
        <v>0</v>
      </c>
      <c r="L399" t="n">
        <v>0</v>
      </c>
      <c r="M399" t="n">
        <v>0</v>
      </c>
      <c r="N399" t="n">
        <v>0</v>
      </c>
      <c r="O399" t="n">
        <v>0</v>
      </c>
      <c r="P399" t="n">
        <v>0</v>
      </c>
      <c r="Q399" t="n">
        <v>0</v>
      </c>
      <c r="R399" s="2" t="inlineStr"/>
    </row>
    <row r="400" ht="15" customHeight="1">
      <c r="A400" t="inlineStr">
        <is>
          <t>A 25324-2024</t>
        </is>
      </c>
      <c r="B400" s="1" t="n">
        <v>45462</v>
      </c>
      <c r="C400" s="1" t="n">
        <v>46197</v>
      </c>
      <c r="D400" t="inlineStr">
        <is>
          <t>SKÅNE LÄN</t>
        </is>
      </c>
      <c r="E400" t="inlineStr">
        <is>
          <t>HÄSSLEHOLM</t>
        </is>
      </c>
      <c r="G400" t="n">
        <v>0.2</v>
      </c>
      <c r="H400" t="n">
        <v>0</v>
      </c>
      <c r="I400" t="n">
        <v>0</v>
      </c>
      <c r="J400" t="n">
        <v>0</v>
      </c>
      <c r="K400" t="n">
        <v>0</v>
      </c>
      <c r="L400" t="n">
        <v>0</v>
      </c>
      <c r="M400" t="n">
        <v>0</v>
      </c>
      <c r="N400" t="n">
        <v>0</v>
      </c>
      <c r="O400" t="n">
        <v>0</v>
      </c>
      <c r="P400" t="n">
        <v>0</v>
      </c>
      <c r="Q400" t="n">
        <v>0</v>
      </c>
      <c r="R400" s="2" t="inlineStr"/>
    </row>
    <row r="401" ht="15" customHeight="1">
      <c r="A401" t="inlineStr">
        <is>
          <t>A 47127-2025</t>
        </is>
      </c>
      <c r="B401" s="1" t="n">
        <v>45929</v>
      </c>
      <c r="C401" s="1" t="n">
        <v>46197</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2290-2024</t>
        </is>
      </c>
      <c r="B402" s="1" t="n">
        <v>45310</v>
      </c>
      <c r="C402" s="1" t="n">
        <v>46197</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4981-2026</t>
        </is>
      </c>
      <c r="B403" s="1" t="n">
        <v>46049</v>
      </c>
      <c r="C403" s="1" t="n">
        <v>46197</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19666-2025</t>
        </is>
      </c>
      <c r="B404" s="1" t="n">
        <v>45770</v>
      </c>
      <c r="C404" s="1" t="n">
        <v>46197</v>
      </c>
      <c r="D404" t="inlineStr">
        <is>
          <t>SKÅNE LÄN</t>
        </is>
      </c>
      <c r="E404" t="inlineStr">
        <is>
          <t>HÄSSLEHOLM</t>
        </is>
      </c>
      <c r="G404" t="n">
        <v>2.4</v>
      </c>
      <c r="H404" t="n">
        <v>0</v>
      </c>
      <c r="I404" t="n">
        <v>0</v>
      </c>
      <c r="J404" t="n">
        <v>0</v>
      </c>
      <c r="K404" t="n">
        <v>0</v>
      </c>
      <c r="L404" t="n">
        <v>0</v>
      </c>
      <c r="M404" t="n">
        <v>0</v>
      </c>
      <c r="N404" t="n">
        <v>0</v>
      </c>
      <c r="O404" t="n">
        <v>0</v>
      </c>
      <c r="P404" t="n">
        <v>0</v>
      </c>
      <c r="Q404" t="n">
        <v>0</v>
      </c>
      <c r="R404" s="2" t="inlineStr"/>
    </row>
    <row r="405" ht="15" customHeight="1">
      <c r="A405" t="inlineStr">
        <is>
          <t>A 13316-2023</t>
        </is>
      </c>
      <c r="B405" s="1" t="n">
        <v>45005</v>
      </c>
      <c r="C405" s="1" t="n">
        <v>46197</v>
      </c>
      <c r="D405" t="inlineStr">
        <is>
          <t>SKÅNE LÄN</t>
        </is>
      </c>
      <c r="E405" t="inlineStr">
        <is>
          <t>HÄSSLEHOLM</t>
        </is>
      </c>
      <c r="G405" t="n">
        <v>0.6</v>
      </c>
      <c r="H405" t="n">
        <v>0</v>
      </c>
      <c r="I405" t="n">
        <v>0</v>
      </c>
      <c r="J405" t="n">
        <v>0</v>
      </c>
      <c r="K405" t="n">
        <v>0</v>
      </c>
      <c r="L405" t="n">
        <v>0</v>
      </c>
      <c r="M405" t="n">
        <v>0</v>
      </c>
      <c r="N405" t="n">
        <v>0</v>
      </c>
      <c r="O405" t="n">
        <v>0</v>
      </c>
      <c r="P405" t="n">
        <v>0</v>
      </c>
      <c r="Q405" t="n">
        <v>0</v>
      </c>
      <c r="R405" s="2" t="inlineStr"/>
    </row>
    <row r="406" ht="15" customHeight="1">
      <c r="A406" t="inlineStr">
        <is>
          <t>A 4994-2026</t>
        </is>
      </c>
      <c r="B406" s="1" t="n">
        <v>46049</v>
      </c>
      <c r="C406" s="1" t="n">
        <v>46197</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65235-2021</t>
        </is>
      </c>
      <c r="B407" s="1" t="n">
        <v>44515</v>
      </c>
      <c r="C407" s="1" t="n">
        <v>46197</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25726-2025</t>
        </is>
      </c>
      <c r="B408" s="1" t="n">
        <v>45803</v>
      </c>
      <c r="C408" s="1" t="n">
        <v>46197</v>
      </c>
      <c r="D408" t="inlineStr">
        <is>
          <t>SKÅNE LÄN</t>
        </is>
      </c>
      <c r="E408" t="inlineStr">
        <is>
          <t>HÄSSLEHOLM</t>
        </is>
      </c>
      <c r="G408" t="n">
        <v>5.5</v>
      </c>
      <c r="H408" t="n">
        <v>0</v>
      </c>
      <c r="I408" t="n">
        <v>0</v>
      </c>
      <c r="J408" t="n">
        <v>0</v>
      </c>
      <c r="K408" t="n">
        <v>0</v>
      </c>
      <c r="L408" t="n">
        <v>0</v>
      </c>
      <c r="M408" t="n">
        <v>0</v>
      </c>
      <c r="N408" t="n">
        <v>0</v>
      </c>
      <c r="O408" t="n">
        <v>0</v>
      </c>
      <c r="P408" t="n">
        <v>0</v>
      </c>
      <c r="Q408" t="n">
        <v>0</v>
      </c>
      <c r="R408" s="2" t="inlineStr"/>
    </row>
    <row r="409" ht="15" customHeight="1">
      <c r="A409" t="inlineStr">
        <is>
          <t>A 13358-2023</t>
        </is>
      </c>
      <c r="B409" s="1" t="n">
        <v>45005</v>
      </c>
      <c r="C409" s="1" t="n">
        <v>46197</v>
      </c>
      <c r="D409" t="inlineStr">
        <is>
          <t>SKÅNE LÄN</t>
        </is>
      </c>
      <c r="E409" t="inlineStr">
        <is>
          <t>HÄSSLEHOLM</t>
        </is>
      </c>
      <c r="F409" t="inlineStr">
        <is>
          <t>Övriga Aktiebolag</t>
        </is>
      </c>
      <c r="G409" t="n">
        <v>0.5</v>
      </c>
      <c r="H409" t="n">
        <v>0</v>
      </c>
      <c r="I409" t="n">
        <v>0</v>
      </c>
      <c r="J409" t="n">
        <v>0</v>
      </c>
      <c r="K409" t="n">
        <v>0</v>
      </c>
      <c r="L409" t="n">
        <v>0</v>
      </c>
      <c r="M409" t="n">
        <v>0</v>
      </c>
      <c r="N409" t="n">
        <v>0</v>
      </c>
      <c r="O409" t="n">
        <v>0</v>
      </c>
      <c r="P409" t="n">
        <v>0</v>
      </c>
      <c r="Q409" t="n">
        <v>0</v>
      </c>
      <c r="R409" s="2" t="inlineStr"/>
    </row>
    <row r="410" ht="15" customHeight="1">
      <c r="A410" t="inlineStr">
        <is>
          <t>A 5316-2023</t>
        </is>
      </c>
      <c r="B410" s="1" t="n">
        <v>44959</v>
      </c>
      <c r="C410" s="1" t="n">
        <v>46197</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5103-2026</t>
        </is>
      </c>
      <c r="B411" s="1" t="n">
        <v>46049</v>
      </c>
      <c r="C411" s="1" t="n">
        <v>46197</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36359-2025</t>
        </is>
      </c>
      <c r="B412" s="1" t="n">
        <v>45867</v>
      </c>
      <c r="C412" s="1" t="n">
        <v>46197</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5503-2026</t>
        </is>
      </c>
      <c r="B413" s="1" t="n">
        <v>46050</v>
      </c>
      <c r="C413" s="1" t="n">
        <v>46197</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32794-2023</t>
        </is>
      </c>
      <c r="B414" s="1" t="n">
        <v>45124</v>
      </c>
      <c r="C414" s="1" t="n">
        <v>46197</v>
      </c>
      <c r="D414" t="inlineStr">
        <is>
          <t>SKÅNE LÄN</t>
        </is>
      </c>
      <c r="E414" t="inlineStr">
        <is>
          <t>HÄSSLEHOLM</t>
        </is>
      </c>
      <c r="G414" t="n">
        <v>1.8</v>
      </c>
      <c r="H414" t="n">
        <v>0</v>
      </c>
      <c r="I414" t="n">
        <v>0</v>
      </c>
      <c r="J414" t="n">
        <v>0</v>
      </c>
      <c r="K414" t="n">
        <v>0</v>
      </c>
      <c r="L414" t="n">
        <v>0</v>
      </c>
      <c r="M414" t="n">
        <v>0</v>
      </c>
      <c r="N414" t="n">
        <v>0</v>
      </c>
      <c r="O414" t="n">
        <v>0</v>
      </c>
      <c r="P414" t="n">
        <v>0</v>
      </c>
      <c r="Q414" t="n">
        <v>0</v>
      </c>
      <c r="R414" s="2" t="inlineStr"/>
    </row>
    <row r="415" ht="15" customHeight="1">
      <c r="A415" t="inlineStr">
        <is>
          <t>A 28211-2022</t>
        </is>
      </c>
      <c r="B415" s="1" t="n">
        <v>44746</v>
      </c>
      <c r="C415" s="1" t="n">
        <v>46197</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12162-2023</t>
        </is>
      </c>
      <c r="B416" s="1" t="n">
        <v>44998</v>
      </c>
      <c r="C416" s="1" t="n">
        <v>46197</v>
      </c>
      <c r="D416" t="inlineStr">
        <is>
          <t>SKÅNE LÄN</t>
        </is>
      </c>
      <c r="E416" t="inlineStr">
        <is>
          <t>HÄSSLEHOLM</t>
        </is>
      </c>
      <c r="G416" t="n">
        <v>0.9</v>
      </c>
      <c r="H416" t="n">
        <v>0</v>
      </c>
      <c r="I416" t="n">
        <v>0</v>
      </c>
      <c r="J416" t="n">
        <v>0</v>
      </c>
      <c r="K416" t="n">
        <v>0</v>
      </c>
      <c r="L416" t="n">
        <v>0</v>
      </c>
      <c r="M416" t="n">
        <v>0</v>
      </c>
      <c r="N416" t="n">
        <v>0</v>
      </c>
      <c r="O416" t="n">
        <v>0</v>
      </c>
      <c r="P416" t="n">
        <v>0</v>
      </c>
      <c r="Q416" t="n">
        <v>0</v>
      </c>
      <c r="R416" s="2" t="inlineStr"/>
    </row>
    <row r="417" ht="15" customHeight="1">
      <c r="A417" t="inlineStr">
        <is>
          <t>A 14702-2025</t>
        </is>
      </c>
      <c r="B417" s="1" t="n">
        <v>45742</v>
      </c>
      <c r="C417" s="1" t="n">
        <v>46197</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9669-2025</t>
        </is>
      </c>
      <c r="B418" s="1" t="n">
        <v>45716</v>
      </c>
      <c r="C418" s="1" t="n">
        <v>46197</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48185-2025</t>
        </is>
      </c>
      <c r="B419" s="1" t="n">
        <v>45933</v>
      </c>
      <c r="C419" s="1" t="n">
        <v>46197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59109-2023</t>
        </is>
      </c>
      <c r="B420" s="1" t="n">
        <v>45253</v>
      </c>
      <c r="C420" s="1" t="n">
        <v>46197</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8209-2025</t>
        </is>
      </c>
      <c r="B421" s="1" t="n">
        <v>45708</v>
      </c>
      <c r="C421" s="1" t="n">
        <v>46197</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48722-2025</t>
        </is>
      </c>
      <c r="B422" s="1" t="n">
        <v>45935</v>
      </c>
      <c r="C422" s="1" t="n">
        <v>46197</v>
      </c>
      <c r="D422" t="inlineStr">
        <is>
          <t>SKÅNE LÄN</t>
        </is>
      </c>
      <c r="E422" t="inlineStr">
        <is>
          <t>HÄSSLEHOLM</t>
        </is>
      </c>
      <c r="G422" t="n">
        <v>4.3</v>
      </c>
      <c r="H422" t="n">
        <v>0</v>
      </c>
      <c r="I422" t="n">
        <v>0</v>
      </c>
      <c r="J422" t="n">
        <v>0</v>
      </c>
      <c r="K422" t="n">
        <v>0</v>
      </c>
      <c r="L422" t="n">
        <v>0</v>
      </c>
      <c r="M422" t="n">
        <v>0</v>
      </c>
      <c r="N422" t="n">
        <v>0</v>
      </c>
      <c r="O422" t="n">
        <v>0</v>
      </c>
      <c r="P422" t="n">
        <v>0</v>
      </c>
      <c r="Q422" t="n">
        <v>0</v>
      </c>
      <c r="R422" s="2" t="inlineStr"/>
    </row>
    <row r="423" ht="15" customHeight="1">
      <c r="A423" t="inlineStr">
        <is>
          <t>A 58888-2024</t>
        </is>
      </c>
      <c r="B423" s="1" t="n">
        <v>45636</v>
      </c>
      <c r="C423" s="1" t="n">
        <v>46197</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5759-2026</t>
        </is>
      </c>
      <c r="B424" s="1" t="n">
        <v>46051</v>
      </c>
      <c r="C424" s="1" t="n">
        <v>46197</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6165-2023</t>
        </is>
      </c>
      <c r="B425" s="1" t="n">
        <v>44964</v>
      </c>
      <c r="C425" s="1" t="n">
        <v>46197</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16017-2023</t>
        </is>
      </c>
      <c r="B426" s="1" t="n">
        <v>45026</v>
      </c>
      <c r="C426" s="1" t="n">
        <v>46197</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49137-2025</t>
        </is>
      </c>
      <c r="B427" s="1" t="n">
        <v>45938</v>
      </c>
      <c r="C427" s="1" t="n">
        <v>46197</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31989-2024</t>
        </is>
      </c>
      <c r="B428" s="1" t="n">
        <v>45510</v>
      </c>
      <c r="C428" s="1" t="n">
        <v>46197</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35640-2023</t>
        </is>
      </c>
      <c r="B429" s="1" t="n">
        <v>45147</v>
      </c>
      <c r="C429" s="1" t="n">
        <v>46197</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37286-2025</t>
        </is>
      </c>
      <c r="B430" s="1" t="n">
        <v>45876</v>
      </c>
      <c r="C430" s="1" t="n">
        <v>46197</v>
      </c>
      <c r="D430" t="inlineStr">
        <is>
          <t>SKÅNE LÄN</t>
        </is>
      </c>
      <c r="E430" t="inlineStr">
        <is>
          <t>HÄSSLEHOLM</t>
        </is>
      </c>
      <c r="G430" t="n">
        <v>2.9</v>
      </c>
      <c r="H430" t="n">
        <v>0</v>
      </c>
      <c r="I430" t="n">
        <v>0</v>
      </c>
      <c r="J430" t="n">
        <v>0</v>
      </c>
      <c r="K430" t="n">
        <v>0</v>
      </c>
      <c r="L430" t="n">
        <v>0</v>
      </c>
      <c r="M430" t="n">
        <v>0</v>
      </c>
      <c r="N430" t="n">
        <v>0</v>
      </c>
      <c r="O430" t="n">
        <v>0</v>
      </c>
      <c r="P430" t="n">
        <v>0</v>
      </c>
      <c r="Q430" t="n">
        <v>0</v>
      </c>
      <c r="R430" s="2" t="inlineStr"/>
    </row>
    <row r="431" ht="15" customHeight="1">
      <c r="A431" t="inlineStr">
        <is>
          <t>A 37271-2025</t>
        </is>
      </c>
      <c r="B431" s="1" t="n">
        <v>45876</v>
      </c>
      <c r="C431" s="1" t="n">
        <v>46197</v>
      </c>
      <c r="D431" t="inlineStr">
        <is>
          <t>SKÅNE LÄN</t>
        </is>
      </c>
      <c r="E431" t="inlineStr">
        <is>
          <t>HÄSSLEHOLM</t>
        </is>
      </c>
      <c r="G431" t="n">
        <v>4.1</v>
      </c>
      <c r="H431" t="n">
        <v>0</v>
      </c>
      <c r="I431" t="n">
        <v>0</v>
      </c>
      <c r="J431" t="n">
        <v>0</v>
      </c>
      <c r="K431" t="n">
        <v>0</v>
      </c>
      <c r="L431" t="n">
        <v>0</v>
      </c>
      <c r="M431" t="n">
        <v>0</v>
      </c>
      <c r="N431" t="n">
        <v>0</v>
      </c>
      <c r="O431" t="n">
        <v>0</v>
      </c>
      <c r="P431" t="n">
        <v>0</v>
      </c>
      <c r="Q431" t="n">
        <v>0</v>
      </c>
      <c r="R431" s="2" t="inlineStr"/>
    </row>
    <row r="432" ht="15" customHeight="1">
      <c r="A432" t="inlineStr">
        <is>
          <t>A 48771-2024</t>
        </is>
      </c>
      <c r="B432" s="1" t="n">
        <v>45593</v>
      </c>
      <c r="C432" s="1" t="n">
        <v>46197</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24241-2023</t>
        </is>
      </c>
      <c r="B433" s="1" t="n">
        <v>45079</v>
      </c>
      <c r="C433" s="1" t="n">
        <v>46197</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23987-2024</t>
        </is>
      </c>
      <c r="B434" s="1" t="n">
        <v>45456</v>
      </c>
      <c r="C434" s="1" t="n">
        <v>46197</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19739-2023</t>
        </is>
      </c>
      <c r="B435" s="1" t="n">
        <v>45051</v>
      </c>
      <c r="C435" s="1" t="n">
        <v>46197</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59246-2024</t>
        </is>
      </c>
      <c r="B436" s="1" t="n">
        <v>45636</v>
      </c>
      <c r="C436" s="1" t="n">
        <v>46197</v>
      </c>
      <c r="D436" t="inlineStr">
        <is>
          <t>SKÅNE LÄN</t>
        </is>
      </c>
      <c r="E436" t="inlineStr">
        <is>
          <t>HÄSSLEHOLM</t>
        </is>
      </c>
      <c r="G436" t="n">
        <v>2.6</v>
      </c>
      <c r="H436" t="n">
        <v>0</v>
      </c>
      <c r="I436" t="n">
        <v>0</v>
      </c>
      <c r="J436" t="n">
        <v>0</v>
      </c>
      <c r="K436" t="n">
        <v>0</v>
      </c>
      <c r="L436" t="n">
        <v>0</v>
      </c>
      <c r="M436" t="n">
        <v>0</v>
      </c>
      <c r="N436" t="n">
        <v>0</v>
      </c>
      <c r="O436" t="n">
        <v>0</v>
      </c>
      <c r="P436" t="n">
        <v>0</v>
      </c>
      <c r="Q436" t="n">
        <v>0</v>
      </c>
      <c r="R436" s="2" t="inlineStr"/>
    </row>
    <row r="437" ht="15" customHeight="1">
      <c r="A437" t="inlineStr">
        <is>
          <t>A 32981-2025</t>
        </is>
      </c>
      <c r="B437" s="1" t="n">
        <v>45839</v>
      </c>
      <c r="C437" s="1" t="n">
        <v>46197</v>
      </c>
      <c r="D437" t="inlineStr">
        <is>
          <t>SKÅNE LÄN</t>
        </is>
      </c>
      <c r="E437" t="inlineStr">
        <is>
          <t>HÄSSLEHOLM</t>
        </is>
      </c>
      <c r="G437" t="n">
        <v>2.7</v>
      </c>
      <c r="H437" t="n">
        <v>0</v>
      </c>
      <c r="I437" t="n">
        <v>0</v>
      </c>
      <c r="J437" t="n">
        <v>0</v>
      </c>
      <c r="K437" t="n">
        <v>0</v>
      </c>
      <c r="L437" t="n">
        <v>0</v>
      </c>
      <c r="M437" t="n">
        <v>0</v>
      </c>
      <c r="N437" t="n">
        <v>0</v>
      </c>
      <c r="O437" t="n">
        <v>0</v>
      </c>
      <c r="P437" t="n">
        <v>0</v>
      </c>
      <c r="Q437" t="n">
        <v>0</v>
      </c>
      <c r="R437" s="2" t="inlineStr"/>
    </row>
    <row r="438" ht="15" customHeight="1">
      <c r="A438" t="inlineStr">
        <is>
          <t>A 18109-2025</t>
        </is>
      </c>
      <c r="B438" s="1" t="n">
        <v>45761</v>
      </c>
      <c r="C438" s="1" t="n">
        <v>46197</v>
      </c>
      <c r="D438" t="inlineStr">
        <is>
          <t>SKÅNE LÄN</t>
        </is>
      </c>
      <c r="E438" t="inlineStr">
        <is>
          <t>HÄSSLEHOLM</t>
        </is>
      </c>
      <c r="G438" t="n">
        <v>1.4</v>
      </c>
      <c r="H438" t="n">
        <v>0</v>
      </c>
      <c r="I438" t="n">
        <v>0</v>
      </c>
      <c r="J438" t="n">
        <v>0</v>
      </c>
      <c r="K438" t="n">
        <v>0</v>
      </c>
      <c r="L438" t="n">
        <v>0</v>
      </c>
      <c r="M438" t="n">
        <v>0</v>
      </c>
      <c r="N438" t="n">
        <v>0</v>
      </c>
      <c r="O438" t="n">
        <v>0</v>
      </c>
      <c r="P438" t="n">
        <v>0</v>
      </c>
      <c r="Q438" t="n">
        <v>0</v>
      </c>
      <c r="R438" s="2" t="inlineStr"/>
    </row>
    <row r="439" ht="15" customHeight="1">
      <c r="A439" t="inlineStr">
        <is>
          <t>A 23666-2023</t>
        </is>
      </c>
      <c r="B439" s="1" t="n">
        <v>45077</v>
      </c>
      <c r="C439" s="1" t="n">
        <v>46197</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49845-2025</t>
        </is>
      </c>
      <c r="B440" s="1" t="n">
        <v>45940</v>
      </c>
      <c r="C440" s="1" t="n">
        <v>46197</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35237-2023</t>
        </is>
      </c>
      <c r="B441" s="1" t="n">
        <v>45145</v>
      </c>
      <c r="C441" s="1" t="n">
        <v>46197</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260-2024</t>
        </is>
      </c>
      <c r="B442" s="1" t="n">
        <v>45294</v>
      </c>
      <c r="C442" s="1" t="n">
        <v>46197</v>
      </c>
      <c r="D442" t="inlineStr">
        <is>
          <t>SKÅNE LÄN</t>
        </is>
      </c>
      <c r="E442" t="inlineStr">
        <is>
          <t>HÄSSLEHOLM</t>
        </is>
      </c>
      <c r="G442" t="n">
        <v>0.2</v>
      </c>
      <c r="H442" t="n">
        <v>0</v>
      </c>
      <c r="I442" t="n">
        <v>0</v>
      </c>
      <c r="J442" t="n">
        <v>0</v>
      </c>
      <c r="K442" t="n">
        <v>0</v>
      </c>
      <c r="L442" t="n">
        <v>0</v>
      </c>
      <c r="M442" t="n">
        <v>0</v>
      </c>
      <c r="N442" t="n">
        <v>0</v>
      </c>
      <c r="O442" t="n">
        <v>0</v>
      </c>
      <c r="P442" t="n">
        <v>0</v>
      </c>
      <c r="Q442" t="n">
        <v>0</v>
      </c>
      <c r="R442" s="2" t="inlineStr"/>
    </row>
    <row r="443" ht="15" customHeight="1">
      <c r="A443" t="inlineStr">
        <is>
          <t>A 57275-2023</t>
        </is>
      </c>
      <c r="B443" s="1" t="n">
        <v>45245</v>
      </c>
      <c r="C443" s="1" t="n">
        <v>46197</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27304-2023</t>
        </is>
      </c>
      <c r="B444" s="1" t="n">
        <v>45096</v>
      </c>
      <c r="C444" s="1" t="n">
        <v>46197</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24904-2025</t>
        </is>
      </c>
      <c r="B445" s="1" t="n">
        <v>45799</v>
      </c>
      <c r="C445" s="1" t="n">
        <v>46197</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6309-2026</t>
        </is>
      </c>
      <c r="B446" s="1" t="n">
        <v>46055</v>
      </c>
      <c r="C446" s="1" t="n">
        <v>46197</v>
      </c>
      <c r="D446" t="inlineStr">
        <is>
          <t>SKÅNE LÄN</t>
        </is>
      </c>
      <c r="E446" t="inlineStr">
        <is>
          <t>HÄSSLEHOLM</t>
        </is>
      </c>
      <c r="G446" t="n">
        <v>3.5</v>
      </c>
      <c r="H446" t="n">
        <v>0</v>
      </c>
      <c r="I446" t="n">
        <v>0</v>
      </c>
      <c r="J446" t="n">
        <v>0</v>
      </c>
      <c r="K446" t="n">
        <v>0</v>
      </c>
      <c r="L446" t="n">
        <v>0</v>
      </c>
      <c r="M446" t="n">
        <v>0</v>
      </c>
      <c r="N446" t="n">
        <v>0</v>
      </c>
      <c r="O446" t="n">
        <v>0</v>
      </c>
      <c r="P446" t="n">
        <v>0</v>
      </c>
      <c r="Q446" t="n">
        <v>0</v>
      </c>
      <c r="R446" s="2" t="inlineStr"/>
    </row>
    <row r="447" ht="15" customHeight="1">
      <c r="A447" t="inlineStr">
        <is>
          <t>A 50834-2025</t>
        </is>
      </c>
      <c r="B447" s="1" t="n">
        <v>45946</v>
      </c>
      <c r="C447" s="1" t="n">
        <v>46197</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6299-2026</t>
        </is>
      </c>
      <c r="B448" s="1" t="n">
        <v>46055</v>
      </c>
      <c r="C448" s="1" t="n">
        <v>46197</v>
      </c>
      <c r="D448" t="inlineStr">
        <is>
          <t>SKÅNE LÄN</t>
        </is>
      </c>
      <c r="E448" t="inlineStr">
        <is>
          <t>HÄSSLEHOLM</t>
        </is>
      </c>
      <c r="G448" t="n">
        <v>5.2</v>
      </c>
      <c r="H448" t="n">
        <v>0</v>
      </c>
      <c r="I448" t="n">
        <v>0</v>
      </c>
      <c r="J448" t="n">
        <v>0</v>
      </c>
      <c r="K448" t="n">
        <v>0</v>
      </c>
      <c r="L448" t="n">
        <v>0</v>
      </c>
      <c r="M448" t="n">
        <v>0</v>
      </c>
      <c r="N448" t="n">
        <v>0</v>
      </c>
      <c r="O448" t="n">
        <v>0</v>
      </c>
      <c r="P448" t="n">
        <v>0</v>
      </c>
      <c r="Q448" t="n">
        <v>0</v>
      </c>
      <c r="R448" s="2" t="inlineStr"/>
    </row>
    <row r="449" ht="15" customHeight="1">
      <c r="A449" t="inlineStr">
        <is>
          <t>A 48191-2021</t>
        </is>
      </c>
      <c r="B449" s="1" t="n">
        <v>44449</v>
      </c>
      <c r="C449" s="1" t="n">
        <v>46197</v>
      </c>
      <c r="D449" t="inlineStr">
        <is>
          <t>SKÅNE LÄN</t>
        </is>
      </c>
      <c r="E449" t="inlineStr">
        <is>
          <t>HÄSSLEHOLM</t>
        </is>
      </c>
      <c r="G449" t="n">
        <v>6</v>
      </c>
      <c r="H449" t="n">
        <v>0</v>
      </c>
      <c r="I449" t="n">
        <v>0</v>
      </c>
      <c r="J449" t="n">
        <v>0</v>
      </c>
      <c r="K449" t="n">
        <v>0</v>
      </c>
      <c r="L449" t="n">
        <v>0</v>
      </c>
      <c r="M449" t="n">
        <v>0</v>
      </c>
      <c r="N449" t="n">
        <v>0</v>
      </c>
      <c r="O449" t="n">
        <v>0</v>
      </c>
      <c r="P449" t="n">
        <v>0</v>
      </c>
      <c r="Q449" t="n">
        <v>0</v>
      </c>
      <c r="R449" s="2" t="inlineStr"/>
    </row>
    <row r="450" ht="15" customHeight="1">
      <c r="A450" t="inlineStr">
        <is>
          <t>A 6449-2026</t>
        </is>
      </c>
      <c r="B450" s="1" t="n">
        <v>46055</v>
      </c>
      <c r="C450" s="1" t="n">
        <v>46197</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6845-2023</t>
        </is>
      </c>
      <c r="B451" s="1" t="n">
        <v>44967</v>
      </c>
      <c r="C451" s="1" t="n">
        <v>46197</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50678-2025</t>
        </is>
      </c>
      <c r="B452" s="1" t="n">
        <v>45945</v>
      </c>
      <c r="C452" s="1" t="n">
        <v>46197</v>
      </c>
      <c r="D452" t="inlineStr">
        <is>
          <t>SKÅNE LÄN</t>
        </is>
      </c>
      <c r="E452" t="inlineStr">
        <is>
          <t>HÄSSLEHOLM</t>
        </is>
      </c>
      <c r="G452" t="n">
        <v>1.2</v>
      </c>
      <c r="H452" t="n">
        <v>0</v>
      </c>
      <c r="I452" t="n">
        <v>0</v>
      </c>
      <c r="J452" t="n">
        <v>0</v>
      </c>
      <c r="K452" t="n">
        <v>0</v>
      </c>
      <c r="L452" t="n">
        <v>0</v>
      </c>
      <c r="M452" t="n">
        <v>0</v>
      </c>
      <c r="N452" t="n">
        <v>0</v>
      </c>
      <c r="O452" t="n">
        <v>0</v>
      </c>
      <c r="P452" t="n">
        <v>0</v>
      </c>
      <c r="Q452" t="n">
        <v>0</v>
      </c>
      <c r="R452" s="2" t="inlineStr"/>
    </row>
    <row r="453" ht="15" customHeight="1">
      <c r="A453" t="inlineStr">
        <is>
          <t>A 6295-2026</t>
        </is>
      </c>
      <c r="B453" s="1" t="n">
        <v>46055</v>
      </c>
      <c r="C453" s="1" t="n">
        <v>46197</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1886-2025</t>
        </is>
      </c>
      <c r="B454" s="1" t="n">
        <v>45671</v>
      </c>
      <c r="C454" s="1" t="n">
        <v>46197</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15536-2025</t>
        </is>
      </c>
      <c r="B455" s="1" t="n">
        <v>45747</v>
      </c>
      <c r="C455" s="1" t="n">
        <v>46197</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1557-2023</t>
        </is>
      </c>
      <c r="B456" s="1" t="n">
        <v>44937</v>
      </c>
      <c r="C456" s="1" t="n">
        <v>46197</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49824-2024</t>
        </is>
      </c>
      <c r="B457" s="1" t="n">
        <v>45597</v>
      </c>
      <c r="C457" s="1" t="n">
        <v>46197</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32834-2024</t>
        </is>
      </c>
      <c r="B458" s="1" t="n">
        <v>45516</v>
      </c>
      <c r="C458" s="1" t="n">
        <v>46197</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49199-2024</t>
        </is>
      </c>
      <c r="B459" s="1" t="n">
        <v>45595</v>
      </c>
      <c r="C459" s="1" t="n">
        <v>46197</v>
      </c>
      <c r="D459" t="inlineStr">
        <is>
          <t>SKÅNE LÄN</t>
        </is>
      </c>
      <c r="E459" t="inlineStr">
        <is>
          <t>HÄSSLEHOLM</t>
        </is>
      </c>
      <c r="G459" t="n">
        <v>5.2</v>
      </c>
      <c r="H459" t="n">
        <v>0</v>
      </c>
      <c r="I459" t="n">
        <v>0</v>
      </c>
      <c r="J459" t="n">
        <v>0</v>
      </c>
      <c r="K459" t="n">
        <v>0</v>
      </c>
      <c r="L459" t="n">
        <v>0</v>
      </c>
      <c r="M459" t="n">
        <v>0</v>
      </c>
      <c r="N459" t="n">
        <v>0</v>
      </c>
      <c r="O459" t="n">
        <v>0</v>
      </c>
      <c r="P459" t="n">
        <v>0</v>
      </c>
      <c r="Q459" t="n">
        <v>0</v>
      </c>
      <c r="R459" s="2" t="inlineStr"/>
    </row>
    <row r="460" ht="15" customHeight="1">
      <c r="A460" t="inlineStr">
        <is>
          <t>A 58886-2024</t>
        </is>
      </c>
      <c r="B460" s="1" t="n">
        <v>45636</v>
      </c>
      <c r="C460" s="1" t="n">
        <v>46197</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51024-2025</t>
        </is>
      </c>
      <c r="B461" s="1" t="n">
        <v>45947</v>
      </c>
      <c r="C461" s="1" t="n">
        <v>46197</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6877-2026</t>
        </is>
      </c>
      <c r="B462" s="1" t="n">
        <v>46057</v>
      </c>
      <c r="C462" s="1" t="n">
        <v>46197</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7244-2026</t>
        </is>
      </c>
      <c r="B463" s="1" t="n">
        <v>46058</v>
      </c>
      <c r="C463" s="1" t="n">
        <v>46197</v>
      </c>
      <c r="D463" t="inlineStr">
        <is>
          <t>SKÅNE LÄN</t>
        </is>
      </c>
      <c r="E463" t="inlineStr">
        <is>
          <t>HÄSSLEHOLM</t>
        </is>
      </c>
      <c r="G463" t="n">
        <v>7</v>
      </c>
      <c r="H463" t="n">
        <v>0</v>
      </c>
      <c r="I463" t="n">
        <v>0</v>
      </c>
      <c r="J463" t="n">
        <v>0</v>
      </c>
      <c r="K463" t="n">
        <v>0</v>
      </c>
      <c r="L463" t="n">
        <v>0</v>
      </c>
      <c r="M463" t="n">
        <v>0</v>
      </c>
      <c r="N463" t="n">
        <v>0</v>
      </c>
      <c r="O463" t="n">
        <v>0</v>
      </c>
      <c r="P463" t="n">
        <v>0</v>
      </c>
      <c r="Q463" t="n">
        <v>0</v>
      </c>
      <c r="R463" s="2" t="inlineStr"/>
    </row>
    <row r="464" ht="15" customHeight="1">
      <c r="A464" t="inlineStr">
        <is>
          <t>A 51097-2025</t>
        </is>
      </c>
      <c r="B464" s="1" t="n">
        <v>45947</v>
      </c>
      <c r="C464" s="1" t="n">
        <v>46197</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12469-2023</t>
        </is>
      </c>
      <c r="B465" s="1" t="n">
        <v>44999</v>
      </c>
      <c r="C465" s="1" t="n">
        <v>46197</v>
      </c>
      <c r="D465" t="inlineStr">
        <is>
          <t>SKÅNE LÄN</t>
        </is>
      </c>
      <c r="E465" t="inlineStr">
        <is>
          <t>HÄSSLEHOLM</t>
        </is>
      </c>
      <c r="G465" t="n">
        <v>2.6</v>
      </c>
      <c r="H465" t="n">
        <v>0</v>
      </c>
      <c r="I465" t="n">
        <v>0</v>
      </c>
      <c r="J465" t="n">
        <v>0</v>
      </c>
      <c r="K465" t="n">
        <v>0</v>
      </c>
      <c r="L465" t="n">
        <v>0</v>
      </c>
      <c r="M465" t="n">
        <v>0</v>
      </c>
      <c r="N465" t="n">
        <v>0</v>
      </c>
      <c r="O465" t="n">
        <v>0</v>
      </c>
      <c r="P465" t="n">
        <v>0</v>
      </c>
      <c r="Q465" t="n">
        <v>0</v>
      </c>
      <c r="R465" s="2" t="inlineStr"/>
    </row>
    <row r="466" ht="15" customHeight="1">
      <c r="A466" t="inlineStr">
        <is>
          <t>A 48663-2024</t>
        </is>
      </c>
      <c r="B466" s="1" t="n">
        <v>45593</v>
      </c>
      <c r="C466" s="1" t="n">
        <v>46197</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50659-2023</t>
        </is>
      </c>
      <c r="B467" s="1" t="n">
        <v>45217</v>
      </c>
      <c r="C467" s="1" t="n">
        <v>46197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27464-2022</t>
        </is>
      </c>
      <c r="B468" s="1" t="n">
        <v>44742</v>
      </c>
      <c r="C468" s="1" t="n">
        <v>46197</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51640-2025</t>
        </is>
      </c>
      <c r="B469" s="1" t="n">
        <v>45951</v>
      </c>
      <c r="C469" s="1" t="n">
        <v>46197</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50525-2024</t>
        </is>
      </c>
      <c r="B470" s="1" t="n">
        <v>45601</v>
      </c>
      <c r="C470" s="1" t="n">
        <v>46197</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1560-2023</t>
        </is>
      </c>
      <c r="B471" s="1" t="n">
        <v>44937</v>
      </c>
      <c r="C471" s="1" t="n">
        <v>46197</v>
      </c>
      <c r="D471" t="inlineStr">
        <is>
          <t>SKÅNE LÄN</t>
        </is>
      </c>
      <c r="E471" t="inlineStr">
        <is>
          <t>HÄSSLEHOLM</t>
        </is>
      </c>
      <c r="G471" t="n">
        <v>6.8</v>
      </c>
      <c r="H471" t="n">
        <v>0</v>
      </c>
      <c r="I471" t="n">
        <v>0</v>
      </c>
      <c r="J471" t="n">
        <v>0</v>
      </c>
      <c r="K471" t="n">
        <v>0</v>
      </c>
      <c r="L471" t="n">
        <v>0</v>
      </c>
      <c r="M471" t="n">
        <v>0</v>
      </c>
      <c r="N471" t="n">
        <v>0</v>
      </c>
      <c r="O471" t="n">
        <v>0</v>
      </c>
      <c r="P471" t="n">
        <v>0</v>
      </c>
      <c r="Q471" t="n">
        <v>0</v>
      </c>
      <c r="R471" s="2" t="inlineStr"/>
    </row>
    <row r="472" ht="15" customHeight="1">
      <c r="A472" t="inlineStr">
        <is>
          <t>A 53018-2025</t>
        </is>
      </c>
      <c r="B472" s="1" t="n">
        <v>45957</v>
      </c>
      <c r="C472" s="1" t="n">
        <v>46197</v>
      </c>
      <c r="D472" t="inlineStr">
        <is>
          <t>SKÅNE LÄN</t>
        </is>
      </c>
      <c r="E472" t="inlineStr">
        <is>
          <t>HÄSSLEHOLM</t>
        </is>
      </c>
      <c r="G472" t="n">
        <v>2.2</v>
      </c>
      <c r="H472" t="n">
        <v>0</v>
      </c>
      <c r="I472" t="n">
        <v>0</v>
      </c>
      <c r="J472" t="n">
        <v>0</v>
      </c>
      <c r="K472" t="n">
        <v>0</v>
      </c>
      <c r="L472" t="n">
        <v>0</v>
      </c>
      <c r="M472" t="n">
        <v>0</v>
      </c>
      <c r="N472" t="n">
        <v>0</v>
      </c>
      <c r="O472" t="n">
        <v>0</v>
      </c>
      <c r="P472" t="n">
        <v>0</v>
      </c>
      <c r="Q472" t="n">
        <v>0</v>
      </c>
      <c r="R472" s="2" t="inlineStr"/>
    </row>
    <row r="473" ht="15" customHeight="1">
      <c r="A473" t="inlineStr">
        <is>
          <t>A 33465-2024</t>
        </is>
      </c>
      <c r="B473" s="1" t="n">
        <v>45519</v>
      </c>
      <c r="C473" s="1" t="n">
        <v>46197</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7721-2026</t>
        </is>
      </c>
      <c r="B474" s="1" t="n">
        <v>46059</v>
      </c>
      <c r="C474" s="1" t="n">
        <v>46197</v>
      </c>
      <c r="D474" t="inlineStr">
        <is>
          <t>SKÅNE LÄN</t>
        </is>
      </c>
      <c r="E474" t="inlineStr">
        <is>
          <t>HÄSSLEHOLM</t>
        </is>
      </c>
      <c r="G474" t="n">
        <v>3.3</v>
      </c>
      <c r="H474" t="n">
        <v>0</v>
      </c>
      <c r="I474" t="n">
        <v>0</v>
      </c>
      <c r="J474" t="n">
        <v>0</v>
      </c>
      <c r="K474" t="n">
        <v>0</v>
      </c>
      <c r="L474" t="n">
        <v>0</v>
      </c>
      <c r="M474" t="n">
        <v>0</v>
      </c>
      <c r="N474" t="n">
        <v>0</v>
      </c>
      <c r="O474" t="n">
        <v>0</v>
      </c>
      <c r="P474" t="n">
        <v>0</v>
      </c>
      <c r="Q474" t="n">
        <v>0</v>
      </c>
      <c r="R474" s="2" t="inlineStr"/>
    </row>
    <row r="475" ht="15" customHeight="1">
      <c r="A475" t="inlineStr">
        <is>
          <t>A 31986-2023</t>
        </is>
      </c>
      <c r="B475" s="1" t="n">
        <v>45119</v>
      </c>
      <c r="C475" s="1" t="n">
        <v>46197</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41209-2023</t>
        </is>
      </c>
      <c r="B476" s="1" t="n">
        <v>45174</v>
      </c>
      <c r="C476" s="1" t="n">
        <v>46197</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61197-2024</t>
        </is>
      </c>
      <c r="B477" s="1" t="n">
        <v>45645</v>
      </c>
      <c r="C477" s="1" t="n">
        <v>46197</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35833-2023</t>
        </is>
      </c>
      <c r="B478" s="1" t="n">
        <v>45148</v>
      </c>
      <c r="C478" s="1" t="n">
        <v>46197</v>
      </c>
      <c r="D478" t="inlineStr">
        <is>
          <t>SKÅNE LÄN</t>
        </is>
      </c>
      <c r="E478" t="inlineStr">
        <is>
          <t>HÄSSLEHOLM</t>
        </is>
      </c>
      <c r="F478" t="inlineStr">
        <is>
          <t>Kommuner</t>
        </is>
      </c>
      <c r="G478" t="n">
        <v>2</v>
      </c>
      <c r="H478" t="n">
        <v>0</v>
      </c>
      <c r="I478" t="n">
        <v>0</v>
      </c>
      <c r="J478" t="n">
        <v>0</v>
      </c>
      <c r="K478" t="n">
        <v>0</v>
      </c>
      <c r="L478" t="n">
        <v>0</v>
      </c>
      <c r="M478" t="n">
        <v>0</v>
      </c>
      <c r="N478" t="n">
        <v>0</v>
      </c>
      <c r="O478" t="n">
        <v>0</v>
      </c>
      <c r="P478" t="n">
        <v>0</v>
      </c>
      <c r="Q478" t="n">
        <v>0</v>
      </c>
      <c r="R478" s="2" t="inlineStr"/>
    </row>
    <row r="479" ht="15" customHeight="1">
      <c r="A479" t="inlineStr">
        <is>
          <t>A 57491-2024</t>
        </is>
      </c>
      <c r="B479" s="1" t="n">
        <v>45629</v>
      </c>
      <c r="C479" s="1" t="n">
        <v>46197</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53424-2025</t>
        </is>
      </c>
      <c r="B480" s="1" t="n">
        <v>45959</v>
      </c>
      <c r="C480" s="1" t="n">
        <v>46197</v>
      </c>
      <c r="D480" t="inlineStr">
        <is>
          <t>SKÅNE LÄN</t>
        </is>
      </c>
      <c r="E480" t="inlineStr">
        <is>
          <t>HÄSSLEHOLM</t>
        </is>
      </c>
      <c r="G480" t="n">
        <v>3.4</v>
      </c>
      <c r="H480" t="n">
        <v>0</v>
      </c>
      <c r="I480" t="n">
        <v>0</v>
      </c>
      <c r="J480" t="n">
        <v>0</v>
      </c>
      <c r="K480" t="n">
        <v>0</v>
      </c>
      <c r="L480" t="n">
        <v>0</v>
      </c>
      <c r="M480" t="n">
        <v>0</v>
      </c>
      <c r="N480" t="n">
        <v>0</v>
      </c>
      <c r="O480" t="n">
        <v>0</v>
      </c>
      <c r="P480" t="n">
        <v>0</v>
      </c>
      <c r="Q480" t="n">
        <v>0</v>
      </c>
      <c r="R480" s="2" t="inlineStr"/>
    </row>
    <row r="481" ht="15" customHeight="1">
      <c r="A481" t="inlineStr">
        <is>
          <t>A 58250-2024</t>
        </is>
      </c>
      <c r="B481" s="1" t="n">
        <v>45632</v>
      </c>
      <c r="C481" s="1" t="n">
        <v>46197</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6798-2025</t>
        </is>
      </c>
      <c r="B482" s="1" t="n">
        <v>45700</v>
      </c>
      <c r="C482" s="1" t="n">
        <v>46197</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69357-2021</t>
        </is>
      </c>
      <c r="B483" s="1" t="n">
        <v>44531</v>
      </c>
      <c r="C483" s="1" t="n">
        <v>46197</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8539-2026</t>
        </is>
      </c>
      <c r="B484" s="1" t="n">
        <v>46064</v>
      </c>
      <c r="C484" s="1" t="n">
        <v>46197</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8367-2026</t>
        </is>
      </c>
      <c r="B485" s="1" t="n">
        <v>46064</v>
      </c>
      <c r="C485" s="1" t="n">
        <v>46197</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8852-2026</t>
        </is>
      </c>
      <c r="B486" s="1" t="n">
        <v>46066</v>
      </c>
      <c r="C486" s="1" t="n">
        <v>46197</v>
      </c>
      <c r="D486" t="inlineStr">
        <is>
          <t>SKÅNE LÄN</t>
        </is>
      </c>
      <c r="E486" t="inlineStr">
        <is>
          <t>HÄSSLEHOLM</t>
        </is>
      </c>
      <c r="G486" t="n">
        <v>2.4</v>
      </c>
      <c r="H486" t="n">
        <v>0</v>
      </c>
      <c r="I486" t="n">
        <v>0</v>
      </c>
      <c r="J486" t="n">
        <v>0</v>
      </c>
      <c r="K486" t="n">
        <v>0</v>
      </c>
      <c r="L486" t="n">
        <v>0</v>
      </c>
      <c r="M486" t="n">
        <v>0</v>
      </c>
      <c r="N486" t="n">
        <v>0</v>
      </c>
      <c r="O486" t="n">
        <v>0</v>
      </c>
      <c r="P486" t="n">
        <v>0</v>
      </c>
      <c r="Q486" t="n">
        <v>0</v>
      </c>
      <c r="R486" s="2" t="inlineStr"/>
    </row>
    <row r="487" ht="15" customHeight="1">
      <c r="A487" t="inlineStr">
        <is>
          <t>A 37898-2021</t>
        </is>
      </c>
      <c r="B487" s="1" t="n">
        <v>44403</v>
      </c>
      <c r="C487" s="1" t="n">
        <v>46197</v>
      </c>
      <c r="D487" t="inlineStr">
        <is>
          <t>SKÅNE LÄN</t>
        </is>
      </c>
      <c r="E487" t="inlineStr">
        <is>
          <t>HÄSSLEHOLM</t>
        </is>
      </c>
      <c r="F487" t="inlineStr">
        <is>
          <t>Kommuner</t>
        </is>
      </c>
      <c r="G487" t="n">
        <v>8.4</v>
      </c>
      <c r="H487" t="n">
        <v>0</v>
      </c>
      <c r="I487" t="n">
        <v>0</v>
      </c>
      <c r="J487" t="n">
        <v>0</v>
      </c>
      <c r="K487" t="n">
        <v>0</v>
      </c>
      <c r="L487" t="n">
        <v>0</v>
      </c>
      <c r="M487" t="n">
        <v>0</v>
      </c>
      <c r="N487" t="n">
        <v>0</v>
      </c>
      <c r="O487" t="n">
        <v>0</v>
      </c>
      <c r="P487" t="n">
        <v>0</v>
      </c>
      <c r="Q487" t="n">
        <v>0</v>
      </c>
      <c r="R487" s="2" t="inlineStr"/>
    </row>
    <row r="488" ht="15" customHeight="1">
      <c r="A488" t="inlineStr">
        <is>
          <t>A 35810-2023</t>
        </is>
      </c>
      <c r="B488" s="1" t="n">
        <v>45148</v>
      </c>
      <c r="C488" s="1" t="n">
        <v>46197</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23172-2022</t>
        </is>
      </c>
      <c r="B489" s="1" t="n">
        <v>44719</v>
      </c>
      <c r="C489" s="1" t="n">
        <v>46197</v>
      </c>
      <c r="D489" t="inlineStr">
        <is>
          <t>SKÅNE LÄN</t>
        </is>
      </c>
      <c r="E489" t="inlineStr">
        <is>
          <t>HÄSSLEHOLM</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23173-2022</t>
        </is>
      </c>
      <c r="B490" s="1" t="n">
        <v>44719</v>
      </c>
      <c r="C490" s="1" t="n">
        <v>46197</v>
      </c>
      <c r="D490" t="inlineStr">
        <is>
          <t>SKÅNE LÄN</t>
        </is>
      </c>
      <c r="E490" t="inlineStr">
        <is>
          <t>HÄSSLEHOLM</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8674-2026</t>
        </is>
      </c>
      <c r="B491" s="1" t="n">
        <v>46066</v>
      </c>
      <c r="C491" s="1" t="n">
        <v>46197</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47161-2025</t>
        </is>
      </c>
      <c r="B492" s="1" t="n">
        <v>45929</v>
      </c>
      <c r="C492" s="1" t="n">
        <v>46197</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52608-2023</t>
        </is>
      </c>
      <c r="B493" s="1" t="n">
        <v>45219</v>
      </c>
      <c r="C493" s="1" t="n">
        <v>46197</v>
      </c>
      <c r="D493" t="inlineStr">
        <is>
          <t>SKÅNE LÄN</t>
        </is>
      </c>
      <c r="E493" t="inlineStr">
        <is>
          <t>HÄSSLEHOLM</t>
        </is>
      </c>
      <c r="F493" t="inlineStr">
        <is>
          <t>Övriga Aktiebolag</t>
        </is>
      </c>
      <c r="G493" t="n">
        <v>2.1</v>
      </c>
      <c r="H493" t="n">
        <v>0</v>
      </c>
      <c r="I493" t="n">
        <v>0</v>
      </c>
      <c r="J493" t="n">
        <v>0</v>
      </c>
      <c r="K493" t="n">
        <v>0</v>
      </c>
      <c r="L493" t="n">
        <v>0</v>
      </c>
      <c r="M493" t="n">
        <v>0</v>
      </c>
      <c r="N493" t="n">
        <v>0</v>
      </c>
      <c r="O493" t="n">
        <v>0</v>
      </c>
      <c r="P493" t="n">
        <v>0</v>
      </c>
      <c r="Q493" t="n">
        <v>0</v>
      </c>
      <c r="R493" s="2" t="inlineStr"/>
    </row>
    <row r="494" ht="15" customHeight="1">
      <c r="A494" t="inlineStr">
        <is>
          <t>A 56355-2023</t>
        </is>
      </c>
      <c r="B494" s="1" t="n">
        <v>45243</v>
      </c>
      <c r="C494" s="1" t="n">
        <v>46197</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9394-2025</t>
        </is>
      </c>
      <c r="B495" s="1" t="n">
        <v>45715</v>
      </c>
      <c r="C495" s="1" t="n">
        <v>46197</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7305-2025</t>
        </is>
      </c>
      <c r="B496" s="1" t="n">
        <v>45702</v>
      </c>
      <c r="C496" s="1" t="n">
        <v>46197</v>
      </c>
      <c r="D496" t="inlineStr">
        <is>
          <t>SKÅNE LÄN</t>
        </is>
      </c>
      <c r="E496" t="inlineStr">
        <is>
          <t>HÄSSLEHOLM</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58689-2025</t>
        </is>
      </c>
      <c r="B497" s="1" t="n">
        <v>45986</v>
      </c>
      <c r="C497" s="1" t="n">
        <v>46197</v>
      </c>
      <c r="D497" t="inlineStr">
        <is>
          <t>SKÅNE LÄN</t>
        </is>
      </c>
      <c r="E497" t="inlineStr">
        <is>
          <t>HÄSSLEHOLM</t>
        </is>
      </c>
      <c r="G497" t="n">
        <v>3.9</v>
      </c>
      <c r="H497" t="n">
        <v>0</v>
      </c>
      <c r="I497" t="n">
        <v>0</v>
      </c>
      <c r="J497" t="n">
        <v>0</v>
      </c>
      <c r="K497" t="n">
        <v>0</v>
      </c>
      <c r="L497" t="n">
        <v>0</v>
      </c>
      <c r="M497" t="n">
        <v>0</v>
      </c>
      <c r="N497" t="n">
        <v>0</v>
      </c>
      <c r="O497" t="n">
        <v>0</v>
      </c>
      <c r="P497" t="n">
        <v>0</v>
      </c>
      <c r="Q497" t="n">
        <v>0</v>
      </c>
      <c r="R497" s="2" t="inlineStr"/>
    </row>
    <row r="498" ht="15" customHeight="1">
      <c r="A498" t="inlineStr">
        <is>
          <t>A 52341-2023</t>
        </is>
      </c>
      <c r="B498" s="1" t="n">
        <v>45224</v>
      </c>
      <c r="C498" s="1" t="n">
        <v>46197</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55268-2025</t>
        </is>
      </c>
      <c r="B499" s="1" t="n">
        <v>45968</v>
      </c>
      <c r="C499" s="1" t="n">
        <v>46197</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27297-2023</t>
        </is>
      </c>
      <c r="B500" s="1" t="n">
        <v>45096</v>
      </c>
      <c r="C500" s="1" t="n">
        <v>46197</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55549-2025</t>
        </is>
      </c>
      <c r="B501" s="1" t="n">
        <v>45971</v>
      </c>
      <c r="C501" s="1" t="n">
        <v>46197</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55455-2025</t>
        </is>
      </c>
      <c r="B502" s="1" t="n">
        <v>45971</v>
      </c>
      <c r="C502" s="1" t="n">
        <v>46197</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9747-2024</t>
        </is>
      </c>
      <c r="B503" s="1" t="n">
        <v>45362</v>
      </c>
      <c r="C503" s="1" t="n">
        <v>46197</v>
      </c>
      <c r="D503" t="inlineStr">
        <is>
          <t>SKÅNE LÄN</t>
        </is>
      </c>
      <c r="E503" t="inlineStr">
        <is>
          <t>HÄSSLEHOLM</t>
        </is>
      </c>
      <c r="G503" t="n">
        <v>1.8</v>
      </c>
      <c r="H503" t="n">
        <v>0</v>
      </c>
      <c r="I503" t="n">
        <v>0</v>
      </c>
      <c r="J503" t="n">
        <v>0</v>
      </c>
      <c r="K503" t="n">
        <v>0</v>
      </c>
      <c r="L503" t="n">
        <v>0</v>
      </c>
      <c r="M503" t="n">
        <v>0</v>
      </c>
      <c r="N503" t="n">
        <v>0</v>
      </c>
      <c r="O503" t="n">
        <v>0</v>
      </c>
      <c r="P503" t="n">
        <v>0</v>
      </c>
      <c r="Q503" t="n">
        <v>0</v>
      </c>
      <c r="R503" s="2" t="inlineStr"/>
    </row>
    <row r="504" ht="15" customHeight="1">
      <c r="A504" t="inlineStr">
        <is>
          <t>A 55458-2025</t>
        </is>
      </c>
      <c r="B504" s="1" t="n">
        <v>45971</v>
      </c>
      <c r="C504" s="1" t="n">
        <v>46197</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32154-2024</t>
        </is>
      </c>
      <c r="B505" s="1" t="n">
        <v>45511</v>
      </c>
      <c r="C505" s="1" t="n">
        <v>46197</v>
      </c>
      <c r="D505" t="inlineStr">
        <is>
          <t>SKÅNE LÄN</t>
        </is>
      </c>
      <c r="E505" t="inlineStr">
        <is>
          <t>HÄSSLEHOLM</t>
        </is>
      </c>
      <c r="G505" t="n">
        <v>6.4</v>
      </c>
      <c r="H505" t="n">
        <v>0</v>
      </c>
      <c r="I505" t="n">
        <v>0</v>
      </c>
      <c r="J505" t="n">
        <v>0</v>
      </c>
      <c r="K505" t="n">
        <v>0</v>
      </c>
      <c r="L505" t="n">
        <v>0</v>
      </c>
      <c r="M505" t="n">
        <v>0</v>
      </c>
      <c r="N505" t="n">
        <v>0</v>
      </c>
      <c r="O505" t="n">
        <v>0</v>
      </c>
      <c r="P505" t="n">
        <v>0</v>
      </c>
      <c r="Q505" t="n">
        <v>0</v>
      </c>
      <c r="R505" s="2" t="inlineStr"/>
    </row>
    <row r="506" ht="15" customHeight="1">
      <c r="A506" t="inlineStr">
        <is>
          <t>A 10051-2026</t>
        </is>
      </c>
      <c r="B506" s="1" t="n">
        <v>46073</v>
      </c>
      <c r="C506" s="1" t="n">
        <v>46197</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56065-2025</t>
        </is>
      </c>
      <c r="B507" s="1" t="n">
        <v>45973</v>
      </c>
      <c r="C507" s="1" t="n">
        <v>46197</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56794-2025</t>
        </is>
      </c>
      <c r="B508" s="1" t="n">
        <v>45978</v>
      </c>
      <c r="C508" s="1" t="n">
        <v>46197</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56667-2025</t>
        </is>
      </c>
      <c r="B509" s="1" t="n">
        <v>45975</v>
      </c>
      <c r="C509" s="1" t="n">
        <v>46197</v>
      </c>
      <c r="D509" t="inlineStr">
        <is>
          <t>SKÅNE LÄN</t>
        </is>
      </c>
      <c r="E509" t="inlineStr">
        <is>
          <t>HÄSSLEHOLM</t>
        </is>
      </c>
      <c r="G509" t="n">
        <v>4.4</v>
      </c>
      <c r="H509" t="n">
        <v>0</v>
      </c>
      <c r="I509" t="n">
        <v>0</v>
      </c>
      <c r="J509" t="n">
        <v>0</v>
      </c>
      <c r="K509" t="n">
        <v>0</v>
      </c>
      <c r="L509" t="n">
        <v>0</v>
      </c>
      <c r="M509" t="n">
        <v>0</v>
      </c>
      <c r="N509" t="n">
        <v>0</v>
      </c>
      <c r="O509" t="n">
        <v>0</v>
      </c>
      <c r="P509" t="n">
        <v>0</v>
      </c>
      <c r="Q509" t="n">
        <v>0</v>
      </c>
      <c r="R509" s="2" t="inlineStr"/>
    </row>
    <row r="510" ht="15" customHeight="1">
      <c r="A510" t="inlineStr">
        <is>
          <t>A 56798-2025</t>
        </is>
      </c>
      <c r="B510" s="1" t="n">
        <v>45978</v>
      </c>
      <c r="C510" s="1" t="n">
        <v>46197</v>
      </c>
      <c r="D510" t="inlineStr">
        <is>
          <t>SKÅNE LÄN</t>
        </is>
      </c>
      <c r="E510" t="inlineStr">
        <is>
          <t>HÄSSLEHOLM</t>
        </is>
      </c>
      <c r="G510" t="n">
        <v>1.2</v>
      </c>
      <c r="H510" t="n">
        <v>0</v>
      </c>
      <c r="I510" t="n">
        <v>0</v>
      </c>
      <c r="J510" t="n">
        <v>0</v>
      </c>
      <c r="K510" t="n">
        <v>0</v>
      </c>
      <c r="L510" t="n">
        <v>0</v>
      </c>
      <c r="M510" t="n">
        <v>0</v>
      </c>
      <c r="N510" t="n">
        <v>0</v>
      </c>
      <c r="O510" t="n">
        <v>0</v>
      </c>
      <c r="P510" t="n">
        <v>0</v>
      </c>
      <c r="Q510" t="n">
        <v>0</v>
      </c>
      <c r="R510" s="2" t="inlineStr"/>
    </row>
    <row r="511" ht="15" customHeight="1">
      <c r="A511" t="inlineStr">
        <is>
          <t>A 27173-2024</t>
        </is>
      </c>
      <c r="B511" s="1" t="n">
        <v>45471</v>
      </c>
      <c r="C511" s="1" t="n">
        <v>46197</v>
      </c>
      <c r="D511" t="inlineStr">
        <is>
          <t>SKÅNE LÄN</t>
        </is>
      </c>
      <c r="E511" t="inlineStr">
        <is>
          <t>HÄSSLEHOLM</t>
        </is>
      </c>
      <c r="G511" t="n">
        <v>1.8</v>
      </c>
      <c r="H511" t="n">
        <v>0</v>
      </c>
      <c r="I511" t="n">
        <v>0</v>
      </c>
      <c r="J511" t="n">
        <v>0</v>
      </c>
      <c r="K511" t="n">
        <v>0</v>
      </c>
      <c r="L511" t="n">
        <v>0</v>
      </c>
      <c r="M511" t="n">
        <v>0</v>
      </c>
      <c r="N511" t="n">
        <v>0</v>
      </c>
      <c r="O511" t="n">
        <v>0</v>
      </c>
      <c r="P511" t="n">
        <v>0</v>
      </c>
      <c r="Q511" t="n">
        <v>0</v>
      </c>
      <c r="R511" s="2" t="inlineStr"/>
    </row>
    <row r="512" ht="15" customHeight="1">
      <c r="A512" t="inlineStr">
        <is>
          <t>A 56797-2025</t>
        </is>
      </c>
      <c r="B512" s="1" t="n">
        <v>45978</v>
      </c>
      <c r="C512" s="1" t="n">
        <v>46197</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40780-2022</t>
        </is>
      </c>
      <c r="B513" s="1" t="n">
        <v>44820</v>
      </c>
      <c r="C513" s="1" t="n">
        <v>46197</v>
      </c>
      <c r="D513" t="inlineStr">
        <is>
          <t>SKÅNE LÄN</t>
        </is>
      </c>
      <c r="E513" t="inlineStr">
        <is>
          <t>HÄSSLEHOLM</t>
        </is>
      </c>
      <c r="G513" t="n">
        <v>7.4</v>
      </c>
      <c r="H513" t="n">
        <v>0</v>
      </c>
      <c r="I513" t="n">
        <v>0</v>
      </c>
      <c r="J513" t="n">
        <v>0</v>
      </c>
      <c r="K513" t="n">
        <v>0</v>
      </c>
      <c r="L513" t="n">
        <v>0</v>
      </c>
      <c r="M513" t="n">
        <v>0</v>
      </c>
      <c r="N513" t="n">
        <v>0</v>
      </c>
      <c r="O513" t="n">
        <v>0</v>
      </c>
      <c r="P513" t="n">
        <v>0</v>
      </c>
      <c r="Q513" t="n">
        <v>0</v>
      </c>
      <c r="R513" s="2" t="inlineStr"/>
    </row>
    <row r="514" ht="15" customHeight="1">
      <c r="A514" t="inlineStr">
        <is>
          <t>A 30092-2025</t>
        </is>
      </c>
      <c r="B514" s="1" t="n">
        <v>45826</v>
      </c>
      <c r="C514" s="1" t="n">
        <v>46197</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30109-2025</t>
        </is>
      </c>
      <c r="B515" s="1" t="n">
        <v>45826</v>
      </c>
      <c r="C515" s="1" t="n">
        <v>46197</v>
      </c>
      <c r="D515" t="inlineStr">
        <is>
          <t>SKÅNE LÄN</t>
        </is>
      </c>
      <c r="E515" t="inlineStr">
        <is>
          <t>HÄSSLEHOLM</t>
        </is>
      </c>
      <c r="G515" t="n">
        <v>2.4</v>
      </c>
      <c r="H515" t="n">
        <v>0</v>
      </c>
      <c r="I515" t="n">
        <v>0</v>
      </c>
      <c r="J515" t="n">
        <v>0</v>
      </c>
      <c r="K515" t="n">
        <v>0</v>
      </c>
      <c r="L515" t="n">
        <v>0</v>
      </c>
      <c r="M515" t="n">
        <v>0</v>
      </c>
      <c r="N515" t="n">
        <v>0</v>
      </c>
      <c r="O515" t="n">
        <v>0</v>
      </c>
      <c r="P515" t="n">
        <v>0</v>
      </c>
      <c r="Q515" t="n">
        <v>0</v>
      </c>
      <c r="R515" s="2" t="inlineStr"/>
    </row>
    <row r="516" ht="15" customHeight="1">
      <c r="A516" t="inlineStr">
        <is>
          <t>A 55569-2025</t>
        </is>
      </c>
      <c r="B516" s="1" t="n">
        <v>45971</v>
      </c>
      <c r="C516" s="1" t="n">
        <v>46197</v>
      </c>
      <c r="D516" t="inlineStr">
        <is>
          <t>SKÅNE LÄN</t>
        </is>
      </c>
      <c r="E516" t="inlineStr">
        <is>
          <t>HÄSSLEHOLM</t>
        </is>
      </c>
      <c r="G516" t="n">
        <v>4.2</v>
      </c>
      <c r="H516" t="n">
        <v>0</v>
      </c>
      <c r="I516" t="n">
        <v>0</v>
      </c>
      <c r="J516" t="n">
        <v>0</v>
      </c>
      <c r="K516" t="n">
        <v>0</v>
      </c>
      <c r="L516" t="n">
        <v>0</v>
      </c>
      <c r="M516" t="n">
        <v>0</v>
      </c>
      <c r="N516" t="n">
        <v>0</v>
      </c>
      <c r="O516" t="n">
        <v>0</v>
      </c>
      <c r="P516" t="n">
        <v>0</v>
      </c>
      <c r="Q516" t="n">
        <v>0</v>
      </c>
      <c r="R516" s="2" t="inlineStr"/>
    </row>
    <row r="517" ht="15" customHeight="1">
      <c r="A517" t="inlineStr">
        <is>
          <t>A 51245-2023</t>
        </is>
      </c>
      <c r="B517" s="1" t="n">
        <v>45212</v>
      </c>
      <c r="C517" s="1" t="n">
        <v>46197</v>
      </c>
      <c r="D517" t="inlineStr">
        <is>
          <t>SKÅNE LÄN</t>
        </is>
      </c>
      <c r="E517" t="inlineStr">
        <is>
          <t>HÄSSLEHOLM</t>
        </is>
      </c>
      <c r="G517" t="n">
        <v>2.1</v>
      </c>
      <c r="H517" t="n">
        <v>0</v>
      </c>
      <c r="I517" t="n">
        <v>0</v>
      </c>
      <c r="J517" t="n">
        <v>0</v>
      </c>
      <c r="K517" t="n">
        <v>0</v>
      </c>
      <c r="L517" t="n">
        <v>0</v>
      </c>
      <c r="M517" t="n">
        <v>0</v>
      </c>
      <c r="N517" t="n">
        <v>0</v>
      </c>
      <c r="O517" t="n">
        <v>0</v>
      </c>
      <c r="P517" t="n">
        <v>0</v>
      </c>
      <c r="Q517" t="n">
        <v>0</v>
      </c>
      <c r="R517" s="2" t="inlineStr"/>
    </row>
    <row r="518" ht="15" customHeight="1">
      <c r="A518" t="inlineStr">
        <is>
          <t>A 63476-2025</t>
        </is>
      </c>
      <c r="B518" s="1" t="n">
        <v>46013</v>
      </c>
      <c r="C518" s="1" t="n">
        <v>46197</v>
      </c>
      <c r="D518" t="inlineStr">
        <is>
          <t>SKÅNE LÄN</t>
        </is>
      </c>
      <c r="E518" t="inlineStr">
        <is>
          <t>HÄSSLEHOLM</t>
        </is>
      </c>
      <c r="F518" t="inlineStr">
        <is>
          <t>Kommuner</t>
        </is>
      </c>
      <c r="G518" t="n">
        <v>0.6</v>
      </c>
      <c r="H518" t="n">
        <v>0</v>
      </c>
      <c r="I518" t="n">
        <v>0</v>
      </c>
      <c r="J518" t="n">
        <v>0</v>
      </c>
      <c r="K518" t="n">
        <v>0</v>
      </c>
      <c r="L518" t="n">
        <v>0</v>
      </c>
      <c r="M518" t="n">
        <v>0</v>
      </c>
      <c r="N518" t="n">
        <v>0</v>
      </c>
      <c r="O518" t="n">
        <v>0</v>
      </c>
      <c r="P518" t="n">
        <v>0</v>
      </c>
      <c r="Q518" t="n">
        <v>0</v>
      </c>
      <c r="R518" s="2" t="inlineStr"/>
    </row>
    <row r="519" ht="15" customHeight="1">
      <c r="A519" t="inlineStr">
        <is>
          <t>A 57817-2025</t>
        </is>
      </c>
      <c r="B519" s="1" t="n">
        <v>45981</v>
      </c>
      <c r="C519" s="1" t="n">
        <v>46197</v>
      </c>
      <c r="D519" t="inlineStr">
        <is>
          <t>SKÅNE LÄN</t>
        </is>
      </c>
      <c r="E519" t="inlineStr">
        <is>
          <t>HÄSSLEHOLM</t>
        </is>
      </c>
      <c r="G519" t="n">
        <v>3.8</v>
      </c>
      <c r="H519" t="n">
        <v>0</v>
      </c>
      <c r="I519" t="n">
        <v>0</v>
      </c>
      <c r="J519" t="n">
        <v>0</v>
      </c>
      <c r="K519" t="n">
        <v>0</v>
      </c>
      <c r="L519" t="n">
        <v>0</v>
      </c>
      <c r="M519" t="n">
        <v>0</v>
      </c>
      <c r="N519" t="n">
        <v>0</v>
      </c>
      <c r="O519" t="n">
        <v>0</v>
      </c>
      <c r="P519" t="n">
        <v>0</v>
      </c>
      <c r="Q519" t="n">
        <v>0</v>
      </c>
      <c r="R519" s="2" t="inlineStr"/>
    </row>
    <row r="520" ht="15" customHeight="1">
      <c r="A520" t="inlineStr">
        <is>
          <t>A 56767-2025</t>
        </is>
      </c>
      <c r="B520" s="1" t="n">
        <v>45978</v>
      </c>
      <c r="C520" s="1" t="n">
        <v>46197</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56769-2025</t>
        </is>
      </c>
      <c r="B521" s="1" t="n">
        <v>45978</v>
      </c>
      <c r="C521" s="1" t="n">
        <v>46197</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58241-2025</t>
        </is>
      </c>
      <c r="B522" s="1" t="n">
        <v>45985</v>
      </c>
      <c r="C522" s="1" t="n">
        <v>46197</v>
      </c>
      <c r="D522" t="inlineStr">
        <is>
          <t>SKÅNE LÄN</t>
        </is>
      </c>
      <c r="E522" t="inlineStr">
        <is>
          <t>HÄSSLEHOLM</t>
        </is>
      </c>
      <c r="G522" t="n">
        <v>3.6</v>
      </c>
      <c r="H522" t="n">
        <v>0</v>
      </c>
      <c r="I522" t="n">
        <v>0</v>
      </c>
      <c r="J522" t="n">
        <v>0</v>
      </c>
      <c r="K522" t="n">
        <v>0</v>
      </c>
      <c r="L522" t="n">
        <v>0</v>
      </c>
      <c r="M522" t="n">
        <v>0</v>
      </c>
      <c r="N522" t="n">
        <v>0</v>
      </c>
      <c r="O522" t="n">
        <v>0</v>
      </c>
      <c r="P522" t="n">
        <v>0</v>
      </c>
      <c r="Q522" t="n">
        <v>0</v>
      </c>
      <c r="R522" s="2" t="inlineStr"/>
    </row>
    <row r="523" ht="15" customHeight="1">
      <c r="A523" t="inlineStr">
        <is>
          <t>A 11753-2025</t>
        </is>
      </c>
      <c r="B523" s="1" t="n">
        <v>45727</v>
      </c>
      <c r="C523" s="1" t="n">
        <v>46197</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11998-2026</t>
        </is>
      </c>
      <c r="B524" s="1" t="n">
        <v>46085</v>
      </c>
      <c r="C524" s="1" t="n">
        <v>46197</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11999-2026</t>
        </is>
      </c>
      <c r="B525" s="1" t="n">
        <v>46085</v>
      </c>
      <c r="C525" s="1" t="n">
        <v>46197</v>
      </c>
      <c r="D525" t="inlineStr">
        <is>
          <t>SKÅNE LÄN</t>
        </is>
      </c>
      <c r="E525" t="inlineStr">
        <is>
          <t>HÄSSLEHOLM</t>
        </is>
      </c>
      <c r="G525" t="n">
        <v>0.2</v>
      </c>
      <c r="H525" t="n">
        <v>0</v>
      </c>
      <c r="I525" t="n">
        <v>0</v>
      </c>
      <c r="J525" t="n">
        <v>0</v>
      </c>
      <c r="K525" t="n">
        <v>0</v>
      </c>
      <c r="L525" t="n">
        <v>0</v>
      </c>
      <c r="M525" t="n">
        <v>0</v>
      </c>
      <c r="N525" t="n">
        <v>0</v>
      </c>
      <c r="O525" t="n">
        <v>0</v>
      </c>
      <c r="P525" t="n">
        <v>0</v>
      </c>
      <c r="Q525" t="n">
        <v>0</v>
      </c>
      <c r="R525" s="2" t="inlineStr"/>
    </row>
    <row r="526" ht="15" customHeight="1">
      <c r="A526" t="inlineStr">
        <is>
          <t>A 48747-2022</t>
        </is>
      </c>
      <c r="B526" s="1" t="n">
        <v>44859</v>
      </c>
      <c r="C526" s="1" t="n">
        <v>46197</v>
      </c>
      <c r="D526" t="inlineStr">
        <is>
          <t>SKÅNE LÄN</t>
        </is>
      </c>
      <c r="E526" t="inlineStr">
        <is>
          <t>HÄSSLEHOLM</t>
        </is>
      </c>
      <c r="G526" t="n">
        <v>1.9</v>
      </c>
      <c r="H526" t="n">
        <v>0</v>
      </c>
      <c r="I526" t="n">
        <v>0</v>
      </c>
      <c r="J526" t="n">
        <v>0</v>
      </c>
      <c r="K526" t="n">
        <v>0</v>
      </c>
      <c r="L526" t="n">
        <v>0</v>
      </c>
      <c r="M526" t="n">
        <v>0</v>
      </c>
      <c r="N526" t="n">
        <v>0</v>
      </c>
      <c r="O526" t="n">
        <v>0</v>
      </c>
      <c r="P526" t="n">
        <v>0</v>
      </c>
      <c r="Q526" t="n">
        <v>0</v>
      </c>
      <c r="R526" s="2" t="inlineStr"/>
    </row>
    <row r="527" ht="15" customHeight="1">
      <c r="A527" t="inlineStr">
        <is>
          <t>A 7153-2025</t>
        </is>
      </c>
      <c r="B527" s="1" t="n">
        <v>45702</v>
      </c>
      <c r="C527" s="1" t="n">
        <v>46197</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7581-2023</t>
        </is>
      </c>
      <c r="B528" s="1" t="n">
        <v>44972</v>
      </c>
      <c r="C528" s="1" t="n">
        <v>46197</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21141-2024</t>
        </is>
      </c>
      <c r="B529" s="1" t="n">
        <v>45440</v>
      </c>
      <c r="C529" s="1" t="n">
        <v>46197</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46197</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11603-2025</t>
        </is>
      </c>
      <c r="B531" s="1" t="n">
        <v>45727</v>
      </c>
      <c r="C531" s="1" t="n">
        <v>46197</v>
      </c>
      <c r="D531" t="inlineStr">
        <is>
          <t>SKÅNE LÄN</t>
        </is>
      </c>
      <c r="E531" t="inlineStr">
        <is>
          <t>HÄSSLEHOLM</t>
        </is>
      </c>
      <c r="G531" t="n">
        <v>5.6</v>
      </c>
      <c r="H531" t="n">
        <v>0</v>
      </c>
      <c r="I531" t="n">
        <v>0</v>
      </c>
      <c r="J531" t="n">
        <v>0</v>
      </c>
      <c r="K531" t="n">
        <v>0</v>
      </c>
      <c r="L531" t="n">
        <v>0</v>
      </c>
      <c r="M531" t="n">
        <v>0</v>
      </c>
      <c r="N531" t="n">
        <v>0</v>
      </c>
      <c r="O531" t="n">
        <v>0</v>
      </c>
      <c r="P531" t="n">
        <v>0</v>
      </c>
      <c r="Q531" t="n">
        <v>0</v>
      </c>
      <c r="R531" s="2" t="inlineStr"/>
    </row>
    <row r="532" ht="15" customHeight="1">
      <c r="A532" t="inlineStr">
        <is>
          <t>A 57967-2023</t>
        </is>
      </c>
      <c r="B532" s="1" t="n">
        <v>45247</v>
      </c>
      <c r="C532" s="1" t="n">
        <v>46197</v>
      </c>
      <c r="D532" t="inlineStr">
        <is>
          <t>SKÅNE LÄN</t>
        </is>
      </c>
      <c r="E532" t="inlineStr">
        <is>
          <t>HÄSSLEHOLM</t>
        </is>
      </c>
      <c r="G532" t="n">
        <v>8.6</v>
      </c>
      <c r="H532" t="n">
        <v>0</v>
      </c>
      <c r="I532" t="n">
        <v>0</v>
      </c>
      <c r="J532" t="n">
        <v>0</v>
      </c>
      <c r="K532" t="n">
        <v>0</v>
      </c>
      <c r="L532" t="n">
        <v>0</v>
      </c>
      <c r="M532" t="n">
        <v>0</v>
      </c>
      <c r="N532" t="n">
        <v>0</v>
      </c>
      <c r="O532" t="n">
        <v>0</v>
      </c>
      <c r="P532" t="n">
        <v>0</v>
      </c>
      <c r="Q532" t="n">
        <v>0</v>
      </c>
      <c r="R532" s="2" t="inlineStr"/>
    </row>
    <row r="533" ht="15" customHeight="1">
      <c r="A533" t="inlineStr">
        <is>
          <t>A 1616-2025</t>
        </is>
      </c>
      <c r="B533" s="1" t="n">
        <v>45670</v>
      </c>
      <c r="C533" s="1" t="n">
        <v>46197</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19744-2023</t>
        </is>
      </c>
      <c r="B534" s="1" t="n">
        <v>45051</v>
      </c>
      <c r="C534" s="1" t="n">
        <v>46197</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15990-2023</t>
        </is>
      </c>
      <c r="B535" s="1" t="n">
        <v>45023</v>
      </c>
      <c r="C535" s="1" t="n">
        <v>46197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47907-2021</t>
        </is>
      </c>
      <c r="B536" s="1" t="n">
        <v>44448</v>
      </c>
      <c r="C536" s="1" t="n">
        <v>46197</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7513-2025</t>
        </is>
      </c>
      <c r="B537" s="1" t="n">
        <v>45702</v>
      </c>
      <c r="C537" s="1" t="n">
        <v>46197</v>
      </c>
      <c r="D537" t="inlineStr">
        <is>
          <t>SKÅNE LÄN</t>
        </is>
      </c>
      <c r="E537" t="inlineStr">
        <is>
          <t>HÄSSLEHOLM</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45400-2022</t>
        </is>
      </c>
      <c r="B538" s="1" t="n">
        <v>44844</v>
      </c>
      <c r="C538" s="1" t="n">
        <v>46197</v>
      </c>
      <c r="D538" t="inlineStr">
        <is>
          <t>SKÅNE LÄN</t>
        </is>
      </c>
      <c r="E538" t="inlineStr">
        <is>
          <t>HÄSSLEHOLM</t>
        </is>
      </c>
      <c r="G538" t="n">
        <v>1.6</v>
      </c>
      <c r="H538" t="n">
        <v>0</v>
      </c>
      <c r="I538" t="n">
        <v>0</v>
      </c>
      <c r="J538" t="n">
        <v>0</v>
      </c>
      <c r="K538" t="n">
        <v>0</v>
      </c>
      <c r="L538" t="n">
        <v>0</v>
      </c>
      <c r="M538" t="n">
        <v>0</v>
      </c>
      <c r="N538" t="n">
        <v>0</v>
      </c>
      <c r="O538" t="n">
        <v>0</v>
      </c>
      <c r="P538" t="n">
        <v>0</v>
      </c>
      <c r="Q538" t="n">
        <v>0</v>
      </c>
      <c r="R538" s="2" t="inlineStr"/>
    </row>
    <row r="539" ht="15" customHeight="1">
      <c r="A539" t="inlineStr">
        <is>
          <t>A 54874-2022</t>
        </is>
      </c>
      <c r="B539" s="1" t="n">
        <v>44881</v>
      </c>
      <c r="C539" s="1" t="n">
        <v>46197</v>
      </c>
      <c r="D539" t="inlineStr">
        <is>
          <t>SKÅNE LÄN</t>
        </is>
      </c>
      <c r="E539" t="inlineStr">
        <is>
          <t>HÄSSLEHOLM</t>
        </is>
      </c>
      <c r="G539" t="n">
        <v>8.1</v>
      </c>
      <c r="H539" t="n">
        <v>0</v>
      </c>
      <c r="I539" t="n">
        <v>0</v>
      </c>
      <c r="J539" t="n">
        <v>0</v>
      </c>
      <c r="K539" t="n">
        <v>0</v>
      </c>
      <c r="L539" t="n">
        <v>0</v>
      </c>
      <c r="M539" t="n">
        <v>0</v>
      </c>
      <c r="N539" t="n">
        <v>0</v>
      </c>
      <c r="O539" t="n">
        <v>0</v>
      </c>
      <c r="P539" t="n">
        <v>0</v>
      </c>
      <c r="Q539" t="n">
        <v>0</v>
      </c>
      <c r="R539" s="2" t="inlineStr"/>
    </row>
    <row r="540" ht="15" customHeight="1">
      <c r="A540" t="inlineStr">
        <is>
          <t>A 61625-2022</t>
        </is>
      </c>
      <c r="B540" s="1" t="n">
        <v>44916</v>
      </c>
      <c r="C540" s="1" t="n">
        <v>46197</v>
      </c>
      <c r="D540" t="inlineStr">
        <is>
          <t>SKÅNE LÄN</t>
        </is>
      </c>
      <c r="E540" t="inlineStr">
        <is>
          <t>HÄSSLEHOLM</t>
        </is>
      </c>
      <c r="G540" t="n">
        <v>2.4</v>
      </c>
      <c r="H540" t="n">
        <v>0</v>
      </c>
      <c r="I540" t="n">
        <v>0</v>
      </c>
      <c r="J540" t="n">
        <v>0</v>
      </c>
      <c r="K540" t="n">
        <v>0</v>
      </c>
      <c r="L540" t="n">
        <v>0</v>
      </c>
      <c r="M540" t="n">
        <v>0</v>
      </c>
      <c r="N540" t="n">
        <v>0</v>
      </c>
      <c r="O540" t="n">
        <v>0</v>
      </c>
      <c r="P540" t="n">
        <v>0</v>
      </c>
      <c r="Q540" t="n">
        <v>0</v>
      </c>
      <c r="R540" s="2" t="inlineStr"/>
    </row>
    <row r="541" ht="15" customHeight="1">
      <c r="A541" t="inlineStr">
        <is>
          <t>A 13199-2026</t>
        </is>
      </c>
      <c r="B541" s="1" t="n">
        <v>46093</v>
      </c>
      <c r="C541" s="1" t="n">
        <v>46197</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31268-2024</t>
        </is>
      </c>
      <c r="B542" s="1" t="n">
        <v>45504</v>
      </c>
      <c r="C542" s="1" t="n">
        <v>46197</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13856-2025</t>
        </is>
      </c>
      <c r="B543" s="1" t="n">
        <v>45737</v>
      </c>
      <c r="C543" s="1" t="n">
        <v>46197</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36568-2024</t>
        </is>
      </c>
      <c r="B544" s="1" t="n">
        <v>45537</v>
      </c>
      <c r="C544" s="1" t="n">
        <v>46197</v>
      </c>
      <c r="D544" t="inlineStr">
        <is>
          <t>SKÅNE LÄN</t>
        </is>
      </c>
      <c r="E544" t="inlineStr">
        <is>
          <t>HÄSSLEHOLM</t>
        </is>
      </c>
      <c r="G544" t="n">
        <v>4.3</v>
      </c>
      <c r="H544" t="n">
        <v>0</v>
      </c>
      <c r="I544" t="n">
        <v>0</v>
      </c>
      <c r="J544" t="n">
        <v>0</v>
      </c>
      <c r="K544" t="n">
        <v>0</v>
      </c>
      <c r="L544" t="n">
        <v>0</v>
      </c>
      <c r="M544" t="n">
        <v>0</v>
      </c>
      <c r="N544" t="n">
        <v>0</v>
      </c>
      <c r="O544" t="n">
        <v>0</v>
      </c>
      <c r="P544" t="n">
        <v>0</v>
      </c>
      <c r="Q544" t="n">
        <v>0</v>
      </c>
      <c r="R544" s="2" t="inlineStr"/>
    </row>
    <row r="545" ht="15" customHeight="1">
      <c r="A545" t="inlineStr">
        <is>
          <t>A 13280-2026</t>
        </is>
      </c>
      <c r="B545" s="1" t="n">
        <v>46093</v>
      </c>
      <c r="C545" s="1" t="n">
        <v>46197</v>
      </c>
      <c r="D545" t="inlineStr">
        <is>
          <t>SKÅNE LÄN</t>
        </is>
      </c>
      <c r="E545" t="inlineStr">
        <is>
          <t>HÄSSLEHOLM</t>
        </is>
      </c>
      <c r="G545" t="n">
        <v>4.4</v>
      </c>
      <c r="H545" t="n">
        <v>0</v>
      </c>
      <c r="I545" t="n">
        <v>0</v>
      </c>
      <c r="J545" t="n">
        <v>0</v>
      </c>
      <c r="K545" t="n">
        <v>0</v>
      </c>
      <c r="L545" t="n">
        <v>0</v>
      </c>
      <c r="M545" t="n">
        <v>0</v>
      </c>
      <c r="N545" t="n">
        <v>0</v>
      </c>
      <c r="O545" t="n">
        <v>0</v>
      </c>
      <c r="P545" t="n">
        <v>0</v>
      </c>
      <c r="Q545" t="n">
        <v>0</v>
      </c>
      <c r="R545" s="2" t="inlineStr"/>
    </row>
    <row r="546" ht="15" customHeight="1">
      <c r="A546" t="inlineStr">
        <is>
          <t>A 32794-2021</t>
        </is>
      </c>
      <c r="B546" s="1" t="n">
        <v>44375</v>
      </c>
      <c r="C546" s="1" t="n">
        <v>46197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13961-2023</t>
        </is>
      </c>
      <c r="B547" s="1" t="n">
        <v>45008</v>
      </c>
      <c r="C547" s="1" t="n">
        <v>46197</v>
      </c>
      <c r="D547" t="inlineStr">
        <is>
          <t>SKÅNE LÄN</t>
        </is>
      </c>
      <c r="E547" t="inlineStr">
        <is>
          <t>HÄSSLEHOLM</t>
        </is>
      </c>
      <c r="G547" t="n">
        <v>3.8</v>
      </c>
      <c r="H547" t="n">
        <v>0</v>
      </c>
      <c r="I547" t="n">
        <v>0</v>
      </c>
      <c r="J547" t="n">
        <v>0</v>
      </c>
      <c r="K547" t="n">
        <v>0</v>
      </c>
      <c r="L547" t="n">
        <v>0</v>
      </c>
      <c r="M547" t="n">
        <v>0</v>
      </c>
      <c r="N547" t="n">
        <v>0</v>
      </c>
      <c r="O547" t="n">
        <v>0</v>
      </c>
      <c r="P547" t="n">
        <v>0</v>
      </c>
      <c r="Q547" t="n">
        <v>0</v>
      </c>
      <c r="R547" s="2" t="inlineStr"/>
    </row>
    <row r="548" ht="15" customHeight="1">
      <c r="A548" t="inlineStr">
        <is>
          <t>A 3855-2023</t>
        </is>
      </c>
      <c r="B548" s="1" t="n">
        <v>44951</v>
      </c>
      <c r="C548" s="1" t="n">
        <v>46197</v>
      </c>
      <c r="D548" t="inlineStr">
        <is>
          <t>SKÅNE LÄN</t>
        </is>
      </c>
      <c r="E548" t="inlineStr">
        <is>
          <t>HÄSSLEHOLM</t>
        </is>
      </c>
      <c r="G548" t="n">
        <v>2.3</v>
      </c>
      <c r="H548" t="n">
        <v>0</v>
      </c>
      <c r="I548" t="n">
        <v>0</v>
      </c>
      <c r="J548" t="n">
        <v>0</v>
      </c>
      <c r="K548" t="n">
        <v>0</v>
      </c>
      <c r="L548" t="n">
        <v>0</v>
      </c>
      <c r="M548" t="n">
        <v>0</v>
      </c>
      <c r="N548" t="n">
        <v>0</v>
      </c>
      <c r="O548" t="n">
        <v>0</v>
      </c>
      <c r="P548" t="n">
        <v>0</v>
      </c>
      <c r="Q548" t="n">
        <v>0</v>
      </c>
      <c r="R548" s="2" t="inlineStr"/>
    </row>
    <row r="549" ht="15" customHeight="1">
      <c r="A549" t="inlineStr">
        <is>
          <t>A 34301-2024</t>
        </is>
      </c>
      <c r="B549" s="1" t="n">
        <v>45524</v>
      </c>
      <c r="C549" s="1" t="n">
        <v>46197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15060-2023</t>
        </is>
      </c>
      <c r="B550" s="1" t="n">
        <v>45015</v>
      </c>
      <c r="C550" s="1" t="n">
        <v>46197</v>
      </c>
      <c r="D550" t="inlineStr">
        <is>
          <t>SKÅNE LÄN</t>
        </is>
      </c>
      <c r="E550" t="inlineStr">
        <is>
          <t>HÄSSLEHOLM</t>
        </is>
      </c>
      <c r="G550" t="n">
        <v>1.7</v>
      </c>
      <c r="H550" t="n">
        <v>0</v>
      </c>
      <c r="I550" t="n">
        <v>0</v>
      </c>
      <c r="J550" t="n">
        <v>0</v>
      </c>
      <c r="K550" t="n">
        <v>0</v>
      </c>
      <c r="L550" t="n">
        <v>0</v>
      </c>
      <c r="M550" t="n">
        <v>0</v>
      </c>
      <c r="N550" t="n">
        <v>0</v>
      </c>
      <c r="O550" t="n">
        <v>0</v>
      </c>
      <c r="P550" t="n">
        <v>0</v>
      </c>
      <c r="Q550" t="n">
        <v>0</v>
      </c>
      <c r="R550" s="2" t="inlineStr"/>
    </row>
    <row r="551" ht="15" customHeight="1">
      <c r="A551" t="inlineStr">
        <is>
          <t>A 54171-2021</t>
        </is>
      </c>
      <c r="B551" s="1" t="n">
        <v>44470</v>
      </c>
      <c r="C551" s="1" t="n">
        <v>46197</v>
      </c>
      <c r="D551" t="inlineStr">
        <is>
          <t>SKÅNE LÄN</t>
        </is>
      </c>
      <c r="E551" t="inlineStr">
        <is>
          <t>HÄSSLEHOLM</t>
        </is>
      </c>
      <c r="G551" t="n">
        <v>1</v>
      </c>
      <c r="H551" t="n">
        <v>0</v>
      </c>
      <c r="I551" t="n">
        <v>0</v>
      </c>
      <c r="J551" t="n">
        <v>0</v>
      </c>
      <c r="K551" t="n">
        <v>0</v>
      </c>
      <c r="L551" t="n">
        <v>0</v>
      </c>
      <c r="M551" t="n">
        <v>0</v>
      </c>
      <c r="N551" t="n">
        <v>0</v>
      </c>
      <c r="O551" t="n">
        <v>0</v>
      </c>
      <c r="P551" t="n">
        <v>0</v>
      </c>
      <c r="Q551" t="n">
        <v>0</v>
      </c>
      <c r="R551" s="2" t="inlineStr"/>
    </row>
    <row r="552" ht="15" customHeight="1">
      <c r="A552" t="inlineStr">
        <is>
          <t>A 13198-2025</t>
        </is>
      </c>
      <c r="B552" s="1" t="n">
        <v>45735</v>
      </c>
      <c r="C552" s="1" t="n">
        <v>46197</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62264-2025</t>
        </is>
      </c>
      <c r="B553" s="1" t="n">
        <v>46006</v>
      </c>
      <c r="C553" s="1" t="n">
        <v>46197</v>
      </c>
      <c r="D553" t="inlineStr">
        <is>
          <t>SKÅNE LÄN</t>
        </is>
      </c>
      <c r="E553" t="inlineStr">
        <is>
          <t>HÄSSLEHOLM</t>
        </is>
      </c>
      <c r="G553" t="n">
        <v>7.5</v>
      </c>
      <c r="H553" t="n">
        <v>0</v>
      </c>
      <c r="I553" t="n">
        <v>0</v>
      </c>
      <c r="J553" t="n">
        <v>0</v>
      </c>
      <c r="K553" t="n">
        <v>0</v>
      </c>
      <c r="L553" t="n">
        <v>0</v>
      </c>
      <c r="M553" t="n">
        <v>0</v>
      </c>
      <c r="N553" t="n">
        <v>0</v>
      </c>
      <c r="O553" t="n">
        <v>0</v>
      </c>
      <c r="P553" t="n">
        <v>0</v>
      </c>
      <c r="Q553" t="n">
        <v>0</v>
      </c>
      <c r="R553" s="2" t="inlineStr"/>
    </row>
    <row r="554" ht="15" customHeight="1">
      <c r="A554" t="inlineStr">
        <is>
          <t>A 13588-2026</t>
        </is>
      </c>
      <c r="B554" s="1" t="n">
        <v>46095</v>
      </c>
      <c r="C554" s="1" t="n">
        <v>46197</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13282-2026</t>
        </is>
      </c>
      <c r="B555" s="1" t="n">
        <v>46093</v>
      </c>
      <c r="C555" s="1" t="n">
        <v>46197</v>
      </c>
      <c r="D555" t="inlineStr">
        <is>
          <t>SKÅNE LÄN</t>
        </is>
      </c>
      <c r="E555" t="inlineStr">
        <is>
          <t>HÄSSLEHOLM</t>
        </is>
      </c>
      <c r="G555" t="n">
        <v>1.8</v>
      </c>
      <c r="H555" t="n">
        <v>0</v>
      </c>
      <c r="I555" t="n">
        <v>0</v>
      </c>
      <c r="J555" t="n">
        <v>0</v>
      </c>
      <c r="K555" t="n">
        <v>0</v>
      </c>
      <c r="L555" t="n">
        <v>0</v>
      </c>
      <c r="M555" t="n">
        <v>0</v>
      </c>
      <c r="N555" t="n">
        <v>0</v>
      </c>
      <c r="O555" t="n">
        <v>0</v>
      </c>
      <c r="P555" t="n">
        <v>0</v>
      </c>
      <c r="Q555" t="n">
        <v>0</v>
      </c>
      <c r="R555" s="2" t="inlineStr"/>
    </row>
    <row r="556" ht="15" customHeight="1">
      <c r="A556" t="inlineStr">
        <is>
          <t>A 3135-2023</t>
        </is>
      </c>
      <c r="B556" s="1" t="n">
        <v>44946</v>
      </c>
      <c r="C556" s="1" t="n">
        <v>46197</v>
      </c>
      <c r="D556" t="inlineStr">
        <is>
          <t>SKÅNE LÄN</t>
        </is>
      </c>
      <c r="E556" t="inlineStr">
        <is>
          <t>HÄSSLEHOLM</t>
        </is>
      </c>
      <c r="G556" t="n">
        <v>7.2</v>
      </c>
      <c r="H556" t="n">
        <v>0</v>
      </c>
      <c r="I556" t="n">
        <v>0</v>
      </c>
      <c r="J556" t="n">
        <v>0</v>
      </c>
      <c r="K556" t="n">
        <v>0</v>
      </c>
      <c r="L556" t="n">
        <v>0</v>
      </c>
      <c r="M556" t="n">
        <v>0</v>
      </c>
      <c r="N556" t="n">
        <v>0</v>
      </c>
      <c r="O556" t="n">
        <v>0</v>
      </c>
      <c r="P556" t="n">
        <v>0</v>
      </c>
      <c r="Q556" t="n">
        <v>0</v>
      </c>
      <c r="R556" s="2" t="inlineStr"/>
    </row>
    <row r="557" ht="15" customHeight="1">
      <c r="A557" t="inlineStr">
        <is>
          <t>A 14191-2026</t>
        </is>
      </c>
      <c r="B557" s="1" t="n">
        <v>46099</v>
      </c>
      <c r="C557" s="1" t="n">
        <v>46197</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59429-2023</t>
        </is>
      </c>
      <c r="B558" s="1" t="n">
        <v>45254</v>
      </c>
      <c r="C558" s="1" t="n">
        <v>46197</v>
      </c>
      <c r="D558" t="inlineStr">
        <is>
          <t>SKÅNE LÄN</t>
        </is>
      </c>
      <c r="E558" t="inlineStr">
        <is>
          <t>HÄSSLEHOLM</t>
        </is>
      </c>
      <c r="G558" t="n">
        <v>0</v>
      </c>
      <c r="H558" t="n">
        <v>0</v>
      </c>
      <c r="I558" t="n">
        <v>0</v>
      </c>
      <c r="J558" t="n">
        <v>0</v>
      </c>
      <c r="K558" t="n">
        <v>0</v>
      </c>
      <c r="L558" t="n">
        <v>0</v>
      </c>
      <c r="M558" t="n">
        <v>0</v>
      </c>
      <c r="N558" t="n">
        <v>0</v>
      </c>
      <c r="O558" t="n">
        <v>0</v>
      </c>
      <c r="P558" t="n">
        <v>0</v>
      </c>
      <c r="Q558" t="n">
        <v>0</v>
      </c>
      <c r="R558" s="2" t="inlineStr"/>
    </row>
    <row r="559" ht="15" customHeight="1">
      <c r="A559" t="inlineStr">
        <is>
          <t>A 40202-2022</t>
        </is>
      </c>
      <c r="B559" s="1" t="n">
        <v>44820</v>
      </c>
      <c r="C559" s="1" t="n">
        <v>46197</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13906-2026</t>
        </is>
      </c>
      <c r="B560" s="1" t="n">
        <v>46098</v>
      </c>
      <c r="C560" s="1" t="n">
        <v>46197</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13842-2026</t>
        </is>
      </c>
      <c r="B561" s="1" t="n">
        <v>46098</v>
      </c>
      <c r="C561" s="1" t="n">
        <v>46197</v>
      </c>
      <c r="D561" t="inlineStr">
        <is>
          <t>SKÅNE LÄN</t>
        </is>
      </c>
      <c r="E561" t="inlineStr">
        <is>
          <t>HÄSSLEHOLM</t>
        </is>
      </c>
      <c r="G561" t="n">
        <v>10</v>
      </c>
      <c r="H561" t="n">
        <v>0</v>
      </c>
      <c r="I561" t="n">
        <v>0</v>
      </c>
      <c r="J561" t="n">
        <v>0</v>
      </c>
      <c r="K561" t="n">
        <v>0</v>
      </c>
      <c r="L561" t="n">
        <v>0</v>
      </c>
      <c r="M561" t="n">
        <v>0</v>
      </c>
      <c r="N561" t="n">
        <v>0</v>
      </c>
      <c r="O561" t="n">
        <v>0</v>
      </c>
      <c r="P561" t="n">
        <v>0</v>
      </c>
      <c r="Q561" t="n">
        <v>0</v>
      </c>
      <c r="R561" s="2" t="inlineStr"/>
    </row>
    <row r="562" ht="15" customHeight="1">
      <c r="A562" t="inlineStr">
        <is>
          <t>A 13886-2026</t>
        </is>
      </c>
      <c r="B562" s="1" t="n">
        <v>46098</v>
      </c>
      <c r="C562" s="1" t="n">
        <v>46197</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63284-2025</t>
        </is>
      </c>
      <c r="B563" s="1" t="n">
        <v>46010</v>
      </c>
      <c r="C563" s="1" t="n">
        <v>46197</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63354-2025</t>
        </is>
      </c>
      <c r="B564" s="1" t="n">
        <v>46010</v>
      </c>
      <c r="C564" s="1" t="n">
        <v>46197</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54326-2022</t>
        </is>
      </c>
      <c r="B565" s="1" t="n">
        <v>44882</v>
      </c>
      <c r="C565" s="1" t="n">
        <v>46197</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41998-2021</t>
        </is>
      </c>
      <c r="B566" s="1" t="n">
        <v>44425</v>
      </c>
      <c r="C566" s="1" t="n">
        <v>46197</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27349-2025</t>
        </is>
      </c>
      <c r="B567" s="1" t="n">
        <v>45812</v>
      </c>
      <c r="C567" s="1" t="n">
        <v>46197</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61524-2022</t>
        </is>
      </c>
      <c r="B568" s="1" t="n">
        <v>44910</v>
      </c>
      <c r="C568" s="1" t="n">
        <v>46197</v>
      </c>
      <c r="D568" t="inlineStr">
        <is>
          <t>SKÅNE LÄN</t>
        </is>
      </c>
      <c r="E568" t="inlineStr">
        <is>
          <t>HÄSSLEHOLM</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13910-2026</t>
        </is>
      </c>
      <c r="B569" s="1" t="n">
        <v>46098</v>
      </c>
      <c r="C569" s="1" t="n">
        <v>46197</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14541-2026</t>
        </is>
      </c>
      <c r="B570" s="1" t="n">
        <v>46100</v>
      </c>
      <c r="C570" s="1" t="n">
        <v>46197</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14538-2026</t>
        </is>
      </c>
      <c r="B571" s="1" t="n">
        <v>46100</v>
      </c>
      <c r="C571" s="1" t="n">
        <v>46197</v>
      </c>
      <c r="D571" t="inlineStr">
        <is>
          <t>SKÅNE LÄN</t>
        </is>
      </c>
      <c r="E571" t="inlineStr">
        <is>
          <t>HÄSSLEHOLM</t>
        </is>
      </c>
      <c r="G571" t="n">
        <v>1.4</v>
      </c>
      <c r="H571" t="n">
        <v>0</v>
      </c>
      <c r="I571" t="n">
        <v>0</v>
      </c>
      <c r="J571" t="n">
        <v>0</v>
      </c>
      <c r="K571" t="n">
        <v>0</v>
      </c>
      <c r="L571" t="n">
        <v>0</v>
      </c>
      <c r="M571" t="n">
        <v>0</v>
      </c>
      <c r="N571" t="n">
        <v>0</v>
      </c>
      <c r="O571" t="n">
        <v>0</v>
      </c>
      <c r="P571" t="n">
        <v>0</v>
      </c>
      <c r="Q571" t="n">
        <v>0</v>
      </c>
      <c r="R571" s="2" t="inlineStr"/>
    </row>
    <row r="572" ht="15" customHeight="1">
      <c r="A572" t="inlineStr">
        <is>
          <t>A 14549-2026</t>
        </is>
      </c>
      <c r="B572" s="1" t="n">
        <v>46100</v>
      </c>
      <c r="C572" s="1" t="n">
        <v>46197</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14540-2026</t>
        </is>
      </c>
      <c r="B573" s="1" t="n">
        <v>46100</v>
      </c>
      <c r="C573" s="1" t="n">
        <v>46197</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8619-2023</t>
        </is>
      </c>
      <c r="B574" s="1" t="n">
        <v>44977</v>
      </c>
      <c r="C574" s="1" t="n">
        <v>46197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49219-2021</t>
        </is>
      </c>
      <c r="B575" s="1" t="n">
        <v>44454</v>
      </c>
      <c r="C575" s="1" t="n">
        <v>46197</v>
      </c>
      <c r="D575" t="inlineStr">
        <is>
          <t>SKÅNE LÄN</t>
        </is>
      </c>
      <c r="E575" t="inlineStr">
        <is>
          <t>HÄSSLEHOLM</t>
        </is>
      </c>
      <c r="G575" t="n">
        <v>7.8</v>
      </c>
      <c r="H575" t="n">
        <v>0</v>
      </c>
      <c r="I575" t="n">
        <v>0</v>
      </c>
      <c r="J575" t="n">
        <v>0</v>
      </c>
      <c r="K575" t="n">
        <v>0</v>
      </c>
      <c r="L575" t="n">
        <v>0</v>
      </c>
      <c r="M575" t="n">
        <v>0</v>
      </c>
      <c r="N575" t="n">
        <v>0</v>
      </c>
      <c r="O575" t="n">
        <v>0</v>
      </c>
      <c r="P575" t="n">
        <v>0</v>
      </c>
      <c r="Q575" t="n">
        <v>0</v>
      </c>
      <c r="R575" s="2" t="inlineStr"/>
    </row>
    <row r="576" ht="15" customHeight="1">
      <c r="A576" t="inlineStr">
        <is>
          <t>A 46000-2021</t>
        </is>
      </c>
      <c r="B576" s="1" t="n">
        <v>44441</v>
      </c>
      <c r="C576" s="1" t="n">
        <v>46197</v>
      </c>
      <c r="D576" t="inlineStr">
        <is>
          <t>SKÅNE LÄN</t>
        </is>
      </c>
      <c r="E576" t="inlineStr">
        <is>
          <t>HÄSSLEHOLM</t>
        </is>
      </c>
      <c r="G576" t="n">
        <v>1.6</v>
      </c>
      <c r="H576" t="n">
        <v>0</v>
      </c>
      <c r="I576" t="n">
        <v>0</v>
      </c>
      <c r="J576" t="n">
        <v>0</v>
      </c>
      <c r="K576" t="n">
        <v>0</v>
      </c>
      <c r="L576" t="n">
        <v>0</v>
      </c>
      <c r="M576" t="n">
        <v>0</v>
      </c>
      <c r="N576" t="n">
        <v>0</v>
      </c>
      <c r="O576" t="n">
        <v>0</v>
      </c>
      <c r="P576" t="n">
        <v>0</v>
      </c>
      <c r="Q576" t="n">
        <v>0</v>
      </c>
      <c r="R576" s="2" t="inlineStr"/>
    </row>
    <row r="577" ht="15" customHeight="1">
      <c r="A577" t="inlineStr">
        <is>
          <t>A 14471-2026</t>
        </is>
      </c>
      <c r="B577" s="1" t="n">
        <v>46100</v>
      </c>
      <c r="C577" s="1" t="n">
        <v>46197</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62171-2022</t>
        </is>
      </c>
      <c r="B578" s="1" t="n">
        <v>44915</v>
      </c>
      <c r="C578" s="1" t="n">
        <v>46197</v>
      </c>
      <c r="D578" t="inlineStr">
        <is>
          <t>SKÅNE LÄN</t>
        </is>
      </c>
      <c r="E578" t="inlineStr">
        <is>
          <t>HÄSSLEHOLM</t>
        </is>
      </c>
      <c r="F578" t="inlineStr">
        <is>
          <t>Kyrkan</t>
        </is>
      </c>
      <c r="G578" t="n">
        <v>9</v>
      </c>
      <c r="H578" t="n">
        <v>0</v>
      </c>
      <c r="I578" t="n">
        <v>0</v>
      </c>
      <c r="J578" t="n">
        <v>0</v>
      </c>
      <c r="K578" t="n">
        <v>0</v>
      </c>
      <c r="L578" t="n">
        <v>0</v>
      </c>
      <c r="M578" t="n">
        <v>0</v>
      </c>
      <c r="N578" t="n">
        <v>0</v>
      </c>
      <c r="O578" t="n">
        <v>0</v>
      </c>
      <c r="P578" t="n">
        <v>0</v>
      </c>
      <c r="Q578" t="n">
        <v>0</v>
      </c>
      <c r="R578" s="2" t="inlineStr"/>
    </row>
    <row r="579" ht="15" customHeight="1">
      <c r="A579" t="inlineStr">
        <is>
          <t>A 32100-2024</t>
        </is>
      </c>
      <c r="B579" s="1" t="n">
        <v>45511</v>
      </c>
      <c r="C579" s="1" t="n">
        <v>46197</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33481-2024</t>
        </is>
      </c>
      <c r="B580" s="1" t="n">
        <v>45519</v>
      </c>
      <c r="C580" s="1" t="n">
        <v>46197</v>
      </c>
      <c r="D580" t="inlineStr">
        <is>
          <t>SKÅNE LÄN</t>
        </is>
      </c>
      <c r="E580" t="inlineStr">
        <is>
          <t>HÄSSLEHOLM</t>
        </is>
      </c>
      <c r="G580" t="n">
        <v>3</v>
      </c>
      <c r="H580" t="n">
        <v>0</v>
      </c>
      <c r="I580" t="n">
        <v>0</v>
      </c>
      <c r="J580" t="n">
        <v>0</v>
      </c>
      <c r="K580" t="n">
        <v>0</v>
      </c>
      <c r="L580" t="n">
        <v>0</v>
      </c>
      <c r="M580" t="n">
        <v>0</v>
      </c>
      <c r="N580" t="n">
        <v>0</v>
      </c>
      <c r="O580" t="n">
        <v>0</v>
      </c>
      <c r="P580" t="n">
        <v>0</v>
      </c>
      <c r="Q580" t="n">
        <v>0</v>
      </c>
      <c r="R580" s="2" t="inlineStr"/>
    </row>
    <row r="581" ht="15" customHeight="1">
      <c r="A581" t="inlineStr">
        <is>
          <t>A 48807-2021</t>
        </is>
      </c>
      <c r="B581" s="1" t="n">
        <v>44452</v>
      </c>
      <c r="C581" s="1" t="n">
        <v>46197</v>
      </c>
      <c r="D581" t="inlineStr">
        <is>
          <t>SKÅNE LÄN</t>
        </is>
      </c>
      <c r="E581" t="inlineStr">
        <is>
          <t>HÄSSLEHOLM</t>
        </is>
      </c>
      <c r="G581" t="n">
        <v>1.1</v>
      </c>
      <c r="H581" t="n">
        <v>0</v>
      </c>
      <c r="I581" t="n">
        <v>0</v>
      </c>
      <c r="J581" t="n">
        <v>0</v>
      </c>
      <c r="K581" t="n">
        <v>0</v>
      </c>
      <c r="L581" t="n">
        <v>0</v>
      </c>
      <c r="M581" t="n">
        <v>0</v>
      </c>
      <c r="N581" t="n">
        <v>0</v>
      </c>
      <c r="O581" t="n">
        <v>0</v>
      </c>
      <c r="P581" t="n">
        <v>0</v>
      </c>
      <c r="Q581" t="n">
        <v>0</v>
      </c>
      <c r="R581" s="2" t="inlineStr"/>
    </row>
    <row r="582" ht="15" customHeight="1">
      <c r="A582" t="inlineStr">
        <is>
          <t>A 54176-2022</t>
        </is>
      </c>
      <c r="B582" s="1" t="n">
        <v>44881</v>
      </c>
      <c r="C582" s="1" t="n">
        <v>46197</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16614-2025</t>
        </is>
      </c>
      <c r="B583" s="1" t="n">
        <v>45754</v>
      </c>
      <c r="C583" s="1" t="n">
        <v>46197</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63510-2025</t>
        </is>
      </c>
      <c r="B584" s="1" t="n">
        <v>46013</v>
      </c>
      <c r="C584" s="1" t="n">
        <v>46197</v>
      </c>
      <c r="D584" t="inlineStr">
        <is>
          <t>SKÅNE LÄN</t>
        </is>
      </c>
      <c r="E584" t="inlineStr">
        <is>
          <t>HÄSSLEHOLM</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23723-2023</t>
        </is>
      </c>
      <c r="B585" s="1" t="n">
        <v>45077</v>
      </c>
      <c r="C585" s="1" t="n">
        <v>46197</v>
      </c>
      <c r="D585" t="inlineStr">
        <is>
          <t>SKÅNE LÄN</t>
        </is>
      </c>
      <c r="E585" t="inlineStr">
        <is>
          <t>HÄSSLEHOLM</t>
        </is>
      </c>
      <c r="G585" t="n">
        <v>3.9</v>
      </c>
      <c r="H585" t="n">
        <v>0</v>
      </c>
      <c r="I585" t="n">
        <v>0</v>
      </c>
      <c r="J585" t="n">
        <v>0</v>
      </c>
      <c r="K585" t="n">
        <v>0</v>
      </c>
      <c r="L585" t="n">
        <v>0</v>
      </c>
      <c r="M585" t="n">
        <v>0</v>
      </c>
      <c r="N585" t="n">
        <v>0</v>
      </c>
      <c r="O585" t="n">
        <v>0</v>
      </c>
      <c r="P585" t="n">
        <v>0</v>
      </c>
      <c r="Q585" t="n">
        <v>0</v>
      </c>
      <c r="R585" s="2" t="inlineStr"/>
    </row>
    <row r="586" ht="15" customHeight="1">
      <c r="A586" t="inlineStr">
        <is>
          <t>A 4945-2022</t>
        </is>
      </c>
      <c r="B586" s="1" t="n">
        <v>44593</v>
      </c>
      <c r="C586" s="1" t="n">
        <v>46197</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8160-2024</t>
        </is>
      </c>
      <c r="B587" s="1" t="n">
        <v>45351</v>
      </c>
      <c r="C587" s="1" t="n">
        <v>46197</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63415-2025</t>
        </is>
      </c>
      <c r="B588" s="1" t="n">
        <v>46013</v>
      </c>
      <c r="C588" s="1" t="n">
        <v>46197</v>
      </c>
      <c r="D588" t="inlineStr">
        <is>
          <t>SKÅNE LÄN</t>
        </is>
      </c>
      <c r="E588" t="inlineStr">
        <is>
          <t>HÄSSLEHOLM</t>
        </is>
      </c>
      <c r="G588" t="n">
        <v>1.3</v>
      </c>
      <c r="H588" t="n">
        <v>0</v>
      </c>
      <c r="I588" t="n">
        <v>0</v>
      </c>
      <c r="J588" t="n">
        <v>0</v>
      </c>
      <c r="K588" t="n">
        <v>0</v>
      </c>
      <c r="L588" t="n">
        <v>0</v>
      </c>
      <c r="M588" t="n">
        <v>0</v>
      </c>
      <c r="N588" t="n">
        <v>0</v>
      </c>
      <c r="O588" t="n">
        <v>0</v>
      </c>
      <c r="P588" t="n">
        <v>0</v>
      </c>
      <c r="Q588" t="n">
        <v>0</v>
      </c>
      <c r="R588" s="2" t="inlineStr"/>
    </row>
    <row r="589" ht="15" customHeight="1">
      <c r="A589" t="inlineStr">
        <is>
          <t>A 47248-2023</t>
        </is>
      </c>
      <c r="B589" s="1" t="n">
        <v>45202</v>
      </c>
      <c r="C589" s="1" t="n">
        <v>46197</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38306-2022</t>
        </is>
      </c>
      <c r="B590" s="1" t="n">
        <v>44812</v>
      </c>
      <c r="C590" s="1" t="n">
        <v>46197</v>
      </c>
      <c r="D590" t="inlineStr">
        <is>
          <t>SKÅNE LÄN</t>
        </is>
      </c>
      <c r="E590" t="inlineStr">
        <is>
          <t>HÄSSLEHOLM</t>
        </is>
      </c>
      <c r="G590" t="n">
        <v>2.2</v>
      </c>
      <c r="H590" t="n">
        <v>0</v>
      </c>
      <c r="I590" t="n">
        <v>0</v>
      </c>
      <c r="J590" t="n">
        <v>0</v>
      </c>
      <c r="K590" t="n">
        <v>0</v>
      </c>
      <c r="L590" t="n">
        <v>0</v>
      </c>
      <c r="M590" t="n">
        <v>0</v>
      </c>
      <c r="N590" t="n">
        <v>0</v>
      </c>
      <c r="O590" t="n">
        <v>0</v>
      </c>
      <c r="P590" t="n">
        <v>0</v>
      </c>
      <c r="Q590" t="n">
        <v>0</v>
      </c>
      <c r="R590" s="2" t="inlineStr"/>
    </row>
    <row r="591" ht="15" customHeight="1">
      <c r="A591" t="inlineStr">
        <is>
          <t>A 35845-2022</t>
        </is>
      </c>
      <c r="B591" s="1" t="n">
        <v>44802</v>
      </c>
      <c r="C591" s="1" t="n">
        <v>46197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12503-2022</t>
        </is>
      </c>
      <c r="B592" s="1" t="n">
        <v>44638</v>
      </c>
      <c r="C592" s="1" t="n">
        <v>46197</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23950-2023</t>
        </is>
      </c>
      <c r="B593" s="1" t="n">
        <v>45078</v>
      </c>
      <c r="C593" s="1" t="n">
        <v>46197</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23952-2023</t>
        </is>
      </c>
      <c r="B594" s="1" t="n">
        <v>45078</v>
      </c>
      <c r="C594" s="1" t="n">
        <v>46197</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2144-2023</t>
        </is>
      </c>
      <c r="B595" s="1" t="n">
        <v>44940</v>
      </c>
      <c r="C595" s="1" t="n">
        <v>46197</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61680-2022</t>
        </is>
      </c>
      <c r="B596" s="1" t="n">
        <v>44917</v>
      </c>
      <c r="C596" s="1" t="n">
        <v>46197</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14965-2026</t>
        </is>
      </c>
      <c r="B597" s="1" t="n">
        <v>46104</v>
      </c>
      <c r="C597" s="1" t="n">
        <v>46197</v>
      </c>
      <c r="D597" t="inlineStr">
        <is>
          <t>SKÅNE LÄN</t>
        </is>
      </c>
      <c r="E597" t="inlineStr">
        <is>
          <t>HÄSSLEHOLM</t>
        </is>
      </c>
      <c r="G597" t="n">
        <v>2.7</v>
      </c>
      <c r="H597" t="n">
        <v>0</v>
      </c>
      <c r="I597" t="n">
        <v>0</v>
      </c>
      <c r="J597" t="n">
        <v>0</v>
      </c>
      <c r="K597" t="n">
        <v>0</v>
      </c>
      <c r="L597" t="n">
        <v>0</v>
      </c>
      <c r="M597" t="n">
        <v>0</v>
      </c>
      <c r="N597" t="n">
        <v>0</v>
      </c>
      <c r="O597" t="n">
        <v>0</v>
      </c>
      <c r="P597" t="n">
        <v>0</v>
      </c>
      <c r="Q597" t="n">
        <v>0</v>
      </c>
      <c r="R597" s="2" t="inlineStr"/>
    </row>
    <row r="598" ht="15" customHeight="1">
      <c r="A598" t="inlineStr">
        <is>
          <t>A 14971-2026</t>
        </is>
      </c>
      <c r="B598" s="1" t="n">
        <v>46104</v>
      </c>
      <c r="C598" s="1" t="n">
        <v>46197</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5780-2024</t>
        </is>
      </c>
      <c r="B599" s="1" t="n">
        <v>45335</v>
      </c>
      <c r="C599" s="1" t="n">
        <v>46197</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931-2026</t>
        </is>
      </c>
      <c r="B600" s="1" t="n">
        <v>46030</v>
      </c>
      <c r="C600" s="1" t="n">
        <v>46197</v>
      </c>
      <c r="D600" t="inlineStr">
        <is>
          <t>SKÅNE LÄN</t>
        </is>
      </c>
      <c r="E600" t="inlineStr">
        <is>
          <t>HÄSSLEHOLM</t>
        </is>
      </c>
      <c r="F600" t="inlineStr">
        <is>
          <t>Övriga Aktiebolag</t>
        </is>
      </c>
      <c r="G600" t="n">
        <v>2.3</v>
      </c>
      <c r="H600" t="n">
        <v>0</v>
      </c>
      <c r="I600" t="n">
        <v>0</v>
      </c>
      <c r="J600" t="n">
        <v>0</v>
      </c>
      <c r="K600" t="n">
        <v>0</v>
      </c>
      <c r="L600" t="n">
        <v>0</v>
      </c>
      <c r="M600" t="n">
        <v>0</v>
      </c>
      <c r="N600" t="n">
        <v>0</v>
      </c>
      <c r="O600" t="n">
        <v>0</v>
      </c>
      <c r="P600" t="n">
        <v>0</v>
      </c>
      <c r="Q600" t="n">
        <v>0</v>
      </c>
      <c r="R600" s="2" t="inlineStr"/>
    </row>
    <row r="601" ht="15" customHeight="1">
      <c r="A601" t="inlineStr">
        <is>
          <t>A 15897-2025</t>
        </is>
      </c>
      <c r="B601" s="1" t="n">
        <v>45749</v>
      </c>
      <c r="C601" s="1" t="n">
        <v>46197</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61504-2022</t>
        </is>
      </c>
      <c r="B602" s="1" t="n">
        <v>44910</v>
      </c>
      <c r="C602" s="1" t="n">
        <v>46197</v>
      </c>
      <c r="D602" t="inlineStr">
        <is>
          <t>SKÅNE LÄN</t>
        </is>
      </c>
      <c r="E602" t="inlineStr">
        <is>
          <t>HÄSSLEHOLM</t>
        </is>
      </c>
      <c r="F602" t="inlineStr">
        <is>
          <t>Kyrkan</t>
        </is>
      </c>
      <c r="G602" t="n">
        <v>2.9</v>
      </c>
      <c r="H602" t="n">
        <v>0</v>
      </c>
      <c r="I602" t="n">
        <v>0</v>
      </c>
      <c r="J602" t="n">
        <v>0</v>
      </c>
      <c r="K602" t="n">
        <v>0</v>
      </c>
      <c r="L602" t="n">
        <v>0</v>
      </c>
      <c r="M602" t="n">
        <v>0</v>
      </c>
      <c r="N602" t="n">
        <v>0</v>
      </c>
      <c r="O602" t="n">
        <v>0</v>
      </c>
      <c r="P602" t="n">
        <v>0</v>
      </c>
      <c r="Q602" t="n">
        <v>0</v>
      </c>
      <c r="R602" s="2" t="inlineStr"/>
    </row>
    <row r="603" ht="15" customHeight="1">
      <c r="A603" t="inlineStr">
        <is>
          <t>A 29275-2023</t>
        </is>
      </c>
      <c r="B603" s="1" t="n">
        <v>45105</v>
      </c>
      <c r="C603" s="1" t="n">
        <v>46197</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15882-2026</t>
        </is>
      </c>
      <c r="B604" s="1" t="n">
        <v>46107</v>
      </c>
      <c r="C604" s="1" t="n">
        <v>46197</v>
      </c>
      <c r="D604" t="inlineStr">
        <is>
          <t>SKÅNE LÄN</t>
        </is>
      </c>
      <c r="E604" t="inlineStr">
        <is>
          <t>HÄSSLEHOLM</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27502-2023</t>
        </is>
      </c>
      <c r="B605" s="1" t="n">
        <v>45092</v>
      </c>
      <c r="C605" s="1" t="n">
        <v>46197</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54473-2023</t>
        </is>
      </c>
      <c r="B606" s="1" t="n">
        <v>45233</v>
      </c>
      <c r="C606" s="1" t="n">
        <v>46197</v>
      </c>
      <c r="D606" t="inlineStr">
        <is>
          <t>SKÅNE LÄN</t>
        </is>
      </c>
      <c r="E606" t="inlineStr">
        <is>
          <t>HÄSSLEHOLM</t>
        </is>
      </c>
      <c r="G606" t="n">
        <v>24.5</v>
      </c>
      <c r="H606" t="n">
        <v>0</v>
      </c>
      <c r="I606" t="n">
        <v>0</v>
      </c>
      <c r="J606" t="n">
        <v>0</v>
      </c>
      <c r="K606" t="n">
        <v>0</v>
      </c>
      <c r="L606" t="n">
        <v>0</v>
      </c>
      <c r="M606" t="n">
        <v>0</v>
      </c>
      <c r="N606" t="n">
        <v>0</v>
      </c>
      <c r="O606" t="n">
        <v>0</v>
      </c>
      <c r="P606" t="n">
        <v>0</v>
      </c>
      <c r="Q606" t="n">
        <v>0</v>
      </c>
      <c r="R606" s="2" t="inlineStr"/>
    </row>
    <row r="607" ht="15" customHeight="1">
      <c r="A607" t="inlineStr">
        <is>
          <t>A 1640-2026</t>
        </is>
      </c>
      <c r="B607" s="1" t="n">
        <v>46034</v>
      </c>
      <c r="C607" s="1" t="n">
        <v>46197</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26641-2023</t>
        </is>
      </c>
      <c r="B608" s="1" t="n">
        <v>45092</v>
      </c>
      <c r="C608" s="1" t="n">
        <v>46197</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1645-2026</t>
        </is>
      </c>
      <c r="B609" s="1" t="n">
        <v>46034</v>
      </c>
      <c r="C609" s="1" t="n">
        <v>46197</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1656-2026</t>
        </is>
      </c>
      <c r="B610" s="1" t="n">
        <v>46034</v>
      </c>
      <c r="C610" s="1" t="n">
        <v>46197</v>
      </c>
      <c r="D610" t="inlineStr">
        <is>
          <t>SKÅNE LÄN</t>
        </is>
      </c>
      <c r="E610" t="inlineStr">
        <is>
          <t>HÄSSLEHOLM</t>
        </is>
      </c>
      <c r="G610" t="n">
        <v>1.7</v>
      </c>
      <c r="H610" t="n">
        <v>0</v>
      </c>
      <c r="I610" t="n">
        <v>0</v>
      </c>
      <c r="J610" t="n">
        <v>0</v>
      </c>
      <c r="K610" t="n">
        <v>0</v>
      </c>
      <c r="L610" t="n">
        <v>0</v>
      </c>
      <c r="M610" t="n">
        <v>0</v>
      </c>
      <c r="N610" t="n">
        <v>0</v>
      </c>
      <c r="O610" t="n">
        <v>0</v>
      </c>
      <c r="P610" t="n">
        <v>0</v>
      </c>
      <c r="Q610" t="n">
        <v>0</v>
      </c>
      <c r="R610" s="2" t="inlineStr"/>
    </row>
    <row r="611" ht="15" customHeight="1">
      <c r="A611" t="inlineStr">
        <is>
          <t>A 1659-2026</t>
        </is>
      </c>
      <c r="B611" s="1" t="n">
        <v>46034</v>
      </c>
      <c r="C611" s="1" t="n">
        <v>46197</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2618-2026</t>
        </is>
      </c>
      <c r="B612" s="1" t="n">
        <v>46035</v>
      </c>
      <c r="C612" s="1" t="n">
        <v>46197</v>
      </c>
      <c r="D612" t="inlineStr">
        <is>
          <t>SKÅNE LÄN</t>
        </is>
      </c>
      <c r="E612" t="inlineStr">
        <is>
          <t>HÄSSLEHOLM</t>
        </is>
      </c>
      <c r="F612" t="inlineStr">
        <is>
          <t>Kyrkan</t>
        </is>
      </c>
      <c r="G612" t="n">
        <v>4.8</v>
      </c>
      <c r="H612" t="n">
        <v>0</v>
      </c>
      <c r="I612" t="n">
        <v>0</v>
      </c>
      <c r="J612" t="n">
        <v>0</v>
      </c>
      <c r="K612" t="n">
        <v>0</v>
      </c>
      <c r="L612" t="n">
        <v>0</v>
      </c>
      <c r="M612" t="n">
        <v>0</v>
      </c>
      <c r="N612" t="n">
        <v>0</v>
      </c>
      <c r="O612" t="n">
        <v>0</v>
      </c>
      <c r="P612" t="n">
        <v>0</v>
      </c>
      <c r="Q612" t="n">
        <v>0</v>
      </c>
      <c r="R612" s="2" t="inlineStr"/>
    </row>
    <row r="613" ht="15" customHeight="1">
      <c r="A613" t="inlineStr">
        <is>
          <t>A 51752-2023</t>
        </is>
      </c>
      <c r="B613" s="1" t="n">
        <v>45222</v>
      </c>
      <c r="C613" s="1" t="n">
        <v>46197</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2617-2026</t>
        </is>
      </c>
      <c r="B614" s="1" t="n">
        <v>46035</v>
      </c>
      <c r="C614" s="1" t="n">
        <v>46197</v>
      </c>
      <c r="D614" t="inlineStr">
        <is>
          <t>SKÅNE LÄN</t>
        </is>
      </c>
      <c r="E614" t="inlineStr">
        <is>
          <t>HÄSSLEHOLM</t>
        </is>
      </c>
      <c r="F614" t="inlineStr">
        <is>
          <t>Kyrkan</t>
        </is>
      </c>
      <c r="G614" t="n">
        <v>5.5</v>
      </c>
      <c r="H614" t="n">
        <v>0</v>
      </c>
      <c r="I614" t="n">
        <v>0</v>
      </c>
      <c r="J614" t="n">
        <v>0</v>
      </c>
      <c r="K614" t="n">
        <v>0</v>
      </c>
      <c r="L614" t="n">
        <v>0</v>
      </c>
      <c r="M614" t="n">
        <v>0</v>
      </c>
      <c r="N614" t="n">
        <v>0</v>
      </c>
      <c r="O614" t="n">
        <v>0</v>
      </c>
      <c r="P614" t="n">
        <v>0</v>
      </c>
      <c r="Q614" t="n">
        <v>0</v>
      </c>
      <c r="R614" s="2" t="inlineStr"/>
    </row>
    <row r="615" ht="15" customHeight="1">
      <c r="A615" t="inlineStr">
        <is>
          <t>A 15881-2026</t>
        </is>
      </c>
      <c r="B615" s="1" t="n">
        <v>46107</v>
      </c>
      <c r="C615" s="1" t="n">
        <v>46197</v>
      </c>
      <c r="D615" t="inlineStr">
        <is>
          <t>SKÅNE LÄN</t>
        </is>
      </c>
      <c r="E615" t="inlineStr">
        <is>
          <t>HÄSSLEHOLM</t>
        </is>
      </c>
      <c r="F615" t="inlineStr">
        <is>
          <t>Kyrkan</t>
        </is>
      </c>
      <c r="G615" t="n">
        <v>2.2</v>
      </c>
      <c r="H615" t="n">
        <v>0</v>
      </c>
      <c r="I615" t="n">
        <v>0</v>
      </c>
      <c r="J615" t="n">
        <v>0</v>
      </c>
      <c r="K615" t="n">
        <v>0</v>
      </c>
      <c r="L615" t="n">
        <v>0</v>
      </c>
      <c r="M615" t="n">
        <v>0</v>
      </c>
      <c r="N615" t="n">
        <v>0</v>
      </c>
      <c r="O615" t="n">
        <v>0</v>
      </c>
      <c r="P615" t="n">
        <v>0</v>
      </c>
      <c r="Q615" t="n">
        <v>0</v>
      </c>
      <c r="R615" s="2" t="inlineStr"/>
    </row>
    <row r="616" ht="15" customHeight="1">
      <c r="A616" t="inlineStr">
        <is>
          <t>A 20800-2023</t>
        </is>
      </c>
      <c r="B616" s="1" t="n">
        <v>45058</v>
      </c>
      <c r="C616" s="1" t="n">
        <v>46197</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49219-2024</t>
        </is>
      </c>
      <c r="B617" s="1" t="n">
        <v>45595</v>
      </c>
      <c r="C617" s="1" t="n">
        <v>46197</v>
      </c>
      <c r="D617" t="inlineStr">
        <is>
          <t>SKÅNE LÄN</t>
        </is>
      </c>
      <c r="E617" t="inlineStr">
        <is>
          <t>HÄSSLEHOLM</t>
        </is>
      </c>
      <c r="G617" t="n">
        <v>1.8</v>
      </c>
      <c r="H617" t="n">
        <v>0</v>
      </c>
      <c r="I617" t="n">
        <v>0</v>
      </c>
      <c r="J617" t="n">
        <v>0</v>
      </c>
      <c r="K617" t="n">
        <v>0</v>
      </c>
      <c r="L617" t="n">
        <v>0</v>
      </c>
      <c r="M617" t="n">
        <v>0</v>
      </c>
      <c r="N617" t="n">
        <v>0</v>
      </c>
      <c r="O617" t="n">
        <v>0</v>
      </c>
      <c r="P617" t="n">
        <v>0</v>
      </c>
      <c r="Q617" t="n">
        <v>0</v>
      </c>
      <c r="R617" s="2" t="inlineStr"/>
    </row>
    <row r="618" ht="15" customHeight="1">
      <c r="A618" t="inlineStr">
        <is>
          <t>A 7152-2025</t>
        </is>
      </c>
      <c r="B618" s="1" t="n">
        <v>45702</v>
      </c>
      <c r="C618" s="1" t="n">
        <v>46197</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7160-2025</t>
        </is>
      </c>
      <c r="B619" s="1" t="n">
        <v>45702</v>
      </c>
      <c r="C619" s="1" t="n">
        <v>46197</v>
      </c>
      <c r="D619" t="inlineStr">
        <is>
          <t>SKÅNE LÄN</t>
        </is>
      </c>
      <c r="E619" t="inlineStr">
        <is>
          <t>HÄSSLEHOLM</t>
        </is>
      </c>
      <c r="G619" t="n">
        <v>2.5</v>
      </c>
      <c r="H619" t="n">
        <v>0</v>
      </c>
      <c r="I619" t="n">
        <v>0</v>
      </c>
      <c r="J619" t="n">
        <v>0</v>
      </c>
      <c r="K619" t="n">
        <v>0</v>
      </c>
      <c r="L619" t="n">
        <v>0</v>
      </c>
      <c r="M619" t="n">
        <v>0</v>
      </c>
      <c r="N619" t="n">
        <v>0</v>
      </c>
      <c r="O619" t="n">
        <v>0</v>
      </c>
      <c r="P619" t="n">
        <v>0</v>
      </c>
      <c r="Q619" t="n">
        <v>0</v>
      </c>
      <c r="R619" s="2" t="inlineStr"/>
    </row>
    <row r="620" ht="15" customHeight="1">
      <c r="A620" t="inlineStr">
        <is>
          <t>A 15104-2023</t>
        </is>
      </c>
      <c r="B620" s="1" t="n">
        <v>45016</v>
      </c>
      <c r="C620" s="1" t="n">
        <v>46197</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66321-2021</t>
        </is>
      </c>
      <c r="B621" s="1" t="n">
        <v>44518</v>
      </c>
      <c r="C621" s="1" t="n">
        <v>46197</v>
      </c>
      <c r="D621" t="inlineStr">
        <is>
          <t>SKÅNE LÄN</t>
        </is>
      </c>
      <c r="E621" t="inlineStr">
        <is>
          <t>HÄSSLEHOLM</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21494-2023</t>
        </is>
      </c>
      <c r="B622" s="1" t="n">
        <v>45063</v>
      </c>
      <c r="C622" s="1" t="n">
        <v>46197</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21495-2023</t>
        </is>
      </c>
      <c r="B623" s="1" t="n">
        <v>45063</v>
      </c>
      <c r="C623" s="1" t="n">
        <v>46197</v>
      </c>
      <c r="D623" t="inlineStr">
        <is>
          <t>SKÅNE LÄN</t>
        </is>
      </c>
      <c r="E623" t="inlineStr">
        <is>
          <t>HÄSSLEHOLM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15979-2026</t>
        </is>
      </c>
      <c r="B624" s="1" t="n">
        <v>46108</v>
      </c>
      <c r="C624" s="1" t="n">
        <v>46197</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40739-2024</t>
        </is>
      </c>
      <c r="B625" s="1" t="n">
        <v>45558</v>
      </c>
      <c r="C625" s="1" t="n">
        <v>46197</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64884-2023</t>
        </is>
      </c>
      <c r="B626" s="1" t="n">
        <v>45282</v>
      </c>
      <c r="C626" s="1" t="n">
        <v>46197</v>
      </c>
      <c r="D626" t="inlineStr">
        <is>
          <t>SKÅNE LÄN</t>
        </is>
      </c>
      <c r="E626" t="inlineStr">
        <is>
          <t>HÄSSLEHOLM</t>
        </is>
      </c>
      <c r="G626" t="n">
        <v>4.6</v>
      </c>
      <c r="H626" t="n">
        <v>0</v>
      </c>
      <c r="I626" t="n">
        <v>0</v>
      </c>
      <c r="J626" t="n">
        <v>0</v>
      </c>
      <c r="K626" t="n">
        <v>0</v>
      </c>
      <c r="L626" t="n">
        <v>0</v>
      </c>
      <c r="M626" t="n">
        <v>0</v>
      </c>
      <c r="N626" t="n">
        <v>0</v>
      </c>
      <c r="O626" t="n">
        <v>0</v>
      </c>
      <c r="P626" t="n">
        <v>0</v>
      </c>
      <c r="Q626" t="n">
        <v>0</v>
      </c>
      <c r="R626" s="2" t="inlineStr"/>
    </row>
    <row r="627" ht="15" customHeight="1">
      <c r="A627" t="inlineStr">
        <is>
          <t>A 22140-2023</t>
        </is>
      </c>
      <c r="B627" s="1" t="n">
        <v>45065</v>
      </c>
      <c r="C627" s="1" t="n">
        <v>46197</v>
      </c>
      <c r="D627" t="inlineStr">
        <is>
          <t>SKÅNE LÄN</t>
        </is>
      </c>
      <c r="E627" t="inlineStr">
        <is>
          <t>HÄSSLEHOLM</t>
        </is>
      </c>
      <c r="G627" t="n">
        <v>6.7</v>
      </c>
      <c r="H627" t="n">
        <v>0</v>
      </c>
      <c r="I627" t="n">
        <v>0</v>
      </c>
      <c r="J627" t="n">
        <v>0</v>
      </c>
      <c r="K627" t="n">
        <v>0</v>
      </c>
      <c r="L627" t="n">
        <v>0</v>
      </c>
      <c r="M627" t="n">
        <v>0</v>
      </c>
      <c r="N627" t="n">
        <v>0</v>
      </c>
      <c r="O627" t="n">
        <v>0</v>
      </c>
      <c r="P627" t="n">
        <v>0</v>
      </c>
      <c r="Q627" t="n">
        <v>0</v>
      </c>
      <c r="R627" s="2" t="inlineStr"/>
    </row>
    <row r="628" ht="15" customHeight="1">
      <c r="A628" t="inlineStr">
        <is>
          <t>A 31944-2023</t>
        </is>
      </c>
      <c r="B628" s="1" t="n">
        <v>45119</v>
      </c>
      <c r="C628" s="1" t="n">
        <v>46197</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7890-2024</t>
        </is>
      </c>
      <c r="B629" s="1" t="n">
        <v>45350</v>
      </c>
      <c r="C629" s="1" t="n">
        <v>46197</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31946-2023</t>
        </is>
      </c>
      <c r="B630" s="1" t="n">
        <v>45119</v>
      </c>
      <c r="C630" s="1" t="n">
        <v>46197</v>
      </c>
      <c r="D630" t="inlineStr">
        <is>
          <t>SKÅNE LÄN</t>
        </is>
      </c>
      <c r="E630" t="inlineStr">
        <is>
          <t>HÄSSLEHOLM</t>
        </is>
      </c>
      <c r="G630" t="n">
        <v>0.3</v>
      </c>
      <c r="H630" t="n">
        <v>0</v>
      </c>
      <c r="I630" t="n">
        <v>0</v>
      </c>
      <c r="J630" t="n">
        <v>0</v>
      </c>
      <c r="K630" t="n">
        <v>0</v>
      </c>
      <c r="L630" t="n">
        <v>0</v>
      </c>
      <c r="M630" t="n">
        <v>0</v>
      </c>
      <c r="N630" t="n">
        <v>0</v>
      </c>
      <c r="O630" t="n">
        <v>0</v>
      </c>
      <c r="P630" t="n">
        <v>0</v>
      </c>
      <c r="Q630" t="n">
        <v>0</v>
      </c>
      <c r="R630" s="2" t="inlineStr"/>
    </row>
    <row r="631" ht="15" customHeight="1">
      <c r="A631" t="inlineStr">
        <is>
          <t>A 8755-2024</t>
        </is>
      </c>
      <c r="B631" s="1" t="n">
        <v>45356</v>
      </c>
      <c r="C631" s="1" t="n">
        <v>46197</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16470-2026</t>
        </is>
      </c>
      <c r="B632" s="1" t="n">
        <v>46112</v>
      </c>
      <c r="C632" s="1" t="n">
        <v>46197</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16476-2026</t>
        </is>
      </c>
      <c r="B633" s="1" t="n">
        <v>46112</v>
      </c>
      <c r="C633" s="1" t="n">
        <v>46197</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61178-2022</t>
        </is>
      </c>
      <c r="B634" s="1" t="n">
        <v>44915</v>
      </c>
      <c r="C634" s="1" t="n">
        <v>46197</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61185-2022</t>
        </is>
      </c>
      <c r="B635" s="1" t="n">
        <v>44915</v>
      </c>
      <c r="C635" s="1" t="n">
        <v>46197</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61691-2021</t>
        </is>
      </c>
      <c r="B636" s="1" t="n">
        <v>44501</v>
      </c>
      <c r="C636" s="1" t="n">
        <v>46197</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25221-2023</t>
        </is>
      </c>
      <c r="B637" s="1" t="n">
        <v>45086</v>
      </c>
      <c r="C637" s="1" t="n">
        <v>46197</v>
      </c>
      <c r="D637" t="inlineStr">
        <is>
          <t>SKÅNE LÄN</t>
        </is>
      </c>
      <c r="E637" t="inlineStr">
        <is>
          <t>HÄSSLEHOLM</t>
        </is>
      </c>
      <c r="G637" t="n">
        <v>2.5</v>
      </c>
      <c r="H637" t="n">
        <v>0</v>
      </c>
      <c r="I637" t="n">
        <v>0</v>
      </c>
      <c r="J637" t="n">
        <v>0</v>
      </c>
      <c r="K637" t="n">
        <v>0</v>
      </c>
      <c r="L637" t="n">
        <v>0</v>
      </c>
      <c r="M637" t="n">
        <v>0</v>
      </c>
      <c r="N637" t="n">
        <v>0</v>
      </c>
      <c r="O637" t="n">
        <v>0</v>
      </c>
      <c r="P637" t="n">
        <v>0</v>
      </c>
      <c r="Q637" t="n">
        <v>0</v>
      </c>
      <c r="R637" s="2" t="inlineStr"/>
    </row>
    <row r="638" ht="15" customHeight="1">
      <c r="A638" t="inlineStr">
        <is>
          <t>A 59390-2021</t>
        </is>
      </c>
      <c r="B638" s="1" t="n">
        <v>44490</v>
      </c>
      <c r="C638" s="1" t="n">
        <v>46197</v>
      </c>
      <c r="D638" t="inlineStr">
        <is>
          <t>SKÅNE LÄN</t>
        </is>
      </c>
      <c r="E638" t="inlineStr">
        <is>
          <t>HÄSSLEHOLM</t>
        </is>
      </c>
      <c r="G638" t="n">
        <v>7.1</v>
      </c>
      <c r="H638" t="n">
        <v>0</v>
      </c>
      <c r="I638" t="n">
        <v>0</v>
      </c>
      <c r="J638" t="n">
        <v>0</v>
      </c>
      <c r="K638" t="n">
        <v>0</v>
      </c>
      <c r="L638" t="n">
        <v>0</v>
      </c>
      <c r="M638" t="n">
        <v>0</v>
      </c>
      <c r="N638" t="n">
        <v>0</v>
      </c>
      <c r="O638" t="n">
        <v>0</v>
      </c>
      <c r="P638" t="n">
        <v>0</v>
      </c>
      <c r="Q638" t="n">
        <v>0</v>
      </c>
      <c r="R638" s="2" t="inlineStr"/>
    </row>
    <row r="639" ht="15" customHeight="1">
      <c r="A639" t="inlineStr">
        <is>
          <t>A 50564-2023</t>
        </is>
      </c>
      <c r="B639" s="1" t="n">
        <v>45217</v>
      </c>
      <c r="C639" s="1" t="n">
        <v>46197</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15133-2023</t>
        </is>
      </c>
      <c r="B640" s="1" t="n">
        <v>45016</v>
      </c>
      <c r="C640" s="1" t="n">
        <v>46197</v>
      </c>
      <c r="D640" t="inlineStr">
        <is>
          <t>SKÅNE LÄN</t>
        </is>
      </c>
      <c r="E640" t="inlineStr">
        <is>
          <t>HÄSSLEHOLM</t>
        </is>
      </c>
      <c r="G640" t="n">
        <v>7.8</v>
      </c>
      <c r="H640" t="n">
        <v>0</v>
      </c>
      <c r="I640" t="n">
        <v>0</v>
      </c>
      <c r="J640" t="n">
        <v>0</v>
      </c>
      <c r="K640" t="n">
        <v>0</v>
      </c>
      <c r="L640" t="n">
        <v>0</v>
      </c>
      <c r="M640" t="n">
        <v>0</v>
      </c>
      <c r="N640" t="n">
        <v>0</v>
      </c>
      <c r="O640" t="n">
        <v>0</v>
      </c>
      <c r="P640" t="n">
        <v>0</v>
      </c>
      <c r="Q640" t="n">
        <v>0</v>
      </c>
      <c r="R640" s="2" t="inlineStr"/>
    </row>
    <row r="641" ht="15" customHeight="1">
      <c r="A641" t="inlineStr">
        <is>
          <t>A 15053-2023</t>
        </is>
      </c>
      <c r="B641" s="1" t="n">
        <v>45015</v>
      </c>
      <c r="C641" s="1" t="n">
        <v>46197</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35644-2023</t>
        </is>
      </c>
      <c r="B642" s="1" t="n">
        <v>45147</v>
      </c>
      <c r="C642" s="1" t="n">
        <v>46197</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46185-2022</t>
        </is>
      </c>
      <c r="B643" s="1" t="n">
        <v>44847</v>
      </c>
      <c r="C643" s="1" t="n">
        <v>46197</v>
      </c>
      <c r="D643" t="inlineStr">
        <is>
          <t>SKÅNE LÄN</t>
        </is>
      </c>
      <c r="E643" t="inlineStr">
        <is>
          <t>HÄSSLEHOLM</t>
        </is>
      </c>
      <c r="G643" t="n">
        <v>16.8</v>
      </c>
      <c r="H643" t="n">
        <v>0</v>
      </c>
      <c r="I643" t="n">
        <v>0</v>
      </c>
      <c r="J643" t="n">
        <v>0</v>
      </c>
      <c r="K643" t="n">
        <v>0</v>
      </c>
      <c r="L643" t="n">
        <v>0</v>
      </c>
      <c r="M643" t="n">
        <v>0</v>
      </c>
      <c r="N643" t="n">
        <v>0</v>
      </c>
      <c r="O643" t="n">
        <v>0</v>
      </c>
      <c r="P643" t="n">
        <v>0</v>
      </c>
      <c r="Q643" t="n">
        <v>0</v>
      </c>
      <c r="R643" s="2" t="inlineStr"/>
    </row>
    <row r="644" ht="15" customHeight="1">
      <c r="A644" t="inlineStr">
        <is>
          <t>A 8433-2024</t>
        </is>
      </c>
      <c r="B644" s="1" t="n">
        <v>45353</v>
      </c>
      <c r="C644" s="1" t="n">
        <v>46197</v>
      </c>
      <c r="D644" t="inlineStr">
        <is>
          <t>SKÅNE LÄN</t>
        </is>
      </c>
      <c r="E644" t="inlineStr">
        <is>
          <t>HÄSSLEHOLM</t>
        </is>
      </c>
      <c r="G644" t="n">
        <v>1.9</v>
      </c>
      <c r="H644" t="n">
        <v>0</v>
      </c>
      <c r="I644" t="n">
        <v>0</v>
      </c>
      <c r="J644" t="n">
        <v>0</v>
      </c>
      <c r="K644" t="n">
        <v>0</v>
      </c>
      <c r="L644" t="n">
        <v>0</v>
      </c>
      <c r="M644" t="n">
        <v>0</v>
      </c>
      <c r="N644" t="n">
        <v>0</v>
      </c>
      <c r="O644" t="n">
        <v>0</v>
      </c>
      <c r="P644" t="n">
        <v>0</v>
      </c>
      <c r="Q644" t="n">
        <v>0</v>
      </c>
      <c r="R644" s="2" t="inlineStr"/>
    </row>
    <row r="645" ht="15" customHeight="1">
      <c r="A645" t="inlineStr">
        <is>
          <t>A 23050-2026</t>
        </is>
      </c>
      <c r="B645" s="1" t="n">
        <v>46161</v>
      </c>
      <c r="C645" s="1" t="n">
        <v>46197</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13555-2025</t>
        </is>
      </c>
      <c r="B646" s="1" t="n">
        <v>45736</v>
      </c>
      <c r="C646" s="1" t="n">
        <v>46197</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28632-2024</t>
        </is>
      </c>
      <c r="B647" s="1" t="n">
        <v>45478</v>
      </c>
      <c r="C647" s="1" t="n">
        <v>46197</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35712-2024</t>
        </is>
      </c>
      <c r="B648" s="1" t="n">
        <v>45532</v>
      </c>
      <c r="C648" s="1" t="n">
        <v>46197</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17835-2026</t>
        </is>
      </c>
      <c r="B649" s="1" t="n">
        <v>46121</v>
      </c>
      <c r="C649" s="1" t="n">
        <v>46197</v>
      </c>
      <c r="D649" t="inlineStr">
        <is>
          <t>SKÅNE LÄN</t>
        </is>
      </c>
      <c r="E649" t="inlineStr">
        <is>
          <t>HÄSSLEHOLM</t>
        </is>
      </c>
      <c r="G649" t="n">
        <v>12.6</v>
      </c>
      <c r="H649" t="n">
        <v>0</v>
      </c>
      <c r="I649" t="n">
        <v>0</v>
      </c>
      <c r="J649" t="n">
        <v>0</v>
      </c>
      <c r="K649" t="n">
        <v>0</v>
      </c>
      <c r="L649" t="n">
        <v>0</v>
      </c>
      <c r="M649" t="n">
        <v>0</v>
      </c>
      <c r="N649" t="n">
        <v>0</v>
      </c>
      <c r="O649" t="n">
        <v>0</v>
      </c>
      <c r="P649" t="n">
        <v>0</v>
      </c>
      <c r="Q649" t="n">
        <v>0</v>
      </c>
      <c r="R649" s="2" t="inlineStr"/>
    </row>
    <row r="650" ht="15" customHeight="1">
      <c r="A650" t="inlineStr">
        <is>
          <t>A 17844-2026</t>
        </is>
      </c>
      <c r="B650" s="1" t="n">
        <v>46121</v>
      </c>
      <c r="C650" s="1" t="n">
        <v>46197</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33466-2024</t>
        </is>
      </c>
      <c r="B651" s="1" t="n">
        <v>45519</v>
      </c>
      <c r="C651" s="1" t="n">
        <v>46197</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26397-2023</t>
        </is>
      </c>
      <c r="B652" s="1" t="n">
        <v>45087</v>
      </c>
      <c r="C652" s="1" t="n">
        <v>46197</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27175-2024</t>
        </is>
      </c>
      <c r="B653" s="1" t="n">
        <v>45471</v>
      </c>
      <c r="C653" s="1" t="n">
        <v>46197</v>
      </c>
      <c r="D653" t="inlineStr">
        <is>
          <t>SKÅNE LÄN</t>
        </is>
      </c>
      <c r="E653" t="inlineStr">
        <is>
          <t>HÄSSLEHOLM</t>
        </is>
      </c>
      <c r="G653" t="n">
        <v>1</v>
      </c>
      <c r="H653" t="n">
        <v>0</v>
      </c>
      <c r="I653" t="n">
        <v>0</v>
      </c>
      <c r="J653" t="n">
        <v>0</v>
      </c>
      <c r="K653" t="n">
        <v>0</v>
      </c>
      <c r="L653" t="n">
        <v>0</v>
      </c>
      <c r="M653" t="n">
        <v>0</v>
      </c>
      <c r="N653" t="n">
        <v>0</v>
      </c>
      <c r="O653" t="n">
        <v>0</v>
      </c>
      <c r="P653" t="n">
        <v>0</v>
      </c>
      <c r="Q653" t="n">
        <v>0</v>
      </c>
      <c r="R653" s="2" t="inlineStr"/>
    </row>
    <row r="654" ht="15" customHeight="1">
      <c r="A654" t="inlineStr">
        <is>
          <t>A 23258-2026</t>
        </is>
      </c>
      <c r="B654" s="1" t="n">
        <v>46162</v>
      </c>
      <c r="C654" s="1" t="n">
        <v>46197</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1197-2024</t>
        </is>
      </c>
      <c r="B655" s="1" t="n">
        <v>45302</v>
      </c>
      <c r="C655" s="1" t="n">
        <v>46197</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48097-2024</t>
        </is>
      </c>
      <c r="B656" s="1" t="n">
        <v>45589</v>
      </c>
      <c r="C656" s="1" t="n">
        <v>46197</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53077-2022</t>
        </is>
      </c>
      <c r="B657" s="1" t="n">
        <v>44873</v>
      </c>
      <c r="C657" s="1" t="n">
        <v>46197</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23265-2026</t>
        </is>
      </c>
      <c r="B658" s="1" t="n">
        <v>46162</v>
      </c>
      <c r="C658" s="1" t="n">
        <v>46197</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32008-2024</t>
        </is>
      </c>
      <c r="B659" s="1" t="n">
        <v>45510</v>
      </c>
      <c r="C659" s="1" t="n">
        <v>46197</v>
      </c>
      <c r="D659" t="inlineStr">
        <is>
          <t>SKÅNE LÄN</t>
        </is>
      </c>
      <c r="E659" t="inlineStr">
        <is>
          <t>HÄSSLEHOLM</t>
        </is>
      </c>
      <c r="G659" t="n">
        <v>5.1</v>
      </c>
      <c r="H659" t="n">
        <v>0</v>
      </c>
      <c r="I659" t="n">
        <v>0</v>
      </c>
      <c r="J659" t="n">
        <v>0</v>
      </c>
      <c r="K659" t="n">
        <v>0</v>
      </c>
      <c r="L659" t="n">
        <v>0</v>
      </c>
      <c r="M659" t="n">
        <v>0</v>
      </c>
      <c r="N659" t="n">
        <v>0</v>
      </c>
      <c r="O659" t="n">
        <v>0</v>
      </c>
      <c r="P659" t="n">
        <v>0</v>
      </c>
      <c r="Q659" t="n">
        <v>0</v>
      </c>
      <c r="R659" s="2" t="inlineStr"/>
    </row>
    <row r="660" ht="15" customHeight="1">
      <c r="A660" t="inlineStr">
        <is>
          <t>A 23411-2026</t>
        </is>
      </c>
      <c r="B660" s="1" t="n">
        <v>46162</v>
      </c>
      <c r="C660" s="1" t="n">
        <v>46197</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23249-2026</t>
        </is>
      </c>
      <c r="B661" s="1" t="n">
        <v>46162</v>
      </c>
      <c r="C661" s="1" t="n">
        <v>46197</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23259-2026</t>
        </is>
      </c>
      <c r="B662" s="1" t="n">
        <v>46162</v>
      </c>
      <c r="C662" s="1" t="n">
        <v>46197</v>
      </c>
      <c r="D662" t="inlineStr">
        <is>
          <t>SKÅNE LÄN</t>
        </is>
      </c>
      <c r="E662" t="inlineStr">
        <is>
          <t>HÄSSLEHOLM</t>
        </is>
      </c>
      <c r="G662" t="n">
        <v>0.2</v>
      </c>
      <c r="H662" t="n">
        <v>0</v>
      </c>
      <c r="I662" t="n">
        <v>0</v>
      </c>
      <c r="J662" t="n">
        <v>0</v>
      </c>
      <c r="K662" t="n">
        <v>0</v>
      </c>
      <c r="L662" t="n">
        <v>0</v>
      </c>
      <c r="M662" t="n">
        <v>0</v>
      </c>
      <c r="N662" t="n">
        <v>0</v>
      </c>
      <c r="O662" t="n">
        <v>0</v>
      </c>
      <c r="P662" t="n">
        <v>0</v>
      </c>
      <c r="Q662" t="n">
        <v>0</v>
      </c>
      <c r="R662" s="2" t="inlineStr"/>
    </row>
    <row r="663" ht="15" customHeight="1">
      <c r="A663" t="inlineStr">
        <is>
          <t>A 23284-2026</t>
        </is>
      </c>
      <c r="B663" s="1" t="n">
        <v>46162</v>
      </c>
      <c r="C663" s="1" t="n">
        <v>46197</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23266-2026</t>
        </is>
      </c>
      <c r="B664" s="1" t="n">
        <v>46162</v>
      </c>
      <c r="C664" s="1" t="n">
        <v>46197</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23283-2026</t>
        </is>
      </c>
      <c r="B665" s="1" t="n">
        <v>46162</v>
      </c>
      <c r="C665" s="1" t="n">
        <v>46197</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23285-2026</t>
        </is>
      </c>
      <c r="B666" s="1" t="n">
        <v>46162</v>
      </c>
      <c r="C666" s="1" t="n">
        <v>46197</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23378-2026</t>
        </is>
      </c>
      <c r="B667" s="1" t="n">
        <v>46162</v>
      </c>
      <c r="C667" s="1" t="n">
        <v>46197</v>
      </c>
      <c r="D667" t="inlineStr">
        <is>
          <t>SKÅNE LÄN</t>
        </is>
      </c>
      <c r="E667" t="inlineStr">
        <is>
          <t>HÄSSLEHOLM</t>
        </is>
      </c>
      <c r="G667" t="n">
        <v>5.3</v>
      </c>
      <c r="H667" t="n">
        <v>0</v>
      </c>
      <c r="I667" t="n">
        <v>0</v>
      </c>
      <c r="J667" t="n">
        <v>0</v>
      </c>
      <c r="K667" t="n">
        <v>0</v>
      </c>
      <c r="L667" t="n">
        <v>0</v>
      </c>
      <c r="M667" t="n">
        <v>0</v>
      </c>
      <c r="N667" t="n">
        <v>0</v>
      </c>
      <c r="O667" t="n">
        <v>0</v>
      </c>
      <c r="P667" t="n">
        <v>0</v>
      </c>
      <c r="Q667" t="n">
        <v>0</v>
      </c>
      <c r="R667" s="2" t="inlineStr"/>
    </row>
    <row r="668" ht="15" customHeight="1">
      <c r="A668" t="inlineStr">
        <is>
          <t>A 19020-2024</t>
        </is>
      </c>
      <c r="B668" s="1" t="n">
        <v>45427</v>
      </c>
      <c r="C668" s="1" t="n">
        <v>46197</v>
      </c>
      <c r="D668" t="inlineStr">
        <is>
          <t>SKÅNE LÄN</t>
        </is>
      </c>
      <c r="E668" t="inlineStr">
        <is>
          <t>HÄSSLEHOLM</t>
        </is>
      </c>
      <c r="G668" t="n">
        <v>2.3</v>
      </c>
      <c r="H668" t="n">
        <v>0</v>
      </c>
      <c r="I668" t="n">
        <v>0</v>
      </c>
      <c r="J668" t="n">
        <v>0</v>
      </c>
      <c r="K668" t="n">
        <v>0</v>
      </c>
      <c r="L668" t="n">
        <v>0</v>
      </c>
      <c r="M668" t="n">
        <v>0</v>
      </c>
      <c r="N668" t="n">
        <v>0</v>
      </c>
      <c r="O668" t="n">
        <v>0</v>
      </c>
      <c r="P668" t="n">
        <v>0</v>
      </c>
      <c r="Q668" t="n">
        <v>0</v>
      </c>
      <c r="R668" s="2" t="inlineStr"/>
    </row>
    <row r="669" ht="15" customHeight="1">
      <c r="A669" t="inlineStr">
        <is>
          <t>A 52912-2022</t>
        </is>
      </c>
      <c r="B669" s="1" t="n">
        <v>44872</v>
      </c>
      <c r="C669" s="1" t="n">
        <v>46197</v>
      </c>
      <c r="D669" t="inlineStr">
        <is>
          <t>SKÅNE LÄN</t>
        </is>
      </c>
      <c r="E669" t="inlineStr">
        <is>
          <t>HÄSSLEHOLM</t>
        </is>
      </c>
      <c r="G669" t="n">
        <v>4.7</v>
      </c>
      <c r="H669" t="n">
        <v>0</v>
      </c>
      <c r="I669" t="n">
        <v>0</v>
      </c>
      <c r="J669" t="n">
        <v>0</v>
      </c>
      <c r="K669" t="n">
        <v>0</v>
      </c>
      <c r="L669" t="n">
        <v>0</v>
      </c>
      <c r="M669" t="n">
        <v>0</v>
      </c>
      <c r="N669" t="n">
        <v>0</v>
      </c>
      <c r="O669" t="n">
        <v>0</v>
      </c>
      <c r="P669" t="n">
        <v>0</v>
      </c>
      <c r="Q669" t="n">
        <v>0</v>
      </c>
      <c r="R669" s="2" t="inlineStr"/>
    </row>
    <row r="670" ht="15" customHeight="1">
      <c r="A670" t="inlineStr">
        <is>
          <t>A 24640-2023</t>
        </is>
      </c>
      <c r="B670" s="1" t="n">
        <v>45084</v>
      </c>
      <c r="C670" s="1" t="n">
        <v>46197</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22535-2024</t>
        </is>
      </c>
      <c r="B671" s="1" t="n">
        <v>45447</v>
      </c>
      <c r="C671" s="1" t="n">
        <v>46197</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30007-2023</t>
        </is>
      </c>
      <c r="B672" s="1" t="n">
        <v>45109</v>
      </c>
      <c r="C672" s="1" t="n">
        <v>46197</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1289-2024</t>
        </is>
      </c>
      <c r="B673" s="1" t="n">
        <v>45303</v>
      </c>
      <c r="C673" s="1" t="n">
        <v>46197</v>
      </c>
      <c r="D673" t="inlineStr">
        <is>
          <t>SKÅNE LÄN</t>
        </is>
      </c>
      <c r="E673" t="inlineStr">
        <is>
          <t>HÄSSLEHOLM</t>
        </is>
      </c>
      <c r="G673" t="n">
        <v>4.6</v>
      </c>
      <c r="H673" t="n">
        <v>0</v>
      </c>
      <c r="I673" t="n">
        <v>0</v>
      </c>
      <c r="J673" t="n">
        <v>0</v>
      </c>
      <c r="K673" t="n">
        <v>0</v>
      </c>
      <c r="L673" t="n">
        <v>0</v>
      </c>
      <c r="M673" t="n">
        <v>0</v>
      </c>
      <c r="N673" t="n">
        <v>0</v>
      </c>
      <c r="O673" t="n">
        <v>0</v>
      </c>
      <c r="P673" t="n">
        <v>0</v>
      </c>
      <c r="Q673" t="n">
        <v>0</v>
      </c>
      <c r="R673" s="2" t="inlineStr"/>
    </row>
    <row r="674" ht="15" customHeight="1">
      <c r="A674" t="inlineStr">
        <is>
          <t>A 11715-2023</t>
        </is>
      </c>
      <c r="B674" s="1" t="n">
        <v>44992</v>
      </c>
      <c r="C674" s="1" t="n">
        <v>46197</v>
      </c>
      <c r="D674" t="inlineStr">
        <is>
          <t>SKÅNE LÄN</t>
        </is>
      </c>
      <c r="E674" t="inlineStr">
        <is>
          <t>HÄSSLEHOLM</t>
        </is>
      </c>
      <c r="F674" t="inlineStr">
        <is>
          <t>Övriga Aktiebolag</t>
        </is>
      </c>
      <c r="G674" t="n">
        <v>2</v>
      </c>
      <c r="H674" t="n">
        <v>0</v>
      </c>
      <c r="I674" t="n">
        <v>0</v>
      </c>
      <c r="J674" t="n">
        <v>0</v>
      </c>
      <c r="K674" t="n">
        <v>0</v>
      </c>
      <c r="L674" t="n">
        <v>0</v>
      </c>
      <c r="M674" t="n">
        <v>0</v>
      </c>
      <c r="N674" t="n">
        <v>0</v>
      </c>
      <c r="O674" t="n">
        <v>0</v>
      </c>
      <c r="P674" t="n">
        <v>0</v>
      </c>
      <c r="Q674" t="n">
        <v>0</v>
      </c>
      <c r="R674" s="2" t="inlineStr"/>
    </row>
    <row r="675" ht="15" customHeight="1">
      <c r="A675" t="inlineStr">
        <is>
          <t>A 25606-2024</t>
        </is>
      </c>
      <c r="B675" s="1" t="n">
        <v>45463</v>
      </c>
      <c r="C675" s="1" t="n">
        <v>46197</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1538-2024</t>
        </is>
      </c>
      <c r="B676" s="1" t="n">
        <v>45306</v>
      </c>
      <c r="C676" s="1" t="n">
        <v>46197</v>
      </c>
      <c r="D676" t="inlineStr">
        <is>
          <t>SKÅNE LÄN</t>
        </is>
      </c>
      <c r="E676" t="inlineStr">
        <is>
          <t>HÄSSLEHOLM</t>
        </is>
      </c>
      <c r="G676" t="n">
        <v>4.8</v>
      </c>
      <c r="H676" t="n">
        <v>0</v>
      </c>
      <c r="I676" t="n">
        <v>0</v>
      </c>
      <c r="J676" t="n">
        <v>0</v>
      </c>
      <c r="K676" t="n">
        <v>0</v>
      </c>
      <c r="L676" t="n">
        <v>0</v>
      </c>
      <c r="M676" t="n">
        <v>0</v>
      </c>
      <c r="N676" t="n">
        <v>0</v>
      </c>
      <c r="O676" t="n">
        <v>0</v>
      </c>
      <c r="P676" t="n">
        <v>0</v>
      </c>
      <c r="Q676" t="n">
        <v>0</v>
      </c>
      <c r="R676" s="2" t="inlineStr"/>
    </row>
    <row r="677" ht="15" customHeight="1">
      <c r="A677" t="inlineStr">
        <is>
          <t>A 31934-2024</t>
        </is>
      </c>
      <c r="B677" s="1" t="n">
        <v>45510</v>
      </c>
      <c r="C677" s="1" t="n">
        <v>46197</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29847-2024</t>
        </is>
      </c>
      <c r="B678" s="1" t="n">
        <v>45485</v>
      </c>
      <c r="C678" s="1" t="n">
        <v>46197</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7653-2024</t>
        </is>
      </c>
      <c r="B679" s="1" t="n">
        <v>45348</v>
      </c>
      <c r="C679" s="1" t="n">
        <v>46197</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17996-2026</t>
        </is>
      </c>
      <c r="B680" s="1" t="n">
        <v>46124</v>
      </c>
      <c r="C680" s="1" t="n">
        <v>46197</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12570-2023</t>
        </is>
      </c>
      <c r="B681" s="1" t="n">
        <v>44999</v>
      </c>
      <c r="C681" s="1" t="n">
        <v>46197</v>
      </c>
      <c r="D681" t="inlineStr">
        <is>
          <t>SKÅNE LÄN</t>
        </is>
      </c>
      <c r="E681" t="inlineStr">
        <is>
          <t>HÄSSLEHOLM</t>
        </is>
      </c>
      <c r="G681" t="n">
        <v>3.4</v>
      </c>
      <c r="H681" t="n">
        <v>0</v>
      </c>
      <c r="I681" t="n">
        <v>0</v>
      </c>
      <c r="J681" t="n">
        <v>0</v>
      </c>
      <c r="K681" t="n">
        <v>0</v>
      </c>
      <c r="L681" t="n">
        <v>0</v>
      </c>
      <c r="M681" t="n">
        <v>0</v>
      </c>
      <c r="N681" t="n">
        <v>0</v>
      </c>
      <c r="O681" t="n">
        <v>0</v>
      </c>
      <c r="P681" t="n">
        <v>0</v>
      </c>
      <c r="Q681" t="n">
        <v>0</v>
      </c>
      <c r="R681" s="2" t="inlineStr"/>
    </row>
    <row r="682" ht="15" customHeight="1">
      <c r="A682" t="inlineStr">
        <is>
          <t>A 14926-2024</t>
        </is>
      </c>
      <c r="B682" s="1" t="n">
        <v>45398</v>
      </c>
      <c r="C682" s="1" t="n">
        <v>46197</v>
      </c>
      <c r="D682" t="inlineStr">
        <is>
          <t>SKÅNE LÄN</t>
        </is>
      </c>
      <c r="E682" t="inlineStr">
        <is>
          <t>HÄSSLEHOLM</t>
        </is>
      </c>
      <c r="G682" t="n">
        <v>3.4</v>
      </c>
      <c r="H682" t="n">
        <v>0</v>
      </c>
      <c r="I682" t="n">
        <v>0</v>
      </c>
      <c r="J682" t="n">
        <v>0</v>
      </c>
      <c r="K682" t="n">
        <v>0</v>
      </c>
      <c r="L682" t="n">
        <v>0</v>
      </c>
      <c r="M682" t="n">
        <v>0</v>
      </c>
      <c r="N682" t="n">
        <v>0</v>
      </c>
      <c r="O682" t="n">
        <v>0</v>
      </c>
      <c r="P682" t="n">
        <v>0</v>
      </c>
      <c r="Q682" t="n">
        <v>0</v>
      </c>
      <c r="R682" s="2" t="inlineStr"/>
    </row>
    <row r="683" ht="15" customHeight="1">
      <c r="A683" t="inlineStr">
        <is>
          <t>A 2688-2024</t>
        </is>
      </c>
      <c r="B683" s="1" t="n">
        <v>45314</v>
      </c>
      <c r="C683" s="1" t="n">
        <v>46197</v>
      </c>
      <c r="D683" t="inlineStr">
        <is>
          <t>SKÅNE LÄN</t>
        </is>
      </c>
      <c r="E683" t="inlineStr">
        <is>
          <t>HÄSSLEHOLM</t>
        </is>
      </c>
      <c r="F683" t="inlineStr">
        <is>
          <t>Övriga Aktiebolag</t>
        </is>
      </c>
      <c r="G683" t="n">
        <v>2.8</v>
      </c>
      <c r="H683" t="n">
        <v>0</v>
      </c>
      <c r="I683" t="n">
        <v>0</v>
      </c>
      <c r="J683" t="n">
        <v>0</v>
      </c>
      <c r="K683" t="n">
        <v>0</v>
      </c>
      <c r="L683" t="n">
        <v>0</v>
      </c>
      <c r="M683" t="n">
        <v>0</v>
      </c>
      <c r="N683" t="n">
        <v>0</v>
      </c>
      <c r="O683" t="n">
        <v>0</v>
      </c>
      <c r="P683" t="n">
        <v>0</v>
      </c>
      <c r="Q683" t="n">
        <v>0</v>
      </c>
      <c r="R683" s="2" t="inlineStr"/>
    </row>
    <row r="684" ht="15" customHeight="1">
      <c r="A684" t="inlineStr">
        <is>
          <t>A 36733-2023</t>
        </is>
      </c>
      <c r="B684" s="1" t="n">
        <v>45153</v>
      </c>
      <c r="C684" s="1" t="n">
        <v>46197</v>
      </c>
      <c r="D684" t="inlineStr">
        <is>
          <t>SKÅNE LÄN</t>
        </is>
      </c>
      <c r="E684" t="inlineStr">
        <is>
          <t>HÄSSLEHOLM</t>
        </is>
      </c>
      <c r="G684" t="n">
        <v>4.8</v>
      </c>
      <c r="H684" t="n">
        <v>0</v>
      </c>
      <c r="I684" t="n">
        <v>0</v>
      </c>
      <c r="J684" t="n">
        <v>0</v>
      </c>
      <c r="K684" t="n">
        <v>0</v>
      </c>
      <c r="L684" t="n">
        <v>0</v>
      </c>
      <c r="M684" t="n">
        <v>0</v>
      </c>
      <c r="N684" t="n">
        <v>0</v>
      </c>
      <c r="O684" t="n">
        <v>0</v>
      </c>
      <c r="P684" t="n">
        <v>0</v>
      </c>
      <c r="Q684" t="n">
        <v>0</v>
      </c>
      <c r="R684" s="2" t="inlineStr"/>
    </row>
    <row r="685" ht="15" customHeight="1">
      <c r="A685" t="inlineStr">
        <is>
          <t>A 8244-2023</t>
        </is>
      </c>
      <c r="B685" s="1" t="n">
        <v>44974</v>
      </c>
      <c r="C685" s="1" t="n">
        <v>46197</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8246-2023</t>
        </is>
      </c>
      <c r="B686" s="1" t="n">
        <v>44974</v>
      </c>
      <c r="C686" s="1" t="n">
        <v>46197</v>
      </c>
      <c r="D686" t="inlineStr">
        <is>
          <t>SKÅNE LÄN</t>
        </is>
      </c>
      <c r="E686" t="inlineStr">
        <is>
          <t>HÄSSLEHOLM</t>
        </is>
      </c>
      <c r="G686" t="n">
        <v>1.6</v>
      </c>
      <c r="H686" t="n">
        <v>0</v>
      </c>
      <c r="I686" t="n">
        <v>0</v>
      </c>
      <c r="J686" t="n">
        <v>0</v>
      </c>
      <c r="K686" t="n">
        <v>0</v>
      </c>
      <c r="L686" t="n">
        <v>0</v>
      </c>
      <c r="M686" t="n">
        <v>0</v>
      </c>
      <c r="N686" t="n">
        <v>0</v>
      </c>
      <c r="O686" t="n">
        <v>0</v>
      </c>
      <c r="P686" t="n">
        <v>0</v>
      </c>
      <c r="Q686" t="n">
        <v>0</v>
      </c>
      <c r="R686" s="2" t="inlineStr"/>
    </row>
    <row r="687" ht="15" customHeight="1">
      <c r="A687" t="inlineStr">
        <is>
          <t>A 18398-2026</t>
        </is>
      </c>
      <c r="B687" s="1" t="n">
        <v>46126</v>
      </c>
      <c r="C687" s="1" t="n">
        <v>46197</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24679-2023</t>
        </is>
      </c>
      <c r="B688" s="1" t="n">
        <v>45084</v>
      </c>
      <c r="C688" s="1" t="n">
        <v>46197</v>
      </c>
      <c r="D688" t="inlineStr">
        <is>
          <t>SKÅNE LÄN</t>
        </is>
      </c>
      <c r="E688" t="inlineStr">
        <is>
          <t>HÄSSLEHOLM</t>
        </is>
      </c>
      <c r="G688" t="n">
        <v>7.1</v>
      </c>
      <c r="H688" t="n">
        <v>0</v>
      </c>
      <c r="I688" t="n">
        <v>0</v>
      </c>
      <c r="J688" t="n">
        <v>0</v>
      </c>
      <c r="K688" t="n">
        <v>0</v>
      </c>
      <c r="L688" t="n">
        <v>0</v>
      </c>
      <c r="M688" t="n">
        <v>0</v>
      </c>
      <c r="N688" t="n">
        <v>0</v>
      </c>
      <c r="O688" t="n">
        <v>0</v>
      </c>
      <c r="P688" t="n">
        <v>0</v>
      </c>
      <c r="Q688" t="n">
        <v>0</v>
      </c>
      <c r="R688" s="2" t="inlineStr"/>
    </row>
    <row r="689" ht="15" customHeight="1">
      <c r="A689" t="inlineStr">
        <is>
          <t>A 24084-2026</t>
        </is>
      </c>
      <c r="B689" s="1" t="n">
        <v>46168</v>
      </c>
      <c r="C689" s="1" t="n">
        <v>46197</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15508-2023</t>
        </is>
      </c>
      <c r="B690" s="1" t="n">
        <v>45020</v>
      </c>
      <c r="C690" s="1" t="n">
        <v>46197</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34187-2023</t>
        </is>
      </c>
      <c r="B691" s="1" t="n">
        <v>45138</v>
      </c>
      <c r="C691" s="1" t="n">
        <v>46197</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18484-2026</t>
        </is>
      </c>
      <c r="B692" s="1" t="n">
        <v>46126</v>
      </c>
      <c r="C692" s="1" t="n">
        <v>46197</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11019-2025</t>
        </is>
      </c>
      <c r="B693" s="1" t="n">
        <v>45723</v>
      </c>
      <c r="C693" s="1" t="n">
        <v>46197</v>
      </c>
      <c r="D693" t="inlineStr">
        <is>
          <t>SKÅNE LÄN</t>
        </is>
      </c>
      <c r="E693" t="inlineStr">
        <is>
          <t>HÄSSLEHOLM</t>
        </is>
      </c>
      <c r="G693" t="n">
        <v>3.2</v>
      </c>
      <c r="H693" t="n">
        <v>0</v>
      </c>
      <c r="I693" t="n">
        <v>0</v>
      </c>
      <c r="J693" t="n">
        <v>0</v>
      </c>
      <c r="K693" t="n">
        <v>0</v>
      </c>
      <c r="L693" t="n">
        <v>0</v>
      </c>
      <c r="M693" t="n">
        <v>0</v>
      </c>
      <c r="N693" t="n">
        <v>0</v>
      </c>
      <c r="O693" t="n">
        <v>0</v>
      </c>
      <c r="P693" t="n">
        <v>0</v>
      </c>
      <c r="Q693" t="n">
        <v>0</v>
      </c>
      <c r="R693" s="2" t="inlineStr"/>
    </row>
    <row r="694" ht="15" customHeight="1">
      <c r="A694" t="inlineStr">
        <is>
          <t>A 56062-2024</t>
        </is>
      </c>
      <c r="B694" s="1" t="n">
        <v>45624</v>
      </c>
      <c r="C694" s="1" t="n">
        <v>46197</v>
      </c>
      <c r="D694" t="inlineStr">
        <is>
          <t>SKÅNE LÄN</t>
        </is>
      </c>
      <c r="E694" t="inlineStr">
        <is>
          <t>HÄSSLEHOLM</t>
        </is>
      </c>
      <c r="F694" t="inlineStr">
        <is>
          <t>Övriga Aktiebolag</t>
        </is>
      </c>
      <c r="G694" t="n">
        <v>0.6</v>
      </c>
      <c r="H694" t="n">
        <v>0</v>
      </c>
      <c r="I694" t="n">
        <v>0</v>
      </c>
      <c r="J694" t="n">
        <v>0</v>
      </c>
      <c r="K694" t="n">
        <v>0</v>
      </c>
      <c r="L694" t="n">
        <v>0</v>
      </c>
      <c r="M694" t="n">
        <v>0</v>
      </c>
      <c r="N694" t="n">
        <v>0</v>
      </c>
      <c r="O694" t="n">
        <v>0</v>
      </c>
      <c r="P694" t="n">
        <v>0</v>
      </c>
      <c r="Q694" t="n">
        <v>0</v>
      </c>
      <c r="R694" s="2" t="inlineStr"/>
    </row>
    <row r="695" ht="15" customHeight="1">
      <c r="A695" t="inlineStr">
        <is>
          <t>A 18483-2026</t>
        </is>
      </c>
      <c r="B695" s="1" t="n">
        <v>46127</v>
      </c>
      <c r="C695" s="1" t="n">
        <v>46197</v>
      </c>
      <c r="D695" t="inlineStr">
        <is>
          <t>SKÅNE LÄN</t>
        </is>
      </c>
      <c r="E695" t="inlineStr">
        <is>
          <t>HÄSSLEHOLM</t>
        </is>
      </c>
      <c r="G695" t="n">
        <v>2.9</v>
      </c>
      <c r="H695" t="n">
        <v>0</v>
      </c>
      <c r="I695" t="n">
        <v>0</v>
      </c>
      <c r="J695" t="n">
        <v>0</v>
      </c>
      <c r="K695" t="n">
        <v>0</v>
      </c>
      <c r="L695" t="n">
        <v>0</v>
      </c>
      <c r="M695" t="n">
        <v>0</v>
      </c>
      <c r="N695" t="n">
        <v>0</v>
      </c>
      <c r="O695" t="n">
        <v>0</v>
      </c>
      <c r="P695" t="n">
        <v>0</v>
      </c>
      <c r="Q695" t="n">
        <v>0</v>
      </c>
      <c r="R695" s="2" t="inlineStr"/>
    </row>
    <row r="696" ht="15" customHeight="1">
      <c r="A696" t="inlineStr">
        <is>
          <t>A 34369-2023</t>
        </is>
      </c>
      <c r="B696" s="1" t="n">
        <v>45139</v>
      </c>
      <c r="C696" s="1" t="n">
        <v>46197</v>
      </c>
      <c r="D696" t="inlineStr">
        <is>
          <t>SKÅNE LÄN</t>
        </is>
      </c>
      <c r="E696" t="inlineStr">
        <is>
          <t>HÄSSLEHOLM</t>
        </is>
      </c>
      <c r="G696" t="n">
        <v>2</v>
      </c>
      <c r="H696" t="n">
        <v>0</v>
      </c>
      <c r="I696" t="n">
        <v>0</v>
      </c>
      <c r="J696" t="n">
        <v>0</v>
      </c>
      <c r="K696" t="n">
        <v>0</v>
      </c>
      <c r="L696" t="n">
        <v>0</v>
      </c>
      <c r="M696" t="n">
        <v>0</v>
      </c>
      <c r="N696" t="n">
        <v>0</v>
      </c>
      <c r="O696" t="n">
        <v>0</v>
      </c>
      <c r="P696" t="n">
        <v>0</v>
      </c>
      <c r="Q696" t="n">
        <v>0</v>
      </c>
      <c r="R696" s="2" t="inlineStr"/>
    </row>
    <row r="697" ht="15" customHeight="1">
      <c r="A697" t="inlineStr">
        <is>
          <t>A 14981-2026</t>
        </is>
      </c>
      <c r="B697" s="1" t="n">
        <v>46104</v>
      </c>
      <c r="C697" s="1" t="n">
        <v>46197</v>
      </c>
      <c r="D697" t="inlineStr">
        <is>
          <t>SKÅNE LÄN</t>
        </is>
      </c>
      <c r="E697" t="inlineStr">
        <is>
          <t>HÄSSLEHOLM</t>
        </is>
      </c>
      <c r="G697" t="n">
        <v>7.7</v>
      </c>
      <c r="H697" t="n">
        <v>0</v>
      </c>
      <c r="I697" t="n">
        <v>0</v>
      </c>
      <c r="J697" t="n">
        <v>0</v>
      </c>
      <c r="K697" t="n">
        <v>0</v>
      </c>
      <c r="L697" t="n">
        <v>0</v>
      </c>
      <c r="M697" t="n">
        <v>0</v>
      </c>
      <c r="N697" t="n">
        <v>0</v>
      </c>
      <c r="O697" t="n">
        <v>0</v>
      </c>
      <c r="P697" t="n">
        <v>0</v>
      </c>
      <c r="Q697" t="n">
        <v>0</v>
      </c>
      <c r="R697" s="2" t="inlineStr"/>
    </row>
    <row r="698" ht="15" customHeight="1">
      <c r="A698" t="inlineStr">
        <is>
          <t>A 8378-2023</t>
        </is>
      </c>
      <c r="B698" s="1" t="n">
        <v>44971</v>
      </c>
      <c r="C698" s="1" t="n">
        <v>46197</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24990-2026</t>
        </is>
      </c>
      <c r="B699" s="1" t="n">
        <v>46174</v>
      </c>
      <c r="C699" s="1" t="n">
        <v>46197</v>
      </c>
      <c r="D699" t="inlineStr">
        <is>
          <t>SKÅNE LÄN</t>
        </is>
      </c>
      <c r="E699" t="inlineStr">
        <is>
          <t>HÄSSLEHOLM</t>
        </is>
      </c>
      <c r="G699" t="n">
        <v>1.2</v>
      </c>
      <c r="H699" t="n">
        <v>0</v>
      </c>
      <c r="I699" t="n">
        <v>0</v>
      </c>
      <c r="J699" t="n">
        <v>0</v>
      </c>
      <c r="K699" t="n">
        <v>0</v>
      </c>
      <c r="L699" t="n">
        <v>0</v>
      </c>
      <c r="M699" t="n">
        <v>0</v>
      </c>
      <c r="N699" t="n">
        <v>0</v>
      </c>
      <c r="O699" t="n">
        <v>0</v>
      </c>
      <c r="P699" t="n">
        <v>0</v>
      </c>
      <c r="Q699" t="n">
        <v>0</v>
      </c>
      <c r="R699" s="2" t="inlineStr"/>
    </row>
    <row r="700" ht="15" customHeight="1">
      <c r="A700" t="inlineStr">
        <is>
          <t>A 61569-2023</t>
        </is>
      </c>
      <c r="B700" s="1" t="n">
        <v>45265</v>
      </c>
      <c r="C700" s="1" t="n">
        <v>46197</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315-2022</t>
        </is>
      </c>
      <c r="B701" s="1" t="n">
        <v>44565</v>
      </c>
      <c r="C701" s="1" t="n">
        <v>46197</v>
      </c>
      <c r="D701" t="inlineStr">
        <is>
          <t>SKÅNE LÄN</t>
        </is>
      </c>
      <c r="E701" t="inlineStr">
        <is>
          <t>HÄSSLEHOLM</t>
        </is>
      </c>
      <c r="G701" t="n">
        <v>0.4</v>
      </c>
      <c r="H701" t="n">
        <v>0</v>
      </c>
      <c r="I701" t="n">
        <v>0</v>
      </c>
      <c r="J701" t="n">
        <v>0</v>
      </c>
      <c r="K701" t="n">
        <v>0</v>
      </c>
      <c r="L701" t="n">
        <v>0</v>
      </c>
      <c r="M701" t="n">
        <v>0</v>
      </c>
      <c r="N701" t="n">
        <v>0</v>
      </c>
      <c r="O701" t="n">
        <v>0</v>
      </c>
      <c r="P701" t="n">
        <v>0</v>
      </c>
      <c r="Q701" t="n">
        <v>0</v>
      </c>
      <c r="R701" s="2" t="inlineStr"/>
    </row>
    <row r="702" ht="15" customHeight="1">
      <c r="A702" t="inlineStr">
        <is>
          <t>A 31161-2024</t>
        </is>
      </c>
      <c r="B702" s="1" t="n">
        <v>45503</v>
      </c>
      <c r="C702" s="1" t="n">
        <v>46197</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33067-2024</t>
        </is>
      </c>
      <c r="B703" s="1" t="n">
        <v>45517</v>
      </c>
      <c r="C703" s="1" t="n">
        <v>46197</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38888-2023</t>
        </is>
      </c>
      <c r="B704" s="1" t="n">
        <v>45161</v>
      </c>
      <c r="C704" s="1" t="n">
        <v>46197</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19101-2026</t>
        </is>
      </c>
      <c r="B705" s="1" t="n">
        <v>46132</v>
      </c>
      <c r="C705" s="1" t="n">
        <v>46197</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5992-2022</t>
        </is>
      </c>
      <c r="B706" s="1" t="n">
        <v>44599</v>
      </c>
      <c r="C706" s="1" t="n">
        <v>46197</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11240-2023</t>
        </is>
      </c>
      <c r="B707" s="1" t="n">
        <v>44992</v>
      </c>
      <c r="C707" s="1" t="n">
        <v>46197</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3248-2022</t>
        </is>
      </c>
      <c r="B708" s="1" t="n">
        <v>44583</v>
      </c>
      <c r="C708" s="1" t="n">
        <v>46197</v>
      </c>
      <c r="D708" t="inlineStr">
        <is>
          <t>SKÅNE LÄN</t>
        </is>
      </c>
      <c r="E708" t="inlineStr">
        <is>
          <t>HÄSSLEHOLM</t>
        </is>
      </c>
      <c r="G708" t="n">
        <v>3</v>
      </c>
      <c r="H708" t="n">
        <v>0</v>
      </c>
      <c r="I708" t="n">
        <v>0</v>
      </c>
      <c r="J708" t="n">
        <v>0</v>
      </c>
      <c r="K708" t="n">
        <v>0</v>
      </c>
      <c r="L708" t="n">
        <v>0</v>
      </c>
      <c r="M708" t="n">
        <v>0</v>
      </c>
      <c r="N708" t="n">
        <v>0</v>
      </c>
      <c r="O708" t="n">
        <v>0</v>
      </c>
      <c r="P708" t="n">
        <v>0</v>
      </c>
      <c r="Q708" t="n">
        <v>0</v>
      </c>
      <c r="R708" s="2" t="inlineStr"/>
    </row>
    <row r="709" ht="15" customHeight="1">
      <c r="A709" t="inlineStr">
        <is>
          <t>A 6310-2025</t>
        </is>
      </c>
      <c r="B709" s="1" t="n">
        <v>45698</v>
      </c>
      <c r="C709" s="1" t="n">
        <v>46197</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19003-2026</t>
        </is>
      </c>
      <c r="B710" s="1" t="n">
        <v>46129</v>
      </c>
      <c r="C710" s="1" t="n">
        <v>46197</v>
      </c>
      <c r="D710" t="inlineStr">
        <is>
          <t>SKÅNE LÄN</t>
        </is>
      </c>
      <c r="E710" t="inlineStr">
        <is>
          <t>HÄSSLEHOLM</t>
        </is>
      </c>
      <c r="G710" t="n">
        <v>9</v>
      </c>
      <c r="H710" t="n">
        <v>0</v>
      </c>
      <c r="I710" t="n">
        <v>0</v>
      </c>
      <c r="J710" t="n">
        <v>0</v>
      </c>
      <c r="K710" t="n">
        <v>0</v>
      </c>
      <c r="L710" t="n">
        <v>0</v>
      </c>
      <c r="M710" t="n">
        <v>0</v>
      </c>
      <c r="N710" t="n">
        <v>0</v>
      </c>
      <c r="O710" t="n">
        <v>0</v>
      </c>
      <c r="P710" t="n">
        <v>0</v>
      </c>
      <c r="Q710" t="n">
        <v>0</v>
      </c>
      <c r="R710" s="2" t="inlineStr"/>
    </row>
    <row r="711" ht="15" customHeight="1">
      <c r="A711" t="inlineStr">
        <is>
          <t>A 8524-2024</t>
        </is>
      </c>
      <c r="B711" s="1" t="n">
        <v>45355</v>
      </c>
      <c r="C711" s="1" t="n">
        <v>46197</v>
      </c>
      <c r="D711" t="inlineStr">
        <is>
          <t>SKÅNE LÄN</t>
        </is>
      </c>
      <c r="E711" t="inlineStr">
        <is>
          <t>HÄSSLEHOLM</t>
        </is>
      </c>
      <c r="G711" t="n">
        <v>4</v>
      </c>
      <c r="H711" t="n">
        <v>0</v>
      </c>
      <c r="I711" t="n">
        <v>0</v>
      </c>
      <c r="J711" t="n">
        <v>0</v>
      </c>
      <c r="K711" t="n">
        <v>0</v>
      </c>
      <c r="L711" t="n">
        <v>0</v>
      </c>
      <c r="M711" t="n">
        <v>0</v>
      </c>
      <c r="N711" t="n">
        <v>0</v>
      </c>
      <c r="O711" t="n">
        <v>0</v>
      </c>
      <c r="P711" t="n">
        <v>0</v>
      </c>
      <c r="Q711" t="n">
        <v>0</v>
      </c>
      <c r="R711" s="2" t="inlineStr"/>
    </row>
    <row r="712" ht="15" customHeight="1">
      <c r="A712" t="inlineStr">
        <is>
          <t>A 22157-2024</t>
        </is>
      </c>
      <c r="B712" s="1" t="n">
        <v>45445</v>
      </c>
      <c r="C712" s="1" t="n">
        <v>46197</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14145-2023</t>
        </is>
      </c>
      <c r="B713" s="1" t="n">
        <v>45009</v>
      </c>
      <c r="C713" s="1" t="n">
        <v>46197</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19642-2026</t>
        </is>
      </c>
      <c r="B714" s="1" t="n">
        <v>46134</v>
      </c>
      <c r="C714" s="1" t="n">
        <v>46197</v>
      </c>
      <c r="D714" t="inlineStr">
        <is>
          <t>SKÅNE LÄN</t>
        </is>
      </c>
      <c r="E714" t="inlineStr">
        <is>
          <t>HÄSSLEHOLM</t>
        </is>
      </c>
      <c r="G714" t="n">
        <v>1.4</v>
      </c>
      <c r="H714" t="n">
        <v>0</v>
      </c>
      <c r="I714" t="n">
        <v>0</v>
      </c>
      <c r="J714" t="n">
        <v>0</v>
      </c>
      <c r="K714" t="n">
        <v>0</v>
      </c>
      <c r="L714" t="n">
        <v>0</v>
      </c>
      <c r="M714" t="n">
        <v>0</v>
      </c>
      <c r="N714" t="n">
        <v>0</v>
      </c>
      <c r="O714" t="n">
        <v>0</v>
      </c>
      <c r="P714" t="n">
        <v>0</v>
      </c>
      <c r="Q714" t="n">
        <v>0</v>
      </c>
      <c r="R714" s="2" t="inlineStr"/>
    </row>
    <row r="715" ht="15" customHeight="1">
      <c r="A715" t="inlineStr">
        <is>
          <t>A 19318-2026</t>
        </is>
      </c>
      <c r="B715" s="1" t="n">
        <v>46133</v>
      </c>
      <c r="C715" s="1" t="n">
        <v>46197</v>
      </c>
      <c r="D715" t="inlineStr">
        <is>
          <t>SKÅNE LÄN</t>
        </is>
      </c>
      <c r="E715" t="inlineStr">
        <is>
          <t>HÄSSLEHOLM</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12344-2023</t>
        </is>
      </c>
      <c r="B716" s="1" t="n">
        <v>44999</v>
      </c>
      <c r="C716" s="1" t="n">
        <v>46197</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31391-2023</t>
        </is>
      </c>
      <c r="B717" s="1" t="n">
        <v>45114</v>
      </c>
      <c r="C717" s="1" t="n">
        <v>46197</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45220-2023</t>
        </is>
      </c>
      <c r="B718" s="1" t="n">
        <v>45191</v>
      </c>
      <c r="C718" s="1" t="n">
        <v>46197</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38712-2024</t>
        </is>
      </c>
      <c r="B719" s="1" t="n">
        <v>45547</v>
      </c>
      <c r="C719" s="1" t="n">
        <v>46197</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25145-2026</t>
        </is>
      </c>
      <c r="B720" s="1" t="n">
        <v>46175</v>
      </c>
      <c r="C720" s="1" t="n">
        <v>46197</v>
      </c>
      <c r="D720" t="inlineStr">
        <is>
          <t>SKÅNE LÄN</t>
        </is>
      </c>
      <c r="E720" t="inlineStr">
        <is>
          <t>HÄSSLEHOLM</t>
        </is>
      </c>
      <c r="G720" t="n">
        <v>5.1</v>
      </c>
      <c r="H720" t="n">
        <v>0</v>
      </c>
      <c r="I720" t="n">
        <v>0</v>
      </c>
      <c r="J720" t="n">
        <v>0</v>
      </c>
      <c r="K720" t="n">
        <v>0</v>
      </c>
      <c r="L720" t="n">
        <v>0</v>
      </c>
      <c r="M720" t="n">
        <v>0</v>
      </c>
      <c r="N720" t="n">
        <v>0</v>
      </c>
      <c r="O720" t="n">
        <v>0</v>
      </c>
      <c r="P720" t="n">
        <v>0</v>
      </c>
      <c r="Q720" t="n">
        <v>0</v>
      </c>
      <c r="R720" s="2" t="inlineStr"/>
    </row>
    <row r="721" ht="15" customHeight="1">
      <c r="A721" t="inlineStr">
        <is>
          <t>A 57647-2024</t>
        </is>
      </c>
      <c r="B721" s="1" t="n">
        <v>45630</v>
      </c>
      <c r="C721" s="1" t="n">
        <v>46197</v>
      </c>
      <c r="D721" t="inlineStr">
        <is>
          <t>SKÅNE LÄN</t>
        </is>
      </c>
      <c r="E721" t="inlineStr">
        <is>
          <t>HÄSSLEHOLM</t>
        </is>
      </c>
      <c r="G721" t="n">
        <v>2.9</v>
      </c>
      <c r="H721" t="n">
        <v>0</v>
      </c>
      <c r="I721" t="n">
        <v>0</v>
      </c>
      <c r="J721" t="n">
        <v>0</v>
      </c>
      <c r="K721" t="n">
        <v>0</v>
      </c>
      <c r="L721" t="n">
        <v>0</v>
      </c>
      <c r="M721" t="n">
        <v>0</v>
      </c>
      <c r="N721" t="n">
        <v>0</v>
      </c>
      <c r="O721" t="n">
        <v>0</v>
      </c>
      <c r="P721" t="n">
        <v>0</v>
      </c>
      <c r="Q721" t="n">
        <v>0</v>
      </c>
      <c r="R721" s="2" t="inlineStr"/>
    </row>
    <row r="722" ht="15" customHeight="1">
      <c r="A722" t="inlineStr">
        <is>
          <t>A 25086-2026</t>
        </is>
      </c>
      <c r="B722" s="1" t="n">
        <v>46175</v>
      </c>
      <c r="C722" s="1" t="n">
        <v>46197</v>
      </c>
      <c r="D722" t="inlineStr">
        <is>
          <t>SKÅNE LÄN</t>
        </is>
      </c>
      <c r="E722" t="inlineStr">
        <is>
          <t>HÄSSLEHOLM</t>
        </is>
      </c>
      <c r="G722" t="n">
        <v>4</v>
      </c>
      <c r="H722" t="n">
        <v>0</v>
      </c>
      <c r="I722" t="n">
        <v>0</v>
      </c>
      <c r="J722" t="n">
        <v>0</v>
      </c>
      <c r="K722" t="n">
        <v>0</v>
      </c>
      <c r="L722" t="n">
        <v>0</v>
      </c>
      <c r="M722" t="n">
        <v>0</v>
      </c>
      <c r="N722" t="n">
        <v>0</v>
      </c>
      <c r="O722" t="n">
        <v>0</v>
      </c>
      <c r="P722" t="n">
        <v>0</v>
      </c>
      <c r="Q722" t="n">
        <v>0</v>
      </c>
      <c r="R722" s="2" t="inlineStr"/>
    </row>
    <row r="723" ht="15" customHeight="1">
      <c r="A723" t="inlineStr">
        <is>
          <t>A 61182-2024</t>
        </is>
      </c>
      <c r="B723" s="1" t="n">
        <v>45645</v>
      </c>
      <c r="C723" s="1" t="n">
        <v>46197</v>
      </c>
      <c r="D723" t="inlineStr">
        <is>
          <t>SKÅNE LÄN</t>
        </is>
      </c>
      <c r="E723" t="inlineStr">
        <is>
          <t>HÄSSLEHOLM</t>
        </is>
      </c>
      <c r="G723" t="n">
        <v>3.2</v>
      </c>
      <c r="H723" t="n">
        <v>0</v>
      </c>
      <c r="I723" t="n">
        <v>0</v>
      </c>
      <c r="J723" t="n">
        <v>0</v>
      </c>
      <c r="K723" t="n">
        <v>0</v>
      </c>
      <c r="L723" t="n">
        <v>0</v>
      </c>
      <c r="M723" t="n">
        <v>0</v>
      </c>
      <c r="N723" t="n">
        <v>0</v>
      </c>
      <c r="O723" t="n">
        <v>0</v>
      </c>
      <c r="P723" t="n">
        <v>0</v>
      </c>
      <c r="Q723" t="n">
        <v>0</v>
      </c>
      <c r="R723" s="2" t="inlineStr"/>
    </row>
    <row r="724" ht="15" customHeight="1">
      <c r="A724" t="inlineStr">
        <is>
          <t>A 13990-2022</t>
        </is>
      </c>
      <c r="B724" s="1" t="n">
        <v>44650</v>
      </c>
      <c r="C724" s="1" t="n">
        <v>46197</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25219-2023</t>
        </is>
      </c>
      <c r="B725" s="1" t="n">
        <v>45086</v>
      </c>
      <c r="C725" s="1" t="n">
        <v>46197</v>
      </c>
      <c r="D725" t="inlineStr">
        <is>
          <t>SKÅNE LÄN</t>
        </is>
      </c>
      <c r="E725" t="inlineStr">
        <is>
          <t>HÄSSLEHOLM</t>
        </is>
      </c>
      <c r="G725" t="n">
        <v>6.9</v>
      </c>
      <c r="H725" t="n">
        <v>0</v>
      </c>
      <c r="I725" t="n">
        <v>0</v>
      </c>
      <c r="J725" t="n">
        <v>0</v>
      </c>
      <c r="K725" t="n">
        <v>0</v>
      </c>
      <c r="L725" t="n">
        <v>0</v>
      </c>
      <c r="M725" t="n">
        <v>0</v>
      </c>
      <c r="N725" t="n">
        <v>0</v>
      </c>
      <c r="O725" t="n">
        <v>0</v>
      </c>
      <c r="P725" t="n">
        <v>0</v>
      </c>
      <c r="Q725" t="n">
        <v>0</v>
      </c>
      <c r="R725" s="2" t="inlineStr"/>
    </row>
    <row r="726" ht="15" customHeight="1">
      <c r="A726" t="inlineStr">
        <is>
          <t>A 37300-2023</t>
        </is>
      </c>
      <c r="B726" s="1" t="n">
        <v>45156</v>
      </c>
      <c r="C726" s="1" t="n">
        <v>46197</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25141-2026</t>
        </is>
      </c>
      <c r="B727" s="1" t="n">
        <v>46175</v>
      </c>
      <c r="C727" s="1" t="n">
        <v>46197</v>
      </c>
      <c r="D727" t="inlineStr">
        <is>
          <t>SKÅNE LÄN</t>
        </is>
      </c>
      <c r="E727" t="inlineStr">
        <is>
          <t>HÄSSLEHOLM</t>
        </is>
      </c>
      <c r="G727" t="n">
        <v>5</v>
      </c>
      <c r="H727" t="n">
        <v>0</v>
      </c>
      <c r="I727" t="n">
        <v>0</v>
      </c>
      <c r="J727" t="n">
        <v>0</v>
      </c>
      <c r="K727" t="n">
        <v>0</v>
      </c>
      <c r="L727" t="n">
        <v>0</v>
      </c>
      <c r="M727" t="n">
        <v>0</v>
      </c>
      <c r="N727" t="n">
        <v>0</v>
      </c>
      <c r="O727" t="n">
        <v>0</v>
      </c>
      <c r="P727" t="n">
        <v>0</v>
      </c>
      <c r="Q727" t="n">
        <v>0</v>
      </c>
      <c r="R727" s="2" t="inlineStr"/>
    </row>
    <row r="728" ht="15" customHeight="1">
      <c r="A728" t="inlineStr">
        <is>
          <t>A 25144-2026</t>
        </is>
      </c>
      <c r="B728" s="1" t="n">
        <v>46175</v>
      </c>
      <c r="C728" s="1" t="n">
        <v>46197</v>
      </c>
      <c r="D728" t="inlineStr">
        <is>
          <t>SKÅNE LÄN</t>
        </is>
      </c>
      <c r="E728" t="inlineStr">
        <is>
          <t>HÄSSLEHOLM</t>
        </is>
      </c>
      <c r="G728" t="n">
        <v>4</v>
      </c>
      <c r="H728" t="n">
        <v>0</v>
      </c>
      <c r="I728" t="n">
        <v>0</v>
      </c>
      <c r="J728" t="n">
        <v>0</v>
      </c>
      <c r="K728" t="n">
        <v>0</v>
      </c>
      <c r="L728" t="n">
        <v>0</v>
      </c>
      <c r="M728" t="n">
        <v>0</v>
      </c>
      <c r="N728" t="n">
        <v>0</v>
      </c>
      <c r="O728" t="n">
        <v>0</v>
      </c>
      <c r="P728" t="n">
        <v>0</v>
      </c>
      <c r="Q728" t="n">
        <v>0</v>
      </c>
      <c r="R728" s="2" t="inlineStr"/>
    </row>
    <row r="729" ht="15" customHeight="1">
      <c r="A729" t="inlineStr">
        <is>
          <t>A 25388-2026</t>
        </is>
      </c>
      <c r="B729" s="1" t="n">
        <v>46176</v>
      </c>
      <c r="C729" s="1" t="n">
        <v>46197</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39915-2023</t>
        </is>
      </c>
      <c r="B730" s="1" t="n">
        <v>45168</v>
      </c>
      <c r="C730" s="1" t="n">
        <v>46197</v>
      </c>
      <c r="D730" t="inlineStr">
        <is>
          <t>SKÅNE LÄN</t>
        </is>
      </c>
      <c r="E730" t="inlineStr">
        <is>
          <t>HÄSSLEHOLM</t>
        </is>
      </c>
      <c r="G730" t="n">
        <v>0.4</v>
      </c>
      <c r="H730" t="n">
        <v>0</v>
      </c>
      <c r="I730" t="n">
        <v>0</v>
      </c>
      <c r="J730" t="n">
        <v>0</v>
      </c>
      <c r="K730" t="n">
        <v>0</v>
      </c>
      <c r="L730" t="n">
        <v>0</v>
      </c>
      <c r="M730" t="n">
        <v>0</v>
      </c>
      <c r="N730" t="n">
        <v>0</v>
      </c>
      <c r="O730" t="n">
        <v>0</v>
      </c>
      <c r="P730" t="n">
        <v>0</v>
      </c>
      <c r="Q730" t="n">
        <v>0</v>
      </c>
      <c r="R730" s="2" t="inlineStr"/>
    </row>
    <row r="731" ht="15" customHeight="1">
      <c r="A731" t="inlineStr">
        <is>
          <t>A 1706-2025</t>
        </is>
      </c>
      <c r="B731" s="1" t="n">
        <v>45670</v>
      </c>
      <c r="C731" s="1" t="n">
        <v>46197</v>
      </c>
      <c r="D731" t="inlineStr">
        <is>
          <t>SKÅNE LÄN</t>
        </is>
      </c>
      <c r="E731" t="inlineStr">
        <is>
          <t>HÄSSLEHOLM</t>
        </is>
      </c>
      <c r="G731" t="n">
        <v>5</v>
      </c>
      <c r="H731" t="n">
        <v>0</v>
      </c>
      <c r="I731" t="n">
        <v>0</v>
      </c>
      <c r="J731" t="n">
        <v>0</v>
      </c>
      <c r="K731" t="n">
        <v>0</v>
      </c>
      <c r="L731" t="n">
        <v>0</v>
      </c>
      <c r="M731" t="n">
        <v>0</v>
      </c>
      <c r="N731" t="n">
        <v>0</v>
      </c>
      <c r="O731" t="n">
        <v>0</v>
      </c>
      <c r="P731" t="n">
        <v>0</v>
      </c>
      <c r="Q731" t="n">
        <v>0</v>
      </c>
      <c r="R731" s="2" t="inlineStr"/>
    </row>
    <row r="732" ht="15" customHeight="1">
      <c r="A732" t="inlineStr">
        <is>
          <t>A 35890-2023</t>
        </is>
      </c>
      <c r="B732" s="1" t="n">
        <v>45148</v>
      </c>
      <c r="C732" s="1" t="n">
        <v>46197</v>
      </c>
      <c r="D732" t="inlineStr">
        <is>
          <t>SKÅNE LÄN</t>
        </is>
      </c>
      <c r="E732" t="inlineStr">
        <is>
          <t>HÄSSLEHOLM</t>
        </is>
      </c>
      <c r="G732" t="n">
        <v>2</v>
      </c>
      <c r="H732" t="n">
        <v>0</v>
      </c>
      <c r="I732" t="n">
        <v>0</v>
      </c>
      <c r="J732" t="n">
        <v>0</v>
      </c>
      <c r="K732" t="n">
        <v>0</v>
      </c>
      <c r="L732" t="n">
        <v>0</v>
      </c>
      <c r="M732" t="n">
        <v>0</v>
      </c>
      <c r="N732" t="n">
        <v>0</v>
      </c>
      <c r="O732" t="n">
        <v>0</v>
      </c>
      <c r="P732" t="n">
        <v>0</v>
      </c>
      <c r="Q732" t="n">
        <v>0</v>
      </c>
      <c r="R732" s="2" t="inlineStr"/>
    </row>
    <row r="733" ht="15" customHeight="1">
      <c r="A733" t="inlineStr">
        <is>
          <t>A 35895-2023</t>
        </is>
      </c>
      <c r="B733" s="1" t="n">
        <v>45148</v>
      </c>
      <c r="C733" s="1" t="n">
        <v>46197</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4750-2024</t>
        </is>
      </c>
      <c r="B734" s="1" t="n">
        <v>45328</v>
      </c>
      <c r="C734" s="1" t="n">
        <v>46197</v>
      </c>
      <c r="D734" t="inlineStr">
        <is>
          <t>SKÅNE LÄN</t>
        </is>
      </c>
      <c r="E734" t="inlineStr">
        <is>
          <t>HÄSSLEHOLM</t>
        </is>
      </c>
      <c r="G734" t="n">
        <v>0.3</v>
      </c>
      <c r="H734" t="n">
        <v>0</v>
      </c>
      <c r="I734" t="n">
        <v>0</v>
      </c>
      <c r="J734" t="n">
        <v>0</v>
      </c>
      <c r="K734" t="n">
        <v>0</v>
      </c>
      <c r="L734" t="n">
        <v>0</v>
      </c>
      <c r="M734" t="n">
        <v>0</v>
      </c>
      <c r="N734" t="n">
        <v>0</v>
      </c>
      <c r="O734" t="n">
        <v>0</v>
      </c>
      <c r="P734" t="n">
        <v>0</v>
      </c>
      <c r="Q734" t="n">
        <v>0</v>
      </c>
      <c r="R734" s="2" t="inlineStr"/>
    </row>
    <row r="735" ht="15" customHeight="1">
      <c r="A735" t="inlineStr">
        <is>
          <t>A 23956-2023</t>
        </is>
      </c>
      <c r="B735" s="1" t="n">
        <v>45078</v>
      </c>
      <c r="C735" s="1" t="n">
        <v>46197</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11708-2025</t>
        </is>
      </c>
      <c r="B736" s="1" t="n">
        <v>45727</v>
      </c>
      <c r="C736" s="1" t="n">
        <v>46197</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48112-2024</t>
        </is>
      </c>
      <c r="B737" s="1" t="n">
        <v>45589</v>
      </c>
      <c r="C737" s="1" t="n">
        <v>46197</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24246-2023</t>
        </is>
      </c>
      <c r="B738" s="1" t="n">
        <v>45079</v>
      </c>
      <c r="C738" s="1" t="n">
        <v>46197</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24249-2023</t>
        </is>
      </c>
      <c r="B739" s="1" t="n">
        <v>45079</v>
      </c>
      <c r="C739" s="1" t="n">
        <v>46197</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52548-2023</t>
        </is>
      </c>
      <c r="B740" s="1" t="n">
        <v>45218</v>
      </c>
      <c r="C740" s="1" t="n">
        <v>46197</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24675-2025</t>
        </is>
      </c>
      <c r="B741" s="1" t="n">
        <v>45798</v>
      </c>
      <c r="C741" s="1" t="n">
        <v>46197</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54807-2025</t>
        </is>
      </c>
      <c r="B742" s="1" t="n">
        <v>45966</v>
      </c>
      <c r="C742" s="1" t="n">
        <v>46197</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25646-2026</t>
        </is>
      </c>
      <c r="B743" s="1" t="n">
        <v>46177</v>
      </c>
      <c r="C743" s="1" t="n">
        <v>46197</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43696-2024</t>
        </is>
      </c>
      <c r="B744" s="1" t="n">
        <v>45569</v>
      </c>
      <c r="C744" s="1" t="n">
        <v>46197</v>
      </c>
      <c r="D744" t="inlineStr">
        <is>
          <t>SKÅNE LÄN</t>
        </is>
      </c>
      <c r="E744" t="inlineStr">
        <is>
          <t>HÄSSLEHOLM</t>
        </is>
      </c>
      <c r="G744" t="n">
        <v>2.9</v>
      </c>
      <c r="H744" t="n">
        <v>0</v>
      </c>
      <c r="I744" t="n">
        <v>0</v>
      </c>
      <c r="J744" t="n">
        <v>0</v>
      </c>
      <c r="K744" t="n">
        <v>0</v>
      </c>
      <c r="L744" t="n">
        <v>0</v>
      </c>
      <c r="M744" t="n">
        <v>0</v>
      </c>
      <c r="N744" t="n">
        <v>0</v>
      </c>
      <c r="O744" t="n">
        <v>0</v>
      </c>
      <c r="P744" t="n">
        <v>0</v>
      </c>
      <c r="Q744" t="n">
        <v>0</v>
      </c>
      <c r="R744" s="2" t="inlineStr"/>
    </row>
    <row r="745" ht="15" customHeight="1">
      <c r="A745" t="inlineStr">
        <is>
          <t>A 20185-2023</t>
        </is>
      </c>
      <c r="B745" s="1" t="n">
        <v>45055</v>
      </c>
      <c r="C745" s="1" t="n">
        <v>46197</v>
      </c>
      <c r="D745" t="inlineStr">
        <is>
          <t>SKÅNE LÄN</t>
        </is>
      </c>
      <c r="E745" t="inlineStr">
        <is>
          <t>HÄSSLEHOLM</t>
        </is>
      </c>
      <c r="G745" t="n">
        <v>3.5</v>
      </c>
      <c r="H745" t="n">
        <v>0</v>
      </c>
      <c r="I745" t="n">
        <v>0</v>
      </c>
      <c r="J745" t="n">
        <v>0</v>
      </c>
      <c r="K745" t="n">
        <v>0</v>
      </c>
      <c r="L745" t="n">
        <v>0</v>
      </c>
      <c r="M745" t="n">
        <v>0</v>
      </c>
      <c r="N745" t="n">
        <v>0</v>
      </c>
      <c r="O745" t="n">
        <v>0</v>
      </c>
      <c r="P745" t="n">
        <v>0</v>
      </c>
      <c r="Q745" t="n">
        <v>0</v>
      </c>
      <c r="R745" s="2" t="inlineStr"/>
    </row>
    <row r="746" ht="15" customHeight="1">
      <c r="A746" t="inlineStr">
        <is>
          <t>A 20872-2025</t>
        </is>
      </c>
      <c r="B746" s="1" t="n">
        <v>45777</v>
      </c>
      <c r="C746" s="1" t="n">
        <v>46197</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38376-2022</t>
        </is>
      </c>
      <c r="B747" s="1" t="n">
        <v>44812</v>
      </c>
      <c r="C747" s="1" t="n">
        <v>46197</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13544-2025</t>
        </is>
      </c>
      <c r="B748" s="1" t="n">
        <v>45736</v>
      </c>
      <c r="C748" s="1" t="n">
        <v>46197</v>
      </c>
      <c r="D748" t="inlineStr">
        <is>
          <t>SKÅNE LÄN</t>
        </is>
      </c>
      <c r="E748" t="inlineStr">
        <is>
          <t>HÄSSLEHOLM</t>
        </is>
      </c>
      <c r="G748" t="n">
        <v>2.5</v>
      </c>
      <c r="H748" t="n">
        <v>0</v>
      </c>
      <c r="I748" t="n">
        <v>0</v>
      </c>
      <c r="J748" t="n">
        <v>0</v>
      </c>
      <c r="K748" t="n">
        <v>0</v>
      </c>
      <c r="L748" t="n">
        <v>0</v>
      </c>
      <c r="M748" t="n">
        <v>0</v>
      </c>
      <c r="N748" t="n">
        <v>0</v>
      </c>
      <c r="O748" t="n">
        <v>0</v>
      </c>
      <c r="P748" t="n">
        <v>0</v>
      </c>
      <c r="Q748" t="n">
        <v>0</v>
      </c>
      <c r="R748" s="2" t="inlineStr"/>
    </row>
    <row r="749" ht="15" customHeight="1">
      <c r="A749" t="inlineStr">
        <is>
          <t>A 18908-2023</t>
        </is>
      </c>
      <c r="B749" s="1" t="n">
        <v>45044</v>
      </c>
      <c r="C749" s="1" t="n">
        <v>46197</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61436-2024</t>
        </is>
      </c>
      <c r="B750" s="1" t="n">
        <v>45646</v>
      </c>
      <c r="C750" s="1" t="n">
        <v>46197</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37141-2021</t>
        </is>
      </c>
      <c r="B751" s="1" t="n">
        <v>44396</v>
      </c>
      <c r="C751" s="1" t="n">
        <v>46197</v>
      </c>
      <c r="D751" t="inlineStr">
        <is>
          <t>SKÅNE LÄN</t>
        </is>
      </c>
      <c r="E751" t="inlineStr">
        <is>
          <t>HÄSSLEHOLM</t>
        </is>
      </c>
      <c r="G751" t="n">
        <v>12.8</v>
      </c>
      <c r="H751" t="n">
        <v>0</v>
      </c>
      <c r="I751" t="n">
        <v>0</v>
      </c>
      <c r="J751" t="n">
        <v>0</v>
      </c>
      <c r="K751" t="n">
        <v>0</v>
      </c>
      <c r="L751" t="n">
        <v>0</v>
      </c>
      <c r="M751" t="n">
        <v>0</v>
      </c>
      <c r="N751" t="n">
        <v>0</v>
      </c>
      <c r="O751" t="n">
        <v>0</v>
      </c>
      <c r="P751" t="n">
        <v>0</v>
      </c>
      <c r="Q751" t="n">
        <v>0</v>
      </c>
      <c r="R751" s="2" t="inlineStr"/>
    </row>
    <row r="752" ht="15" customHeight="1">
      <c r="A752" t="inlineStr">
        <is>
          <t>A 25417-2026</t>
        </is>
      </c>
      <c r="B752" s="1" t="n">
        <v>46176</v>
      </c>
      <c r="C752" s="1" t="n">
        <v>46197</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25418-2026</t>
        </is>
      </c>
      <c r="B753" s="1" t="n">
        <v>46176</v>
      </c>
      <c r="C753" s="1" t="n">
        <v>46197</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1562-2023</t>
        </is>
      </c>
      <c r="B754" s="1" t="n">
        <v>44937</v>
      </c>
      <c r="C754" s="1" t="n">
        <v>46197</v>
      </c>
      <c r="D754" t="inlineStr">
        <is>
          <t>SKÅNE LÄN</t>
        </is>
      </c>
      <c r="E754" t="inlineStr">
        <is>
          <t>HÄSSLEHOLM</t>
        </is>
      </c>
      <c r="G754" t="n">
        <v>2.7</v>
      </c>
      <c r="H754" t="n">
        <v>0</v>
      </c>
      <c r="I754" t="n">
        <v>0</v>
      </c>
      <c r="J754" t="n">
        <v>0</v>
      </c>
      <c r="K754" t="n">
        <v>0</v>
      </c>
      <c r="L754" t="n">
        <v>0</v>
      </c>
      <c r="M754" t="n">
        <v>0</v>
      </c>
      <c r="N754" t="n">
        <v>0</v>
      </c>
      <c r="O754" t="n">
        <v>0</v>
      </c>
      <c r="P754" t="n">
        <v>0</v>
      </c>
      <c r="Q754" t="n">
        <v>0</v>
      </c>
      <c r="R754" s="2" t="inlineStr"/>
    </row>
    <row r="755" ht="15" customHeight="1">
      <c r="A755" t="inlineStr">
        <is>
          <t>A 22678-2025</t>
        </is>
      </c>
      <c r="B755" s="1" t="n">
        <v>45789</v>
      </c>
      <c r="C755" s="1" t="n">
        <v>46197</v>
      </c>
      <c r="D755" t="inlineStr">
        <is>
          <t>SKÅNE LÄN</t>
        </is>
      </c>
      <c r="E755" t="inlineStr">
        <is>
          <t>HÄSSLEHOLM</t>
        </is>
      </c>
      <c r="G755" t="n">
        <v>2.2</v>
      </c>
      <c r="H755" t="n">
        <v>0</v>
      </c>
      <c r="I755" t="n">
        <v>0</v>
      </c>
      <c r="J755" t="n">
        <v>0</v>
      </c>
      <c r="K755" t="n">
        <v>0</v>
      </c>
      <c r="L755" t="n">
        <v>0</v>
      </c>
      <c r="M755" t="n">
        <v>0</v>
      </c>
      <c r="N755" t="n">
        <v>0</v>
      </c>
      <c r="O755" t="n">
        <v>0</v>
      </c>
      <c r="P755" t="n">
        <v>0</v>
      </c>
      <c r="Q755" t="n">
        <v>0</v>
      </c>
      <c r="R755" s="2" t="inlineStr"/>
    </row>
    <row r="756" ht="15" customHeight="1">
      <c r="A756" t="inlineStr">
        <is>
          <t>A 6087-2025</t>
        </is>
      </c>
      <c r="B756" s="1" t="n">
        <v>45697</v>
      </c>
      <c r="C756" s="1" t="n">
        <v>46197</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54435-2024</t>
        </is>
      </c>
      <c r="B757" s="1" t="n">
        <v>45617</v>
      </c>
      <c r="C757" s="1" t="n">
        <v>46197</v>
      </c>
      <c r="D757" t="inlineStr">
        <is>
          <t>SKÅNE LÄN</t>
        </is>
      </c>
      <c r="E757" t="inlineStr">
        <is>
          <t>HÄSSLEHOLM</t>
        </is>
      </c>
      <c r="G757" t="n">
        <v>2.3</v>
      </c>
      <c r="H757" t="n">
        <v>0</v>
      </c>
      <c r="I757" t="n">
        <v>0</v>
      </c>
      <c r="J757" t="n">
        <v>0</v>
      </c>
      <c r="K757" t="n">
        <v>0</v>
      </c>
      <c r="L757" t="n">
        <v>0</v>
      </c>
      <c r="M757" t="n">
        <v>0</v>
      </c>
      <c r="N757" t="n">
        <v>0</v>
      </c>
      <c r="O757" t="n">
        <v>0</v>
      </c>
      <c r="P757" t="n">
        <v>0</v>
      </c>
      <c r="Q757" t="n">
        <v>0</v>
      </c>
      <c r="R757" s="2" t="inlineStr"/>
    </row>
    <row r="758" ht="15" customHeight="1">
      <c r="A758" t="inlineStr">
        <is>
          <t>A 7857-2022</t>
        </is>
      </c>
      <c r="B758" s="1" t="n">
        <v>44607</v>
      </c>
      <c r="C758" s="1" t="n">
        <v>46197</v>
      </c>
      <c r="D758" t="inlineStr">
        <is>
          <t>SKÅNE LÄN</t>
        </is>
      </c>
      <c r="E758" t="inlineStr">
        <is>
          <t>HÄSSLEHOLM</t>
        </is>
      </c>
      <c r="F758" t="inlineStr">
        <is>
          <t>Kyrkan</t>
        </is>
      </c>
      <c r="G758" t="n">
        <v>12.2</v>
      </c>
      <c r="H758" t="n">
        <v>0</v>
      </c>
      <c r="I758" t="n">
        <v>0</v>
      </c>
      <c r="J758" t="n">
        <v>0</v>
      </c>
      <c r="K758" t="n">
        <v>0</v>
      </c>
      <c r="L758" t="n">
        <v>0</v>
      </c>
      <c r="M758" t="n">
        <v>0</v>
      </c>
      <c r="N758" t="n">
        <v>0</v>
      </c>
      <c r="O758" t="n">
        <v>0</v>
      </c>
      <c r="P758" t="n">
        <v>0</v>
      </c>
      <c r="Q758" t="n">
        <v>0</v>
      </c>
      <c r="R758" s="2" t="inlineStr"/>
    </row>
    <row r="759" ht="15" customHeight="1">
      <c r="A759" t="inlineStr">
        <is>
          <t>A 720-2025</t>
        </is>
      </c>
      <c r="B759" s="1" t="n">
        <v>45665</v>
      </c>
      <c r="C759" s="1" t="n">
        <v>46197</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31581-2023</t>
        </is>
      </c>
      <c r="B760" s="1" t="n">
        <v>45117</v>
      </c>
      <c r="C760" s="1" t="n">
        <v>46197</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23967-2022</t>
        </is>
      </c>
      <c r="B761" s="1" t="n">
        <v>44722</v>
      </c>
      <c r="C761" s="1" t="n">
        <v>46197</v>
      </c>
      <c r="D761" t="inlineStr">
        <is>
          <t>SKÅNE LÄN</t>
        </is>
      </c>
      <c r="E761" t="inlineStr">
        <is>
          <t>HÄSSLEHOLM</t>
        </is>
      </c>
      <c r="F761" t="inlineStr">
        <is>
          <t>Kyrkan</t>
        </is>
      </c>
      <c r="G761" t="n">
        <v>12.4</v>
      </c>
      <c r="H761" t="n">
        <v>0</v>
      </c>
      <c r="I761" t="n">
        <v>0</v>
      </c>
      <c r="J761" t="n">
        <v>0</v>
      </c>
      <c r="K761" t="n">
        <v>0</v>
      </c>
      <c r="L761" t="n">
        <v>0</v>
      </c>
      <c r="M761" t="n">
        <v>0</v>
      </c>
      <c r="N761" t="n">
        <v>0</v>
      </c>
      <c r="O761" t="n">
        <v>0</v>
      </c>
      <c r="P761" t="n">
        <v>0</v>
      </c>
      <c r="Q761" t="n">
        <v>0</v>
      </c>
      <c r="R761" s="2" t="inlineStr"/>
    </row>
    <row r="762" ht="15" customHeight="1">
      <c r="A762" t="inlineStr">
        <is>
          <t>A 33597-2023</t>
        </is>
      </c>
      <c r="B762" s="1" t="n">
        <v>45132</v>
      </c>
      <c r="C762" s="1" t="n">
        <v>46197</v>
      </c>
      <c r="D762" t="inlineStr">
        <is>
          <t>SKÅNE LÄN</t>
        </is>
      </c>
      <c r="E762" t="inlineStr">
        <is>
          <t>HÄSSLEHOLM</t>
        </is>
      </c>
      <c r="G762" t="n">
        <v>3.9</v>
      </c>
      <c r="H762" t="n">
        <v>0</v>
      </c>
      <c r="I762" t="n">
        <v>0</v>
      </c>
      <c r="J762" t="n">
        <v>0</v>
      </c>
      <c r="K762" t="n">
        <v>0</v>
      </c>
      <c r="L762" t="n">
        <v>0</v>
      </c>
      <c r="M762" t="n">
        <v>0</v>
      </c>
      <c r="N762" t="n">
        <v>0</v>
      </c>
      <c r="O762" t="n">
        <v>0</v>
      </c>
      <c r="P762" t="n">
        <v>0</v>
      </c>
      <c r="Q762" t="n">
        <v>0</v>
      </c>
      <c r="R762" s="2" t="inlineStr"/>
    </row>
    <row r="763" ht="15" customHeight="1">
      <c r="A763" t="inlineStr">
        <is>
          <t>A 33599-2023</t>
        </is>
      </c>
      <c r="B763" s="1" t="n">
        <v>45132</v>
      </c>
      <c r="C763" s="1" t="n">
        <v>46197</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38160-2021</t>
        </is>
      </c>
      <c r="B764" s="1" t="n">
        <v>44405</v>
      </c>
      <c r="C764" s="1" t="n">
        <v>46197</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33938-2023</t>
        </is>
      </c>
      <c r="B765" s="1" t="n">
        <v>45124</v>
      </c>
      <c r="C765" s="1" t="n">
        <v>46197</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26007-2026</t>
        </is>
      </c>
      <c r="B766" s="1" t="n">
        <v>46181</v>
      </c>
      <c r="C766" s="1" t="n">
        <v>46197</v>
      </c>
      <c r="D766" t="inlineStr">
        <is>
          <t>SKÅNE LÄN</t>
        </is>
      </c>
      <c r="E766" t="inlineStr">
        <is>
          <t>HÄSSLEHOLM</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22693-2022</t>
        </is>
      </c>
      <c r="B767" s="1" t="n">
        <v>44714</v>
      </c>
      <c r="C767" s="1" t="n">
        <v>46197</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35889-2023</t>
        </is>
      </c>
      <c r="B768" s="1" t="n">
        <v>45148</v>
      </c>
      <c r="C768" s="1" t="n">
        <v>46197</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35894-2023</t>
        </is>
      </c>
      <c r="B769" s="1" t="n">
        <v>45148</v>
      </c>
      <c r="C769" s="1" t="n">
        <v>46197</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26058-2026</t>
        </is>
      </c>
      <c r="B770" s="1" t="n">
        <v>46177</v>
      </c>
      <c r="C770" s="1" t="n">
        <v>46197</v>
      </c>
      <c r="D770" t="inlineStr">
        <is>
          <t>SKÅNE LÄN</t>
        </is>
      </c>
      <c r="E770" t="inlineStr">
        <is>
          <t>HÄSSLEHOLM</t>
        </is>
      </c>
      <c r="G770" t="n">
        <v>1.7</v>
      </c>
      <c r="H770" t="n">
        <v>0</v>
      </c>
      <c r="I770" t="n">
        <v>0</v>
      </c>
      <c r="J770" t="n">
        <v>0</v>
      </c>
      <c r="K770" t="n">
        <v>0</v>
      </c>
      <c r="L770" t="n">
        <v>0</v>
      </c>
      <c r="M770" t="n">
        <v>0</v>
      </c>
      <c r="N770" t="n">
        <v>0</v>
      </c>
      <c r="O770" t="n">
        <v>0</v>
      </c>
      <c r="P770" t="n">
        <v>0</v>
      </c>
      <c r="Q770" t="n">
        <v>0</v>
      </c>
      <c r="R770" s="2" t="inlineStr"/>
    </row>
    <row r="771" ht="15" customHeight="1">
      <c r="A771" t="inlineStr">
        <is>
          <t>A 13309-2025</t>
        </is>
      </c>
      <c r="B771" s="1" t="n">
        <v>45735</v>
      </c>
      <c r="C771" s="1" t="n">
        <v>46197</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35974-2022</t>
        </is>
      </c>
      <c r="B772" s="1" t="n">
        <v>44802</v>
      </c>
      <c r="C772" s="1" t="n">
        <v>46197</v>
      </c>
      <c r="D772" t="inlineStr">
        <is>
          <t>SKÅNE LÄN</t>
        </is>
      </c>
      <c r="E772" t="inlineStr">
        <is>
          <t>HÄSSLEHOLM</t>
        </is>
      </c>
      <c r="G772" t="n">
        <v>3.8</v>
      </c>
      <c r="H772" t="n">
        <v>0</v>
      </c>
      <c r="I772" t="n">
        <v>0</v>
      </c>
      <c r="J772" t="n">
        <v>0</v>
      </c>
      <c r="K772" t="n">
        <v>0</v>
      </c>
      <c r="L772" t="n">
        <v>0</v>
      </c>
      <c r="M772" t="n">
        <v>0</v>
      </c>
      <c r="N772" t="n">
        <v>0</v>
      </c>
      <c r="O772" t="n">
        <v>0</v>
      </c>
      <c r="P772" t="n">
        <v>0</v>
      </c>
      <c r="Q772" t="n">
        <v>0</v>
      </c>
      <c r="R772" s="2" t="inlineStr"/>
    </row>
    <row r="773" ht="15" customHeight="1">
      <c r="A773" t="inlineStr">
        <is>
          <t>A 62055-2023</t>
        </is>
      </c>
      <c r="B773" s="1" t="n">
        <v>45266</v>
      </c>
      <c r="C773" s="1" t="n">
        <v>46197</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24906-2022</t>
        </is>
      </c>
      <c r="B774" s="1" t="n">
        <v>44728</v>
      </c>
      <c r="C774" s="1" t="n">
        <v>46197</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7150-2025</t>
        </is>
      </c>
      <c r="B775" s="1" t="n">
        <v>45702</v>
      </c>
      <c r="C775" s="1" t="n">
        <v>46197</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60704-2023</t>
        </is>
      </c>
      <c r="B776" s="1" t="n">
        <v>45260</v>
      </c>
      <c r="C776" s="1" t="n">
        <v>46197</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55303-2024</t>
        </is>
      </c>
      <c r="B777" s="1" t="n">
        <v>45621</v>
      </c>
      <c r="C777" s="1" t="n">
        <v>46197</v>
      </c>
      <c r="D777" t="inlineStr">
        <is>
          <t>SKÅNE LÄN</t>
        </is>
      </c>
      <c r="E777" t="inlineStr">
        <is>
          <t>HÄSSLEHOLM</t>
        </is>
      </c>
      <c r="G777" t="n">
        <v>3.3</v>
      </c>
      <c r="H777" t="n">
        <v>0</v>
      </c>
      <c r="I777" t="n">
        <v>0</v>
      </c>
      <c r="J777" t="n">
        <v>0</v>
      </c>
      <c r="K777" t="n">
        <v>0</v>
      </c>
      <c r="L777" t="n">
        <v>0</v>
      </c>
      <c r="M777" t="n">
        <v>0</v>
      </c>
      <c r="N777" t="n">
        <v>0</v>
      </c>
      <c r="O777" t="n">
        <v>0</v>
      </c>
      <c r="P777" t="n">
        <v>0</v>
      </c>
      <c r="Q777" t="n">
        <v>0</v>
      </c>
      <c r="R777" s="2" t="inlineStr"/>
    </row>
    <row r="778" ht="15" customHeight="1">
      <c r="A778" t="inlineStr">
        <is>
          <t>A 16397-2022</t>
        </is>
      </c>
      <c r="B778" s="1" t="n">
        <v>44671</v>
      </c>
      <c r="C778" s="1" t="n">
        <v>46197</v>
      </c>
      <c r="D778" t="inlineStr">
        <is>
          <t>SKÅNE LÄN</t>
        </is>
      </c>
      <c r="E778" t="inlineStr">
        <is>
          <t>HÄSSLEHOLM</t>
        </is>
      </c>
      <c r="G778" t="n">
        <v>2.7</v>
      </c>
      <c r="H778" t="n">
        <v>0</v>
      </c>
      <c r="I778" t="n">
        <v>0</v>
      </c>
      <c r="J778" t="n">
        <v>0</v>
      </c>
      <c r="K778" t="n">
        <v>0</v>
      </c>
      <c r="L778" t="n">
        <v>0</v>
      </c>
      <c r="M778" t="n">
        <v>0</v>
      </c>
      <c r="N778" t="n">
        <v>0</v>
      </c>
      <c r="O778" t="n">
        <v>0</v>
      </c>
      <c r="P778" t="n">
        <v>0</v>
      </c>
      <c r="Q778" t="n">
        <v>0</v>
      </c>
      <c r="R778" s="2" t="inlineStr"/>
    </row>
    <row r="779" ht="15" customHeight="1">
      <c r="A779" t="inlineStr">
        <is>
          <t>A 16398-2022</t>
        </is>
      </c>
      <c r="B779" s="1" t="n">
        <v>44671</v>
      </c>
      <c r="C779" s="1" t="n">
        <v>46197</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45361-2023</t>
        </is>
      </c>
      <c r="B780" s="1" t="n">
        <v>45192</v>
      </c>
      <c r="C780" s="1" t="n">
        <v>46197</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26011-2026</t>
        </is>
      </c>
      <c r="B781" s="1" t="n">
        <v>46181</v>
      </c>
      <c r="C781" s="1" t="n">
        <v>46197</v>
      </c>
      <c r="D781" t="inlineStr">
        <is>
          <t>SKÅNE LÄN</t>
        </is>
      </c>
      <c r="E781" t="inlineStr">
        <is>
          <t>HÄSSLEHOLM</t>
        </is>
      </c>
      <c r="G781" t="n">
        <v>9.1</v>
      </c>
      <c r="H781" t="n">
        <v>0</v>
      </c>
      <c r="I781" t="n">
        <v>0</v>
      </c>
      <c r="J781" t="n">
        <v>0</v>
      </c>
      <c r="K781" t="n">
        <v>0</v>
      </c>
      <c r="L781" t="n">
        <v>0</v>
      </c>
      <c r="M781" t="n">
        <v>0</v>
      </c>
      <c r="N781" t="n">
        <v>0</v>
      </c>
      <c r="O781" t="n">
        <v>0</v>
      </c>
      <c r="P781" t="n">
        <v>0</v>
      </c>
      <c r="Q781" t="n">
        <v>0</v>
      </c>
      <c r="R781" s="2" t="inlineStr"/>
    </row>
    <row r="782" ht="15" customHeight="1">
      <c r="A782" t="inlineStr">
        <is>
          <t>A 20381-2026</t>
        </is>
      </c>
      <c r="B782" s="1" t="n">
        <v>46139</v>
      </c>
      <c r="C782" s="1" t="n">
        <v>46197</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59434-2023</t>
        </is>
      </c>
      <c r="B783" s="1" t="n">
        <v>45254</v>
      </c>
      <c r="C783" s="1" t="n">
        <v>46197</v>
      </c>
      <c r="D783" t="inlineStr">
        <is>
          <t>SKÅNE LÄN</t>
        </is>
      </c>
      <c r="E783" t="inlineStr">
        <is>
          <t>HÄSSLEHOLM</t>
        </is>
      </c>
      <c r="G783" t="n">
        <v>3.6</v>
      </c>
      <c r="H783" t="n">
        <v>0</v>
      </c>
      <c r="I783" t="n">
        <v>0</v>
      </c>
      <c r="J783" t="n">
        <v>0</v>
      </c>
      <c r="K783" t="n">
        <v>0</v>
      </c>
      <c r="L783" t="n">
        <v>0</v>
      </c>
      <c r="M783" t="n">
        <v>0</v>
      </c>
      <c r="N783" t="n">
        <v>0</v>
      </c>
      <c r="O783" t="n">
        <v>0</v>
      </c>
      <c r="P783" t="n">
        <v>0</v>
      </c>
      <c r="Q783" t="n">
        <v>0</v>
      </c>
      <c r="R783" s="2" t="inlineStr"/>
    </row>
    <row r="784" ht="15" customHeight="1">
      <c r="A784" t="inlineStr">
        <is>
          <t>A 55284-2023</t>
        </is>
      </c>
      <c r="B784" s="1" t="n">
        <v>45237</v>
      </c>
      <c r="C784" s="1" t="n">
        <v>46197</v>
      </c>
      <c r="D784" t="inlineStr">
        <is>
          <t>SKÅNE LÄN</t>
        </is>
      </c>
      <c r="E784" t="inlineStr">
        <is>
          <t>HÄSSLEHOLM</t>
        </is>
      </c>
      <c r="G784" t="n">
        <v>1.4</v>
      </c>
      <c r="H784" t="n">
        <v>0</v>
      </c>
      <c r="I784" t="n">
        <v>0</v>
      </c>
      <c r="J784" t="n">
        <v>0</v>
      </c>
      <c r="K784" t="n">
        <v>0</v>
      </c>
      <c r="L784" t="n">
        <v>0</v>
      </c>
      <c r="M784" t="n">
        <v>0</v>
      </c>
      <c r="N784" t="n">
        <v>0</v>
      </c>
      <c r="O784" t="n">
        <v>0</v>
      </c>
      <c r="P784" t="n">
        <v>0</v>
      </c>
      <c r="Q784" t="n">
        <v>0</v>
      </c>
      <c r="R784" s="2" t="inlineStr"/>
    </row>
    <row r="785" ht="15" customHeight="1">
      <c r="A785" t="inlineStr">
        <is>
          <t>A 22384-2024</t>
        </is>
      </c>
      <c r="B785" s="1" t="n">
        <v>45446</v>
      </c>
      <c r="C785" s="1" t="n">
        <v>46197</v>
      </c>
      <c r="D785" t="inlineStr">
        <is>
          <t>SKÅNE LÄN</t>
        </is>
      </c>
      <c r="E785" t="inlineStr">
        <is>
          <t>HÄSSLEHOLM</t>
        </is>
      </c>
      <c r="G785" t="n">
        <v>2.4</v>
      </c>
      <c r="H785" t="n">
        <v>0</v>
      </c>
      <c r="I785" t="n">
        <v>0</v>
      </c>
      <c r="J785" t="n">
        <v>0</v>
      </c>
      <c r="K785" t="n">
        <v>0</v>
      </c>
      <c r="L785" t="n">
        <v>0</v>
      </c>
      <c r="M785" t="n">
        <v>0</v>
      </c>
      <c r="N785" t="n">
        <v>0</v>
      </c>
      <c r="O785" t="n">
        <v>0</v>
      </c>
      <c r="P785" t="n">
        <v>0</v>
      </c>
      <c r="Q785" t="n">
        <v>0</v>
      </c>
      <c r="R785" s="2" t="inlineStr"/>
    </row>
    <row r="786" ht="15" customHeight="1">
      <c r="A786" t="inlineStr">
        <is>
          <t>A 13345-2025</t>
        </is>
      </c>
      <c r="B786" s="1" t="n">
        <v>45735</v>
      </c>
      <c r="C786" s="1" t="n">
        <v>46197</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33879-2025</t>
        </is>
      </c>
      <c r="B787" s="1" t="n">
        <v>45842</v>
      </c>
      <c r="C787" s="1" t="n">
        <v>46197</v>
      </c>
      <c r="D787" t="inlineStr">
        <is>
          <t>SKÅNE LÄN</t>
        </is>
      </c>
      <c r="E787" t="inlineStr">
        <is>
          <t>HÄSSLEHOLM</t>
        </is>
      </c>
      <c r="G787" t="n">
        <v>6.1</v>
      </c>
      <c r="H787" t="n">
        <v>0</v>
      </c>
      <c r="I787" t="n">
        <v>0</v>
      </c>
      <c r="J787" t="n">
        <v>0</v>
      </c>
      <c r="K787" t="n">
        <v>0</v>
      </c>
      <c r="L787" t="n">
        <v>0</v>
      </c>
      <c r="M787" t="n">
        <v>0</v>
      </c>
      <c r="N787" t="n">
        <v>0</v>
      </c>
      <c r="O787" t="n">
        <v>0</v>
      </c>
      <c r="P787" t="n">
        <v>0</v>
      </c>
      <c r="Q787" t="n">
        <v>0</v>
      </c>
      <c r="R787" s="2" t="inlineStr"/>
    </row>
    <row r="788" ht="15" customHeight="1">
      <c r="A788" t="inlineStr">
        <is>
          <t>A 26316-2026</t>
        </is>
      </c>
      <c r="B788" s="1" t="n">
        <v>46182</v>
      </c>
      <c r="C788" s="1" t="n">
        <v>46197</v>
      </c>
      <c r="D788" t="inlineStr">
        <is>
          <t>SKÅNE LÄN</t>
        </is>
      </c>
      <c r="E788" t="inlineStr">
        <is>
          <t>HÄSSLEHOLM</t>
        </is>
      </c>
      <c r="F788" t="inlineStr">
        <is>
          <t>Övriga Aktiebolag</t>
        </is>
      </c>
      <c r="G788" t="n">
        <v>2.5</v>
      </c>
      <c r="H788" t="n">
        <v>0</v>
      </c>
      <c r="I788" t="n">
        <v>0</v>
      </c>
      <c r="J788" t="n">
        <v>0</v>
      </c>
      <c r="K788" t="n">
        <v>0</v>
      </c>
      <c r="L788" t="n">
        <v>0</v>
      </c>
      <c r="M788" t="n">
        <v>0</v>
      </c>
      <c r="N788" t="n">
        <v>0</v>
      </c>
      <c r="O788" t="n">
        <v>0</v>
      </c>
      <c r="P788" t="n">
        <v>0</v>
      </c>
      <c r="Q788" t="n">
        <v>0</v>
      </c>
      <c r="R788" s="2" t="inlineStr"/>
    </row>
    <row r="789" ht="15" customHeight="1">
      <c r="A789" t="inlineStr">
        <is>
          <t>A 46641-2023</t>
        </is>
      </c>
      <c r="B789" s="1" t="n">
        <v>45198</v>
      </c>
      <c r="C789" s="1" t="n">
        <v>46197</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46645-2023</t>
        </is>
      </c>
      <c r="B790" s="1" t="n">
        <v>45198</v>
      </c>
      <c r="C790" s="1" t="n">
        <v>46197</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26166-2026</t>
        </is>
      </c>
      <c r="B791" s="1" t="n">
        <v>46181</v>
      </c>
      <c r="C791" s="1" t="n">
        <v>46197</v>
      </c>
      <c r="D791" t="inlineStr">
        <is>
          <t>SKÅNE LÄN</t>
        </is>
      </c>
      <c r="E791" t="inlineStr">
        <is>
          <t>HÄSSLEHOLM</t>
        </is>
      </c>
      <c r="G791" t="n">
        <v>3.9</v>
      </c>
      <c r="H791" t="n">
        <v>0</v>
      </c>
      <c r="I791" t="n">
        <v>0</v>
      </c>
      <c r="J791" t="n">
        <v>0</v>
      </c>
      <c r="K791" t="n">
        <v>0</v>
      </c>
      <c r="L791" t="n">
        <v>0</v>
      </c>
      <c r="M791" t="n">
        <v>0</v>
      </c>
      <c r="N791" t="n">
        <v>0</v>
      </c>
      <c r="O791" t="n">
        <v>0</v>
      </c>
      <c r="P791" t="n">
        <v>0</v>
      </c>
      <c r="Q791" t="n">
        <v>0</v>
      </c>
      <c r="R791" s="2" t="inlineStr"/>
    </row>
    <row r="792" ht="15" customHeight="1">
      <c r="A792" t="inlineStr">
        <is>
          <t>A 59556-2023</t>
        </is>
      </c>
      <c r="B792" s="1" t="n">
        <v>45254</v>
      </c>
      <c r="C792" s="1" t="n">
        <v>46197</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9615-2025</t>
        </is>
      </c>
      <c r="B793" s="1" t="n">
        <v>45715</v>
      </c>
      <c r="C793" s="1" t="n">
        <v>46197</v>
      </c>
      <c r="D793" t="inlineStr">
        <is>
          <t>SKÅNE LÄN</t>
        </is>
      </c>
      <c r="E793" t="inlineStr">
        <is>
          <t>HÄSSLEHOLM</t>
        </is>
      </c>
      <c r="G793" t="n">
        <v>1.8</v>
      </c>
      <c r="H793" t="n">
        <v>0</v>
      </c>
      <c r="I793" t="n">
        <v>0</v>
      </c>
      <c r="J793" t="n">
        <v>0</v>
      </c>
      <c r="K793" t="n">
        <v>0</v>
      </c>
      <c r="L793" t="n">
        <v>0</v>
      </c>
      <c r="M793" t="n">
        <v>0</v>
      </c>
      <c r="N793" t="n">
        <v>0</v>
      </c>
      <c r="O793" t="n">
        <v>0</v>
      </c>
      <c r="P793" t="n">
        <v>0</v>
      </c>
      <c r="Q793" t="n">
        <v>0</v>
      </c>
      <c r="R793" s="2" t="inlineStr"/>
    </row>
    <row r="794" ht="15" customHeight="1">
      <c r="A794" t="inlineStr">
        <is>
          <t>A 20382-2026</t>
        </is>
      </c>
      <c r="B794" s="1" t="n">
        <v>46139</v>
      </c>
      <c r="C794" s="1" t="n">
        <v>46197</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9543-2025</t>
        </is>
      </c>
      <c r="B795" s="1" t="n">
        <v>45715</v>
      </c>
      <c r="C795" s="1" t="n">
        <v>46197</v>
      </c>
      <c r="D795" t="inlineStr">
        <is>
          <t>SKÅNE LÄN</t>
        </is>
      </c>
      <c r="E795" t="inlineStr">
        <is>
          <t>HÄSSLEHOLM</t>
        </is>
      </c>
      <c r="G795" t="n">
        <v>2.6</v>
      </c>
      <c r="H795" t="n">
        <v>0</v>
      </c>
      <c r="I795" t="n">
        <v>0</v>
      </c>
      <c r="J795" t="n">
        <v>0</v>
      </c>
      <c r="K795" t="n">
        <v>0</v>
      </c>
      <c r="L795" t="n">
        <v>0</v>
      </c>
      <c r="M795" t="n">
        <v>0</v>
      </c>
      <c r="N795" t="n">
        <v>0</v>
      </c>
      <c r="O795" t="n">
        <v>0</v>
      </c>
      <c r="P795" t="n">
        <v>0</v>
      </c>
      <c r="Q795" t="n">
        <v>0</v>
      </c>
      <c r="R795" s="2" t="inlineStr"/>
    </row>
    <row r="796" ht="15" customHeight="1">
      <c r="A796" t="inlineStr">
        <is>
          <t>A 51571-2023</t>
        </is>
      </c>
      <c r="B796" s="1" t="n">
        <v>45222</v>
      </c>
      <c r="C796" s="1" t="n">
        <v>46197</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13549-2025</t>
        </is>
      </c>
      <c r="B797" s="1" t="n">
        <v>45736</v>
      </c>
      <c r="C797" s="1" t="n">
        <v>46197</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27291-2023</t>
        </is>
      </c>
      <c r="B798" s="1" t="n">
        <v>45096</v>
      </c>
      <c r="C798" s="1" t="n">
        <v>46197</v>
      </c>
      <c r="D798" t="inlineStr">
        <is>
          <t>SKÅNE LÄN</t>
        </is>
      </c>
      <c r="E798" t="inlineStr">
        <is>
          <t>HÄSSLEHOLM</t>
        </is>
      </c>
      <c r="G798" t="n">
        <v>3.5</v>
      </c>
      <c r="H798" t="n">
        <v>0</v>
      </c>
      <c r="I798" t="n">
        <v>0</v>
      </c>
      <c r="J798" t="n">
        <v>0</v>
      </c>
      <c r="K798" t="n">
        <v>0</v>
      </c>
      <c r="L798" t="n">
        <v>0</v>
      </c>
      <c r="M798" t="n">
        <v>0</v>
      </c>
      <c r="N798" t="n">
        <v>0</v>
      </c>
      <c r="O798" t="n">
        <v>0</v>
      </c>
      <c r="P798" t="n">
        <v>0</v>
      </c>
      <c r="Q798" t="n">
        <v>0</v>
      </c>
      <c r="R798" s="2" t="inlineStr"/>
    </row>
    <row r="799" ht="15" customHeight="1">
      <c r="A799" t="inlineStr">
        <is>
          <t>A 48798-2023</t>
        </is>
      </c>
      <c r="B799" s="1" t="n">
        <v>45209</v>
      </c>
      <c r="C799" s="1" t="n">
        <v>46197</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26286-2026</t>
        </is>
      </c>
      <c r="B800" s="1" t="n">
        <v>46182</v>
      </c>
      <c r="C800" s="1" t="n">
        <v>46197</v>
      </c>
      <c r="D800" t="inlineStr">
        <is>
          <t>SKÅNE LÄN</t>
        </is>
      </c>
      <c r="E800" t="inlineStr">
        <is>
          <t>HÄSSLEHOLM</t>
        </is>
      </c>
      <c r="G800" t="n">
        <v>2.5</v>
      </c>
      <c r="H800" t="n">
        <v>0</v>
      </c>
      <c r="I800" t="n">
        <v>0</v>
      </c>
      <c r="J800" t="n">
        <v>0</v>
      </c>
      <c r="K800" t="n">
        <v>0</v>
      </c>
      <c r="L800" t="n">
        <v>0</v>
      </c>
      <c r="M800" t="n">
        <v>0</v>
      </c>
      <c r="N800" t="n">
        <v>0</v>
      </c>
      <c r="O800" t="n">
        <v>0</v>
      </c>
      <c r="P800" t="n">
        <v>0</v>
      </c>
      <c r="Q800" t="n">
        <v>0</v>
      </c>
      <c r="R800" s="2" t="inlineStr"/>
    </row>
    <row r="801" ht="15" customHeight="1">
      <c r="A801" t="inlineStr">
        <is>
          <t>A 26291-2026</t>
        </is>
      </c>
      <c r="B801" s="1" t="n">
        <v>46182</v>
      </c>
      <c r="C801" s="1" t="n">
        <v>46197</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8239-2025</t>
        </is>
      </c>
      <c r="B802" s="1" t="n">
        <v>45708</v>
      </c>
      <c r="C802" s="1" t="n">
        <v>46197</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48627-2023</t>
        </is>
      </c>
      <c r="B803" s="1" t="n">
        <v>45208</v>
      </c>
      <c r="C803" s="1" t="n">
        <v>46197</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17152-2025</t>
        </is>
      </c>
      <c r="B804" s="1" t="n">
        <v>45756</v>
      </c>
      <c r="C804" s="1" t="n">
        <v>46197</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48326-2023</t>
        </is>
      </c>
      <c r="B805" s="1" t="n">
        <v>45205</v>
      </c>
      <c r="C805" s="1" t="n">
        <v>46197</v>
      </c>
      <c r="D805" t="inlineStr">
        <is>
          <t>SKÅNE LÄN</t>
        </is>
      </c>
      <c r="E805" t="inlineStr">
        <is>
          <t>HÄSSLEHOLM</t>
        </is>
      </c>
      <c r="G805" t="n">
        <v>12.7</v>
      </c>
      <c r="H805" t="n">
        <v>0</v>
      </c>
      <c r="I805" t="n">
        <v>0</v>
      </c>
      <c r="J805" t="n">
        <v>0</v>
      </c>
      <c r="K805" t="n">
        <v>0</v>
      </c>
      <c r="L805" t="n">
        <v>0</v>
      </c>
      <c r="M805" t="n">
        <v>0</v>
      </c>
      <c r="N805" t="n">
        <v>0</v>
      </c>
      <c r="O805" t="n">
        <v>0</v>
      </c>
      <c r="P805" t="n">
        <v>0</v>
      </c>
      <c r="Q805" t="n">
        <v>0</v>
      </c>
      <c r="R805" s="2" t="inlineStr"/>
    </row>
    <row r="806" ht="15" customHeight="1">
      <c r="A806" t="inlineStr">
        <is>
          <t>A 10752-2025</t>
        </is>
      </c>
      <c r="B806" s="1" t="n">
        <v>45722</v>
      </c>
      <c r="C806" s="1" t="n">
        <v>46197</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54462-2022</t>
        </is>
      </c>
      <c r="B807" s="1" t="n">
        <v>44882</v>
      </c>
      <c r="C807" s="1" t="n">
        <v>46197</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3890-2024</t>
        </is>
      </c>
      <c r="B808" s="1" t="n">
        <v>45322</v>
      </c>
      <c r="C808" s="1" t="n">
        <v>46197</v>
      </c>
      <c r="D808" t="inlineStr">
        <is>
          <t>SKÅNE LÄN</t>
        </is>
      </c>
      <c r="E808" t="inlineStr">
        <is>
          <t>HÄSSLEHOLM</t>
        </is>
      </c>
      <c r="G808" t="n">
        <v>3</v>
      </c>
      <c r="H808" t="n">
        <v>0</v>
      </c>
      <c r="I808" t="n">
        <v>0</v>
      </c>
      <c r="J808" t="n">
        <v>0</v>
      </c>
      <c r="K808" t="n">
        <v>0</v>
      </c>
      <c r="L808" t="n">
        <v>0</v>
      </c>
      <c r="M808" t="n">
        <v>0</v>
      </c>
      <c r="N808" t="n">
        <v>0</v>
      </c>
      <c r="O808" t="n">
        <v>0</v>
      </c>
      <c r="P808" t="n">
        <v>0</v>
      </c>
      <c r="Q808" t="n">
        <v>0</v>
      </c>
      <c r="R808" s="2" t="inlineStr"/>
    </row>
    <row r="809" ht="15" customHeight="1">
      <c r="A809" t="inlineStr">
        <is>
          <t>A 54471-2023</t>
        </is>
      </c>
      <c r="B809" s="1" t="n">
        <v>45233</v>
      </c>
      <c r="C809" s="1" t="n">
        <v>46197</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57963-2023</t>
        </is>
      </c>
      <c r="B810" s="1" t="n">
        <v>45247</v>
      </c>
      <c r="C810" s="1" t="n">
        <v>46197</v>
      </c>
      <c r="D810" t="inlineStr">
        <is>
          <t>SKÅNE LÄN</t>
        </is>
      </c>
      <c r="E810" t="inlineStr">
        <is>
          <t>HÄSSLEHOLM</t>
        </is>
      </c>
      <c r="G810" t="n">
        <v>4.6</v>
      </c>
      <c r="H810" t="n">
        <v>0</v>
      </c>
      <c r="I810" t="n">
        <v>0</v>
      </c>
      <c r="J810" t="n">
        <v>0</v>
      </c>
      <c r="K810" t="n">
        <v>0</v>
      </c>
      <c r="L810" t="n">
        <v>0</v>
      </c>
      <c r="M810" t="n">
        <v>0</v>
      </c>
      <c r="N810" t="n">
        <v>0</v>
      </c>
      <c r="O810" t="n">
        <v>0</v>
      </c>
      <c r="P810" t="n">
        <v>0</v>
      </c>
      <c r="Q810" t="n">
        <v>0</v>
      </c>
      <c r="R810" s="2" t="inlineStr"/>
    </row>
    <row r="811" ht="15" customHeight="1">
      <c r="A811" t="inlineStr">
        <is>
          <t>A 59028-2023</t>
        </is>
      </c>
      <c r="B811" s="1" t="n">
        <v>45252</v>
      </c>
      <c r="C811" s="1" t="n">
        <v>46197</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6328-2026</t>
        </is>
      </c>
      <c r="B812" s="1" t="n">
        <v>46055</v>
      </c>
      <c r="C812" s="1" t="n">
        <v>46197</v>
      </c>
      <c r="D812" t="inlineStr">
        <is>
          <t>SKÅNE LÄN</t>
        </is>
      </c>
      <c r="E812" t="inlineStr">
        <is>
          <t>HÄSSLEHOLM</t>
        </is>
      </c>
      <c r="G812" t="n">
        <v>1.9</v>
      </c>
      <c r="H812" t="n">
        <v>0</v>
      </c>
      <c r="I812" t="n">
        <v>0</v>
      </c>
      <c r="J812" t="n">
        <v>0</v>
      </c>
      <c r="K812" t="n">
        <v>0</v>
      </c>
      <c r="L812" t="n">
        <v>0</v>
      </c>
      <c r="M812" t="n">
        <v>0</v>
      </c>
      <c r="N812" t="n">
        <v>0</v>
      </c>
      <c r="O812" t="n">
        <v>0</v>
      </c>
      <c r="P812" t="n">
        <v>0</v>
      </c>
      <c r="Q812" t="n">
        <v>0</v>
      </c>
      <c r="R812" s="2" t="inlineStr"/>
    </row>
    <row r="813" ht="15" customHeight="1">
      <c r="A813" t="inlineStr">
        <is>
          <t>A 2712-2024</t>
        </is>
      </c>
      <c r="B813" s="1" t="n">
        <v>45314</v>
      </c>
      <c r="C813" s="1" t="n">
        <v>46197</v>
      </c>
      <c r="D813" t="inlineStr">
        <is>
          <t>SKÅNE LÄN</t>
        </is>
      </c>
      <c r="E813" t="inlineStr">
        <is>
          <t>HÄSSLEHOLM</t>
        </is>
      </c>
      <c r="G813" t="n">
        <v>11.3</v>
      </c>
      <c r="H813" t="n">
        <v>0</v>
      </c>
      <c r="I813" t="n">
        <v>0</v>
      </c>
      <c r="J813" t="n">
        <v>0</v>
      </c>
      <c r="K813" t="n">
        <v>0</v>
      </c>
      <c r="L813" t="n">
        <v>0</v>
      </c>
      <c r="M813" t="n">
        <v>0</v>
      </c>
      <c r="N813" t="n">
        <v>0</v>
      </c>
      <c r="O813" t="n">
        <v>0</v>
      </c>
      <c r="P813" t="n">
        <v>0</v>
      </c>
      <c r="Q813" t="n">
        <v>0</v>
      </c>
      <c r="R813" s="2" t="inlineStr"/>
    </row>
    <row r="814" ht="15" customHeight="1">
      <c r="A814" t="inlineStr">
        <is>
          <t>A 260-2024</t>
        </is>
      </c>
      <c r="B814" s="1" t="n">
        <v>45294</v>
      </c>
      <c r="C814" s="1" t="n">
        <v>46197</v>
      </c>
      <c r="D814" t="inlineStr">
        <is>
          <t>SKÅNE LÄN</t>
        </is>
      </c>
      <c r="E814" t="inlineStr">
        <is>
          <t>HÄSSLEHOLM</t>
        </is>
      </c>
      <c r="G814" t="n">
        <v>1</v>
      </c>
      <c r="H814" t="n">
        <v>0</v>
      </c>
      <c r="I814" t="n">
        <v>0</v>
      </c>
      <c r="J814" t="n">
        <v>0</v>
      </c>
      <c r="K814" t="n">
        <v>0</v>
      </c>
      <c r="L814" t="n">
        <v>0</v>
      </c>
      <c r="M814" t="n">
        <v>0</v>
      </c>
      <c r="N814" t="n">
        <v>0</v>
      </c>
      <c r="O814" t="n">
        <v>0</v>
      </c>
      <c r="P814" t="n">
        <v>0</v>
      </c>
      <c r="Q814" t="n">
        <v>0</v>
      </c>
      <c r="R814" s="2" t="inlineStr"/>
    </row>
    <row r="815" ht="15" customHeight="1">
      <c r="A815" t="inlineStr">
        <is>
          <t>A 8263-2025</t>
        </is>
      </c>
      <c r="B815" s="1" t="n">
        <v>45708</v>
      </c>
      <c r="C815" s="1" t="n">
        <v>46197</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30006-2023</t>
        </is>
      </c>
      <c r="B816" s="1" t="n">
        <v>45109</v>
      </c>
      <c r="C816" s="1" t="n">
        <v>46197</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5497-2026</t>
        </is>
      </c>
      <c r="B817" s="1" t="n">
        <v>46050</v>
      </c>
      <c r="C817" s="1" t="n">
        <v>46197</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42364-2023</t>
        </is>
      </c>
      <c r="B818" s="1" t="n">
        <v>45180</v>
      </c>
      <c r="C818" s="1" t="n">
        <v>46197</v>
      </c>
      <c r="D818" t="inlineStr">
        <is>
          <t>SKÅNE LÄN</t>
        </is>
      </c>
      <c r="E818" t="inlineStr">
        <is>
          <t>HÄSSLEHOLM</t>
        </is>
      </c>
      <c r="G818" t="n">
        <v>1.1</v>
      </c>
      <c r="H818" t="n">
        <v>0</v>
      </c>
      <c r="I818" t="n">
        <v>0</v>
      </c>
      <c r="J818" t="n">
        <v>0</v>
      </c>
      <c r="K818" t="n">
        <v>0</v>
      </c>
      <c r="L818" t="n">
        <v>0</v>
      </c>
      <c r="M818" t="n">
        <v>0</v>
      </c>
      <c r="N818" t="n">
        <v>0</v>
      </c>
      <c r="O818" t="n">
        <v>0</v>
      </c>
      <c r="P818" t="n">
        <v>0</v>
      </c>
      <c r="Q818" t="n">
        <v>0</v>
      </c>
      <c r="R818" s="2" t="inlineStr"/>
    </row>
    <row r="819" ht="15" customHeight="1">
      <c r="A819" t="inlineStr">
        <is>
          <t>A 61578-2023</t>
        </is>
      </c>
      <c r="B819" s="1" t="n">
        <v>45265</v>
      </c>
      <c r="C819" s="1" t="n">
        <v>46197</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26393-2026</t>
        </is>
      </c>
      <c r="B820" s="1" t="n">
        <v>46183</v>
      </c>
      <c r="C820" s="1" t="n">
        <v>46197</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26443-2026</t>
        </is>
      </c>
      <c r="B821" s="1" t="n">
        <v>46182</v>
      </c>
      <c r="C821" s="1" t="n">
        <v>46197</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47394-2025</t>
        </is>
      </c>
      <c r="B822" s="1" t="n">
        <v>45930</v>
      </c>
      <c r="C822" s="1" t="n">
        <v>46197</v>
      </c>
      <c r="D822" t="inlineStr">
        <is>
          <t>SKÅNE LÄN</t>
        </is>
      </c>
      <c r="E822" t="inlineStr">
        <is>
          <t>HÄSSLEHOLM</t>
        </is>
      </c>
      <c r="G822" t="n">
        <v>2.4</v>
      </c>
      <c r="H822" t="n">
        <v>0</v>
      </c>
      <c r="I822" t="n">
        <v>0</v>
      </c>
      <c r="J822" t="n">
        <v>0</v>
      </c>
      <c r="K822" t="n">
        <v>0</v>
      </c>
      <c r="L822" t="n">
        <v>0</v>
      </c>
      <c r="M822" t="n">
        <v>0</v>
      </c>
      <c r="N822" t="n">
        <v>0</v>
      </c>
      <c r="O822" t="n">
        <v>0</v>
      </c>
      <c r="P822" t="n">
        <v>0</v>
      </c>
      <c r="Q822" t="n">
        <v>0</v>
      </c>
      <c r="R822" s="2" t="inlineStr"/>
    </row>
    <row r="823" ht="15" customHeight="1">
      <c r="A823" t="inlineStr">
        <is>
          <t>A 2597-2024</t>
        </is>
      </c>
      <c r="B823" s="1" t="n">
        <v>45313</v>
      </c>
      <c r="C823" s="1" t="n">
        <v>46197</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26437-2026</t>
        </is>
      </c>
      <c r="B824" s="1" t="n">
        <v>46182</v>
      </c>
      <c r="C824" s="1" t="n">
        <v>46197</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54426-2025</t>
        </is>
      </c>
      <c r="B825" s="1" t="n">
        <v>45965</v>
      </c>
      <c r="C825" s="1" t="n">
        <v>46197</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62277-2023</t>
        </is>
      </c>
      <c r="B826" s="1" t="n">
        <v>45266</v>
      </c>
      <c r="C826" s="1" t="n">
        <v>46197</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26403-2026</t>
        </is>
      </c>
      <c r="B827" s="1" t="n">
        <v>46182</v>
      </c>
      <c r="C827" s="1" t="n">
        <v>46197</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3888-2024</t>
        </is>
      </c>
      <c r="B828" s="1" t="n">
        <v>45322</v>
      </c>
      <c r="C828" s="1" t="n">
        <v>46197</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3889-2024</t>
        </is>
      </c>
      <c r="B829" s="1" t="n">
        <v>45322</v>
      </c>
      <c r="C829" s="1" t="n">
        <v>46197</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23264-2026</t>
        </is>
      </c>
      <c r="B830" s="1" t="n">
        <v>46162</v>
      </c>
      <c r="C830" s="1" t="n">
        <v>46197</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8249-2023</t>
        </is>
      </c>
      <c r="B831" s="1" t="n">
        <v>44974</v>
      </c>
      <c r="C831" s="1" t="n">
        <v>46197</v>
      </c>
      <c r="D831" t="inlineStr">
        <is>
          <t>SKÅNE LÄN</t>
        </is>
      </c>
      <c r="E831" t="inlineStr">
        <is>
          <t>HÄSSLEHOLM</t>
        </is>
      </c>
      <c r="G831" t="n">
        <v>5.8</v>
      </c>
      <c r="H831" t="n">
        <v>0</v>
      </c>
      <c r="I831" t="n">
        <v>0</v>
      </c>
      <c r="J831" t="n">
        <v>0</v>
      </c>
      <c r="K831" t="n">
        <v>0</v>
      </c>
      <c r="L831" t="n">
        <v>0</v>
      </c>
      <c r="M831" t="n">
        <v>0</v>
      </c>
      <c r="N831" t="n">
        <v>0</v>
      </c>
      <c r="O831" t="n">
        <v>0</v>
      </c>
      <c r="P831" t="n">
        <v>0</v>
      </c>
      <c r="Q831" t="n">
        <v>0</v>
      </c>
      <c r="R831" s="2" t="inlineStr"/>
    </row>
    <row r="832" ht="15" customHeight="1">
      <c r="A832" t="inlineStr">
        <is>
          <t>A 26447-2026</t>
        </is>
      </c>
      <c r="B832" s="1" t="n">
        <v>46182</v>
      </c>
      <c r="C832" s="1" t="n">
        <v>46197</v>
      </c>
      <c r="D832" t="inlineStr">
        <is>
          <t>SKÅNE LÄN</t>
        </is>
      </c>
      <c r="E832" t="inlineStr">
        <is>
          <t>HÄSSLEHOLM</t>
        </is>
      </c>
      <c r="G832" t="n">
        <v>7.9</v>
      </c>
      <c r="H832" t="n">
        <v>0</v>
      </c>
      <c r="I832" t="n">
        <v>0</v>
      </c>
      <c r="J832" t="n">
        <v>0</v>
      </c>
      <c r="K832" t="n">
        <v>0</v>
      </c>
      <c r="L832" t="n">
        <v>0</v>
      </c>
      <c r="M832" t="n">
        <v>0</v>
      </c>
      <c r="N832" t="n">
        <v>0</v>
      </c>
      <c r="O832" t="n">
        <v>0</v>
      </c>
      <c r="P832" t="n">
        <v>0</v>
      </c>
      <c r="Q832" t="n">
        <v>0</v>
      </c>
      <c r="R832" s="2" t="inlineStr"/>
    </row>
    <row r="833" ht="15" customHeight="1">
      <c r="A833" t="inlineStr">
        <is>
          <t>A 3480-2024</t>
        </is>
      </c>
      <c r="B833" s="1" t="n">
        <v>45320</v>
      </c>
      <c r="C833" s="1" t="n">
        <v>46197</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55218-2023</t>
        </is>
      </c>
      <c r="B834" s="1" t="n">
        <v>45237</v>
      </c>
      <c r="C834" s="1" t="n">
        <v>46197</v>
      </c>
      <c r="D834" t="inlineStr">
        <is>
          <t>SKÅNE LÄN</t>
        </is>
      </c>
      <c r="E834" t="inlineStr">
        <is>
          <t>HÄSSLEHOLM</t>
        </is>
      </c>
      <c r="G834" t="n">
        <v>2</v>
      </c>
      <c r="H834" t="n">
        <v>0</v>
      </c>
      <c r="I834" t="n">
        <v>0</v>
      </c>
      <c r="J834" t="n">
        <v>0</v>
      </c>
      <c r="K834" t="n">
        <v>0</v>
      </c>
      <c r="L834" t="n">
        <v>0</v>
      </c>
      <c r="M834" t="n">
        <v>0</v>
      </c>
      <c r="N834" t="n">
        <v>0</v>
      </c>
      <c r="O834" t="n">
        <v>0</v>
      </c>
      <c r="P834" t="n">
        <v>0</v>
      </c>
      <c r="Q834" t="n">
        <v>0</v>
      </c>
      <c r="R834" s="2" t="inlineStr"/>
    </row>
    <row r="835" ht="15" customHeight="1">
      <c r="A835" t="inlineStr">
        <is>
          <t>A 1119-2024</t>
        </is>
      </c>
      <c r="B835" s="1" t="n">
        <v>45302</v>
      </c>
      <c r="C835" s="1" t="n">
        <v>46197</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9393-2025</t>
        </is>
      </c>
      <c r="B836" s="1" t="n">
        <v>45715</v>
      </c>
      <c r="C836" s="1" t="n">
        <v>46197</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11422-2025</t>
        </is>
      </c>
      <c r="B837" s="1" t="n">
        <v>45726</v>
      </c>
      <c r="C837" s="1" t="n">
        <v>46197</v>
      </c>
      <c r="D837" t="inlineStr">
        <is>
          <t>SKÅNE LÄN</t>
        </is>
      </c>
      <c r="E837" t="inlineStr">
        <is>
          <t>HÄSSLEHOLM</t>
        </is>
      </c>
      <c r="G837" t="n">
        <v>14.9</v>
      </c>
      <c r="H837" t="n">
        <v>0</v>
      </c>
      <c r="I837" t="n">
        <v>0</v>
      </c>
      <c r="J837" t="n">
        <v>0</v>
      </c>
      <c r="K837" t="n">
        <v>0</v>
      </c>
      <c r="L837" t="n">
        <v>0</v>
      </c>
      <c r="M837" t="n">
        <v>0</v>
      </c>
      <c r="N837" t="n">
        <v>0</v>
      </c>
      <c r="O837" t="n">
        <v>0</v>
      </c>
      <c r="P837" t="n">
        <v>0</v>
      </c>
      <c r="Q837" t="n">
        <v>0</v>
      </c>
      <c r="R837" s="2" t="inlineStr"/>
    </row>
    <row r="838" ht="15" customHeight="1">
      <c r="A838" t="inlineStr">
        <is>
          <t>A 26505-2026</t>
        </is>
      </c>
      <c r="B838" s="1" t="n">
        <v>46183</v>
      </c>
      <c r="C838" s="1" t="n">
        <v>46197</v>
      </c>
      <c r="D838" t="inlineStr">
        <is>
          <t>SKÅNE LÄN</t>
        </is>
      </c>
      <c r="E838" t="inlineStr">
        <is>
          <t>HÄSSLEHOLM</t>
        </is>
      </c>
      <c r="G838" t="n">
        <v>3.9</v>
      </c>
      <c r="H838" t="n">
        <v>0</v>
      </c>
      <c r="I838" t="n">
        <v>0</v>
      </c>
      <c r="J838" t="n">
        <v>0</v>
      </c>
      <c r="K838" t="n">
        <v>0</v>
      </c>
      <c r="L838" t="n">
        <v>0</v>
      </c>
      <c r="M838" t="n">
        <v>0</v>
      </c>
      <c r="N838" t="n">
        <v>0</v>
      </c>
      <c r="O838" t="n">
        <v>0</v>
      </c>
      <c r="P838" t="n">
        <v>0</v>
      </c>
      <c r="Q838" t="n">
        <v>0</v>
      </c>
      <c r="R838" s="2" t="inlineStr"/>
    </row>
    <row r="839" ht="15" customHeight="1">
      <c r="A839" t="inlineStr">
        <is>
          <t>A 57277-2023</t>
        </is>
      </c>
      <c r="B839" s="1" t="n">
        <v>45245</v>
      </c>
      <c r="C839" s="1" t="n">
        <v>46197</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13932-2023</t>
        </is>
      </c>
      <c r="B840" s="1" t="n">
        <v>45008</v>
      </c>
      <c r="C840" s="1" t="n">
        <v>46197</v>
      </c>
      <c r="D840" t="inlineStr">
        <is>
          <t>SKÅNE LÄN</t>
        </is>
      </c>
      <c r="E840" t="inlineStr">
        <is>
          <t>HÄSSLEHOLM</t>
        </is>
      </c>
      <c r="G840" t="n">
        <v>3.3</v>
      </c>
      <c r="H840" t="n">
        <v>0</v>
      </c>
      <c r="I840" t="n">
        <v>0</v>
      </c>
      <c r="J840" t="n">
        <v>0</v>
      </c>
      <c r="K840" t="n">
        <v>0</v>
      </c>
      <c r="L840" t="n">
        <v>0</v>
      </c>
      <c r="M840" t="n">
        <v>0</v>
      </c>
      <c r="N840" t="n">
        <v>0</v>
      </c>
      <c r="O840" t="n">
        <v>0</v>
      </c>
      <c r="P840" t="n">
        <v>0</v>
      </c>
      <c r="Q840" t="n">
        <v>0</v>
      </c>
      <c r="R840" s="2" t="inlineStr"/>
    </row>
    <row r="841" ht="15" customHeight="1">
      <c r="A841" t="inlineStr">
        <is>
          <t>A 5284-2023</t>
        </is>
      </c>
      <c r="B841" s="1" t="n">
        <v>44959</v>
      </c>
      <c r="C841" s="1" t="n">
        <v>46197</v>
      </c>
      <c r="D841" t="inlineStr">
        <is>
          <t>SKÅNE LÄN</t>
        </is>
      </c>
      <c r="E841" t="inlineStr">
        <is>
          <t>HÄSSLEHOLM</t>
        </is>
      </c>
      <c r="G841" t="n">
        <v>0.4</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46197</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47352-2025</t>
        </is>
      </c>
      <c r="B843" s="1" t="n">
        <v>45930</v>
      </c>
      <c r="C843" s="1" t="n">
        <v>46197</v>
      </c>
      <c r="D843" t="inlineStr">
        <is>
          <t>SKÅNE LÄN</t>
        </is>
      </c>
      <c r="E843" t="inlineStr">
        <is>
          <t>HÄSSLEHOLM</t>
        </is>
      </c>
      <c r="G843" t="n">
        <v>15.9</v>
      </c>
      <c r="H843" t="n">
        <v>0</v>
      </c>
      <c r="I843" t="n">
        <v>0</v>
      </c>
      <c r="J843" t="n">
        <v>0</v>
      </c>
      <c r="K843" t="n">
        <v>0</v>
      </c>
      <c r="L843" t="n">
        <v>0</v>
      </c>
      <c r="M843" t="n">
        <v>0</v>
      </c>
      <c r="N843" t="n">
        <v>0</v>
      </c>
      <c r="O843" t="n">
        <v>0</v>
      </c>
      <c r="P843" t="n">
        <v>0</v>
      </c>
      <c r="Q843" t="n">
        <v>0</v>
      </c>
      <c r="R843" s="2" t="inlineStr"/>
    </row>
    <row r="844" ht="15" customHeight="1">
      <c r="A844" t="inlineStr">
        <is>
          <t>A 57272-2023</t>
        </is>
      </c>
      <c r="B844" s="1" t="n">
        <v>45245</v>
      </c>
      <c r="C844" s="1" t="n">
        <v>46197</v>
      </c>
      <c r="D844" t="inlineStr">
        <is>
          <t>SKÅNE LÄN</t>
        </is>
      </c>
      <c r="E844" t="inlineStr">
        <is>
          <t>HÄSSLEHOLM</t>
        </is>
      </c>
      <c r="G844" t="n">
        <v>2.3</v>
      </c>
      <c r="H844" t="n">
        <v>0</v>
      </c>
      <c r="I844" t="n">
        <v>0</v>
      </c>
      <c r="J844" t="n">
        <v>0</v>
      </c>
      <c r="K844" t="n">
        <v>0</v>
      </c>
      <c r="L844" t="n">
        <v>0</v>
      </c>
      <c r="M844" t="n">
        <v>0</v>
      </c>
      <c r="N844" t="n">
        <v>0</v>
      </c>
      <c r="O844" t="n">
        <v>0</v>
      </c>
      <c r="P844" t="n">
        <v>0</v>
      </c>
      <c r="Q844" t="n">
        <v>0</v>
      </c>
      <c r="R844" s="2" t="inlineStr"/>
    </row>
    <row r="845" ht="15" customHeight="1">
      <c r="A845" t="inlineStr">
        <is>
          <t>A 2479-2024</t>
        </is>
      </c>
      <c r="B845" s="1" t="n">
        <v>45313</v>
      </c>
      <c r="C845" s="1" t="n">
        <v>46197</v>
      </c>
      <c r="D845" t="inlineStr">
        <is>
          <t>SKÅNE LÄN</t>
        </is>
      </c>
      <c r="E845" t="inlineStr">
        <is>
          <t>HÄSSLEHOLM</t>
        </is>
      </c>
      <c r="G845" t="n">
        <v>1.2</v>
      </c>
      <c r="H845" t="n">
        <v>0</v>
      </c>
      <c r="I845" t="n">
        <v>0</v>
      </c>
      <c r="J845" t="n">
        <v>0</v>
      </c>
      <c r="K845" t="n">
        <v>0</v>
      </c>
      <c r="L845" t="n">
        <v>0</v>
      </c>
      <c r="M845" t="n">
        <v>0</v>
      </c>
      <c r="N845" t="n">
        <v>0</v>
      </c>
      <c r="O845" t="n">
        <v>0</v>
      </c>
      <c r="P845" t="n">
        <v>0</v>
      </c>
      <c r="Q845" t="n">
        <v>0</v>
      </c>
      <c r="R845" s="2" t="inlineStr"/>
    </row>
    <row r="846" ht="15" customHeight="1">
      <c r="A846" t="inlineStr">
        <is>
          <t>A 31160-2024</t>
        </is>
      </c>
      <c r="B846" s="1" t="n">
        <v>45503</v>
      </c>
      <c r="C846" s="1" t="n">
        <v>46197</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50664-2023</t>
        </is>
      </c>
      <c r="B847" s="1" t="n">
        <v>45217</v>
      </c>
      <c r="C847" s="1" t="n">
        <v>46197</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56490-2021</t>
        </is>
      </c>
      <c r="B848" s="1" t="n">
        <v>44480</v>
      </c>
      <c r="C848" s="1" t="n">
        <v>46197</v>
      </c>
      <c r="D848" t="inlineStr">
        <is>
          <t>SKÅNE LÄN</t>
        </is>
      </c>
      <c r="E848" t="inlineStr">
        <is>
          <t>HÄSSLEHOLM</t>
        </is>
      </c>
      <c r="F848" t="inlineStr">
        <is>
          <t>Kyrkan</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61934-2023</t>
        </is>
      </c>
      <c r="B849" s="1" t="n">
        <v>45266</v>
      </c>
      <c r="C849" s="1" t="n">
        <v>46197</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41459-2022</t>
        </is>
      </c>
      <c r="B850" s="1" t="n">
        <v>44826</v>
      </c>
      <c r="C850" s="1" t="n">
        <v>46197</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19151-2023</t>
        </is>
      </c>
      <c r="B851" s="1" t="n">
        <v>45044</v>
      </c>
      <c r="C851" s="1" t="n">
        <v>46197</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54658-2023</t>
        </is>
      </c>
      <c r="B852" s="1" t="n">
        <v>45235</v>
      </c>
      <c r="C852" s="1" t="n">
        <v>46197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42370-2023</t>
        </is>
      </c>
      <c r="B853" s="1" t="n">
        <v>45180</v>
      </c>
      <c r="C853" s="1" t="n">
        <v>46197</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16951-2025</t>
        </is>
      </c>
      <c r="B854" s="1" t="n">
        <v>45755</v>
      </c>
      <c r="C854" s="1" t="n">
        <v>46197</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54798-2025</t>
        </is>
      </c>
      <c r="B855" s="1" t="n">
        <v>45966</v>
      </c>
      <c r="C855" s="1" t="n">
        <v>46197</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47432-2025</t>
        </is>
      </c>
      <c r="B856" s="1" t="n">
        <v>45930</v>
      </c>
      <c r="C856" s="1" t="n">
        <v>46197</v>
      </c>
      <c r="D856" t="inlineStr">
        <is>
          <t>SKÅNE LÄN</t>
        </is>
      </c>
      <c r="E856" t="inlineStr">
        <is>
          <t>HÄSSLEHOLM</t>
        </is>
      </c>
      <c r="G856" t="n">
        <v>2.7</v>
      </c>
      <c r="H856" t="n">
        <v>0</v>
      </c>
      <c r="I856" t="n">
        <v>0</v>
      </c>
      <c r="J856" t="n">
        <v>0</v>
      </c>
      <c r="K856" t="n">
        <v>0</v>
      </c>
      <c r="L856" t="n">
        <v>0</v>
      </c>
      <c r="M856" t="n">
        <v>0</v>
      </c>
      <c r="N856" t="n">
        <v>0</v>
      </c>
      <c r="O856" t="n">
        <v>0</v>
      </c>
      <c r="P856" t="n">
        <v>0</v>
      </c>
      <c r="Q856" t="n">
        <v>0</v>
      </c>
      <c r="R856" s="2" t="inlineStr"/>
    </row>
    <row r="857" ht="15" customHeight="1">
      <c r="A857" t="inlineStr">
        <is>
          <t>A 18063-2023</t>
        </is>
      </c>
      <c r="B857" s="1" t="n">
        <v>45040</v>
      </c>
      <c r="C857" s="1" t="n">
        <v>46197</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14674-2025</t>
        </is>
      </c>
      <c r="B858" s="1" t="n">
        <v>45742</v>
      </c>
      <c r="C858" s="1" t="n">
        <v>46197</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54777-2022</t>
        </is>
      </c>
      <c r="B859" s="1" t="n">
        <v>44883</v>
      </c>
      <c r="C859" s="1" t="n">
        <v>46197</v>
      </c>
      <c r="D859" t="inlineStr">
        <is>
          <t>SKÅNE LÄN</t>
        </is>
      </c>
      <c r="E859" t="inlineStr">
        <is>
          <t>HÄSSLEHOLM</t>
        </is>
      </c>
      <c r="G859" t="n">
        <v>1.7</v>
      </c>
      <c r="H859" t="n">
        <v>0</v>
      </c>
      <c r="I859" t="n">
        <v>0</v>
      </c>
      <c r="J859" t="n">
        <v>0</v>
      </c>
      <c r="K859" t="n">
        <v>0</v>
      </c>
      <c r="L859" t="n">
        <v>0</v>
      </c>
      <c r="M859" t="n">
        <v>0</v>
      </c>
      <c r="N859" t="n">
        <v>0</v>
      </c>
      <c r="O859" t="n">
        <v>0</v>
      </c>
      <c r="P859" t="n">
        <v>0</v>
      </c>
      <c r="Q859" t="n">
        <v>0</v>
      </c>
      <c r="R859" s="2" t="inlineStr"/>
    </row>
    <row r="860" ht="15" customHeight="1">
      <c r="A860" t="inlineStr">
        <is>
          <t>A 19240-2026</t>
        </is>
      </c>
      <c r="B860" s="1" t="n">
        <v>46132</v>
      </c>
      <c r="C860" s="1" t="n">
        <v>46197</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27371-2026</t>
        </is>
      </c>
      <c r="B861" s="1" t="n">
        <v>46188</v>
      </c>
      <c r="C861" s="1" t="n">
        <v>46197</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27123-2026</t>
        </is>
      </c>
      <c r="B862" s="1" t="n">
        <v>46188</v>
      </c>
      <c r="C862" s="1" t="n">
        <v>46197</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27122-2026</t>
        </is>
      </c>
      <c r="B863" s="1" t="n">
        <v>46188</v>
      </c>
      <c r="C863" s="1" t="n">
        <v>46197</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23683-2023</t>
        </is>
      </c>
      <c r="B864" s="1" t="n">
        <v>45077</v>
      </c>
      <c r="C864" s="1" t="n">
        <v>46197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47422-2025</t>
        </is>
      </c>
      <c r="B865" s="1" t="n">
        <v>45930</v>
      </c>
      <c r="C865" s="1" t="n">
        <v>46197</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23955-2023</t>
        </is>
      </c>
      <c r="B866" s="1" t="n">
        <v>45078</v>
      </c>
      <c r="C866" s="1" t="n">
        <v>46197</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47450-2025</t>
        </is>
      </c>
      <c r="B867" s="1" t="n">
        <v>45930</v>
      </c>
      <c r="C867" s="1" t="n">
        <v>46197</v>
      </c>
      <c r="D867" t="inlineStr">
        <is>
          <t>SKÅNE LÄN</t>
        </is>
      </c>
      <c r="E867" t="inlineStr">
        <is>
          <t>HÄSSLEHOLM</t>
        </is>
      </c>
      <c r="G867" t="n">
        <v>3.2</v>
      </c>
      <c r="H867" t="n">
        <v>0</v>
      </c>
      <c r="I867" t="n">
        <v>0</v>
      </c>
      <c r="J867" t="n">
        <v>0</v>
      </c>
      <c r="K867" t="n">
        <v>0</v>
      </c>
      <c r="L867" t="n">
        <v>0</v>
      </c>
      <c r="M867" t="n">
        <v>0</v>
      </c>
      <c r="N867" t="n">
        <v>0</v>
      </c>
      <c r="O867" t="n">
        <v>0</v>
      </c>
      <c r="P867" t="n">
        <v>0</v>
      </c>
      <c r="Q867" t="n">
        <v>0</v>
      </c>
      <c r="R867" s="2" t="inlineStr"/>
    </row>
    <row r="868" ht="15" customHeight="1">
      <c r="A868" t="inlineStr">
        <is>
          <t>A 23860-2024</t>
        </is>
      </c>
      <c r="B868" s="1" t="n">
        <v>45455</v>
      </c>
      <c r="C868" s="1" t="n">
        <v>46197</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524-2024</t>
        </is>
      </c>
      <c r="B869" s="1" t="n">
        <v>45299</v>
      </c>
      <c r="C869" s="1" t="n">
        <v>46197</v>
      </c>
      <c r="D869" t="inlineStr">
        <is>
          <t>SKÅNE LÄN</t>
        </is>
      </c>
      <c r="E869" t="inlineStr">
        <is>
          <t>HÄSSLEHOLM</t>
        </is>
      </c>
      <c r="G869" t="n">
        <v>29.4</v>
      </c>
      <c r="H869" t="n">
        <v>0</v>
      </c>
      <c r="I869" t="n">
        <v>0</v>
      </c>
      <c r="J869" t="n">
        <v>0</v>
      </c>
      <c r="K869" t="n">
        <v>0</v>
      </c>
      <c r="L869" t="n">
        <v>0</v>
      </c>
      <c r="M869" t="n">
        <v>0</v>
      </c>
      <c r="N869" t="n">
        <v>0</v>
      </c>
      <c r="O869" t="n">
        <v>0</v>
      </c>
      <c r="P869" t="n">
        <v>0</v>
      </c>
      <c r="Q869" t="n">
        <v>0</v>
      </c>
      <c r="R869" s="2" t="inlineStr"/>
    </row>
    <row r="870" ht="15" customHeight="1">
      <c r="A870" t="inlineStr">
        <is>
          <t>A 54518-2022</t>
        </is>
      </c>
      <c r="B870" s="1" t="n">
        <v>44882</v>
      </c>
      <c r="C870" s="1" t="n">
        <v>46197</v>
      </c>
      <c r="D870" t="inlineStr">
        <is>
          <t>SKÅNE LÄN</t>
        </is>
      </c>
      <c r="E870" t="inlineStr">
        <is>
          <t>HÄSSLEHOLM</t>
        </is>
      </c>
      <c r="F870" t="inlineStr">
        <is>
          <t>Övriga Aktiebolag</t>
        </is>
      </c>
      <c r="G870" t="n">
        <v>6.8</v>
      </c>
      <c r="H870" t="n">
        <v>0</v>
      </c>
      <c r="I870" t="n">
        <v>0</v>
      </c>
      <c r="J870" t="n">
        <v>0</v>
      </c>
      <c r="K870" t="n">
        <v>0</v>
      </c>
      <c r="L870" t="n">
        <v>0</v>
      </c>
      <c r="M870" t="n">
        <v>0</v>
      </c>
      <c r="N870" t="n">
        <v>0</v>
      </c>
      <c r="O870" t="n">
        <v>0</v>
      </c>
      <c r="P870" t="n">
        <v>0</v>
      </c>
      <c r="Q870" t="n">
        <v>0</v>
      </c>
      <c r="R870" s="2" t="inlineStr"/>
    </row>
    <row r="871" ht="15" customHeight="1">
      <c r="A871" t="inlineStr">
        <is>
          <t>A 7094-2023</t>
        </is>
      </c>
      <c r="B871" s="1" t="n">
        <v>44970</v>
      </c>
      <c r="C871" s="1" t="n">
        <v>46197</v>
      </c>
      <c r="D871" t="inlineStr">
        <is>
          <t>SKÅNE LÄN</t>
        </is>
      </c>
      <c r="E871" t="inlineStr">
        <is>
          <t>HÄSSLEHOLM</t>
        </is>
      </c>
      <c r="G871" t="n">
        <v>3.6</v>
      </c>
      <c r="H871" t="n">
        <v>0</v>
      </c>
      <c r="I871" t="n">
        <v>0</v>
      </c>
      <c r="J871" t="n">
        <v>0</v>
      </c>
      <c r="K871" t="n">
        <v>0</v>
      </c>
      <c r="L871" t="n">
        <v>0</v>
      </c>
      <c r="M871" t="n">
        <v>0</v>
      </c>
      <c r="N871" t="n">
        <v>0</v>
      </c>
      <c r="O871" t="n">
        <v>0</v>
      </c>
      <c r="P871" t="n">
        <v>0</v>
      </c>
      <c r="Q871" t="n">
        <v>0</v>
      </c>
      <c r="R871" s="2" t="inlineStr"/>
    </row>
    <row r="872" ht="15" customHeight="1">
      <c r="A872" t="inlineStr">
        <is>
          <t>A 11266-2025</t>
        </is>
      </c>
      <c r="B872" s="1" t="n">
        <v>45726</v>
      </c>
      <c r="C872" s="1" t="n">
        <v>46197</v>
      </c>
      <c r="D872" t="inlineStr">
        <is>
          <t>SKÅNE LÄN</t>
        </is>
      </c>
      <c r="E872" t="inlineStr">
        <is>
          <t>HÄSSLEHOLM</t>
        </is>
      </c>
      <c r="G872" t="n">
        <v>0.3</v>
      </c>
      <c r="H872" t="n">
        <v>0</v>
      </c>
      <c r="I872" t="n">
        <v>0</v>
      </c>
      <c r="J872" t="n">
        <v>0</v>
      </c>
      <c r="K872" t="n">
        <v>0</v>
      </c>
      <c r="L872" t="n">
        <v>0</v>
      </c>
      <c r="M872" t="n">
        <v>0</v>
      </c>
      <c r="N872" t="n">
        <v>0</v>
      </c>
      <c r="O872" t="n">
        <v>0</v>
      </c>
      <c r="P872" t="n">
        <v>0</v>
      </c>
      <c r="Q872" t="n">
        <v>0</v>
      </c>
      <c r="R872" s="2" t="inlineStr"/>
    </row>
    <row r="873" ht="15" customHeight="1">
      <c r="A873" t="inlineStr">
        <is>
          <t>A 49950-2023</t>
        </is>
      </c>
      <c r="B873" s="1" t="n">
        <v>45215</v>
      </c>
      <c r="C873" s="1" t="n">
        <v>46197</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21807-2026</t>
        </is>
      </c>
      <c r="B874" s="1" t="n">
        <v>46148</v>
      </c>
      <c r="C874" s="1" t="n">
        <v>46197</v>
      </c>
      <c r="D874" t="inlineStr">
        <is>
          <t>SKÅNE LÄN</t>
        </is>
      </c>
      <c r="E874" t="inlineStr">
        <is>
          <t>HÄSSLEHOLM</t>
        </is>
      </c>
      <c r="G874" t="n">
        <v>5.2</v>
      </c>
      <c r="H874" t="n">
        <v>0</v>
      </c>
      <c r="I874" t="n">
        <v>0</v>
      </c>
      <c r="J874" t="n">
        <v>0</v>
      </c>
      <c r="K874" t="n">
        <v>0</v>
      </c>
      <c r="L874" t="n">
        <v>0</v>
      </c>
      <c r="M874" t="n">
        <v>0</v>
      </c>
      <c r="N874" t="n">
        <v>0</v>
      </c>
      <c r="O874" t="n">
        <v>0</v>
      </c>
      <c r="P874" t="n">
        <v>0</v>
      </c>
      <c r="Q874" t="n">
        <v>0</v>
      </c>
      <c r="R874" s="2" t="inlineStr"/>
    </row>
    <row r="875" ht="15" customHeight="1">
      <c r="A875" t="inlineStr">
        <is>
          <t>A 29853-2024</t>
        </is>
      </c>
      <c r="B875" s="1" t="n">
        <v>45485</v>
      </c>
      <c r="C875" s="1" t="n">
        <v>46197</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57695-2023</t>
        </is>
      </c>
      <c r="B876" s="1" t="n">
        <v>45246</v>
      </c>
      <c r="C876" s="1" t="n">
        <v>46197</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42232-2022</t>
        </is>
      </c>
      <c r="B877" s="1" t="n">
        <v>44830</v>
      </c>
      <c r="C877" s="1" t="n">
        <v>46197</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38829-2024</t>
        </is>
      </c>
      <c r="B878" s="1" t="n">
        <v>45547</v>
      </c>
      <c r="C878" s="1" t="n">
        <v>46197</v>
      </c>
      <c r="D878" t="inlineStr">
        <is>
          <t>SKÅNE LÄN</t>
        </is>
      </c>
      <c r="E878" t="inlineStr">
        <is>
          <t>HÄSSLEHOLM</t>
        </is>
      </c>
      <c r="G878" t="n">
        <v>1.8</v>
      </c>
      <c r="H878" t="n">
        <v>0</v>
      </c>
      <c r="I878" t="n">
        <v>0</v>
      </c>
      <c r="J878" t="n">
        <v>0</v>
      </c>
      <c r="K878" t="n">
        <v>0</v>
      </c>
      <c r="L878" t="n">
        <v>0</v>
      </c>
      <c r="M878" t="n">
        <v>0</v>
      </c>
      <c r="N878" t="n">
        <v>0</v>
      </c>
      <c r="O878" t="n">
        <v>0</v>
      </c>
      <c r="P878" t="n">
        <v>0</v>
      </c>
      <c r="Q878" t="n">
        <v>0</v>
      </c>
      <c r="R878" s="2" t="inlineStr"/>
    </row>
    <row r="879" ht="15" customHeight="1">
      <c r="A879" t="inlineStr">
        <is>
          <t>A 25542-2024</t>
        </is>
      </c>
      <c r="B879" s="1" t="n">
        <v>45463</v>
      </c>
      <c r="C879" s="1" t="n">
        <v>46197</v>
      </c>
      <c r="D879" t="inlineStr">
        <is>
          <t>SKÅNE LÄN</t>
        </is>
      </c>
      <c r="E879" t="inlineStr">
        <is>
          <t>HÄSSLEHOLM</t>
        </is>
      </c>
      <c r="G879" t="n">
        <v>6.9</v>
      </c>
      <c r="H879" t="n">
        <v>0</v>
      </c>
      <c r="I879" t="n">
        <v>0</v>
      </c>
      <c r="J879" t="n">
        <v>0</v>
      </c>
      <c r="K879" t="n">
        <v>0</v>
      </c>
      <c r="L879" t="n">
        <v>0</v>
      </c>
      <c r="M879" t="n">
        <v>0</v>
      </c>
      <c r="N879" t="n">
        <v>0</v>
      </c>
      <c r="O879" t="n">
        <v>0</v>
      </c>
      <c r="P879" t="n">
        <v>0</v>
      </c>
      <c r="Q879" t="n">
        <v>0</v>
      </c>
      <c r="R879" s="2" t="inlineStr"/>
    </row>
    <row r="880" ht="15" customHeight="1">
      <c r="A880" t="inlineStr">
        <is>
          <t>A 55454-2021</t>
        </is>
      </c>
      <c r="B880" s="1" t="n">
        <v>44475</v>
      </c>
      <c r="C880" s="1" t="n">
        <v>46197</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61489-2024</t>
        </is>
      </c>
      <c r="B881" s="1" t="n">
        <v>45646</v>
      </c>
      <c r="C881" s="1" t="n">
        <v>46197</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26879-2024</t>
        </is>
      </c>
      <c r="B882" s="1" t="n">
        <v>45470</v>
      </c>
      <c r="C882" s="1" t="n">
        <v>46197</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59728-2022</t>
        </is>
      </c>
      <c r="B883" s="1" t="n">
        <v>44900</v>
      </c>
      <c r="C883" s="1" t="n">
        <v>46197</v>
      </c>
      <c r="D883" t="inlineStr">
        <is>
          <t>SKÅNE LÄN</t>
        </is>
      </c>
      <c r="E883" t="inlineStr">
        <is>
          <t>HÄSSLEHOLM</t>
        </is>
      </c>
      <c r="G883" t="n">
        <v>0.3</v>
      </c>
      <c r="H883" t="n">
        <v>0</v>
      </c>
      <c r="I883" t="n">
        <v>0</v>
      </c>
      <c r="J883" t="n">
        <v>0</v>
      </c>
      <c r="K883" t="n">
        <v>0</v>
      </c>
      <c r="L883" t="n">
        <v>0</v>
      </c>
      <c r="M883" t="n">
        <v>0</v>
      </c>
      <c r="N883" t="n">
        <v>0</v>
      </c>
      <c r="O883" t="n">
        <v>0</v>
      </c>
      <c r="P883" t="n">
        <v>0</v>
      </c>
      <c r="Q883" t="n">
        <v>0</v>
      </c>
      <c r="R883" s="2" t="inlineStr"/>
    </row>
    <row r="884" ht="15" customHeight="1">
      <c r="A884" t="inlineStr">
        <is>
          <t>A 7604-2024</t>
        </is>
      </c>
      <c r="B884" s="1" t="n">
        <v>45348</v>
      </c>
      <c r="C884" s="1" t="n">
        <v>46197</v>
      </c>
      <c r="D884" t="inlineStr">
        <is>
          <t>SKÅNE LÄN</t>
        </is>
      </c>
      <c r="E884" t="inlineStr">
        <is>
          <t>HÄSSLEHOLM</t>
        </is>
      </c>
      <c r="G884" t="n">
        <v>11.1</v>
      </c>
      <c r="H884" t="n">
        <v>0</v>
      </c>
      <c r="I884" t="n">
        <v>0</v>
      </c>
      <c r="J884" t="n">
        <v>0</v>
      </c>
      <c r="K884" t="n">
        <v>0</v>
      </c>
      <c r="L884" t="n">
        <v>0</v>
      </c>
      <c r="M884" t="n">
        <v>0</v>
      </c>
      <c r="N884" t="n">
        <v>0</v>
      </c>
      <c r="O884" t="n">
        <v>0</v>
      </c>
      <c r="P884" t="n">
        <v>0</v>
      </c>
      <c r="Q884" t="n">
        <v>0</v>
      </c>
      <c r="R884" s="2" t="inlineStr"/>
    </row>
    <row r="885" ht="15" customHeight="1">
      <c r="A885" t="inlineStr">
        <is>
          <t>A 21673-2026</t>
        </is>
      </c>
      <c r="B885" s="1" t="n">
        <v>46149</v>
      </c>
      <c r="C885" s="1" t="n">
        <v>46197</v>
      </c>
      <c r="D885" t="inlineStr">
        <is>
          <t>SKÅNE LÄN</t>
        </is>
      </c>
      <c r="E885" t="inlineStr">
        <is>
          <t>HÄSSLEHOLM</t>
        </is>
      </c>
      <c r="G885" t="n">
        <v>5</v>
      </c>
      <c r="H885" t="n">
        <v>0</v>
      </c>
      <c r="I885" t="n">
        <v>0</v>
      </c>
      <c r="J885" t="n">
        <v>0</v>
      </c>
      <c r="K885" t="n">
        <v>0</v>
      </c>
      <c r="L885" t="n">
        <v>0</v>
      </c>
      <c r="M885" t="n">
        <v>0</v>
      </c>
      <c r="N885" t="n">
        <v>0</v>
      </c>
      <c r="O885" t="n">
        <v>0</v>
      </c>
      <c r="P885" t="n">
        <v>0</v>
      </c>
      <c r="Q885" t="n">
        <v>0</v>
      </c>
      <c r="R885" s="2" t="inlineStr"/>
    </row>
    <row r="886" ht="15" customHeight="1">
      <c r="A886" t="inlineStr">
        <is>
          <t>A 21674-2026</t>
        </is>
      </c>
      <c r="B886" s="1" t="n">
        <v>46149</v>
      </c>
      <c r="C886" s="1" t="n">
        <v>46197</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21613-2026</t>
        </is>
      </c>
      <c r="B887" s="1" t="n">
        <v>46149</v>
      </c>
      <c r="C887" s="1" t="n">
        <v>46197</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19831-2026</t>
        </is>
      </c>
      <c r="B888" s="1" t="n">
        <v>46135</v>
      </c>
      <c r="C888" s="1" t="n">
        <v>46197</v>
      </c>
      <c r="D888" t="inlineStr">
        <is>
          <t>SKÅNE LÄN</t>
        </is>
      </c>
      <c r="E888" t="inlineStr">
        <is>
          <t>HÄSSLEHOLM</t>
        </is>
      </c>
      <c r="G888" t="n">
        <v>2.8</v>
      </c>
      <c r="H888" t="n">
        <v>0</v>
      </c>
      <c r="I888" t="n">
        <v>0</v>
      </c>
      <c r="J888" t="n">
        <v>0</v>
      </c>
      <c r="K888" t="n">
        <v>0</v>
      </c>
      <c r="L888" t="n">
        <v>0</v>
      </c>
      <c r="M888" t="n">
        <v>0</v>
      </c>
      <c r="N888" t="n">
        <v>0</v>
      </c>
      <c r="O888" t="n">
        <v>0</v>
      </c>
      <c r="P888" t="n">
        <v>0</v>
      </c>
      <c r="Q888" t="n">
        <v>0</v>
      </c>
      <c r="R888" s="2" t="inlineStr"/>
    </row>
    <row r="889" ht="15" customHeight="1">
      <c r="A889" t="inlineStr">
        <is>
          <t>A 21615-2026</t>
        </is>
      </c>
      <c r="B889" s="1" t="n">
        <v>46149</v>
      </c>
      <c r="C889" s="1" t="n">
        <v>46197</v>
      </c>
      <c r="D889" t="inlineStr">
        <is>
          <t>SKÅNE LÄN</t>
        </is>
      </c>
      <c r="E889" t="inlineStr">
        <is>
          <t>HÄSSLEHOLM</t>
        </is>
      </c>
      <c r="G889" t="n">
        <v>1.6</v>
      </c>
      <c r="H889" t="n">
        <v>0</v>
      </c>
      <c r="I889" t="n">
        <v>0</v>
      </c>
      <c r="J889" t="n">
        <v>0</v>
      </c>
      <c r="K889" t="n">
        <v>0</v>
      </c>
      <c r="L889" t="n">
        <v>0</v>
      </c>
      <c r="M889" t="n">
        <v>0</v>
      </c>
      <c r="N889" t="n">
        <v>0</v>
      </c>
      <c r="O889" t="n">
        <v>0</v>
      </c>
      <c r="P889" t="n">
        <v>0</v>
      </c>
      <c r="Q889" t="n">
        <v>0</v>
      </c>
      <c r="R889" s="2" t="inlineStr"/>
    </row>
    <row r="890" ht="15" customHeight="1">
      <c r="A890" t="inlineStr">
        <is>
          <t>A 21668-2026</t>
        </is>
      </c>
      <c r="B890" s="1" t="n">
        <v>46149</v>
      </c>
      <c r="C890" s="1" t="n">
        <v>46197</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24992-2026</t>
        </is>
      </c>
      <c r="B891" s="1" t="n">
        <v>46174</v>
      </c>
      <c r="C891" s="1" t="n">
        <v>46197</v>
      </c>
      <c r="D891" t="inlineStr">
        <is>
          <t>SKÅNE LÄN</t>
        </is>
      </c>
      <c r="E891" t="inlineStr">
        <is>
          <t>HÄSSLEHOLM</t>
        </is>
      </c>
      <c r="G891" t="n">
        <v>10.4</v>
      </c>
      <c r="H891" t="n">
        <v>0</v>
      </c>
      <c r="I891" t="n">
        <v>0</v>
      </c>
      <c r="J891" t="n">
        <v>0</v>
      </c>
      <c r="K891" t="n">
        <v>0</v>
      </c>
      <c r="L891" t="n">
        <v>0</v>
      </c>
      <c r="M891" t="n">
        <v>0</v>
      </c>
      <c r="N891" t="n">
        <v>0</v>
      </c>
      <c r="O891" t="n">
        <v>0</v>
      </c>
      <c r="P891" t="n">
        <v>0</v>
      </c>
      <c r="Q891" t="n">
        <v>0</v>
      </c>
      <c r="R891" s="2" t="inlineStr"/>
    </row>
    <row r="892" ht="15" customHeight="1">
      <c r="A892" t="inlineStr">
        <is>
          <t>A 27946-2026</t>
        </is>
      </c>
      <c r="B892" s="1" t="n">
        <v>46192</v>
      </c>
      <c r="C892" s="1" t="n">
        <v>46197</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21658-2026</t>
        </is>
      </c>
      <c r="B893" s="1" t="n">
        <v>46149</v>
      </c>
      <c r="C893" s="1" t="n">
        <v>46197</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3294-2025</t>
        </is>
      </c>
      <c r="B894" s="1" t="n">
        <v>45679</v>
      </c>
      <c r="C894" s="1" t="n">
        <v>46197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13897-2024</t>
        </is>
      </c>
      <c r="B895" s="1" t="n">
        <v>45391</v>
      </c>
      <c r="C895" s="1" t="n">
        <v>46197</v>
      </c>
      <c r="D895" t="inlineStr">
        <is>
          <t>SKÅNE LÄN</t>
        </is>
      </c>
      <c r="E895" t="inlineStr">
        <is>
          <t>HÄSSLEHOLM</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28277-2026</t>
        </is>
      </c>
      <c r="B896" s="1" t="n">
        <v>46196</v>
      </c>
      <c r="C896" s="1" t="n">
        <v>46197</v>
      </c>
      <c r="D896" t="inlineStr">
        <is>
          <t>SKÅNE LÄN</t>
        </is>
      </c>
      <c r="E896" t="inlineStr">
        <is>
          <t>HÄSSLEHOLM</t>
        </is>
      </c>
      <c r="G896" t="n">
        <v>1.8</v>
      </c>
      <c r="H896" t="n">
        <v>0</v>
      </c>
      <c r="I896" t="n">
        <v>0</v>
      </c>
      <c r="J896" t="n">
        <v>0</v>
      </c>
      <c r="K896" t="n">
        <v>0</v>
      </c>
      <c r="L896" t="n">
        <v>0</v>
      </c>
      <c r="M896" t="n">
        <v>0</v>
      </c>
      <c r="N896" t="n">
        <v>0</v>
      </c>
      <c r="O896" t="n">
        <v>0</v>
      </c>
      <c r="P896" t="n">
        <v>0</v>
      </c>
      <c r="Q896" t="n">
        <v>0</v>
      </c>
      <c r="R896" s="2" t="inlineStr"/>
    </row>
    <row r="897" ht="15" customHeight="1">
      <c r="A897" t="inlineStr">
        <is>
          <t>A 36706-2022</t>
        </is>
      </c>
      <c r="B897" s="1" t="n">
        <v>44805</v>
      </c>
      <c r="C897" s="1" t="n">
        <v>46197</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441-2022</t>
        </is>
      </c>
      <c r="B898" s="1" t="n">
        <v>44565</v>
      </c>
      <c r="C898" s="1" t="n">
        <v>46197</v>
      </c>
      <c r="D898" t="inlineStr">
        <is>
          <t>SKÅNE LÄN</t>
        </is>
      </c>
      <c r="E898" t="inlineStr">
        <is>
          <t>HÄSSLEHOLM</t>
        </is>
      </c>
      <c r="G898" t="n">
        <v>2.1</v>
      </c>
      <c r="H898" t="n">
        <v>0</v>
      </c>
      <c r="I898" t="n">
        <v>0</v>
      </c>
      <c r="J898" t="n">
        <v>0</v>
      </c>
      <c r="K898" t="n">
        <v>0</v>
      </c>
      <c r="L898" t="n">
        <v>0</v>
      </c>
      <c r="M898" t="n">
        <v>0</v>
      </c>
      <c r="N898" t="n">
        <v>0</v>
      </c>
      <c r="O898" t="n">
        <v>0</v>
      </c>
      <c r="P898" t="n">
        <v>0</v>
      </c>
      <c r="Q898" t="n">
        <v>0</v>
      </c>
      <c r="R898" s="2" t="inlineStr"/>
    </row>
    <row r="899" ht="15" customHeight="1">
      <c r="A899" t="inlineStr">
        <is>
          <t>A 3364-2023</t>
        </is>
      </c>
      <c r="B899" s="1" t="n">
        <v>44949</v>
      </c>
      <c r="C899" s="1" t="n">
        <v>46197</v>
      </c>
      <c r="D899" t="inlineStr">
        <is>
          <t>SKÅNE LÄN</t>
        </is>
      </c>
      <c r="E899" t="inlineStr">
        <is>
          <t>HÄSSLEHOLM</t>
        </is>
      </c>
      <c r="G899" t="n">
        <v>5.1</v>
      </c>
      <c r="H899" t="n">
        <v>0</v>
      </c>
      <c r="I899" t="n">
        <v>0</v>
      </c>
      <c r="J899" t="n">
        <v>0</v>
      </c>
      <c r="K899" t="n">
        <v>0</v>
      </c>
      <c r="L899" t="n">
        <v>0</v>
      </c>
      <c r="M899" t="n">
        <v>0</v>
      </c>
      <c r="N899" t="n">
        <v>0</v>
      </c>
      <c r="O899" t="n">
        <v>0</v>
      </c>
      <c r="P899" t="n">
        <v>0</v>
      </c>
      <c r="Q899" t="n">
        <v>0</v>
      </c>
      <c r="R899" s="2" t="inlineStr"/>
    </row>
    <row r="900" ht="15" customHeight="1">
      <c r="A900" t="inlineStr">
        <is>
          <t>A 62417-2025</t>
        </is>
      </c>
      <c r="B900" s="1" t="n">
        <v>46007</v>
      </c>
      <c r="C900" s="1" t="n">
        <v>46197</v>
      </c>
      <c r="D900" t="inlineStr">
        <is>
          <t>SKÅNE LÄN</t>
        </is>
      </c>
      <c r="E900" t="inlineStr">
        <is>
          <t>HÄSSLEHOLM</t>
        </is>
      </c>
      <c r="G900" t="n">
        <v>2</v>
      </c>
      <c r="H900" t="n">
        <v>0</v>
      </c>
      <c r="I900" t="n">
        <v>0</v>
      </c>
      <c r="J900" t="n">
        <v>0</v>
      </c>
      <c r="K900" t="n">
        <v>0</v>
      </c>
      <c r="L900" t="n">
        <v>0</v>
      </c>
      <c r="M900" t="n">
        <v>0</v>
      </c>
      <c r="N900" t="n">
        <v>0</v>
      </c>
      <c r="O900" t="n">
        <v>0</v>
      </c>
      <c r="P900" t="n">
        <v>0</v>
      </c>
      <c r="Q900" t="n">
        <v>0</v>
      </c>
      <c r="R900" s="2" t="inlineStr"/>
    </row>
    <row r="901" ht="15" customHeight="1">
      <c r="A901" t="inlineStr">
        <is>
          <t>A 43629-2023</t>
        </is>
      </c>
      <c r="B901" s="1" t="n">
        <v>45184</v>
      </c>
      <c r="C901" s="1" t="n">
        <v>46197</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57656-2022</t>
        </is>
      </c>
      <c r="B902" s="1" t="n">
        <v>44897</v>
      </c>
      <c r="C902" s="1" t="n">
        <v>46197</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8250-2023</t>
        </is>
      </c>
      <c r="B903" s="1" t="n">
        <v>44974</v>
      </c>
      <c r="C903" s="1" t="n">
        <v>46197</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6101-2022</t>
        </is>
      </c>
      <c r="B904" s="1" t="n">
        <v>44599</v>
      </c>
      <c r="C904" s="1" t="n">
        <v>46197</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28123-2026</t>
        </is>
      </c>
      <c r="B905" s="1" t="n">
        <v>46195</v>
      </c>
      <c r="C905" s="1" t="n">
        <v>46197</v>
      </c>
      <c r="D905" t="inlineStr">
        <is>
          <t>SKÅNE LÄN</t>
        </is>
      </c>
      <c r="E905" t="inlineStr">
        <is>
          <t>HÄSSLEHOLM</t>
        </is>
      </c>
      <c r="G905" t="n">
        <v>1.1</v>
      </c>
      <c r="H905" t="n">
        <v>0</v>
      </c>
      <c r="I905" t="n">
        <v>0</v>
      </c>
      <c r="J905" t="n">
        <v>0</v>
      </c>
      <c r="K905" t="n">
        <v>0</v>
      </c>
      <c r="L905" t="n">
        <v>0</v>
      </c>
      <c r="M905" t="n">
        <v>0</v>
      </c>
      <c r="N905" t="n">
        <v>0</v>
      </c>
      <c r="O905" t="n">
        <v>0</v>
      </c>
      <c r="P905" t="n">
        <v>0</v>
      </c>
      <c r="Q905" t="n">
        <v>0</v>
      </c>
      <c r="R905" s="2" t="inlineStr"/>
    </row>
    <row r="906" ht="15" customHeight="1">
      <c r="A906" t="inlineStr">
        <is>
          <t>A 6842-2023</t>
        </is>
      </c>
      <c r="B906" s="1" t="n">
        <v>44967</v>
      </c>
      <c r="C906" s="1" t="n">
        <v>46197</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7202-2022</t>
        </is>
      </c>
      <c r="B907" s="1" t="n">
        <v>44606</v>
      </c>
      <c r="C907" s="1" t="n">
        <v>46197</v>
      </c>
      <c r="D907" t="inlineStr">
        <is>
          <t>SKÅNE LÄN</t>
        </is>
      </c>
      <c r="E907" t="inlineStr">
        <is>
          <t>HÄSSLEHOLM</t>
        </is>
      </c>
      <c r="G907" t="n">
        <v>4.7</v>
      </c>
      <c r="H907" t="n">
        <v>0</v>
      </c>
      <c r="I907" t="n">
        <v>0</v>
      </c>
      <c r="J907" t="n">
        <v>0</v>
      </c>
      <c r="K907" t="n">
        <v>0</v>
      </c>
      <c r="L907" t="n">
        <v>0</v>
      </c>
      <c r="M907" t="n">
        <v>0</v>
      </c>
      <c r="N907" t="n">
        <v>0</v>
      </c>
      <c r="O907" t="n">
        <v>0</v>
      </c>
      <c r="P907" t="n">
        <v>0</v>
      </c>
      <c r="Q907" t="n">
        <v>0</v>
      </c>
      <c r="R907" s="2" t="inlineStr"/>
    </row>
    <row r="908" ht="15" customHeight="1">
      <c r="A908" t="inlineStr">
        <is>
          <t>A 5054-2022</t>
        </is>
      </c>
      <c r="B908" s="1" t="n">
        <v>44593</v>
      </c>
      <c r="C908" s="1" t="n">
        <v>46197</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49181-2024</t>
        </is>
      </c>
      <c r="B909" s="1" t="n">
        <v>45595</v>
      </c>
      <c r="C909" s="1" t="n">
        <v>46197</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3349-2023</t>
        </is>
      </c>
      <c r="B910" s="1" t="n">
        <v>44949</v>
      </c>
      <c r="C910" s="1" t="n">
        <v>46197</v>
      </c>
      <c r="D910" t="inlineStr">
        <is>
          <t>SKÅNE LÄN</t>
        </is>
      </c>
      <c r="E910" t="inlineStr">
        <is>
          <t>HÄSSLEHOLM</t>
        </is>
      </c>
      <c r="G910" t="n">
        <v>2.3</v>
      </c>
      <c r="H910" t="n">
        <v>0</v>
      </c>
      <c r="I910" t="n">
        <v>0</v>
      </c>
      <c r="J910" t="n">
        <v>0</v>
      </c>
      <c r="K910" t="n">
        <v>0</v>
      </c>
      <c r="L910" t="n">
        <v>0</v>
      </c>
      <c r="M910" t="n">
        <v>0</v>
      </c>
      <c r="N910" t="n">
        <v>0</v>
      </c>
      <c r="O910" t="n">
        <v>0</v>
      </c>
      <c r="P910" t="n">
        <v>0</v>
      </c>
      <c r="Q910" t="n">
        <v>0</v>
      </c>
      <c r="R910" s="2" t="inlineStr"/>
    </row>
    <row r="911" ht="15" customHeight="1">
      <c r="A911" t="inlineStr">
        <is>
          <t>A 60959-2022</t>
        </is>
      </c>
      <c r="B911" s="1" t="n">
        <v>44914</v>
      </c>
      <c r="C911" s="1" t="n">
        <v>46197</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3746-2024</t>
        </is>
      </c>
      <c r="B912" s="1" t="n">
        <v>45321</v>
      </c>
      <c r="C912" s="1" t="n">
        <v>46197</v>
      </c>
      <c r="D912" t="inlineStr">
        <is>
          <t>SKÅNE LÄN</t>
        </is>
      </c>
      <c r="E912" t="inlineStr">
        <is>
          <t>HÄSSLEHOLM</t>
        </is>
      </c>
      <c r="G912" t="n">
        <v>3.4</v>
      </c>
      <c r="H912" t="n">
        <v>0</v>
      </c>
      <c r="I912" t="n">
        <v>0</v>
      </c>
      <c r="J912" t="n">
        <v>0</v>
      </c>
      <c r="K912" t="n">
        <v>0</v>
      </c>
      <c r="L912" t="n">
        <v>0</v>
      </c>
      <c r="M912" t="n">
        <v>0</v>
      </c>
      <c r="N912" t="n">
        <v>0</v>
      </c>
      <c r="O912" t="n">
        <v>0</v>
      </c>
      <c r="P912" t="n">
        <v>0</v>
      </c>
      <c r="Q912" t="n">
        <v>0</v>
      </c>
      <c r="R912" s="2" t="inlineStr"/>
    </row>
    <row r="913" ht="15" customHeight="1">
      <c r="A913" t="inlineStr">
        <is>
          <t>A 44262-2021</t>
        </is>
      </c>
      <c r="B913" s="1" t="n">
        <v>44434</v>
      </c>
      <c r="C913" s="1" t="n">
        <v>46197</v>
      </c>
      <c r="D913" t="inlineStr">
        <is>
          <t>SKÅNE LÄN</t>
        </is>
      </c>
      <c r="E913" t="inlineStr">
        <is>
          <t>HÄSSLEHOLM</t>
        </is>
      </c>
      <c r="G913" t="n">
        <v>4.7</v>
      </c>
      <c r="H913" t="n">
        <v>0</v>
      </c>
      <c r="I913" t="n">
        <v>0</v>
      </c>
      <c r="J913" t="n">
        <v>0</v>
      </c>
      <c r="K913" t="n">
        <v>0</v>
      </c>
      <c r="L913" t="n">
        <v>0</v>
      </c>
      <c r="M913" t="n">
        <v>0</v>
      </c>
      <c r="N913" t="n">
        <v>0</v>
      </c>
      <c r="O913" t="n">
        <v>0</v>
      </c>
      <c r="P913" t="n">
        <v>0</v>
      </c>
      <c r="Q913" t="n">
        <v>0</v>
      </c>
      <c r="R913" s="2" t="inlineStr"/>
    </row>
    <row r="914" ht="15" customHeight="1">
      <c r="A914" t="inlineStr">
        <is>
          <t>A 1553-2023</t>
        </is>
      </c>
      <c r="B914" s="1" t="n">
        <v>44937</v>
      </c>
      <c r="C914" s="1" t="n">
        <v>46197</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3452-2023</t>
        </is>
      </c>
      <c r="B915" s="1" t="n">
        <v>44949</v>
      </c>
      <c r="C915" s="1" t="n">
        <v>46197</v>
      </c>
      <c r="D915" t="inlineStr">
        <is>
          <t>SKÅNE LÄN</t>
        </is>
      </c>
      <c r="E915" t="inlineStr">
        <is>
          <t>HÄSSLEHOLM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2596-2024</t>
        </is>
      </c>
      <c r="B916" s="1" t="n">
        <v>45313</v>
      </c>
      <c r="C916" s="1" t="n">
        <v>46197</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2681-2024</t>
        </is>
      </c>
      <c r="B917" s="1" t="n">
        <v>45314</v>
      </c>
      <c r="C917" s="1" t="n">
        <v>46197</v>
      </c>
      <c r="D917" t="inlineStr">
        <is>
          <t>SKÅNE LÄN</t>
        </is>
      </c>
      <c r="E917" t="inlineStr">
        <is>
          <t>HÄSSLEHOLM</t>
        </is>
      </c>
      <c r="F917" t="inlineStr">
        <is>
          <t>Övriga Aktiebolag</t>
        </is>
      </c>
      <c r="G917" t="n">
        <v>1.4</v>
      </c>
      <c r="H917" t="n">
        <v>0</v>
      </c>
      <c r="I917" t="n">
        <v>0</v>
      </c>
      <c r="J917" t="n">
        <v>0</v>
      </c>
      <c r="K917" t="n">
        <v>0</v>
      </c>
      <c r="L917" t="n">
        <v>0</v>
      </c>
      <c r="M917" t="n">
        <v>0</v>
      </c>
      <c r="N917" t="n">
        <v>0</v>
      </c>
      <c r="O917" t="n">
        <v>0</v>
      </c>
      <c r="P917" t="n">
        <v>0</v>
      </c>
      <c r="Q917" t="n">
        <v>0</v>
      </c>
      <c r="R917" s="2" t="inlineStr"/>
    </row>
    <row r="918" ht="15" customHeight="1">
      <c r="A918" t="inlineStr">
        <is>
          <t>A 4187-2023</t>
        </is>
      </c>
      <c r="B918" s="1" t="n">
        <v>44953</v>
      </c>
      <c r="C918" s="1" t="n">
        <v>46197</v>
      </c>
      <c r="D918" t="inlineStr">
        <is>
          <t>SKÅNE LÄN</t>
        </is>
      </c>
      <c r="E918" t="inlineStr">
        <is>
          <t>HÄSSLEHOLM</t>
        </is>
      </c>
      <c r="G918" t="n">
        <v>3.2</v>
      </c>
      <c r="H918" t="n">
        <v>0</v>
      </c>
      <c r="I918" t="n">
        <v>0</v>
      </c>
      <c r="J918" t="n">
        <v>0</v>
      </c>
      <c r="K918" t="n">
        <v>0</v>
      </c>
      <c r="L918" t="n">
        <v>0</v>
      </c>
      <c r="M918" t="n">
        <v>0</v>
      </c>
      <c r="N918" t="n">
        <v>0</v>
      </c>
      <c r="O918" t="n">
        <v>0</v>
      </c>
      <c r="P918" t="n">
        <v>0</v>
      </c>
      <c r="Q918" t="n">
        <v>0</v>
      </c>
      <c r="R918" s="2" t="inlineStr"/>
    </row>
    <row r="919" ht="15" customHeight="1">
      <c r="A919" t="inlineStr">
        <is>
          <t>A 4382-2023</t>
        </is>
      </c>
      <c r="B919" s="1" t="n">
        <v>44955</v>
      </c>
      <c r="C919" s="1" t="n">
        <v>46197</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49107-2023</t>
        </is>
      </c>
      <c r="B920" s="1" t="n">
        <v>45210</v>
      </c>
      <c r="C920" s="1" t="n">
        <v>46197</v>
      </c>
      <c r="D920" t="inlineStr">
        <is>
          <t>SKÅNE LÄN</t>
        </is>
      </c>
      <c r="E920" t="inlineStr">
        <is>
          <t>HÄSSLEHOLM</t>
        </is>
      </c>
      <c r="G920" t="n">
        <v>0.3</v>
      </c>
      <c r="H920" t="n">
        <v>0</v>
      </c>
      <c r="I920" t="n">
        <v>0</v>
      </c>
      <c r="J920" t="n">
        <v>0</v>
      </c>
      <c r="K920" t="n">
        <v>0</v>
      </c>
      <c r="L920" t="n">
        <v>0</v>
      </c>
      <c r="M920" t="n">
        <v>0</v>
      </c>
      <c r="N920" t="n">
        <v>0</v>
      </c>
      <c r="O920" t="n">
        <v>0</v>
      </c>
      <c r="P920" t="n">
        <v>0</v>
      </c>
      <c r="Q920" t="n">
        <v>0</v>
      </c>
      <c r="R920" s="2" t="inlineStr"/>
    </row>
    <row r="921" ht="15" customHeight="1">
      <c r="A921" t="inlineStr">
        <is>
          <t>A 5282-2023</t>
        </is>
      </c>
      <c r="B921" s="1" t="n">
        <v>44959</v>
      </c>
      <c r="C921" s="1" t="n">
        <v>46197</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53897-2023</t>
        </is>
      </c>
      <c r="B922" s="1" t="n">
        <v>45231</v>
      </c>
      <c r="C922" s="1" t="n">
        <v>46197</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20990-2023</t>
        </is>
      </c>
      <c r="B923" s="1" t="n">
        <v>45061</v>
      </c>
      <c r="C923" s="1" t="n">
        <v>46197</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22696-2023</t>
        </is>
      </c>
      <c r="B924" s="1" t="n">
        <v>45071</v>
      </c>
      <c r="C924" s="1" t="n">
        <v>46197</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33873-2021</t>
        </is>
      </c>
      <c r="B925" s="1" t="n">
        <v>44378</v>
      </c>
      <c r="C925" s="1" t="n">
        <v>46197</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34348-2022</t>
        </is>
      </c>
      <c r="B926" s="1" t="n">
        <v>44792</v>
      </c>
      <c r="C926" s="1" t="n">
        <v>46197</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6836-2023</t>
        </is>
      </c>
      <c r="B927" s="1" t="n">
        <v>44967</v>
      </c>
      <c r="C927" s="1" t="n">
        <v>46197</v>
      </c>
      <c r="D927" t="inlineStr">
        <is>
          <t>SKÅNE LÄN</t>
        </is>
      </c>
      <c r="E927" t="inlineStr">
        <is>
          <t>HÄSSLEHOLM</t>
        </is>
      </c>
      <c r="G927" t="n">
        <v>3.5</v>
      </c>
      <c r="H927" t="n">
        <v>0</v>
      </c>
      <c r="I927" t="n">
        <v>0</v>
      </c>
      <c r="J927" t="n">
        <v>0</v>
      </c>
      <c r="K927" t="n">
        <v>0</v>
      </c>
      <c r="L927" t="n">
        <v>0</v>
      </c>
      <c r="M927" t="n">
        <v>0</v>
      </c>
      <c r="N927" t="n">
        <v>0</v>
      </c>
      <c r="O927" t="n">
        <v>0</v>
      </c>
      <c r="P927" t="n">
        <v>0</v>
      </c>
      <c r="Q927" t="n">
        <v>0</v>
      </c>
      <c r="R927" s="2" t="inlineStr"/>
    </row>
    <row r="928" ht="15" customHeight="1">
      <c r="A928" t="inlineStr">
        <is>
          <t>A 31931-2024</t>
        </is>
      </c>
      <c r="B928" s="1" t="n">
        <v>45510</v>
      </c>
      <c r="C928" s="1" t="n">
        <v>46197</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8803-2023</t>
        </is>
      </c>
      <c r="B929" s="1" t="n">
        <v>44978</v>
      </c>
      <c r="C929" s="1" t="n">
        <v>46197</v>
      </c>
      <c r="D929" t="inlineStr">
        <is>
          <t>SKÅNE LÄN</t>
        </is>
      </c>
      <c r="E929" t="inlineStr">
        <is>
          <t>HÄSSLEHOLM</t>
        </is>
      </c>
      <c r="G929" t="n">
        <v>1.1</v>
      </c>
      <c r="H929" t="n">
        <v>0</v>
      </c>
      <c r="I929" t="n">
        <v>0</v>
      </c>
      <c r="J929" t="n">
        <v>0</v>
      </c>
      <c r="K929" t="n">
        <v>0</v>
      </c>
      <c r="L929" t="n">
        <v>0</v>
      </c>
      <c r="M929" t="n">
        <v>0</v>
      </c>
      <c r="N929" t="n">
        <v>0</v>
      </c>
      <c r="O929" t="n">
        <v>0</v>
      </c>
      <c r="P929" t="n">
        <v>0</v>
      </c>
      <c r="Q929" t="n">
        <v>0</v>
      </c>
      <c r="R929" s="2" t="inlineStr"/>
    </row>
    <row r="930" ht="15" customHeight="1">
      <c r="A930" t="inlineStr">
        <is>
          <t>A 11681-2023</t>
        </is>
      </c>
      <c r="B930" s="1" t="n">
        <v>44992</v>
      </c>
      <c r="C930" s="1" t="n">
        <v>46197</v>
      </c>
      <c r="D930" t="inlineStr">
        <is>
          <t>SKÅNE LÄN</t>
        </is>
      </c>
      <c r="E930" t="inlineStr">
        <is>
          <t>HÄSSLEHOLM</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46222-2022</t>
        </is>
      </c>
      <c r="B931" s="1" t="n">
        <v>44847</v>
      </c>
      <c r="C931" s="1" t="n">
        <v>46197</v>
      </c>
      <c r="D931" t="inlineStr">
        <is>
          <t>SKÅNE LÄN</t>
        </is>
      </c>
      <c r="E931" t="inlineStr">
        <is>
          <t>HÄSSLEHOLM</t>
        </is>
      </c>
      <c r="G931" t="n">
        <v>6.3</v>
      </c>
      <c r="H931" t="n">
        <v>0</v>
      </c>
      <c r="I931" t="n">
        <v>0</v>
      </c>
      <c r="J931" t="n">
        <v>0</v>
      </c>
      <c r="K931" t="n">
        <v>0</v>
      </c>
      <c r="L931" t="n">
        <v>0</v>
      </c>
      <c r="M931" t="n">
        <v>0</v>
      </c>
      <c r="N931" t="n">
        <v>0</v>
      </c>
      <c r="O931" t="n">
        <v>0</v>
      </c>
      <c r="P931" t="n">
        <v>0</v>
      </c>
      <c r="Q931" t="n">
        <v>0</v>
      </c>
      <c r="R931" s="2" t="inlineStr"/>
    </row>
    <row r="932" ht="15" customHeight="1">
      <c r="A932" t="inlineStr">
        <is>
          <t>A 50249-2024</t>
        </is>
      </c>
      <c r="B932" s="1" t="n">
        <v>45600</v>
      </c>
      <c r="C932" s="1" t="n">
        <v>46197</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60843-2022</t>
        </is>
      </c>
      <c r="B933" s="1" t="n">
        <v>44914</v>
      </c>
      <c r="C933" s="1" t="n">
        <v>46197</v>
      </c>
      <c r="D933" t="inlineStr">
        <is>
          <t>SKÅNE LÄN</t>
        </is>
      </c>
      <c r="E933" t="inlineStr">
        <is>
          <t>HÄSSLEHOLM</t>
        </is>
      </c>
      <c r="G933" t="n">
        <v>2.2</v>
      </c>
      <c r="H933" t="n">
        <v>0</v>
      </c>
      <c r="I933" t="n">
        <v>0</v>
      </c>
      <c r="J933" t="n">
        <v>0</v>
      </c>
      <c r="K933" t="n">
        <v>0</v>
      </c>
      <c r="L933" t="n">
        <v>0</v>
      </c>
      <c r="M933" t="n">
        <v>0</v>
      </c>
      <c r="N933" t="n">
        <v>0</v>
      </c>
      <c r="O933" t="n">
        <v>0</v>
      </c>
      <c r="P933" t="n">
        <v>0</v>
      </c>
      <c r="Q933" t="n">
        <v>0</v>
      </c>
      <c r="R933" s="2" t="inlineStr"/>
    </row>
    <row r="934" ht="15" customHeight="1">
      <c r="A934" t="inlineStr">
        <is>
          <t>A 51040-2024</t>
        </is>
      </c>
      <c r="B934" s="1" t="n">
        <v>45603</v>
      </c>
      <c r="C934" s="1" t="n">
        <v>46197</v>
      </c>
      <c r="D934" t="inlineStr">
        <is>
          <t>SKÅNE LÄN</t>
        </is>
      </c>
      <c r="E934" t="inlineStr">
        <is>
          <t>HÄSSLEHOLM</t>
        </is>
      </c>
      <c r="G934" t="n">
        <v>2.7</v>
      </c>
      <c r="H934" t="n">
        <v>0</v>
      </c>
      <c r="I934" t="n">
        <v>0</v>
      </c>
      <c r="J934" t="n">
        <v>0</v>
      </c>
      <c r="K934" t="n">
        <v>0</v>
      </c>
      <c r="L934" t="n">
        <v>0</v>
      </c>
      <c r="M934" t="n">
        <v>0</v>
      </c>
      <c r="N934" t="n">
        <v>0</v>
      </c>
      <c r="O934" t="n">
        <v>0</v>
      </c>
      <c r="P934" t="n">
        <v>0</v>
      </c>
      <c r="Q934" t="n">
        <v>0</v>
      </c>
      <c r="R934" s="2" t="inlineStr"/>
    </row>
    <row r="935" ht="15" customHeight="1">
      <c r="A935" t="inlineStr">
        <is>
          <t>A 56881-2021</t>
        </is>
      </c>
      <c r="B935" s="1" t="n">
        <v>44481</v>
      </c>
      <c r="C935" s="1" t="n">
        <v>46197</v>
      </c>
      <c r="D935" t="inlineStr">
        <is>
          <t>SKÅNE LÄN</t>
        </is>
      </c>
      <c r="E935" t="inlineStr">
        <is>
          <t>HÄSSLEHOLM</t>
        </is>
      </c>
      <c r="G935" t="n">
        <v>0.4</v>
      </c>
      <c r="H935" t="n">
        <v>0</v>
      </c>
      <c r="I935" t="n">
        <v>0</v>
      </c>
      <c r="J935" t="n">
        <v>0</v>
      </c>
      <c r="K935" t="n">
        <v>0</v>
      </c>
      <c r="L935" t="n">
        <v>0</v>
      </c>
      <c r="M935" t="n">
        <v>0</v>
      </c>
      <c r="N935" t="n">
        <v>0</v>
      </c>
      <c r="O935" t="n">
        <v>0</v>
      </c>
      <c r="P935" t="n">
        <v>0</v>
      </c>
      <c r="Q935" t="n">
        <v>0</v>
      </c>
      <c r="R935" s="2" t="inlineStr"/>
    </row>
    <row r="936" ht="15" customHeight="1">
      <c r="A936" t="inlineStr">
        <is>
          <t>A 56956-2024</t>
        </is>
      </c>
      <c r="B936" s="1" t="n">
        <v>45626</v>
      </c>
      <c r="C936" s="1" t="n">
        <v>46197</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45392-2024</t>
        </is>
      </c>
      <c r="B937" s="1" t="n">
        <v>45576</v>
      </c>
      <c r="C937" s="1" t="n">
        <v>46197</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20187-2023</t>
        </is>
      </c>
      <c r="B938" s="1" t="n">
        <v>45055</v>
      </c>
      <c r="C938" s="1" t="n">
        <v>46197</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37038-2022</t>
        </is>
      </c>
      <c r="B939" s="1" t="n">
        <v>44806</v>
      </c>
      <c r="C939" s="1" t="n">
        <v>46197</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16454-2023</t>
        </is>
      </c>
      <c r="B940" s="1" t="n">
        <v>45029</v>
      </c>
      <c r="C940" s="1" t="n">
        <v>46197</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31572-2022</t>
        </is>
      </c>
      <c r="B941" s="1" t="n">
        <v>44775</v>
      </c>
      <c r="C941" s="1" t="n">
        <v>46197</v>
      </c>
      <c r="D941" t="inlineStr">
        <is>
          <t>SKÅNE LÄN</t>
        </is>
      </c>
      <c r="E941" t="inlineStr">
        <is>
          <t>HÄSSLEHOLM</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70087-2021</t>
        </is>
      </c>
      <c r="B942" s="1" t="n">
        <v>44533</v>
      </c>
      <c r="C942" s="1" t="n">
        <v>46197</v>
      </c>
      <c r="D942" t="inlineStr">
        <is>
          <t>SKÅNE LÄN</t>
        </is>
      </c>
      <c r="E942" t="inlineStr">
        <is>
          <t>HÄSSLEHOLM</t>
        </is>
      </c>
      <c r="G942" t="n">
        <v>5</v>
      </c>
      <c r="H942" t="n">
        <v>0</v>
      </c>
      <c r="I942" t="n">
        <v>0</v>
      </c>
      <c r="J942" t="n">
        <v>0</v>
      </c>
      <c r="K942" t="n">
        <v>0</v>
      </c>
      <c r="L942" t="n">
        <v>0</v>
      </c>
      <c r="M942" t="n">
        <v>0</v>
      </c>
      <c r="N942" t="n">
        <v>0</v>
      </c>
      <c r="O942" t="n">
        <v>0</v>
      </c>
      <c r="P942" t="n">
        <v>0</v>
      </c>
      <c r="Q942" t="n">
        <v>0</v>
      </c>
      <c r="R942" s="2" t="inlineStr"/>
    </row>
    <row r="943" ht="15" customHeight="1">
      <c r="A943" t="inlineStr">
        <is>
          <t>A 9375-2023</t>
        </is>
      </c>
      <c r="B943" s="1" t="n">
        <v>44981</v>
      </c>
      <c r="C943" s="1" t="n">
        <v>46197</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29287-2023</t>
        </is>
      </c>
      <c r="B944" s="1" t="n">
        <v>45098</v>
      </c>
      <c r="C944" s="1" t="n">
        <v>46197</v>
      </c>
      <c r="D944" t="inlineStr">
        <is>
          <t>SKÅNE LÄN</t>
        </is>
      </c>
      <c r="E944" t="inlineStr">
        <is>
          <t>HÄSSLEHOLM</t>
        </is>
      </c>
      <c r="G944" t="n">
        <v>5.7</v>
      </c>
      <c r="H944" t="n">
        <v>0</v>
      </c>
      <c r="I944" t="n">
        <v>0</v>
      </c>
      <c r="J944" t="n">
        <v>0</v>
      </c>
      <c r="K944" t="n">
        <v>0</v>
      </c>
      <c r="L944" t="n">
        <v>0</v>
      </c>
      <c r="M944" t="n">
        <v>0</v>
      </c>
      <c r="N944" t="n">
        <v>0</v>
      </c>
      <c r="O944" t="n">
        <v>0</v>
      </c>
      <c r="P944" t="n">
        <v>0</v>
      </c>
      <c r="Q944" t="n">
        <v>0</v>
      </c>
      <c r="R944" s="2" t="inlineStr"/>
    </row>
    <row r="945" ht="15" customHeight="1">
      <c r="A945" t="inlineStr">
        <is>
          <t>A 55416-2021</t>
        </is>
      </c>
      <c r="B945" s="1" t="n">
        <v>44475</v>
      </c>
      <c r="C945" s="1" t="n">
        <v>46197</v>
      </c>
      <c r="D945" t="inlineStr">
        <is>
          <t>SKÅNE LÄN</t>
        </is>
      </c>
      <c r="E945" t="inlineStr">
        <is>
          <t>HÄSSLEHOLM</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60509-2023</t>
        </is>
      </c>
      <c r="B946" s="1" t="n">
        <v>45259</v>
      </c>
      <c r="C946" s="1" t="n">
        <v>46197</v>
      </c>
      <c r="D946" t="inlineStr">
        <is>
          <t>SKÅNE LÄN</t>
        </is>
      </c>
      <c r="E946" t="inlineStr">
        <is>
          <t>HÄSSLEHOLM</t>
        </is>
      </c>
      <c r="F946" t="inlineStr">
        <is>
          <t>Övriga Aktiebolag</t>
        </is>
      </c>
      <c r="G946" t="n">
        <v>0.5</v>
      </c>
      <c r="H946" t="n">
        <v>0</v>
      </c>
      <c r="I946" t="n">
        <v>0</v>
      </c>
      <c r="J946" t="n">
        <v>0</v>
      </c>
      <c r="K946" t="n">
        <v>0</v>
      </c>
      <c r="L946" t="n">
        <v>0</v>
      </c>
      <c r="M946" t="n">
        <v>0</v>
      </c>
      <c r="N946" t="n">
        <v>0</v>
      </c>
      <c r="O946" t="n">
        <v>0</v>
      </c>
      <c r="P946" t="n">
        <v>0</v>
      </c>
      <c r="Q946" t="n">
        <v>0</v>
      </c>
      <c r="R946" s="2" t="inlineStr"/>
    </row>
    <row r="947" ht="15" customHeight="1">
      <c r="A947" t="inlineStr">
        <is>
          <t>A 9485-2023</t>
        </is>
      </c>
      <c r="B947" s="1" t="n">
        <v>44981</v>
      </c>
      <c r="C947" s="1" t="n">
        <v>46197</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9502-2023</t>
        </is>
      </c>
      <c r="B948" s="1" t="n">
        <v>44981</v>
      </c>
      <c r="C948" s="1" t="n">
        <v>46197</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10928-2024</t>
        </is>
      </c>
      <c r="B949" s="1" t="n">
        <v>45370</v>
      </c>
      <c r="C949" s="1" t="n">
        <v>46197</v>
      </c>
      <c r="D949" t="inlineStr">
        <is>
          <t>SKÅNE LÄN</t>
        </is>
      </c>
      <c r="E949" t="inlineStr">
        <is>
          <t>HÄSSLEHOLM</t>
        </is>
      </c>
      <c r="F949" t="inlineStr">
        <is>
          <t>Övriga Aktiebolag</t>
        </is>
      </c>
      <c r="G949" t="n">
        <v>0.5</v>
      </c>
      <c r="H949" t="n">
        <v>0</v>
      </c>
      <c r="I949" t="n">
        <v>0</v>
      </c>
      <c r="J949" t="n">
        <v>0</v>
      </c>
      <c r="K949" t="n">
        <v>0</v>
      </c>
      <c r="L949" t="n">
        <v>0</v>
      </c>
      <c r="M949" t="n">
        <v>0</v>
      </c>
      <c r="N949" t="n">
        <v>0</v>
      </c>
      <c r="O949" t="n">
        <v>0</v>
      </c>
      <c r="P949" t="n">
        <v>0</v>
      </c>
      <c r="Q949" t="n">
        <v>0</v>
      </c>
      <c r="R949" s="2" t="inlineStr"/>
    </row>
    <row r="950" ht="15" customHeight="1">
      <c r="A950" t="inlineStr">
        <is>
          <t>A 5890-2023</t>
        </is>
      </c>
      <c r="B950" s="1" t="n">
        <v>44963</v>
      </c>
      <c r="C950" s="1" t="n">
        <v>46197</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5894-2023</t>
        </is>
      </c>
      <c r="B951" s="1" t="n">
        <v>44963</v>
      </c>
      <c r="C951" s="1" t="n">
        <v>46197</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12843-2023</t>
        </is>
      </c>
      <c r="B952" s="1" t="n">
        <v>45001</v>
      </c>
      <c r="C952" s="1" t="n">
        <v>46197</v>
      </c>
      <c r="D952" t="inlineStr">
        <is>
          <t>SKÅNE LÄN</t>
        </is>
      </c>
      <c r="E952" t="inlineStr">
        <is>
          <t>HÄSSLEHOLM</t>
        </is>
      </c>
      <c r="G952" t="n">
        <v>3.9</v>
      </c>
      <c r="H952" t="n">
        <v>0</v>
      </c>
      <c r="I952" t="n">
        <v>0</v>
      </c>
      <c r="J952" t="n">
        <v>0</v>
      </c>
      <c r="K952" t="n">
        <v>0</v>
      </c>
      <c r="L952" t="n">
        <v>0</v>
      </c>
      <c r="M952" t="n">
        <v>0</v>
      </c>
      <c r="N952" t="n">
        <v>0</v>
      </c>
      <c r="O952" t="n">
        <v>0</v>
      </c>
      <c r="P952" t="n">
        <v>0</v>
      </c>
      <c r="Q952" t="n">
        <v>0</v>
      </c>
      <c r="R952" s="2" t="inlineStr"/>
    </row>
    <row r="953" ht="15" customHeight="1">
      <c r="A953" t="inlineStr">
        <is>
          <t>A 10944-2024</t>
        </is>
      </c>
      <c r="B953" s="1" t="n">
        <v>45370</v>
      </c>
      <c r="C953" s="1" t="n">
        <v>46197</v>
      </c>
      <c r="D953" t="inlineStr">
        <is>
          <t>SKÅNE LÄN</t>
        </is>
      </c>
      <c r="E953" t="inlineStr">
        <is>
          <t>HÄSSLEHOLM</t>
        </is>
      </c>
      <c r="F953" t="inlineStr">
        <is>
          <t>Övriga Aktiebolag</t>
        </is>
      </c>
      <c r="G953" t="n">
        <v>2.6</v>
      </c>
      <c r="H953" t="n">
        <v>0</v>
      </c>
      <c r="I953" t="n">
        <v>0</v>
      </c>
      <c r="J953" t="n">
        <v>0</v>
      </c>
      <c r="K953" t="n">
        <v>0</v>
      </c>
      <c r="L953" t="n">
        <v>0</v>
      </c>
      <c r="M953" t="n">
        <v>0</v>
      </c>
      <c r="N953" t="n">
        <v>0</v>
      </c>
      <c r="O953" t="n">
        <v>0</v>
      </c>
      <c r="P953" t="n">
        <v>0</v>
      </c>
      <c r="Q953" t="n">
        <v>0</v>
      </c>
      <c r="R953" s="2" t="inlineStr"/>
    </row>
    <row r="954" ht="15" customHeight="1">
      <c r="A954" t="inlineStr">
        <is>
          <t>A 5980-2024</t>
        </is>
      </c>
      <c r="B954" s="1" t="n">
        <v>45335</v>
      </c>
      <c r="C954" s="1" t="n">
        <v>46197</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42372-2024</t>
        </is>
      </c>
      <c r="B955" s="1" t="n">
        <v>45564</v>
      </c>
      <c r="C955" s="1" t="n">
        <v>46197</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17699-2024</t>
        </is>
      </c>
      <c r="B956" s="1" t="n">
        <v>45418</v>
      </c>
      <c r="C956" s="1" t="n">
        <v>46197</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17702-2024</t>
        </is>
      </c>
      <c r="B957" s="1" t="n">
        <v>45418</v>
      </c>
      <c r="C957" s="1" t="n">
        <v>46197</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20566-2023</t>
        </is>
      </c>
      <c r="B958" s="1" t="n">
        <v>45057</v>
      </c>
      <c r="C958" s="1" t="n">
        <v>46197</v>
      </c>
      <c r="D958" t="inlineStr">
        <is>
          <t>SKÅNE LÄN</t>
        </is>
      </c>
      <c r="E958" t="inlineStr">
        <is>
          <t>HÄSSLEHOLM</t>
        </is>
      </c>
      <c r="G958" t="n">
        <v>5.2</v>
      </c>
      <c r="H958" t="n">
        <v>0</v>
      </c>
      <c r="I958" t="n">
        <v>0</v>
      </c>
      <c r="J958" t="n">
        <v>0</v>
      </c>
      <c r="K958" t="n">
        <v>0</v>
      </c>
      <c r="L958" t="n">
        <v>0</v>
      </c>
      <c r="M958" t="n">
        <v>0</v>
      </c>
      <c r="N958" t="n">
        <v>0</v>
      </c>
      <c r="O958" t="n">
        <v>0</v>
      </c>
      <c r="P958" t="n">
        <v>0</v>
      </c>
      <c r="Q958" t="n">
        <v>0</v>
      </c>
      <c r="R958" s="2" t="inlineStr"/>
    </row>
    <row r="959" ht="15" customHeight="1">
      <c r="A959" t="inlineStr">
        <is>
          <t>A 32967-2023</t>
        </is>
      </c>
      <c r="B959" s="1" t="n">
        <v>45125</v>
      </c>
      <c r="C959" s="1" t="n">
        <v>46197</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32968-2023</t>
        </is>
      </c>
      <c r="B960" s="1" t="n">
        <v>45125</v>
      </c>
      <c r="C960" s="1" t="n">
        <v>46197</v>
      </c>
      <c r="D960" t="inlineStr">
        <is>
          <t>SKÅNE LÄN</t>
        </is>
      </c>
      <c r="E960" t="inlineStr">
        <is>
          <t>HÄSSLEHOLM</t>
        </is>
      </c>
      <c r="G960" t="n">
        <v>1.7</v>
      </c>
      <c r="H960" t="n">
        <v>0</v>
      </c>
      <c r="I960" t="n">
        <v>0</v>
      </c>
      <c r="J960" t="n">
        <v>0</v>
      </c>
      <c r="K960" t="n">
        <v>0</v>
      </c>
      <c r="L960" t="n">
        <v>0</v>
      </c>
      <c r="M960" t="n">
        <v>0</v>
      </c>
      <c r="N960" t="n">
        <v>0</v>
      </c>
      <c r="O960" t="n">
        <v>0</v>
      </c>
      <c r="P960" t="n">
        <v>0</v>
      </c>
      <c r="Q960" t="n">
        <v>0</v>
      </c>
      <c r="R960" s="2" t="inlineStr"/>
    </row>
    <row r="961" ht="15" customHeight="1">
      <c r="A961" t="inlineStr">
        <is>
          <t>A 42231-2022</t>
        </is>
      </c>
      <c r="B961" s="1" t="n">
        <v>44830</v>
      </c>
      <c r="C961" s="1" t="n">
        <v>46197</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54982-2024</t>
        </is>
      </c>
      <c r="B962" s="1" t="n">
        <v>45620</v>
      </c>
      <c r="C962" s="1" t="n">
        <v>46197</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36795-2023</t>
        </is>
      </c>
      <c r="B963" s="1" t="n">
        <v>45154</v>
      </c>
      <c r="C963" s="1" t="n">
        <v>46197</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12584-2025</t>
        </is>
      </c>
      <c r="B964" s="1" t="n">
        <v>45732</v>
      </c>
      <c r="C964" s="1" t="n">
        <v>46197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31998-2023</t>
        </is>
      </c>
      <c r="B965" s="1" t="n">
        <v>45119</v>
      </c>
      <c r="C965" s="1" t="n">
        <v>46197</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4140-2023</t>
        </is>
      </c>
      <c r="B966" s="1" t="n">
        <v>44953</v>
      </c>
      <c r="C966" s="1" t="n">
        <v>46197</v>
      </c>
      <c r="D966" t="inlineStr">
        <is>
          <t>SKÅNE LÄN</t>
        </is>
      </c>
      <c r="E966" t="inlineStr">
        <is>
          <t>HÄSSLEHOLM</t>
        </is>
      </c>
      <c r="G966" t="n">
        <v>10.6</v>
      </c>
      <c r="H966" t="n">
        <v>0</v>
      </c>
      <c r="I966" t="n">
        <v>0</v>
      </c>
      <c r="J966" t="n">
        <v>0</v>
      </c>
      <c r="K966" t="n">
        <v>0</v>
      </c>
      <c r="L966" t="n">
        <v>0</v>
      </c>
      <c r="M966" t="n">
        <v>0</v>
      </c>
      <c r="N966" t="n">
        <v>0</v>
      </c>
      <c r="O966" t="n">
        <v>0</v>
      </c>
      <c r="P966" t="n">
        <v>0</v>
      </c>
      <c r="Q966" t="n">
        <v>0</v>
      </c>
      <c r="R966" s="2" t="inlineStr"/>
    </row>
    <row r="967" ht="15" customHeight="1">
      <c r="A967" t="inlineStr">
        <is>
          <t>A 25077-2024</t>
        </is>
      </c>
      <c r="B967" s="1" t="n">
        <v>45462</v>
      </c>
      <c r="C967" s="1" t="n">
        <v>46197</v>
      </c>
      <c r="D967" t="inlineStr">
        <is>
          <t>SKÅNE LÄN</t>
        </is>
      </c>
      <c r="E967" t="inlineStr">
        <is>
          <t>HÄSSLEHOLM</t>
        </is>
      </c>
      <c r="G967" t="n">
        <v>1.6</v>
      </c>
      <c r="H967" t="n">
        <v>0</v>
      </c>
      <c r="I967" t="n">
        <v>0</v>
      </c>
      <c r="J967" t="n">
        <v>0</v>
      </c>
      <c r="K967" t="n">
        <v>0</v>
      </c>
      <c r="L967" t="n">
        <v>0</v>
      </c>
      <c r="M967" t="n">
        <v>0</v>
      </c>
      <c r="N967" t="n">
        <v>0</v>
      </c>
      <c r="O967" t="n">
        <v>0</v>
      </c>
      <c r="P967" t="n">
        <v>0</v>
      </c>
      <c r="Q967" t="n">
        <v>0</v>
      </c>
      <c r="R967" s="2" t="inlineStr"/>
    </row>
    <row r="968" ht="15" customHeight="1">
      <c r="A968" t="inlineStr">
        <is>
          <t>A 46942-2024</t>
        </is>
      </c>
      <c r="B968" s="1" t="n">
        <v>45585</v>
      </c>
      <c r="C968" s="1" t="n">
        <v>46197</v>
      </c>
      <c r="D968" t="inlineStr">
        <is>
          <t>SKÅNE LÄN</t>
        </is>
      </c>
      <c r="E968" t="inlineStr">
        <is>
          <t>HÄSSLEHOLM</t>
        </is>
      </c>
      <c r="G968" t="n">
        <v>1.8</v>
      </c>
      <c r="H968" t="n">
        <v>0</v>
      </c>
      <c r="I968" t="n">
        <v>0</v>
      </c>
      <c r="J968" t="n">
        <v>0</v>
      </c>
      <c r="K968" t="n">
        <v>0</v>
      </c>
      <c r="L968" t="n">
        <v>0</v>
      </c>
      <c r="M968" t="n">
        <v>0</v>
      </c>
      <c r="N968" t="n">
        <v>0</v>
      </c>
      <c r="O968" t="n">
        <v>0</v>
      </c>
      <c r="P968" t="n">
        <v>0</v>
      </c>
      <c r="Q968" t="n">
        <v>0</v>
      </c>
      <c r="R968" s="2" t="inlineStr"/>
    </row>
    <row r="969" ht="15" customHeight="1">
      <c r="A969" t="inlineStr">
        <is>
          <t>A 33257-2024</t>
        </is>
      </c>
      <c r="B969" s="1" t="n">
        <v>45518</v>
      </c>
      <c r="C969" s="1" t="n">
        <v>46197</v>
      </c>
      <c r="D969" t="inlineStr">
        <is>
          <t>SKÅNE LÄN</t>
        </is>
      </c>
      <c r="E969" t="inlineStr">
        <is>
          <t>HÄSSLEHOLM</t>
        </is>
      </c>
      <c r="G969" t="n">
        <v>0.4</v>
      </c>
      <c r="H969" t="n">
        <v>0</v>
      </c>
      <c r="I969" t="n">
        <v>0</v>
      </c>
      <c r="J969" t="n">
        <v>0</v>
      </c>
      <c r="K969" t="n">
        <v>0</v>
      </c>
      <c r="L969" t="n">
        <v>0</v>
      </c>
      <c r="M969" t="n">
        <v>0</v>
      </c>
      <c r="N969" t="n">
        <v>0</v>
      </c>
      <c r="O969" t="n">
        <v>0</v>
      </c>
      <c r="P969" t="n">
        <v>0</v>
      </c>
      <c r="Q969" t="n">
        <v>0</v>
      </c>
      <c r="R969" s="2" t="inlineStr"/>
    </row>
    <row r="970" ht="15" customHeight="1">
      <c r="A970" t="inlineStr">
        <is>
          <t>A 51618-2024</t>
        </is>
      </c>
      <c r="B970" s="1" t="n">
        <v>45604</v>
      </c>
      <c r="C970" s="1" t="n">
        <v>46197</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10409-2024</t>
        </is>
      </c>
      <c r="B971" s="1" t="n">
        <v>45365</v>
      </c>
      <c r="C971" s="1" t="n">
        <v>46197</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31995-2023</t>
        </is>
      </c>
      <c r="B972" s="1" t="n">
        <v>45107</v>
      </c>
      <c r="C972" s="1" t="n">
        <v>46197</v>
      </c>
      <c r="D972" t="inlineStr">
        <is>
          <t>SKÅNE LÄN</t>
        </is>
      </c>
      <c r="E972" t="inlineStr">
        <is>
          <t>HÄSSLEHOLM</t>
        </is>
      </c>
      <c r="G972" t="n">
        <v>7.3</v>
      </c>
      <c r="H972" t="n">
        <v>0</v>
      </c>
      <c r="I972" t="n">
        <v>0</v>
      </c>
      <c r="J972" t="n">
        <v>0</v>
      </c>
      <c r="K972" t="n">
        <v>0</v>
      </c>
      <c r="L972" t="n">
        <v>0</v>
      </c>
      <c r="M972" t="n">
        <v>0</v>
      </c>
      <c r="N972" t="n">
        <v>0</v>
      </c>
      <c r="O972" t="n">
        <v>0</v>
      </c>
      <c r="P972" t="n">
        <v>0</v>
      </c>
      <c r="Q972" t="n">
        <v>0</v>
      </c>
      <c r="R972" s="2" t="inlineStr"/>
    </row>
    <row r="973" ht="15" customHeight="1">
      <c r="A973" t="inlineStr">
        <is>
          <t>A 4356-2024</t>
        </is>
      </c>
      <c r="B973" s="1" t="n">
        <v>45325</v>
      </c>
      <c r="C973" s="1" t="n">
        <v>46197</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47840-2023</t>
        </is>
      </c>
      <c r="B974" s="1" t="n">
        <v>45204</v>
      </c>
      <c r="C974" s="1" t="n">
        <v>46197</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34888-2023</t>
        </is>
      </c>
      <c r="B975" s="1" t="n">
        <v>45142</v>
      </c>
      <c r="C975" s="1" t="n">
        <v>46197</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53085-2022</t>
        </is>
      </c>
      <c r="B976" s="1" t="n">
        <v>44873</v>
      </c>
      <c r="C976" s="1" t="n">
        <v>46197</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16388-2025</t>
        </is>
      </c>
      <c r="B977" s="1" t="n">
        <v>45751</v>
      </c>
      <c r="C977" s="1" t="n">
        <v>46197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16668-2025</t>
        </is>
      </c>
      <c r="B978" s="1" t="n">
        <v>45754</v>
      </c>
      <c r="C978" s="1" t="n">
        <v>46197</v>
      </c>
      <c r="D978" t="inlineStr">
        <is>
          <t>SKÅNE LÄN</t>
        </is>
      </c>
      <c r="E978" t="inlineStr">
        <is>
          <t>HÄSSLEHOLM</t>
        </is>
      </c>
      <c r="G978" t="n">
        <v>4</v>
      </c>
      <c r="H978" t="n">
        <v>0</v>
      </c>
      <c r="I978" t="n">
        <v>0</v>
      </c>
      <c r="J978" t="n">
        <v>0</v>
      </c>
      <c r="K978" t="n">
        <v>0</v>
      </c>
      <c r="L978" t="n">
        <v>0</v>
      </c>
      <c r="M978" t="n">
        <v>0</v>
      </c>
      <c r="N978" t="n">
        <v>0</v>
      </c>
      <c r="O978" t="n">
        <v>0</v>
      </c>
      <c r="P978" t="n">
        <v>0</v>
      </c>
      <c r="Q978" t="n">
        <v>0</v>
      </c>
      <c r="R978" s="2" t="inlineStr"/>
    </row>
    <row r="979" ht="15" customHeight="1">
      <c r="A979" t="inlineStr">
        <is>
          <t>A 9709-2023</t>
        </is>
      </c>
      <c r="B979" s="1" t="n">
        <v>44984</v>
      </c>
      <c r="C979" s="1" t="n">
        <v>46197</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13646-2024</t>
        </is>
      </c>
      <c r="B980" s="1" t="n">
        <v>45387</v>
      </c>
      <c r="C980" s="1" t="n">
        <v>46197</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21867-2023</t>
        </is>
      </c>
      <c r="B981" s="1" t="n">
        <v>45063</v>
      </c>
      <c r="C981" s="1" t="n">
        <v>46197</v>
      </c>
      <c r="D981" t="inlineStr">
        <is>
          <t>SKÅNE LÄN</t>
        </is>
      </c>
      <c r="E981" t="inlineStr">
        <is>
          <t>HÄSSLEHOLM</t>
        </is>
      </c>
      <c r="G981" t="n">
        <v>7.6</v>
      </c>
      <c r="H981" t="n">
        <v>0</v>
      </c>
      <c r="I981" t="n">
        <v>0</v>
      </c>
      <c r="J981" t="n">
        <v>0</v>
      </c>
      <c r="K981" t="n">
        <v>0</v>
      </c>
      <c r="L981" t="n">
        <v>0</v>
      </c>
      <c r="M981" t="n">
        <v>0</v>
      </c>
      <c r="N981" t="n">
        <v>0</v>
      </c>
      <c r="O981" t="n">
        <v>0</v>
      </c>
      <c r="P981" t="n">
        <v>0</v>
      </c>
      <c r="Q981" t="n">
        <v>0</v>
      </c>
      <c r="R981" s="2" t="inlineStr"/>
    </row>
    <row r="982" ht="15" customHeight="1">
      <c r="A982" t="inlineStr">
        <is>
          <t>A 13087-2023</t>
        </is>
      </c>
      <c r="B982" s="1" t="n">
        <v>45001</v>
      </c>
      <c r="C982" s="1" t="n">
        <v>46197</v>
      </c>
      <c r="D982" t="inlineStr">
        <is>
          <t>SKÅNE LÄN</t>
        </is>
      </c>
      <c r="E982" t="inlineStr">
        <is>
          <t>HÄSSLEHOLM</t>
        </is>
      </c>
      <c r="G982" t="n">
        <v>3.8</v>
      </c>
      <c r="H982" t="n">
        <v>0</v>
      </c>
      <c r="I982" t="n">
        <v>0</v>
      </c>
      <c r="J982" t="n">
        <v>0</v>
      </c>
      <c r="K982" t="n">
        <v>0</v>
      </c>
      <c r="L982" t="n">
        <v>0</v>
      </c>
      <c r="M982" t="n">
        <v>0</v>
      </c>
      <c r="N982" t="n">
        <v>0</v>
      </c>
      <c r="O982" t="n">
        <v>0</v>
      </c>
      <c r="P982" t="n">
        <v>0</v>
      </c>
      <c r="Q982" t="n">
        <v>0</v>
      </c>
      <c r="R982" s="2" t="inlineStr"/>
    </row>
    <row r="983" ht="15" customHeight="1">
      <c r="A983" t="inlineStr">
        <is>
          <t>A 52968-2022</t>
        </is>
      </c>
      <c r="B983" s="1" t="n">
        <v>44875</v>
      </c>
      <c r="C983" s="1" t="n">
        <v>46197</v>
      </c>
      <c r="D983" t="inlineStr">
        <is>
          <t>SKÅNE LÄN</t>
        </is>
      </c>
      <c r="E983" t="inlineStr">
        <is>
          <t>HÄSSLEHOLM</t>
        </is>
      </c>
      <c r="G983" t="n">
        <v>2.6</v>
      </c>
      <c r="H983" t="n">
        <v>0</v>
      </c>
      <c r="I983" t="n">
        <v>0</v>
      </c>
      <c r="J983" t="n">
        <v>0</v>
      </c>
      <c r="K983" t="n">
        <v>0</v>
      </c>
      <c r="L983" t="n">
        <v>0</v>
      </c>
      <c r="M983" t="n">
        <v>0</v>
      </c>
      <c r="N983" t="n">
        <v>0</v>
      </c>
      <c r="O983" t="n">
        <v>0</v>
      </c>
      <c r="P983" t="n">
        <v>0</v>
      </c>
      <c r="Q983" t="n">
        <v>0</v>
      </c>
      <c r="R983" s="2" t="inlineStr"/>
    </row>
    <row r="984" ht="15" customHeight="1">
      <c r="A984" t="inlineStr">
        <is>
          <t>A 62167-2022</t>
        </is>
      </c>
      <c r="B984" s="1" t="n">
        <v>44915</v>
      </c>
      <c r="C984" s="1" t="n">
        <v>46197</v>
      </c>
      <c r="D984" t="inlineStr">
        <is>
          <t>SKÅNE LÄN</t>
        </is>
      </c>
      <c r="E984" t="inlineStr">
        <is>
          <t>HÄSSLEHOLM</t>
        </is>
      </c>
      <c r="F984" t="inlineStr">
        <is>
          <t>Kyrkan</t>
        </is>
      </c>
      <c r="G984" t="n">
        <v>3.1</v>
      </c>
      <c r="H984" t="n">
        <v>0</v>
      </c>
      <c r="I984" t="n">
        <v>0</v>
      </c>
      <c r="J984" t="n">
        <v>0</v>
      </c>
      <c r="K984" t="n">
        <v>0</v>
      </c>
      <c r="L984" t="n">
        <v>0</v>
      </c>
      <c r="M984" t="n">
        <v>0</v>
      </c>
      <c r="N984" t="n">
        <v>0</v>
      </c>
      <c r="O984" t="n">
        <v>0</v>
      </c>
      <c r="P984" t="n">
        <v>0</v>
      </c>
      <c r="Q984" t="n">
        <v>0</v>
      </c>
      <c r="R984" s="2" t="inlineStr"/>
    </row>
    <row r="985" ht="15" customHeight="1">
      <c r="A985" t="inlineStr">
        <is>
          <t>A 62234-2022</t>
        </is>
      </c>
      <c r="B985" s="1" t="n">
        <v>44922</v>
      </c>
      <c r="C985" s="1" t="n">
        <v>46197</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44741-2023</t>
        </is>
      </c>
      <c r="B986" s="1" t="n">
        <v>45190</v>
      </c>
      <c r="C986" s="1" t="n">
        <v>46197</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9397-2025</t>
        </is>
      </c>
      <c r="B987" s="1" t="n">
        <v>45715</v>
      </c>
      <c r="C987" s="1" t="n">
        <v>46197</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50899-2024</t>
        </is>
      </c>
      <c r="B988" s="1" t="n">
        <v>45602</v>
      </c>
      <c r="C988" s="1" t="n">
        <v>46197</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48624-2021</t>
        </is>
      </c>
      <c r="B989" s="1" t="n">
        <v>44452</v>
      </c>
      <c r="C989" s="1" t="n">
        <v>46197</v>
      </c>
      <c r="D989" t="inlineStr">
        <is>
          <t>SKÅNE LÄN</t>
        </is>
      </c>
      <c r="E989" t="inlineStr">
        <is>
          <t>HÄSSLEHOLM</t>
        </is>
      </c>
      <c r="G989" t="n">
        <v>2.2</v>
      </c>
      <c r="H989" t="n">
        <v>0</v>
      </c>
      <c r="I989" t="n">
        <v>0</v>
      </c>
      <c r="J989" t="n">
        <v>0</v>
      </c>
      <c r="K989" t="n">
        <v>0</v>
      </c>
      <c r="L989" t="n">
        <v>0</v>
      </c>
      <c r="M989" t="n">
        <v>0</v>
      </c>
      <c r="N989" t="n">
        <v>0</v>
      </c>
      <c r="O989" t="n">
        <v>0</v>
      </c>
      <c r="P989" t="n">
        <v>0</v>
      </c>
      <c r="Q989" t="n">
        <v>0</v>
      </c>
      <c r="R989" s="2" t="inlineStr"/>
    </row>
    <row r="990" ht="15" customHeight="1">
      <c r="A990" t="inlineStr">
        <is>
          <t>A 10802-2024</t>
        </is>
      </c>
      <c r="B990" s="1" t="n">
        <v>45369</v>
      </c>
      <c r="C990" s="1" t="n">
        <v>46197</v>
      </c>
      <c r="D990" t="inlineStr">
        <is>
          <t>SKÅNE LÄN</t>
        </is>
      </c>
      <c r="E990" t="inlineStr">
        <is>
          <t>HÄSSLEHOLM</t>
        </is>
      </c>
      <c r="G990" t="n">
        <v>3.4</v>
      </c>
      <c r="H990" t="n">
        <v>0</v>
      </c>
      <c r="I990" t="n">
        <v>0</v>
      </c>
      <c r="J990" t="n">
        <v>0</v>
      </c>
      <c r="K990" t="n">
        <v>0</v>
      </c>
      <c r="L990" t="n">
        <v>0</v>
      </c>
      <c r="M990" t="n">
        <v>0</v>
      </c>
      <c r="N990" t="n">
        <v>0</v>
      </c>
      <c r="O990" t="n">
        <v>0</v>
      </c>
      <c r="P990" t="n">
        <v>0</v>
      </c>
      <c r="Q990" t="n">
        <v>0</v>
      </c>
      <c r="R990" s="2" t="inlineStr"/>
    </row>
    <row r="991" ht="15" customHeight="1">
      <c r="A991" t="inlineStr">
        <is>
          <t>A 48046-2023</t>
        </is>
      </c>
      <c r="B991" s="1" t="n">
        <v>45204</v>
      </c>
      <c r="C991" s="1" t="n">
        <v>46197</v>
      </c>
      <c r="D991" t="inlineStr">
        <is>
          <t>SKÅNE LÄN</t>
        </is>
      </c>
      <c r="E991" t="inlineStr">
        <is>
          <t>HÄSSLEHOLM</t>
        </is>
      </c>
      <c r="G991" t="n">
        <v>0.7</v>
      </c>
      <c r="H991" t="n">
        <v>0</v>
      </c>
      <c r="I991" t="n">
        <v>0</v>
      </c>
      <c r="J991" t="n">
        <v>0</v>
      </c>
      <c r="K991" t="n">
        <v>0</v>
      </c>
      <c r="L991" t="n">
        <v>0</v>
      </c>
      <c r="M991" t="n">
        <v>0</v>
      </c>
      <c r="N991" t="n">
        <v>0</v>
      </c>
      <c r="O991" t="n">
        <v>0</v>
      </c>
      <c r="P991" t="n">
        <v>0</v>
      </c>
      <c r="Q991" t="n">
        <v>0</v>
      </c>
      <c r="R991" s="2" t="inlineStr"/>
    </row>
    <row r="992" ht="15" customHeight="1">
      <c r="A992" t="inlineStr">
        <is>
          <t>A 11607-2025</t>
        </is>
      </c>
      <c r="B992" s="1" t="n">
        <v>45727</v>
      </c>
      <c r="C992" s="1" t="n">
        <v>46197</v>
      </c>
      <c r="D992" t="inlineStr">
        <is>
          <t>SKÅNE LÄN</t>
        </is>
      </c>
      <c r="E992" t="inlineStr">
        <is>
          <t>HÄSSLEHOLM</t>
        </is>
      </c>
      <c r="G992" t="n">
        <v>4.1</v>
      </c>
      <c r="H992" t="n">
        <v>0</v>
      </c>
      <c r="I992" t="n">
        <v>0</v>
      </c>
      <c r="J992" t="n">
        <v>0</v>
      </c>
      <c r="K992" t="n">
        <v>0</v>
      </c>
      <c r="L992" t="n">
        <v>0</v>
      </c>
      <c r="M992" t="n">
        <v>0</v>
      </c>
      <c r="N992" t="n">
        <v>0</v>
      </c>
      <c r="O992" t="n">
        <v>0</v>
      </c>
      <c r="P992" t="n">
        <v>0</v>
      </c>
      <c r="Q992" t="n">
        <v>0</v>
      </c>
      <c r="R992" s="2" t="inlineStr"/>
    </row>
    <row r="993" ht="15" customHeight="1">
      <c r="A993" t="inlineStr">
        <is>
          <t>A 49106-2023</t>
        </is>
      </c>
      <c r="B993" s="1" t="n">
        <v>45210</v>
      </c>
      <c r="C993" s="1" t="n">
        <v>46197</v>
      </c>
      <c r="D993" t="inlineStr">
        <is>
          <t>SKÅNE LÄN</t>
        </is>
      </c>
      <c r="E993" t="inlineStr">
        <is>
          <t>HÄSSLEHOLM</t>
        </is>
      </c>
      <c r="G993" t="n">
        <v>0.3</v>
      </c>
      <c r="H993" t="n">
        <v>0</v>
      </c>
      <c r="I993" t="n">
        <v>0</v>
      </c>
      <c r="J993" t="n">
        <v>0</v>
      </c>
      <c r="K993" t="n">
        <v>0</v>
      </c>
      <c r="L993" t="n">
        <v>0</v>
      </c>
      <c r="M993" t="n">
        <v>0</v>
      </c>
      <c r="N993" t="n">
        <v>0</v>
      </c>
      <c r="O993" t="n">
        <v>0</v>
      </c>
      <c r="P993" t="n">
        <v>0</v>
      </c>
      <c r="Q993" t="n">
        <v>0</v>
      </c>
      <c r="R993" s="2" t="inlineStr"/>
    </row>
    <row r="994" ht="15" customHeight="1">
      <c r="A994" t="inlineStr">
        <is>
          <t>A 9697-2023</t>
        </is>
      </c>
      <c r="B994" s="1" t="n">
        <v>44984</v>
      </c>
      <c r="C994" s="1" t="n">
        <v>46197</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27478-2023</t>
        </is>
      </c>
      <c r="B995" s="1" t="n">
        <v>45092</v>
      </c>
      <c r="C995" s="1" t="n">
        <v>46197</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1170-2025</t>
        </is>
      </c>
      <c r="B996" s="1" t="n">
        <v>45667</v>
      </c>
      <c r="C996" s="1" t="n">
        <v>46197</v>
      </c>
      <c r="D996" t="inlineStr">
        <is>
          <t>SKÅNE LÄN</t>
        </is>
      </c>
      <c r="E996" t="inlineStr">
        <is>
          <t>HÄSSLEHOLM</t>
        </is>
      </c>
      <c r="G996" t="n">
        <v>4.3</v>
      </c>
      <c r="H996" t="n">
        <v>0</v>
      </c>
      <c r="I996" t="n">
        <v>0</v>
      </c>
      <c r="J996" t="n">
        <v>0</v>
      </c>
      <c r="K996" t="n">
        <v>0</v>
      </c>
      <c r="L996" t="n">
        <v>0</v>
      </c>
      <c r="M996" t="n">
        <v>0</v>
      </c>
      <c r="N996" t="n">
        <v>0</v>
      </c>
      <c r="O996" t="n">
        <v>0</v>
      </c>
      <c r="P996" t="n">
        <v>0</v>
      </c>
      <c r="Q996" t="n">
        <v>0</v>
      </c>
      <c r="R996" s="2" t="inlineStr"/>
    </row>
    <row r="997" ht="15" customHeight="1">
      <c r="A997" t="inlineStr">
        <is>
          <t>A 57749-2023</t>
        </is>
      </c>
      <c r="B997" s="1" t="n">
        <v>45246</v>
      </c>
      <c r="C997" s="1" t="n">
        <v>46197</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44940-2023</t>
        </is>
      </c>
      <c r="B998" s="1" t="n">
        <v>45190</v>
      </c>
      <c r="C998" s="1" t="n">
        <v>46197</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18800-2023</t>
        </is>
      </c>
      <c r="B999" s="1" t="n">
        <v>45044</v>
      </c>
      <c r="C999" s="1" t="n">
        <v>46197</v>
      </c>
      <c r="D999" t="inlineStr">
        <is>
          <t>SKÅNE LÄN</t>
        </is>
      </c>
      <c r="E999" t="inlineStr">
        <is>
          <t>HÄSSLEHOLM</t>
        </is>
      </c>
      <c r="G999" t="n">
        <v>1.1</v>
      </c>
      <c r="H999" t="n">
        <v>0</v>
      </c>
      <c r="I999" t="n">
        <v>0</v>
      </c>
      <c r="J999" t="n">
        <v>0</v>
      </c>
      <c r="K999" t="n">
        <v>0</v>
      </c>
      <c r="L999" t="n">
        <v>0</v>
      </c>
      <c r="M999" t="n">
        <v>0</v>
      </c>
      <c r="N999" t="n">
        <v>0</v>
      </c>
      <c r="O999" t="n">
        <v>0</v>
      </c>
      <c r="P999" t="n">
        <v>0</v>
      </c>
      <c r="Q999" t="n">
        <v>0</v>
      </c>
      <c r="R999" s="2" t="inlineStr"/>
    </row>
    <row r="1000" ht="15" customHeight="1">
      <c r="A1000" t="inlineStr">
        <is>
          <t>A 25206-2023</t>
        </is>
      </c>
      <c r="B1000" s="1" t="n">
        <v>45086</v>
      </c>
      <c r="C1000" s="1" t="n">
        <v>46197</v>
      </c>
      <c r="D1000" t="inlineStr">
        <is>
          <t>SKÅNE LÄN</t>
        </is>
      </c>
      <c r="E1000" t="inlineStr">
        <is>
          <t>HÄSSLEHOLM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5116-2023</t>
        </is>
      </c>
      <c r="B1001" s="1" t="n">
        <v>44958</v>
      </c>
      <c r="C1001" s="1" t="n">
        <v>46197</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10220-2023</t>
        </is>
      </c>
      <c r="B1002" s="1" t="n">
        <v>44986</v>
      </c>
      <c r="C1002" s="1" t="n">
        <v>46197</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25611-2024</t>
        </is>
      </c>
      <c r="B1003" s="1" t="n">
        <v>45463</v>
      </c>
      <c r="C1003" s="1" t="n">
        <v>46197</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26536-2022</t>
        </is>
      </c>
      <c r="B1004" s="1" t="n">
        <v>44739</v>
      </c>
      <c r="C1004" s="1" t="n">
        <v>46197</v>
      </c>
      <c r="D1004" t="inlineStr">
        <is>
          <t>SKÅNE LÄN</t>
        </is>
      </c>
      <c r="E1004" t="inlineStr">
        <is>
          <t>HÄSSLEHOLM</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16334-2024</t>
        </is>
      </c>
      <c r="B1005" s="1" t="n">
        <v>45407</v>
      </c>
      <c r="C1005" s="1" t="n">
        <v>46197</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41873-2023</t>
        </is>
      </c>
      <c r="B1006" s="1" t="n">
        <v>45176</v>
      </c>
      <c r="C1006" s="1" t="n">
        <v>46197</v>
      </c>
      <c r="D1006" t="inlineStr">
        <is>
          <t>SKÅNE LÄN</t>
        </is>
      </c>
      <c r="E1006" t="inlineStr">
        <is>
          <t>HÄSSLEHOLM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60973-2024</t>
        </is>
      </c>
      <c r="B1007" s="1" t="n">
        <v>45644</v>
      </c>
      <c r="C1007" s="1" t="n">
        <v>46197</v>
      </c>
      <c r="D1007" t="inlineStr">
        <is>
          <t>SKÅNE LÄN</t>
        </is>
      </c>
      <c r="E1007" t="inlineStr">
        <is>
          <t>HÄSSLEHOLM</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38228-2021</t>
        </is>
      </c>
      <c r="B1008" s="1" t="n">
        <v>44405</v>
      </c>
      <c r="C1008" s="1" t="n">
        <v>46197</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59763-2022</t>
        </is>
      </c>
      <c r="B1009" s="1" t="n">
        <v>44900</v>
      </c>
      <c r="C1009" s="1" t="n">
        <v>46197</v>
      </c>
      <c r="D1009" t="inlineStr">
        <is>
          <t>SKÅNE LÄN</t>
        </is>
      </c>
      <c r="E1009" t="inlineStr">
        <is>
          <t>HÄSSLEHOLM</t>
        </is>
      </c>
      <c r="F1009" t="inlineStr">
        <is>
          <t>Övriga Aktiebolag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43061-2024</t>
        </is>
      </c>
      <c r="B1010" s="1" t="n">
        <v>45567</v>
      </c>
      <c r="C1010" s="1" t="n">
        <v>46197</v>
      </c>
      <c r="D1010" t="inlineStr">
        <is>
          <t>SKÅNE LÄN</t>
        </is>
      </c>
      <c r="E1010" t="inlineStr">
        <is>
          <t>HÄSSLEHOLM</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10277-2023</t>
        </is>
      </c>
      <c r="B1011" s="1" t="n">
        <v>44986</v>
      </c>
      <c r="C1011" s="1" t="n">
        <v>46197</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10290-2023</t>
        </is>
      </c>
      <c r="B1012" s="1" t="n">
        <v>44986</v>
      </c>
      <c r="C1012" s="1" t="n">
        <v>46197</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20666-2023</t>
        </is>
      </c>
      <c r="B1013" s="1" t="n">
        <v>45058</v>
      </c>
      <c r="C1013" s="1" t="n">
        <v>46197</v>
      </c>
      <c r="D1013" t="inlineStr">
        <is>
          <t>SKÅNE LÄN</t>
        </is>
      </c>
      <c r="E1013" t="inlineStr">
        <is>
          <t>HÄSSLEHOLM</t>
        </is>
      </c>
      <c r="F1013" t="inlineStr">
        <is>
          <t>Kyrkan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19593-2023</t>
        </is>
      </c>
      <c r="B1014" s="1" t="n">
        <v>45050</v>
      </c>
      <c r="C1014" s="1" t="n">
        <v>46197</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50571-2023</t>
        </is>
      </c>
      <c r="B1015" s="1" t="n">
        <v>45217</v>
      </c>
      <c r="C1015" s="1" t="n">
        <v>46197</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18041-2023</t>
        </is>
      </c>
      <c r="B1016" s="1" t="n">
        <v>45040</v>
      </c>
      <c r="C1016" s="1" t="n">
        <v>46197</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58618-2024</t>
        </is>
      </c>
      <c r="B1017" s="1" t="n">
        <v>45635</v>
      </c>
      <c r="C1017" s="1" t="n">
        <v>46197</v>
      </c>
      <c r="D1017" t="inlineStr">
        <is>
          <t>SKÅNE LÄN</t>
        </is>
      </c>
      <c r="E1017" t="inlineStr">
        <is>
          <t>HÄSSLEHOLM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52337-2023</t>
        </is>
      </c>
      <c r="B1018" s="1" t="n">
        <v>45224</v>
      </c>
      <c r="C1018" s="1" t="n">
        <v>46197</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13084-2025</t>
        </is>
      </c>
      <c r="B1019" s="1" t="n">
        <v>45734</v>
      </c>
      <c r="C1019" s="1" t="n">
        <v>46197</v>
      </c>
      <c r="D1019" t="inlineStr">
        <is>
          <t>SKÅNE LÄN</t>
        </is>
      </c>
      <c r="E1019" t="inlineStr">
        <is>
          <t>HÄSSLEHOLM</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27991-2024</t>
        </is>
      </c>
      <c r="B1020" s="1" t="n">
        <v>45476</v>
      </c>
      <c r="C1020" s="1" t="n">
        <v>46197</v>
      </c>
      <c r="D1020" t="inlineStr">
        <is>
          <t>SKÅNE LÄN</t>
        </is>
      </c>
      <c r="E1020" t="inlineStr">
        <is>
          <t>HÄSSLEHOLM</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6612-2024</t>
        </is>
      </c>
      <c r="B1021" s="1" t="n">
        <v>45341</v>
      </c>
      <c r="C1021" s="1" t="n">
        <v>46197</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5887-2025</t>
        </is>
      </c>
      <c r="B1022" s="1" t="n">
        <v>45695</v>
      </c>
      <c r="C1022" s="1" t="n">
        <v>46197</v>
      </c>
      <c r="D1022" t="inlineStr">
        <is>
          <t>SKÅNE LÄN</t>
        </is>
      </c>
      <c r="E1022" t="inlineStr">
        <is>
          <t>HÄSSLEHOLM</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48889-2024</t>
        </is>
      </c>
      <c r="B1023" s="1" t="n">
        <v>45594</v>
      </c>
      <c r="C1023" s="1" t="n">
        <v>46197</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2567-2024</t>
        </is>
      </c>
      <c r="B1024" s="1" t="n">
        <v>45313</v>
      </c>
      <c r="C1024" s="1" t="n">
        <v>46197</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21091-2025</t>
        </is>
      </c>
      <c r="B1025" s="1" t="n">
        <v>45777</v>
      </c>
      <c r="C1025" s="1" t="n">
        <v>46197</v>
      </c>
      <c r="D1025" t="inlineStr">
        <is>
          <t>SKÅNE LÄN</t>
        </is>
      </c>
      <c r="E1025" t="inlineStr">
        <is>
          <t>HÄSSLEHOLM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21206-2025</t>
        </is>
      </c>
      <c r="B1026" s="1" t="n">
        <v>45779</v>
      </c>
      <c r="C1026" s="1" t="n">
        <v>46197</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29845-2024</t>
        </is>
      </c>
      <c r="B1027" s="1" t="n">
        <v>45485</v>
      </c>
      <c r="C1027" s="1" t="n">
        <v>46197</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20006-2025</t>
        </is>
      </c>
      <c r="B1028" s="1" t="n">
        <v>45772</v>
      </c>
      <c r="C1028" s="1" t="n">
        <v>46197</v>
      </c>
      <c r="D1028" t="inlineStr">
        <is>
          <t>SKÅNE LÄN</t>
        </is>
      </c>
      <c r="E1028" t="inlineStr">
        <is>
          <t>HÄSSLEHOLM</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61533-2024</t>
        </is>
      </c>
      <c r="B1029" s="1" t="n">
        <v>45646</v>
      </c>
      <c r="C1029" s="1" t="n">
        <v>46197</v>
      </c>
      <c r="D1029" t="inlineStr">
        <is>
          <t>SKÅNE LÄN</t>
        </is>
      </c>
      <c r="E1029" t="inlineStr">
        <is>
          <t>HÄSSLEHOLM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61537-2024</t>
        </is>
      </c>
      <c r="B1030" s="1" t="n">
        <v>45646</v>
      </c>
      <c r="C1030" s="1" t="n">
        <v>46197</v>
      </c>
      <c r="D1030" t="inlineStr">
        <is>
          <t>SKÅNE LÄN</t>
        </is>
      </c>
      <c r="E1030" t="inlineStr">
        <is>
          <t>HÄSSLEHOLM</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7818-2024</t>
        </is>
      </c>
      <c r="B1031" s="1" t="n">
        <v>45349</v>
      </c>
      <c r="C1031" s="1" t="n">
        <v>46197</v>
      </c>
      <c r="D1031" t="inlineStr">
        <is>
          <t>SKÅNE LÄN</t>
        </is>
      </c>
      <c r="E1031" t="inlineStr">
        <is>
          <t>HÄSSLEHOLM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39111-2023</t>
        </is>
      </c>
      <c r="B1032" s="1" t="n">
        <v>45164</v>
      </c>
      <c r="C1032" s="1" t="n">
        <v>46197</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60851-2024</t>
        </is>
      </c>
      <c r="B1033" s="1" t="n">
        <v>45644</v>
      </c>
      <c r="C1033" s="1" t="n">
        <v>46197</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317-2025</t>
        </is>
      </c>
      <c r="B1034" s="1" t="n">
        <v>45660</v>
      </c>
      <c r="C1034" s="1" t="n">
        <v>46197</v>
      </c>
      <c r="D1034" t="inlineStr">
        <is>
          <t>SKÅNE LÄN</t>
        </is>
      </c>
      <c r="E1034" t="inlineStr">
        <is>
          <t>HÄSSLEHOLM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60920-2024</t>
        </is>
      </c>
      <c r="B1035" s="1" t="n">
        <v>45645</v>
      </c>
      <c r="C1035" s="1" t="n">
        <v>46197</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1703-2025</t>
        </is>
      </c>
      <c r="B1036" s="1" t="n">
        <v>45670</v>
      </c>
      <c r="C1036" s="1" t="n">
        <v>46197</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22024-2025</t>
        </is>
      </c>
      <c r="B1037" s="1" t="n">
        <v>45784</v>
      </c>
      <c r="C1037" s="1" t="n">
        <v>46197</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29274-2023</t>
        </is>
      </c>
      <c r="B1038" s="1" t="n">
        <v>45105</v>
      </c>
      <c r="C1038" s="1" t="n">
        <v>46197</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3886-2024</t>
        </is>
      </c>
      <c r="B1039" s="1" t="n">
        <v>45322</v>
      </c>
      <c r="C1039" s="1" t="n">
        <v>46197</v>
      </c>
      <c r="D1039" t="inlineStr">
        <is>
          <t>SKÅNE LÄN</t>
        </is>
      </c>
      <c r="E1039" t="inlineStr">
        <is>
          <t>HÄSSLEHOLM</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61932-2023</t>
        </is>
      </c>
      <c r="B1040" s="1" t="n">
        <v>45266</v>
      </c>
      <c r="C1040" s="1" t="n">
        <v>46197</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13149-2024</t>
        </is>
      </c>
      <c r="B1041" s="1" t="n">
        <v>45386</v>
      </c>
      <c r="C1041" s="1" t="n">
        <v>46197</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53466-2024</t>
        </is>
      </c>
      <c r="B1042" s="1" t="n">
        <v>45614</v>
      </c>
      <c r="C1042" s="1" t="n">
        <v>46197</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10230-2025</t>
        </is>
      </c>
      <c r="B1043" s="1" t="n">
        <v>45720</v>
      </c>
      <c r="C1043" s="1" t="n">
        <v>46197</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19735-2023</t>
        </is>
      </c>
      <c r="B1044" s="1" t="n">
        <v>45051</v>
      </c>
      <c r="C1044" s="1" t="n">
        <v>46197</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48797-2023</t>
        </is>
      </c>
      <c r="B1045" s="1" t="n">
        <v>45209</v>
      </c>
      <c r="C1045" s="1" t="n">
        <v>46197</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5532-2025</t>
        </is>
      </c>
      <c r="B1046" s="1" t="n">
        <v>45693</v>
      </c>
      <c r="C1046" s="1" t="n">
        <v>46197</v>
      </c>
      <c r="D1046" t="inlineStr">
        <is>
          <t>SKÅNE LÄN</t>
        </is>
      </c>
      <c r="E1046" t="inlineStr">
        <is>
          <t>HÄSSLEHOLM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55662-2022</t>
        </is>
      </c>
      <c r="B1047" s="1" t="n">
        <v>44883</v>
      </c>
      <c r="C1047" s="1" t="n">
        <v>46197</v>
      </c>
      <c r="D1047" t="inlineStr">
        <is>
          <t>SKÅNE LÄN</t>
        </is>
      </c>
      <c r="E1047" t="inlineStr">
        <is>
          <t>HÄSSLEHOLM</t>
        </is>
      </c>
      <c r="F1047" t="inlineStr">
        <is>
          <t>Övriga Aktiebolag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29844-2024</t>
        </is>
      </c>
      <c r="B1048" s="1" t="n">
        <v>45485</v>
      </c>
      <c r="C1048" s="1" t="n">
        <v>46197</v>
      </c>
      <c r="D1048" t="inlineStr">
        <is>
          <t>SKÅNE LÄN</t>
        </is>
      </c>
      <c r="E1048" t="inlineStr">
        <is>
          <t>HÄSSLEHOLM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40536-2024</t>
        </is>
      </c>
      <c r="B1049" s="1" t="n">
        <v>45555</v>
      </c>
      <c r="C1049" s="1" t="n">
        <v>46197</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33266-2024</t>
        </is>
      </c>
      <c r="B1050" s="1" t="n">
        <v>45518</v>
      </c>
      <c r="C1050" s="1" t="n">
        <v>46197</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56386-2023</t>
        </is>
      </c>
      <c r="B1051" s="1" t="n">
        <v>45243</v>
      </c>
      <c r="C1051" s="1" t="n">
        <v>46197</v>
      </c>
      <c r="D1051" t="inlineStr">
        <is>
          <t>SKÅNE LÄN</t>
        </is>
      </c>
      <c r="E1051" t="inlineStr">
        <is>
          <t>HÄSSLEHOLM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2490-2024</t>
        </is>
      </c>
      <c r="B1052" s="1" t="n">
        <v>45313</v>
      </c>
      <c r="C1052" s="1" t="n">
        <v>46197</v>
      </c>
      <c r="D1052" t="inlineStr">
        <is>
          <t>SKÅNE LÄN</t>
        </is>
      </c>
      <c r="E1052" t="inlineStr">
        <is>
          <t>HÄSSLEHOLM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50244-2024</t>
        </is>
      </c>
      <c r="B1053" s="1" t="n">
        <v>45600</v>
      </c>
      <c r="C1053" s="1" t="n">
        <v>46197</v>
      </c>
      <c r="D1053" t="inlineStr">
        <is>
          <t>SKÅNE LÄN</t>
        </is>
      </c>
      <c r="E1053" t="inlineStr">
        <is>
          <t>HÄSSLEHOLM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9924-2025</t>
        </is>
      </c>
      <c r="B1054" s="1" t="n">
        <v>45717</v>
      </c>
      <c r="C1054" s="1" t="n">
        <v>46197</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13007-2024</t>
        </is>
      </c>
      <c r="B1055" s="1" t="n">
        <v>45385</v>
      </c>
      <c r="C1055" s="1" t="n">
        <v>46197</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23007-2025</t>
        </is>
      </c>
      <c r="B1056" s="1" t="n">
        <v>45790</v>
      </c>
      <c r="C1056" s="1" t="n">
        <v>46197</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7221-2025</t>
        </is>
      </c>
      <c r="B1057" s="1" t="n">
        <v>45701</v>
      </c>
      <c r="C1057" s="1" t="n">
        <v>46197</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74030-2021</t>
        </is>
      </c>
      <c r="B1058" s="1" t="n">
        <v>44553</v>
      </c>
      <c r="C1058" s="1" t="n">
        <v>46197</v>
      </c>
      <c r="D1058" t="inlineStr">
        <is>
          <t>SKÅNE LÄN</t>
        </is>
      </c>
      <c r="E1058" t="inlineStr">
        <is>
          <t>HÄSSLEHOLM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27606-2024</t>
        </is>
      </c>
      <c r="B1059" s="1" t="n">
        <v>45474</v>
      </c>
      <c r="C1059" s="1" t="n">
        <v>46197</v>
      </c>
      <c r="D1059" t="inlineStr">
        <is>
          <t>SKÅNE LÄN</t>
        </is>
      </c>
      <c r="E1059" t="inlineStr">
        <is>
          <t>HÄSSLEHOLM</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56735-2024</t>
        </is>
      </c>
      <c r="B1060" s="1" t="n">
        <v>45628</v>
      </c>
      <c r="C1060" s="1" t="n">
        <v>46197</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2621-2025</t>
        </is>
      </c>
      <c r="B1061" s="1" t="n">
        <v>45675</v>
      </c>
      <c r="C1061" s="1" t="n">
        <v>46197</v>
      </c>
      <c r="D1061" t="inlineStr">
        <is>
          <t>SKÅNE LÄN</t>
        </is>
      </c>
      <c r="E1061" t="inlineStr">
        <is>
          <t>HÄSSLEHOLM</t>
        </is>
      </c>
      <c r="F1061" t="inlineStr">
        <is>
          <t>Kommuner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23005-2025</t>
        </is>
      </c>
      <c r="B1062" s="1" t="n">
        <v>45790</v>
      </c>
      <c r="C1062" s="1" t="n">
        <v>46197</v>
      </c>
      <c r="D1062" t="inlineStr">
        <is>
          <t>SKÅNE LÄN</t>
        </is>
      </c>
      <c r="E1062" t="inlineStr">
        <is>
          <t>HÄSSLEHOLM</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8737-2025</t>
        </is>
      </c>
      <c r="B1063" s="1" t="n">
        <v>45712</v>
      </c>
      <c r="C1063" s="1" t="n">
        <v>46197</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22592-2025</t>
        </is>
      </c>
      <c r="B1064" s="1" t="n">
        <v>45789</v>
      </c>
      <c r="C1064" s="1" t="n">
        <v>46197</v>
      </c>
      <c r="D1064" t="inlineStr">
        <is>
          <t>SKÅNE LÄN</t>
        </is>
      </c>
      <c r="E1064" t="inlineStr">
        <is>
          <t>HÄSSLEHOLM</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17171-2025</t>
        </is>
      </c>
      <c r="B1065" s="1" t="n">
        <v>45755</v>
      </c>
      <c r="C1065" s="1" t="n">
        <v>46197</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13954-2023</t>
        </is>
      </c>
      <c r="B1066" s="1" t="n">
        <v>45008</v>
      </c>
      <c r="C1066" s="1" t="n">
        <v>46197</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51018-2023</t>
        </is>
      </c>
      <c r="B1067" s="1" t="n">
        <v>45218</v>
      </c>
      <c r="C1067" s="1" t="n">
        <v>46197</v>
      </c>
      <c r="D1067" t="inlineStr">
        <is>
          <t>SKÅNE LÄN</t>
        </is>
      </c>
      <c r="E1067" t="inlineStr">
        <is>
          <t>HÄSSLEHOLM</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40152-2024</t>
        </is>
      </c>
      <c r="B1068" s="1" t="n">
        <v>45554</v>
      </c>
      <c r="C1068" s="1" t="n">
        <v>46197</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31254-2024</t>
        </is>
      </c>
      <c r="B1069" s="1" t="n">
        <v>45503</v>
      </c>
      <c r="C1069" s="1" t="n">
        <v>46197</v>
      </c>
      <c r="D1069" t="inlineStr">
        <is>
          <t>SKÅNE LÄN</t>
        </is>
      </c>
      <c r="E1069" t="inlineStr">
        <is>
          <t>HÄSSLEHOLM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27825-2024</t>
        </is>
      </c>
      <c r="B1070" s="1" t="n">
        <v>45475</v>
      </c>
      <c r="C1070" s="1" t="n">
        <v>46197</v>
      </c>
      <c r="D1070" t="inlineStr">
        <is>
          <t>SKÅNE LÄN</t>
        </is>
      </c>
      <c r="E1070" t="inlineStr">
        <is>
          <t>HÄSSLEHOLM</t>
        </is>
      </c>
      <c r="F1070" t="inlineStr">
        <is>
          <t>Kommuner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37764-2022</t>
        </is>
      </c>
      <c r="B1071" s="1" t="n">
        <v>44810</v>
      </c>
      <c r="C1071" s="1" t="n">
        <v>46197</v>
      </c>
      <c r="D1071" t="inlineStr">
        <is>
          <t>SKÅNE LÄN</t>
        </is>
      </c>
      <c r="E1071" t="inlineStr">
        <is>
          <t>HÄSSLEHOLM</t>
        </is>
      </c>
      <c r="F1071" t="inlineStr">
        <is>
          <t>Kyrkan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37486-2024</t>
        </is>
      </c>
      <c r="B1072" s="1" t="n">
        <v>45541</v>
      </c>
      <c r="C1072" s="1" t="n">
        <v>46197</v>
      </c>
      <c r="D1072" t="inlineStr">
        <is>
          <t>SKÅNE LÄN</t>
        </is>
      </c>
      <c r="E1072" t="inlineStr">
        <is>
          <t>HÄSSLEHOLM</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44838-2023</t>
        </is>
      </c>
      <c r="B1073" s="1" t="n">
        <v>45190</v>
      </c>
      <c r="C1073" s="1" t="n">
        <v>46197</v>
      </c>
      <c r="D1073" t="inlineStr">
        <is>
          <t>SKÅNE LÄN</t>
        </is>
      </c>
      <c r="E1073" t="inlineStr">
        <is>
          <t>HÄSSLEHOLM</t>
        </is>
      </c>
      <c r="F1073" t="inlineStr">
        <is>
          <t>Kommuner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15072-2024</t>
        </is>
      </c>
      <c r="B1074" s="1" t="n">
        <v>45399</v>
      </c>
      <c r="C1074" s="1" t="n">
        <v>46197</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16930-2024</t>
        </is>
      </c>
      <c r="B1075" s="1" t="n">
        <v>45411</v>
      </c>
      <c r="C1075" s="1" t="n">
        <v>46197</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11262-2025</t>
        </is>
      </c>
      <c r="B1076" s="1" t="n">
        <v>45726</v>
      </c>
      <c r="C1076" s="1" t="n">
        <v>46197</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5395-2024</t>
        </is>
      </c>
      <c r="B1077" s="1" t="n">
        <v>45331</v>
      </c>
      <c r="C1077" s="1" t="n">
        <v>46197</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56069-2024</t>
        </is>
      </c>
      <c r="B1078" s="1" t="n">
        <v>45624</v>
      </c>
      <c r="C1078" s="1" t="n">
        <v>46197</v>
      </c>
      <c r="D1078" t="inlineStr">
        <is>
          <t>SKÅNE LÄN</t>
        </is>
      </c>
      <c r="E1078" t="inlineStr">
        <is>
          <t>HÄSSLEHOLM</t>
        </is>
      </c>
      <c r="F1078" t="inlineStr">
        <is>
          <t>Övriga Aktiebolag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60797-2024</t>
        </is>
      </c>
      <c r="B1079" s="1" t="n">
        <v>45644</v>
      </c>
      <c r="C1079" s="1" t="n">
        <v>46197</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24034-2025</t>
        </is>
      </c>
      <c r="B1080" s="1" t="n">
        <v>45796</v>
      </c>
      <c r="C1080" s="1" t="n">
        <v>46197</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24039-2025</t>
        </is>
      </c>
      <c r="B1081" s="1" t="n">
        <v>45796</v>
      </c>
      <c r="C1081" s="1" t="n">
        <v>46197</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7681-2025</t>
        </is>
      </c>
      <c r="B1082" s="1" t="n">
        <v>45706</v>
      </c>
      <c r="C1082" s="1" t="n">
        <v>46197</v>
      </c>
      <c r="D1082" t="inlineStr">
        <is>
          <t>SKÅNE LÄN</t>
        </is>
      </c>
      <c r="E1082" t="inlineStr">
        <is>
          <t>HÄSSLEHOLM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5252-2025</t>
        </is>
      </c>
      <c r="B1083" s="1" t="n">
        <v>45692</v>
      </c>
      <c r="C1083" s="1" t="n">
        <v>46197</v>
      </c>
      <c r="D1083" t="inlineStr">
        <is>
          <t>SKÅNE LÄN</t>
        </is>
      </c>
      <c r="E1083" t="inlineStr">
        <is>
          <t>HÄSSLEHOLM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24047-2025</t>
        </is>
      </c>
      <c r="B1084" s="1" t="n">
        <v>45796</v>
      </c>
      <c r="C1084" s="1" t="n">
        <v>46197</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60789-2024</t>
        </is>
      </c>
      <c r="B1085" s="1" t="n">
        <v>45644</v>
      </c>
      <c r="C1085" s="1" t="n">
        <v>46197</v>
      </c>
      <c r="D1085" t="inlineStr">
        <is>
          <t>SKÅNE LÄN</t>
        </is>
      </c>
      <c r="E1085" t="inlineStr">
        <is>
          <t>HÄSSLEHOLM</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10562-2025</t>
        </is>
      </c>
      <c r="B1086" s="1" t="n">
        <v>45721</v>
      </c>
      <c r="C1086" s="1" t="n">
        <v>46197</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32512-2024</t>
        </is>
      </c>
      <c r="B1087" s="1" t="n">
        <v>45513</v>
      </c>
      <c r="C1087" s="1" t="n">
        <v>46197</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55522-2024</t>
        </is>
      </c>
      <c r="B1088" s="1" t="n">
        <v>45622</v>
      </c>
      <c r="C1088" s="1" t="n">
        <v>46197</v>
      </c>
      <c r="D1088" t="inlineStr">
        <is>
          <t>SKÅNE LÄN</t>
        </is>
      </c>
      <c r="E1088" t="inlineStr">
        <is>
          <t>HÄSSLEHOLM</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5242-2025</t>
        </is>
      </c>
      <c r="B1089" s="1" t="n">
        <v>45692</v>
      </c>
      <c r="C1089" s="1" t="n">
        <v>46197</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24658-2025</t>
        </is>
      </c>
      <c r="B1090" s="1" t="n">
        <v>45798</v>
      </c>
      <c r="C1090" s="1" t="n">
        <v>46197</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24250-2025</t>
        </is>
      </c>
      <c r="B1091" s="1" t="n">
        <v>45797</v>
      </c>
      <c r="C1091" s="1" t="n">
        <v>46197</v>
      </c>
      <c r="D1091" t="inlineStr">
        <is>
          <t>SKÅNE LÄN</t>
        </is>
      </c>
      <c r="E1091" t="inlineStr">
        <is>
          <t>HÄSSLEHOLM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32826-2024</t>
        </is>
      </c>
      <c r="B1092" s="1" t="n">
        <v>45516</v>
      </c>
      <c r="C1092" s="1" t="n">
        <v>46197</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27837-2024</t>
        </is>
      </c>
      <c r="B1093" s="1" t="n">
        <v>45475</v>
      </c>
      <c r="C1093" s="1" t="n">
        <v>46197</v>
      </c>
      <c r="D1093" t="inlineStr">
        <is>
          <t>SKÅNE LÄN</t>
        </is>
      </c>
      <c r="E1093" t="inlineStr">
        <is>
          <t>HÄSSLEHOLM</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29659-2024</t>
        </is>
      </c>
      <c r="B1094" s="1" t="n">
        <v>45484</v>
      </c>
      <c r="C1094" s="1" t="n">
        <v>46197</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1679-2022</t>
        </is>
      </c>
      <c r="B1095" s="1" t="n">
        <v>44573</v>
      </c>
      <c r="C1095" s="1" t="n">
        <v>46197</v>
      </c>
      <c r="D1095" t="inlineStr">
        <is>
          <t>SKÅNE LÄN</t>
        </is>
      </c>
      <c r="E1095" t="inlineStr">
        <is>
          <t>HÄSSLEHOLM</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259-2024</t>
        </is>
      </c>
      <c r="B1096" s="1" t="n">
        <v>45294</v>
      </c>
      <c r="C1096" s="1" t="n">
        <v>46197</v>
      </c>
      <c r="D1096" t="inlineStr">
        <is>
          <t>SKÅNE LÄN</t>
        </is>
      </c>
      <c r="E1096" t="inlineStr">
        <is>
          <t>HÄSSLEHOLM</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25372-2025</t>
        </is>
      </c>
      <c r="B1097" s="1" t="n">
        <v>45799</v>
      </c>
      <c r="C1097" s="1" t="n">
        <v>46197</v>
      </c>
      <c r="D1097" t="inlineStr">
        <is>
          <t>SKÅNE LÄN</t>
        </is>
      </c>
      <c r="E1097" t="inlineStr">
        <is>
          <t>HÄSSLEHOLM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9399-2025</t>
        </is>
      </c>
      <c r="B1098" s="1" t="n">
        <v>45715</v>
      </c>
      <c r="C1098" s="1" t="n">
        <v>46197</v>
      </c>
      <c r="D1098" t="inlineStr">
        <is>
          <t>SKÅNE LÄN</t>
        </is>
      </c>
      <c r="E1098" t="inlineStr">
        <is>
          <t>HÄSSLEHOLM</t>
        </is>
      </c>
      <c r="G1098" t="n">
        <v>5.2</v>
      </c>
      <c r="H1098" t="n">
        <v>0</v>
      </c>
      <c r="I1098" t="n">
        <v>0</v>
      </c>
      <c r="J1098" t="n">
        <v>0</v>
      </c>
      <c r="K1098" t="n">
        <v>0</v>
      </c>
      <c r="L1098" t="n">
        <v>0</v>
      </c>
      <c r="M1098" t="n">
        <v>0</v>
      </c>
      <c r="N1098" t="n">
        <v>0</v>
      </c>
      <c r="O1098" t="n">
        <v>0</v>
      </c>
      <c r="P1098" t="n">
        <v>0</v>
      </c>
      <c r="Q1098" t="n">
        <v>0</v>
      </c>
      <c r="R1098" s="2" t="inlineStr"/>
    </row>
    <row r="1099">
      <c r="A1099" t="inlineStr">
        <is>
          <t>A 51565-2023</t>
        </is>
      </c>
      <c r="B1099" s="1" t="n">
        <v>45222</v>
      </c>
      <c r="C1099" s="1" t="n">
        <v>46197</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2026-06-24T00:48:14Z</dcterms:created>
  <dcterms:modified xmlns:dcterms="http://purl.org/dc/terms/" xmlns:xsi="http://www.w3.org/2001/XMLSchema-instance" xsi:type="dcterms:W3CDTF">2026-06-24T00:48:15Z</dcterms:modified>
</cp:coreProperties>
</file>