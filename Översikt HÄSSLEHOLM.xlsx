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46060</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46060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46060</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46060</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46060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46060</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46060</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46060</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4595-2025</t>
        </is>
      </c>
      <c r="B14" s="1" t="n">
        <v>45687</v>
      </c>
      <c r="C14" s="1" t="n">
        <v>46060</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46060</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46060</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13705-2022</t>
        </is>
      </c>
      <c r="B17" s="1" t="n">
        <v>44648</v>
      </c>
      <c r="C17" s="1" t="n">
        <v>46060</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54523-2024</t>
        </is>
      </c>
      <c r="B18" s="1" t="n">
        <v>45617</v>
      </c>
      <c r="C18" s="1" t="n">
        <v>46060</v>
      </c>
      <c r="D18" t="inlineStr">
        <is>
          <t>SKÅNE LÄN</t>
        </is>
      </c>
      <c r="E18" t="inlineStr">
        <is>
          <t>HÄSSLEHOLM</t>
        </is>
      </c>
      <c r="G18" t="n">
        <v>4.5</v>
      </c>
      <c r="H18" t="n">
        <v>1</v>
      </c>
      <c r="I18" t="n">
        <v>0</v>
      </c>
      <c r="J18" t="n">
        <v>0</v>
      </c>
      <c r="K18" t="n">
        <v>0</v>
      </c>
      <c r="L18" t="n">
        <v>0</v>
      </c>
      <c r="M18" t="n">
        <v>0</v>
      </c>
      <c r="N18" t="n">
        <v>0</v>
      </c>
      <c r="O18" t="n">
        <v>0</v>
      </c>
      <c r="P18" t="n">
        <v>0</v>
      </c>
      <c r="Q18" t="n">
        <v>1</v>
      </c>
      <c r="R18" s="2" t="inlineStr">
        <is>
          <t>Grönvit nattviol</t>
        </is>
      </c>
      <c r="S18">
        <f>HYPERLINK("https://klasma.github.io/Logging_1293/artfynd/A 54523-2024 artfynd.xlsx", "A 54523-2024")</f>
        <v/>
      </c>
      <c r="T18">
        <f>HYPERLINK("https://klasma.github.io/Logging_1293/kartor/A 54523-2024 karta.png", "A 54523-2024")</f>
        <v/>
      </c>
      <c r="V18">
        <f>HYPERLINK("https://klasma.github.io/Logging_1293/klagomål/A 54523-2024 FSC-klagomål.docx", "A 54523-2024")</f>
        <v/>
      </c>
      <c r="W18">
        <f>HYPERLINK("https://klasma.github.io/Logging_1293/klagomålsmail/A 54523-2024 FSC-klagomål mail.docx", "A 54523-2024")</f>
        <v/>
      </c>
      <c r="X18">
        <f>HYPERLINK("https://klasma.github.io/Logging_1293/tillsyn/A 54523-2024 tillsynsbegäran.docx", "A 54523-2024")</f>
        <v/>
      </c>
      <c r="Y18">
        <f>HYPERLINK("https://klasma.github.io/Logging_1293/tillsynsmail/A 54523-2024 tillsynsbegäran mail.docx", "A 54523-2024")</f>
        <v/>
      </c>
    </row>
    <row r="19" ht="15" customHeight="1">
      <c r="A19" t="inlineStr">
        <is>
          <t>A 27390-2025</t>
        </is>
      </c>
      <c r="B19" s="1" t="n">
        <v>45812.67840277778</v>
      </c>
      <c r="C19" s="1" t="n">
        <v>46060</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Grönhjon</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40613-2025</t>
        </is>
      </c>
      <c r="B20" s="1" t="n">
        <v>45896</v>
      </c>
      <c r="C20" s="1" t="n">
        <v>46060</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9289-2025</t>
        </is>
      </c>
      <c r="B21" s="1" t="n">
        <v>45714</v>
      </c>
      <c r="C21" s="1" t="n">
        <v>46060</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36690-2025</t>
        </is>
      </c>
      <c r="B22" s="1" t="n">
        <v>45873.42915509259</v>
      </c>
      <c r="C22" s="1" t="n">
        <v>46060</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7862-2024</t>
        </is>
      </c>
      <c r="B23" s="1" t="n">
        <v>45348</v>
      </c>
      <c r="C23" s="1" t="n">
        <v>46060</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8223-2025</t>
        </is>
      </c>
      <c r="B24" s="1" t="n">
        <v>45708.46127314815</v>
      </c>
      <c r="C24" s="1" t="n">
        <v>46060</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57533-2025</t>
        </is>
      </c>
      <c r="B25" s="1" t="n">
        <v>45980.63923611111</v>
      </c>
      <c r="C25" s="1" t="n">
        <v>46060</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29272-2023</t>
        </is>
      </c>
      <c r="B26" s="1" t="n">
        <v>45105</v>
      </c>
      <c r="C26" s="1" t="n">
        <v>46060</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16107-2025</t>
        </is>
      </c>
      <c r="B27" s="1" t="n">
        <v>45750.34537037037</v>
      </c>
      <c r="C27" s="1" t="n">
        <v>46060</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43874-2022</t>
        </is>
      </c>
      <c r="B28" s="1" t="n">
        <v>44838.44738425926</v>
      </c>
      <c r="C28" s="1" t="n">
        <v>46060</v>
      </c>
      <c r="D28" t="inlineStr">
        <is>
          <t>SKÅNE LÄN</t>
        </is>
      </c>
      <c r="E28" t="inlineStr">
        <is>
          <t>HÄSSLEHOLM</t>
        </is>
      </c>
      <c r="G28" t="n">
        <v>2.1</v>
      </c>
      <c r="H28" t="n">
        <v>0</v>
      </c>
      <c r="I28" t="n">
        <v>0</v>
      </c>
      <c r="J28" t="n">
        <v>1</v>
      </c>
      <c r="K28" t="n">
        <v>0</v>
      </c>
      <c r="L28" t="n">
        <v>0</v>
      </c>
      <c r="M28" t="n">
        <v>0</v>
      </c>
      <c r="N28" t="n">
        <v>0</v>
      </c>
      <c r="O28" t="n">
        <v>1</v>
      </c>
      <c r="P28" t="n">
        <v>0</v>
      </c>
      <c r="Q28" t="n">
        <v>1</v>
      </c>
      <c r="R28" s="2" t="inlineStr">
        <is>
          <t>Igelkott</t>
        </is>
      </c>
      <c r="S28">
        <f>HYPERLINK("https://klasma.github.io/Logging_1293/artfynd/A 43874-2022 artfynd.xlsx", "A 43874-2022")</f>
        <v/>
      </c>
      <c r="T28">
        <f>HYPERLINK("https://klasma.github.io/Logging_1293/kartor/A 43874-2022 karta.png", "A 43874-2022")</f>
        <v/>
      </c>
      <c r="V28">
        <f>HYPERLINK("https://klasma.github.io/Logging_1293/klagomål/A 43874-2022 FSC-klagomål.docx", "A 43874-2022")</f>
        <v/>
      </c>
      <c r="W28">
        <f>HYPERLINK("https://klasma.github.io/Logging_1293/klagomålsmail/A 43874-2022 FSC-klagomål mail.docx", "A 43874-2022")</f>
        <v/>
      </c>
      <c r="X28">
        <f>HYPERLINK("https://klasma.github.io/Logging_1293/tillsyn/A 43874-2022 tillsynsbegäran.docx", "A 43874-2022")</f>
        <v/>
      </c>
      <c r="Y28">
        <f>HYPERLINK("https://klasma.github.io/Logging_1293/tillsynsmail/A 43874-2022 tillsynsbegäran mail.docx", "A 43874-2022")</f>
        <v/>
      </c>
    </row>
    <row r="29" ht="15" customHeight="1">
      <c r="A29" t="inlineStr">
        <is>
          <t>A 4619-2025</t>
        </is>
      </c>
      <c r="B29" s="1" t="n">
        <v>45687</v>
      </c>
      <c r="C29" s="1" t="n">
        <v>46060</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46060</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46060</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20280-2025</t>
        </is>
      </c>
      <c r="B32" s="1" t="n">
        <v>45774.38790509259</v>
      </c>
      <c r="C32" s="1" t="n">
        <v>46060</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46602-2023</t>
        </is>
      </c>
      <c r="B33" s="1" t="n">
        <v>45194</v>
      </c>
      <c r="C33" s="1" t="n">
        <v>46060</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61707-2024</t>
        </is>
      </c>
      <c r="B34" s="1" t="n">
        <v>45648.61747685185</v>
      </c>
      <c r="C34" s="1" t="n">
        <v>46060</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46060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46060</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37457-2022</t>
        </is>
      </c>
      <c r="B37" s="1" t="n">
        <v>44809</v>
      </c>
      <c r="C37" s="1" t="n">
        <v>46060</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7655-2021</t>
        </is>
      </c>
      <c r="B38" s="1" t="n">
        <v>44242</v>
      </c>
      <c r="C38" s="1" t="n">
        <v>46060</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46060</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46060</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46060</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46060</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46060</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46060</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46060</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46060</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46060</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46060</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46060</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46060</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46060</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46060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46060</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46060</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46060</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46060</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46060</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46060</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46060</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46060</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46060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46060</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74294-2021</t>
        </is>
      </c>
      <c r="B66" s="1" t="n">
        <v>44558</v>
      </c>
      <c r="C66" s="1" t="n">
        <v>46060</v>
      </c>
      <c r="D66" t="inlineStr">
        <is>
          <t>SKÅNE LÄN</t>
        </is>
      </c>
      <c r="E66" t="inlineStr">
        <is>
          <t>HÄSSLEHOLM</t>
        </is>
      </c>
      <c r="F66" t="inlineStr">
        <is>
          <t>Kyrkan</t>
        </is>
      </c>
      <c r="G66" t="n">
        <v>16.2</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46060</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46060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46060</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46060</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56424-2021</t>
        </is>
      </c>
      <c r="B71" s="1" t="n">
        <v>44480</v>
      </c>
      <c r="C71" s="1" t="n">
        <v>46060</v>
      </c>
      <c r="D71" t="inlineStr">
        <is>
          <t>SKÅNE LÄN</t>
        </is>
      </c>
      <c r="E71" t="inlineStr">
        <is>
          <t>HÄSSLEHOLM</t>
        </is>
      </c>
      <c r="F71" t="inlineStr">
        <is>
          <t>Kyrkan</t>
        </is>
      </c>
      <c r="G71" t="n">
        <v>3.4</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46060</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46060</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46060</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46060</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46060</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46060</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46060</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46060</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46060</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46060</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46060</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46060</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46060</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46060</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46060</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46060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46060</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46060</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46060</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46060</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46060</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46060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46060</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46060</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46060</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46060</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7522-2021</t>
        </is>
      </c>
      <c r="B99" s="1" t="n">
        <v>44238</v>
      </c>
      <c r="C99" s="1" t="n">
        <v>46060</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46060</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14054-2021</t>
        </is>
      </c>
      <c r="B101" s="1" t="n">
        <v>44277</v>
      </c>
      <c r="C101" s="1" t="n">
        <v>46060</v>
      </c>
      <c r="D101" t="inlineStr">
        <is>
          <t>SKÅNE LÄN</t>
        </is>
      </c>
      <c r="E101" t="inlineStr">
        <is>
          <t>HÄSSLEHOLM</t>
        </is>
      </c>
      <c r="G101" t="n">
        <v>2</v>
      </c>
      <c r="H101" t="n">
        <v>0</v>
      </c>
      <c r="I101" t="n">
        <v>0</v>
      </c>
      <c r="J101" t="n">
        <v>0</v>
      </c>
      <c r="K101" t="n">
        <v>0</v>
      </c>
      <c r="L101" t="n">
        <v>0</v>
      </c>
      <c r="M101" t="n">
        <v>0</v>
      </c>
      <c r="N101" t="n">
        <v>0</v>
      </c>
      <c r="O101" t="n">
        <v>0</v>
      </c>
      <c r="P101" t="n">
        <v>0</v>
      </c>
      <c r="Q101" t="n">
        <v>0</v>
      </c>
      <c r="R101" s="2" t="inlineStr"/>
    </row>
    <row r="102" ht="15" customHeight="1">
      <c r="A102" t="inlineStr">
        <is>
          <t>A 8278-2021</t>
        </is>
      </c>
      <c r="B102" s="1" t="n">
        <v>44244</v>
      </c>
      <c r="C102" s="1" t="n">
        <v>46060</v>
      </c>
      <c r="D102" t="inlineStr">
        <is>
          <t>SKÅNE LÄN</t>
        </is>
      </c>
      <c r="E102" t="inlineStr">
        <is>
          <t>HÄSSLEHOLM</t>
        </is>
      </c>
      <c r="F102" t="inlineStr">
        <is>
          <t>Kyrkan</t>
        </is>
      </c>
      <c r="G102" t="n">
        <v>1.4</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46060</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46060</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46060</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46060</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34684-2021</t>
        </is>
      </c>
      <c r="B107" s="1" t="n">
        <v>44382</v>
      </c>
      <c r="C107" s="1" t="n">
        <v>46060</v>
      </c>
      <c r="D107" t="inlineStr">
        <is>
          <t>SKÅNE LÄN</t>
        </is>
      </c>
      <c r="E107" t="inlineStr">
        <is>
          <t>HÄSSLEHOLM</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74293-2021</t>
        </is>
      </c>
      <c r="B108" s="1" t="n">
        <v>44558</v>
      </c>
      <c r="C108" s="1" t="n">
        <v>46060</v>
      </c>
      <c r="D108" t="inlineStr">
        <is>
          <t>SKÅNE LÄN</t>
        </is>
      </c>
      <c r="E108" t="inlineStr">
        <is>
          <t>HÄSSLEHOLM</t>
        </is>
      </c>
      <c r="F108" t="inlineStr">
        <is>
          <t>Kyrkan</t>
        </is>
      </c>
      <c r="G108" t="n">
        <v>3.3</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46060</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44328-2021</t>
        </is>
      </c>
      <c r="B110" s="1" t="n">
        <v>44435</v>
      </c>
      <c r="C110" s="1" t="n">
        <v>46060</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46060</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46060</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46060</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46060</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3276-2022</t>
        </is>
      </c>
      <c r="B115" s="1" t="n">
        <v>44584.40916666666</v>
      </c>
      <c r="C115" s="1" t="n">
        <v>46060</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63972-2021</t>
        </is>
      </c>
      <c r="B116" s="1" t="n">
        <v>44509.89649305555</v>
      </c>
      <c r="C116" s="1" t="n">
        <v>46060</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46060</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46060</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46060</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21535-2021</t>
        </is>
      </c>
      <c r="B120" s="1" t="n">
        <v>44321</v>
      </c>
      <c r="C120" s="1" t="n">
        <v>46060</v>
      </c>
      <c r="D120" t="inlineStr">
        <is>
          <t>SKÅNE LÄN</t>
        </is>
      </c>
      <c r="E120" t="inlineStr">
        <is>
          <t>HÄSSLEHOLM</t>
        </is>
      </c>
      <c r="G120" t="n">
        <v>2.8</v>
      </c>
      <c r="H120" t="n">
        <v>0</v>
      </c>
      <c r="I120" t="n">
        <v>0</v>
      </c>
      <c r="J120" t="n">
        <v>0</v>
      </c>
      <c r="K120" t="n">
        <v>0</v>
      </c>
      <c r="L120" t="n">
        <v>0</v>
      </c>
      <c r="M120" t="n">
        <v>0</v>
      </c>
      <c r="N120" t="n">
        <v>0</v>
      </c>
      <c r="O120" t="n">
        <v>0</v>
      </c>
      <c r="P120" t="n">
        <v>0</v>
      </c>
      <c r="Q120" t="n">
        <v>0</v>
      </c>
      <c r="R120" s="2" t="inlineStr"/>
    </row>
    <row r="121" ht="15" customHeight="1">
      <c r="A121" t="inlineStr">
        <is>
          <t>A 37334-2021</t>
        </is>
      </c>
      <c r="B121" s="1" t="n">
        <v>44397.57800925926</v>
      </c>
      <c r="C121" s="1" t="n">
        <v>46060</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34027-2021</t>
        </is>
      </c>
      <c r="B122" s="1" t="n">
        <v>44379</v>
      </c>
      <c r="C122" s="1" t="n">
        <v>46060</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46060</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46060</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34679-2021</t>
        </is>
      </c>
      <c r="B125" s="1" t="n">
        <v>44382</v>
      </c>
      <c r="C125" s="1" t="n">
        <v>46060</v>
      </c>
      <c r="D125" t="inlineStr">
        <is>
          <t>SKÅNE LÄN</t>
        </is>
      </c>
      <c r="E125" t="inlineStr">
        <is>
          <t>HÄSSLEHOLM</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4161-2022</t>
        </is>
      </c>
      <c r="B126" s="1" t="n">
        <v>44588</v>
      </c>
      <c r="C126" s="1" t="n">
        <v>46060</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40702-2021</t>
        </is>
      </c>
      <c r="B127" s="1" t="n">
        <v>44420.61719907408</v>
      </c>
      <c r="C127" s="1" t="n">
        <v>46060</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1535-2022</t>
        </is>
      </c>
      <c r="B128" s="1" t="n">
        <v>44573</v>
      </c>
      <c r="C128" s="1" t="n">
        <v>46060</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21029-2021</t>
        </is>
      </c>
      <c r="B129" s="1" t="n">
        <v>44319.63366898148</v>
      </c>
      <c r="C129" s="1" t="n">
        <v>46060</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13982-2021</t>
        </is>
      </c>
      <c r="B130" s="1" t="n">
        <v>44277.57800925926</v>
      </c>
      <c r="C130" s="1" t="n">
        <v>46060</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64607-2021</t>
        </is>
      </c>
      <c r="B131" s="1" t="n">
        <v>44511</v>
      </c>
      <c r="C131" s="1" t="n">
        <v>46060</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18515-2021</t>
        </is>
      </c>
      <c r="B132" s="1" t="n">
        <v>44305</v>
      </c>
      <c r="C132" s="1" t="n">
        <v>46060</v>
      </c>
      <c r="D132" t="inlineStr">
        <is>
          <t>SKÅNE LÄN</t>
        </is>
      </c>
      <c r="E132" t="inlineStr">
        <is>
          <t>HÄSSLEHOLM</t>
        </is>
      </c>
      <c r="F132" t="inlineStr">
        <is>
          <t>Övriga Aktiebolag</t>
        </is>
      </c>
      <c r="G132" t="n">
        <v>0.5</v>
      </c>
      <c r="H132" t="n">
        <v>0</v>
      </c>
      <c r="I132" t="n">
        <v>0</v>
      </c>
      <c r="J132" t="n">
        <v>0</v>
      </c>
      <c r="K132" t="n">
        <v>0</v>
      </c>
      <c r="L132" t="n">
        <v>0</v>
      </c>
      <c r="M132" t="n">
        <v>0</v>
      </c>
      <c r="N132" t="n">
        <v>0</v>
      </c>
      <c r="O132" t="n">
        <v>0</v>
      </c>
      <c r="P132" t="n">
        <v>0</v>
      </c>
      <c r="Q132" t="n">
        <v>0</v>
      </c>
      <c r="R132" s="2" t="inlineStr"/>
    </row>
    <row r="133" ht="15" customHeight="1">
      <c r="A133" t="inlineStr">
        <is>
          <t>A 18523-2021</t>
        </is>
      </c>
      <c r="B133" s="1" t="n">
        <v>44305</v>
      </c>
      <c r="C133" s="1" t="n">
        <v>46060</v>
      </c>
      <c r="D133" t="inlineStr">
        <is>
          <t>SKÅNE LÄN</t>
        </is>
      </c>
      <c r="E133" t="inlineStr">
        <is>
          <t>HÄSSLEHOLM</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12617-2021</t>
        </is>
      </c>
      <c r="B134" s="1" t="n">
        <v>44270.45030092593</v>
      </c>
      <c r="C134" s="1" t="n">
        <v>46060</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46060</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33736-2021</t>
        </is>
      </c>
      <c r="B136" s="1" t="n">
        <v>44378</v>
      </c>
      <c r="C136" s="1" t="n">
        <v>46060</v>
      </c>
      <c r="D136" t="inlineStr">
        <is>
          <t>SKÅNE LÄN</t>
        </is>
      </c>
      <c r="E136" t="inlineStr">
        <is>
          <t>HÄSSLEHOLM</t>
        </is>
      </c>
      <c r="G136" t="n">
        <v>7.6</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46060</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46060</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46060</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27330-2021</t>
        </is>
      </c>
      <c r="B140" s="1" t="n">
        <v>44351</v>
      </c>
      <c r="C140" s="1" t="n">
        <v>46060</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46060</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32892-2021</t>
        </is>
      </c>
      <c r="B142" s="1" t="n">
        <v>44375</v>
      </c>
      <c r="C142" s="1" t="n">
        <v>46060</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46060</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46060</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46060</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46060</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46060</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46060</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46060</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46060</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46060</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46060</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46060</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46060</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46060</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46060</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51888-2021</t>
        </is>
      </c>
      <c r="B157" s="1" t="n">
        <v>44462</v>
      </c>
      <c r="C157" s="1" t="n">
        <v>46060</v>
      </c>
      <c r="D157" t="inlineStr">
        <is>
          <t>SKÅNE LÄN</t>
        </is>
      </c>
      <c r="E157" t="inlineStr">
        <is>
          <t>HÄSSLEHOLM</t>
        </is>
      </c>
      <c r="G157" t="n">
        <v>5.6</v>
      </c>
      <c r="H157" t="n">
        <v>0</v>
      </c>
      <c r="I157" t="n">
        <v>0</v>
      </c>
      <c r="J157" t="n">
        <v>0</v>
      </c>
      <c r="K157" t="n">
        <v>0</v>
      </c>
      <c r="L157" t="n">
        <v>0</v>
      </c>
      <c r="M157" t="n">
        <v>0</v>
      </c>
      <c r="N157" t="n">
        <v>0</v>
      </c>
      <c r="O157" t="n">
        <v>0</v>
      </c>
      <c r="P157" t="n">
        <v>0</v>
      </c>
      <c r="Q157" t="n">
        <v>0</v>
      </c>
      <c r="R157" s="2" t="inlineStr"/>
    </row>
    <row r="158" ht="15" customHeight="1">
      <c r="A158" t="inlineStr">
        <is>
          <t>A 29143-2021</t>
        </is>
      </c>
      <c r="B158" s="1" t="n">
        <v>44358.6319212963</v>
      </c>
      <c r="C158" s="1" t="n">
        <v>46060</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44467.36061342592</v>
      </c>
      <c r="C159" s="1" t="n">
        <v>46060</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46060</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46060</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73513-2021</t>
        </is>
      </c>
      <c r="B162" s="1" t="n">
        <v>44551.69012731482</v>
      </c>
      <c r="C162" s="1" t="n">
        <v>46060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46060</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27959-2022</t>
        </is>
      </c>
      <c r="B164" s="1" t="n">
        <v>44744</v>
      </c>
      <c r="C164" s="1" t="n">
        <v>46060</v>
      </c>
      <c r="D164" t="inlineStr">
        <is>
          <t>SKÅNE LÄN</t>
        </is>
      </c>
      <c r="E164" t="inlineStr">
        <is>
          <t>HÄSSLEHOLM</t>
        </is>
      </c>
      <c r="G164" t="n">
        <v>3</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46060</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46060</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46060</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46060</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46060</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46060</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46060</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46060</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45989-2021</t>
        </is>
      </c>
      <c r="B173" s="1" t="n">
        <v>44441.74627314815</v>
      </c>
      <c r="C173" s="1" t="n">
        <v>46060</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7248-2021</t>
        </is>
      </c>
      <c r="B174" s="1" t="n">
        <v>44236</v>
      </c>
      <c r="C174" s="1" t="n">
        <v>46060</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44844.61952546296</v>
      </c>
      <c r="C175" s="1" t="n">
        <v>46060</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46060</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46060</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7250-2022</t>
        </is>
      </c>
      <c r="B178" s="1" t="n">
        <v>44606</v>
      </c>
      <c r="C178" s="1" t="n">
        <v>46060</v>
      </c>
      <c r="D178" t="inlineStr">
        <is>
          <t>SKÅNE LÄN</t>
        </is>
      </c>
      <c r="E178" t="inlineStr">
        <is>
          <t>HÄSSLEHOLM</t>
        </is>
      </c>
      <c r="F178" t="inlineStr">
        <is>
          <t>Övriga Aktiebolag</t>
        </is>
      </c>
      <c r="G178" t="n">
        <v>2.6</v>
      </c>
      <c r="H178" t="n">
        <v>0</v>
      </c>
      <c r="I178" t="n">
        <v>0</v>
      </c>
      <c r="J178" t="n">
        <v>0</v>
      </c>
      <c r="K178" t="n">
        <v>0</v>
      </c>
      <c r="L178" t="n">
        <v>0</v>
      </c>
      <c r="M178" t="n">
        <v>0</v>
      </c>
      <c r="N178" t="n">
        <v>0</v>
      </c>
      <c r="O178" t="n">
        <v>0</v>
      </c>
      <c r="P178" t="n">
        <v>0</v>
      </c>
      <c r="Q178" t="n">
        <v>0</v>
      </c>
      <c r="R178" s="2" t="inlineStr"/>
    </row>
    <row r="179" ht="15" customHeight="1">
      <c r="A179" t="inlineStr">
        <is>
          <t>A 51895-2021</t>
        </is>
      </c>
      <c r="B179" s="1" t="n">
        <v>44462</v>
      </c>
      <c r="C179" s="1" t="n">
        <v>46060</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7904-2022</t>
        </is>
      </c>
      <c r="B180" s="1" t="n">
        <v>44607</v>
      </c>
      <c r="C180" s="1" t="n">
        <v>46060</v>
      </c>
      <c r="D180" t="inlineStr">
        <is>
          <t>SKÅNE LÄN</t>
        </is>
      </c>
      <c r="E180" t="inlineStr">
        <is>
          <t>HÄSSLEHOLM</t>
        </is>
      </c>
      <c r="F180" t="inlineStr">
        <is>
          <t>Kyrkan</t>
        </is>
      </c>
      <c r="G180" t="n">
        <v>3.9</v>
      </c>
      <c r="H180" t="n">
        <v>0</v>
      </c>
      <c r="I180" t="n">
        <v>0</v>
      </c>
      <c r="J180" t="n">
        <v>0</v>
      </c>
      <c r="K180" t="n">
        <v>0</v>
      </c>
      <c r="L180" t="n">
        <v>0</v>
      </c>
      <c r="M180" t="n">
        <v>0</v>
      </c>
      <c r="N180" t="n">
        <v>0</v>
      </c>
      <c r="O180" t="n">
        <v>0</v>
      </c>
      <c r="P180" t="n">
        <v>0</v>
      </c>
      <c r="Q180" t="n">
        <v>0</v>
      </c>
      <c r="R180" s="2" t="inlineStr"/>
    </row>
    <row r="181" ht="15" customHeight="1">
      <c r="A181" t="inlineStr">
        <is>
          <t>A 219-2022</t>
        </is>
      </c>
      <c r="B181" s="1" t="n">
        <v>44564</v>
      </c>
      <c r="C181" s="1" t="n">
        <v>46060</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9453-2021</t>
        </is>
      </c>
      <c r="B182" s="1" t="n">
        <v>44251</v>
      </c>
      <c r="C182" s="1" t="n">
        <v>46060</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46060</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46060</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46060</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46060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46060</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46060</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46060</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46060</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46060</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46060</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46060</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46060</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46060</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3992-2022</t>
        </is>
      </c>
      <c r="B196" s="1" t="n">
        <v>44587</v>
      </c>
      <c r="C196" s="1" t="n">
        <v>46060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20657-2022</t>
        </is>
      </c>
      <c r="B197" s="1" t="n">
        <v>44700</v>
      </c>
      <c r="C197" s="1" t="n">
        <v>46060</v>
      </c>
      <c r="D197" t="inlineStr">
        <is>
          <t>SKÅNE LÄN</t>
        </is>
      </c>
      <c r="E197" t="inlineStr">
        <is>
          <t>HÄSSLEHOLM</t>
        </is>
      </c>
      <c r="G197" t="n">
        <v>3.8</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46060</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23950-2023</t>
        </is>
      </c>
      <c r="B199" s="1" t="n">
        <v>45078.61771990741</v>
      </c>
      <c r="C199" s="1" t="n">
        <v>46060</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23952-2023</t>
        </is>
      </c>
      <c r="B200" s="1" t="n">
        <v>45078.62064814815</v>
      </c>
      <c r="C200" s="1" t="n">
        <v>46060</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23956-2023</t>
        </is>
      </c>
      <c r="B201" s="1" t="n">
        <v>45078.62302083334</v>
      </c>
      <c r="C201" s="1" t="n">
        <v>46060</v>
      </c>
      <c r="D201" t="inlineStr">
        <is>
          <t>SKÅNE LÄN</t>
        </is>
      </c>
      <c r="E201" t="inlineStr">
        <is>
          <t>HÄSSLEHOLM</t>
        </is>
      </c>
      <c r="G201" t="n">
        <v>0.1</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46060</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7890-2024</t>
        </is>
      </c>
      <c r="B203" s="1" t="n">
        <v>45350.40780092592</v>
      </c>
      <c r="C203" s="1" t="n">
        <v>46060</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1619-2022</t>
        </is>
      </c>
      <c r="B204" s="1" t="n">
        <v>44573</v>
      </c>
      <c r="C204" s="1" t="n">
        <v>46060</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46060</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3500-2024</t>
        </is>
      </c>
      <c r="B206" s="1" t="n">
        <v>45320</v>
      </c>
      <c r="C206" s="1" t="n">
        <v>46060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14674-2025</t>
        </is>
      </c>
      <c r="B207" s="1" t="n">
        <v>45742.55548611111</v>
      </c>
      <c r="C207" s="1" t="n">
        <v>46060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14702-2025</t>
        </is>
      </c>
      <c r="B208" s="1" t="n">
        <v>45742.60403935185</v>
      </c>
      <c r="C208" s="1" t="n">
        <v>46060</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58815-2023</t>
        </is>
      </c>
      <c r="B209" s="1" t="n">
        <v>45247</v>
      </c>
      <c r="C209" s="1" t="n">
        <v>46060</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16388-2025</t>
        </is>
      </c>
      <c r="B210" s="1" t="n">
        <v>45751.42787037037</v>
      </c>
      <c r="C210" s="1" t="n">
        <v>46060</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55284-2023</t>
        </is>
      </c>
      <c r="B211" s="1" t="n">
        <v>45237.74259259259</v>
      </c>
      <c r="C211" s="1" t="n">
        <v>46060</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24241-2023</t>
        </is>
      </c>
      <c r="B212" s="1" t="n">
        <v>45079.61476851852</v>
      </c>
      <c r="C212" s="1" t="n">
        <v>46060</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21867-2023</t>
        </is>
      </c>
      <c r="B213" s="1" t="n">
        <v>45063</v>
      </c>
      <c r="C213" s="1" t="n">
        <v>46060</v>
      </c>
      <c r="D213" t="inlineStr">
        <is>
          <t>SKÅNE LÄN</t>
        </is>
      </c>
      <c r="E213" t="inlineStr">
        <is>
          <t>HÄSSLEHOLM</t>
        </is>
      </c>
      <c r="G213" t="n">
        <v>7.6</v>
      </c>
      <c r="H213" t="n">
        <v>0</v>
      </c>
      <c r="I213" t="n">
        <v>0</v>
      </c>
      <c r="J213" t="n">
        <v>0</v>
      </c>
      <c r="K213" t="n">
        <v>0</v>
      </c>
      <c r="L213" t="n">
        <v>0</v>
      </c>
      <c r="M213" t="n">
        <v>0</v>
      </c>
      <c r="N213" t="n">
        <v>0</v>
      </c>
      <c r="O213" t="n">
        <v>0</v>
      </c>
      <c r="P213" t="n">
        <v>0</v>
      </c>
      <c r="Q213" t="n">
        <v>0</v>
      </c>
      <c r="R213" s="2" t="inlineStr"/>
    </row>
    <row r="214" ht="15" customHeight="1">
      <c r="A214" t="inlineStr">
        <is>
          <t>A 33597-2023</t>
        </is>
      </c>
      <c r="B214" s="1" t="n">
        <v>45132</v>
      </c>
      <c r="C214" s="1" t="n">
        <v>46060</v>
      </c>
      <c r="D214" t="inlineStr">
        <is>
          <t>SKÅNE LÄN</t>
        </is>
      </c>
      <c r="E214" t="inlineStr">
        <is>
          <t>HÄSSLEHOLM</t>
        </is>
      </c>
      <c r="G214" t="n">
        <v>3.9</v>
      </c>
      <c r="H214" t="n">
        <v>0</v>
      </c>
      <c r="I214" t="n">
        <v>0</v>
      </c>
      <c r="J214" t="n">
        <v>0</v>
      </c>
      <c r="K214" t="n">
        <v>0</v>
      </c>
      <c r="L214" t="n">
        <v>0</v>
      </c>
      <c r="M214" t="n">
        <v>0</v>
      </c>
      <c r="N214" t="n">
        <v>0</v>
      </c>
      <c r="O214" t="n">
        <v>0</v>
      </c>
      <c r="P214" t="n">
        <v>0</v>
      </c>
      <c r="Q214" t="n">
        <v>0</v>
      </c>
      <c r="R214" s="2" t="inlineStr"/>
    </row>
    <row r="215" ht="15" customHeight="1">
      <c r="A215" t="inlineStr">
        <is>
          <t>A 33599-2023</t>
        </is>
      </c>
      <c r="B215" s="1" t="n">
        <v>45132</v>
      </c>
      <c r="C215" s="1" t="n">
        <v>46060</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27173-2024</t>
        </is>
      </c>
      <c r="B216" s="1" t="n">
        <v>45471.57048611111</v>
      </c>
      <c r="C216" s="1" t="n">
        <v>46060</v>
      </c>
      <c r="D216" t="inlineStr">
        <is>
          <t>SKÅNE LÄN</t>
        </is>
      </c>
      <c r="E216" t="inlineStr">
        <is>
          <t>HÄSSLEHOLM</t>
        </is>
      </c>
      <c r="G216" t="n">
        <v>1.8</v>
      </c>
      <c r="H216" t="n">
        <v>0</v>
      </c>
      <c r="I216" t="n">
        <v>0</v>
      </c>
      <c r="J216" t="n">
        <v>0</v>
      </c>
      <c r="K216" t="n">
        <v>0</v>
      </c>
      <c r="L216" t="n">
        <v>0</v>
      </c>
      <c r="M216" t="n">
        <v>0</v>
      </c>
      <c r="N216" t="n">
        <v>0</v>
      </c>
      <c r="O216" t="n">
        <v>0</v>
      </c>
      <c r="P216" t="n">
        <v>0</v>
      </c>
      <c r="Q216" t="n">
        <v>0</v>
      </c>
      <c r="R216" s="2" t="inlineStr"/>
    </row>
    <row r="217" ht="15" customHeight="1">
      <c r="A217" t="inlineStr">
        <is>
          <t>A 5284-2023</t>
        </is>
      </c>
      <c r="B217" s="1" t="n">
        <v>44959.50608796296</v>
      </c>
      <c r="C217" s="1" t="n">
        <v>46060</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5285-2023</t>
        </is>
      </c>
      <c r="B218" s="1" t="n">
        <v>44959.50783564815</v>
      </c>
      <c r="C218" s="1" t="n">
        <v>46060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10020-2024</t>
        </is>
      </c>
      <c r="B219" s="1" t="n">
        <v>45363.96944444445</v>
      </c>
      <c r="C219" s="1" t="n">
        <v>46060</v>
      </c>
      <c r="D219" t="inlineStr">
        <is>
          <t>SKÅNE LÄN</t>
        </is>
      </c>
      <c r="E219" t="inlineStr">
        <is>
          <t>HÄSSLEHOLM</t>
        </is>
      </c>
      <c r="G219" t="n">
        <v>5.3</v>
      </c>
      <c r="H219" t="n">
        <v>0</v>
      </c>
      <c r="I219" t="n">
        <v>0</v>
      </c>
      <c r="J219" t="n">
        <v>0</v>
      </c>
      <c r="K219" t="n">
        <v>0</v>
      </c>
      <c r="L219" t="n">
        <v>0</v>
      </c>
      <c r="M219" t="n">
        <v>0</v>
      </c>
      <c r="N219" t="n">
        <v>0</v>
      </c>
      <c r="O219" t="n">
        <v>0</v>
      </c>
      <c r="P219" t="n">
        <v>0</v>
      </c>
      <c r="Q219" t="n">
        <v>0</v>
      </c>
      <c r="R219" s="2" t="inlineStr"/>
    </row>
    <row r="220" ht="15" customHeight="1">
      <c r="A220" t="inlineStr">
        <is>
          <t>A 34888-2023</t>
        </is>
      </c>
      <c r="B220" s="1" t="n">
        <v>45142.388125</v>
      </c>
      <c r="C220" s="1" t="n">
        <v>46060</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21310-2022</t>
        </is>
      </c>
      <c r="B221" s="1" t="n">
        <v>44705</v>
      </c>
      <c r="C221" s="1" t="n">
        <v>46060</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70087-2021</t>
        </is>
      </c>
      <c r="B222" s="1" t="n">
        <v>44533</v>
      </c>
      <c r="C222" s="1" t="n">
        <v>46060</v>
      </c>
      <c r="D222" t="inlineStr">
        <is>
          <t>SKÅNE LÄN</t>
        </is>
      </c>
      <c r="E222" t="inlineStr">
        <is>
          <t>HÄSSLEHOLM</t>
        </is>
      </c>
      <c r="G222" t="n">
        <v>5</v>
      </c>
      <c r="H222" t="n">
        <v>0</v>
      </c>
      <c r="I222" t="n">
        <v>0</v>
      </c>
      <c r="J222" t="n">
        <v>0</v>
      </c>
      <c r="K222" t="n">
        <v>0</v>
      </c>
      <c r="L222" t="n">
        <v>0</v>
      </c>
      <c r="M222" t="n">
        <v>0</v>
      </c>
      <c r="N222" t="n">
        <v>0</v>
      </c>
      <c r="O222" t="n">
        <v>0</v>
      </c>
      <c r="P222" t="n">
        <v>0</v>
      </c>
      <c r="Q222" t="n">
        <v>0</v>
      </c>
      <c r="R222" s="2" t="inlineStr"/>
    </row>
    <row r="223" ht="15" customHeight="1">
      <c r="A223" t="inlineStr">
        <is>
          <t>A 20566-2023</t>
        </is>
      </c>
      <c r="B223" s="1" t="n">
        <v>45057</v>
      </c>
      <c r="C223" s="1" t="n">
        <v>46060</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54435-2024</t>
        </is>
      </c>
      <c r="B224" s="1" t="n">
        <v>45617.49494212963</v>
      </c>
      <c r="C224" s="1" t="n">
        <v>46060</v>
      </c>
      <c r="D224" t="inlineStr">
        <is>
          <t>SKÅNE LÄN</t>
        </is>
      </c>
      <c r="E224" t="inlineStr">
        <is>
          <t>HÄSSLEHOLM</t>
        </is>
      </c>
      <c r="G224" t="n">
        <v>2.3</v>
      </c>
      <c r="H224" t="n">
        <v>0</v>
      </c>
      <c r="I224" t="n">
        <v>0</v>
      </c>
      <c r="J224" t="n">
        <v>0</v>
      </c>
      <c r="K224" t="n">
        <v>0</v>
      </c>
      <c r="L224" t="n">
        <v>0</v>
      </c>
      <c r="M224" t="n">
        <v>0</v>
      </c>
      <c r="N224" t="n">
        <v>0</v>
      </c>
      <c r="O224" t="n">
        <v>0</v>
      </c>
      <c r="P224" t="n">
        <v>0</v>
      </c>
      <c r="Q224" t="n">
        <v>0</v>
      </c>
      <c r="R224" s="2" t="inlineStr"/>
    </row>
    <row r="225" ht="15" customHeight="1">
      <c r="A225" t="inlineStr">
        <is>
          <t>A 58886-2024</t>
        </is>
      </c>
      <c r="B225" s="1" t="n">
        <v>45636.45380787037</v>
      </c>
      <c r="C225" s="1" t="n">
        <v>46060</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13087-2023</t>
        </is>
      </c>
      <c r="B226" s="1" t="n">
        <v>45001</v>
      </c>
      <c r="C226" s="1" t="n">
        <v>46060</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48747-2022</t>
        </is>
      </c>
      <c r="B227" s="1" t="n">
        <v>44859</v>
      </c>
      <c r="C227" s="1" t="n">
        <v>46060</v>
      </c>
      <c r="D227" t="inlineStr">
        <is>
          <t>SKÅNE LÄN</t>
        </is>
      </c>
      <c r="E227" t="inlineStr">
        <is>
          <t>HÄSSLEHOLM</t>
        </is>
      </c>
      <c r="G227" t="n">
        <v>1.9</v>
      </c>
      <c r="H227" t="n">
        <v>0</v>
      </c>
      <c r="I227" t="n">
        <v>0</v>
      </c>
      <c r="J227" t="n">
        <v>0</v>
      </c>
      <c r="K227" t="n">
        <v>0</v>
      </c>
      <c r="L227" t="n">
        <v>0</v>
      </c>
      <c r="M227" t="n">
        <v>0</v>
      </c>
      <c r="N227" t="n">
        <v>0</v>
      </c>
      <c r="O227" t="n">
        <v>0</v>
      </c>
      <c r="P227" t="n">
        <v>0</v>
      </c>
      <c r="Q227" t="n">
        <v>0</v>
      </c>
      <c r="R227" s="2" t="inlineStr"/>
    </row>
    <row r="228" ht="15" customHeight="1">
      <c r="A228" t="inlineStr">
        <is>
          <t>A 6583-2021</t>
        </is>
      </c>
      <c r="B228" s="1" t="n">
        <v>44236</v>
      </c>
      <c r="C228" s="1" t="n">
        <v>46060</v>
      </c>
      <c r="D228" t="inlineStr">
        <is>
          <t>SKÅNE LÄN</t>
        </is>
      </c>
      <c r="E228" t="inlineStr">
        <is>
          <t>HÄSSLEHOLM</t>
        </is>
      </c>
      <c r="G228" t="n">
        <v>1.6</v>
      </c>
      <c r="H228" t="n">
        <v>0</v>
      </c>
      <c r="I228" t="n">
        <v>0</v>
      </c>
      <c r="J228" t="n">
        <v>0</v>
      </c>
      <c r="K228" t="n">
        <v>0</v>
      </c>
      <c r="L228" t="n">
        <v>0</v>
      </c>
      <c r="M228" t="n">
        <v>0</v>
      </c>
      <c r="N228" t="n">
        <v>0</v>
      </c>
      <c r="O228" t="n">
        <v>0</v>
      </c>
      <c r="P228" t="n">
        <v>0</v>
      </c>
      <c r="Q228" t="n">
        <v>0</v>
      </c>
      <c r="R228" s="2" t="inlineStr"/>
    </row>
    <row r="229" ht="15" customHeight="1">
      <c r="A229" t="inlineStr">
        <is>
          <t>A 20666-2023</t>
        </is>
      </c>
      <c r="B229" s="1" t="n">
        <v>45058.35664351852</v>
      </c>
      <c r="C229" s="1" t="n">
        <v>46060</v>
      </c>
      <c r="D229" t="inlineStr">
        <is>
          <t>SKÅNE LÄN</t>
        </is>
      </c>
      <c r="E229" t="inlineStr">
        <is>
          <t>HÄSSLEHOLM</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59028-2023</t>
        </is>
      </c>
      <c r="B230" s="1" t="n">
        <v>45252.67900462963</v>
      </c>
      <c r="C230" s="1" t="n">
        <v>46060</v>
      </c>
      <c r="D230" t="inlineStr">
        <is>
          <t>SKÅNE LÄN</t>
        </is>
      </c>
      <c r="E230" t="inlineStr">
        <is>
          <t>HÄSSLEHOLM</t>
        </is>
      </c>
      <c r="G230" t="n">
        <v>2.5</v>
      </c>
      <c r="H230" t="n">
        <v>0</v>
      </c>
      <c r="I230" t="n">
        <v>0</v>
      </c>
      <c r="J230" t="n">
        <v>0</v>
      </c>
      <c r="K230" t="n">
        <v>0</v>
      </c>
      <c r="L230" t="n">
        <v>0</v>
      </c>
      <c r="M230" t="n">
        <v>0</v>
      </c>
      <c r="N230" t="n">
        <v>0</v>
      </c>
      <c r="O230" t="n">
        <v>0</v>
      </c>
      <c r="P230" t="n">
        <v>0</v>
      </c>
      <c r="Q230" t="n">
        <v>0</v>
      </c>
      <c r="R230" s="2" t="inlineStr"/>
    </row>
    <row r="231" ht="15" customHeight="1">
      <c r="A231" t="inlineStr">
        <is>
          <t>A 8250-2023</t>
        </is>
      </c>
      <c r="B231" s="1" t="n">
        <v>44974</v>
      </c>
      <c r="C231" s="1" t="n">
        <v>46060</v>
      </c>
      <c r="D231" t="inlineStr">
        <is>
          <t>SKÅNE LÄN</t>
        </is>
      </c>
      <c r="E231" t="inlineStr">
        <is>
          <t>HÄSSLEHOLM</t>
        </is>
      </c>
      <c r="G231" t="n">
        <v>3</v>
      </c>
      <c r="H231" t="n">
        <v>0</v>
      </c>
      <c r="I231" t="n">
        <v>0</v>
      </c>
      <c r="J231" t="n">
        <v>0</v>
      </c>
      <c r="K231" t="n">
        <v>0</v>
      </c>
      <c r="L231" t="n">
        <v>0</v>
      </c>
      <c r="M231" t="n">
        <v>0</v>
      </c>
      <c r="N231" t="n">
        <v>0</v>
      </c>
      <c r="O231" t="n">
        <v>0</v>
      </c>
      <c r="P231" t="n">
        <v>0</v>
      </c>
      <c r="Q231" t="n">
        <v>0</v>
      </c>
      <c r="R231" s="2" t="inlineStr"/>
    </row>
    <row r="232" ht="15" customHeight="1">
      <c r="A232" t="inlineStr">
        <is>
          <t>A 34886-2023</t>
        </is>
      </c>
      <c r="B232" s="1" t="n">
        <v>45142.38450231482</v>
      </c>
      <c r="C232" s="1" t="n">
        <v>46060</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2596-2024</t>
        </is>
      </c>
      <c r="B233" s="1" t="n">
        <v>45313.69969907407</v>
      </c>
      <c r="C233" s="1" t="n">
        <v>46060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57079-2022</t>
        </is>
      </c>
      <c r="B234" s="1" t="n">
        <v>44895</v>
      </c>
      <c r="C234" s="1" t="n">
        <v>46060</v>
      </c>
      <c r="D234" t="inlineStr">
        <is>
          <t>SKÅNE LÄN</t>
        </is>
      </c>
      <c r="E234" t="inlineStr">
        <is>
          <t>HÄSSLEHOLM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50899-2024</t>
        </is>
      </c>
      <c r="B235" s="1" t="n">
        <v>45602.68584490741</v>
      </c>
      <c r="C235" s="1" t="n">
        <v>46060</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13198-2025</t>
        </is>
      </c>
      <c r="B236" s="1" t="n">
        <v>45735</v>
      </c>
      <c r="C236" s="1" t="n">
        <v>46060</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15698-2023</t>
        </is>
      </c>
      <c r="B237" s="1" t="n">
        <v>45021</v>
      </c>
      <c r="C237" s="1" t="n">
        <v>46060</v>
      </c>
      <c r="D237" t="inlineStr">
        <is>
          <t>SKÅNE LÄN</t>
        </is>
      </c>
      <c r="E237" t="inlineStr">
        <is>
          <t>HÄSSLEHOLM</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6842-2023</t>
        </is>
      </c>
      <c r="B238" s="1" t="n">
        <v>44967</v>
      </c>
      <c r="C238" s="1" t="n">
        <v>46060</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46060</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45361-2023</t>
        </is>
      </c>
      <c r="B240" s="1" t="n">
        <v>45192.49068287037</v>
      </c>
      <c r="C240" s="1" t="n">
        <v>46060</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49107-2023</t>
        </is>
      </c>
      <c r="B241" s="1" t="n">
        <v>45210.44337962963</v>
      </c>
      <c r="C241" s="1" t="n">
        <v>46060</v>
      </c>
      <c r="D241" t="inlineStr">
        <is>
          <t>SKÅNE LÄN</t>
        </is>
      </c>
      <c r="E241" t="inlineStr">
        <is>
          <t>HÄSSLEHOLM</t>
        </is>
      </c>
      <c r="G241" t="n">
        <v>0.3</v>
      </c>
      <c r="H241" t="n">
        <v>0</v>
      </c>
      <c r="I241" t="n">
        <v>0</v>
      </c>
      <c r="J241" t="n">
        <v>0</v>
      </c>
      <c r="K241" t="n">
        <v>0</v>
      </c>
      <c r="L241" t="n">
        <v>0</v>
      </c>
      <c r="M241" t="n">
        <v>0</v>
      </c>
      <c r="N241" t="n">
        <v>0</v>
      </c>
      <c r="O241" t="n">
        <v>0</v>
      </c>
      <c r="P241" t="n">
        <v>0</v>
      </c>
      <c r="Q241" t="n">
        <v>0</v>
      </c>
      <c r="R241" s="2" t="inlineStr"/>
    </row>
    <row r="242" ht="15" customHeight="1">
      <c r="A242" t="inlineStr">
        <is>
          <t>A 65235-2021</t>
        </is>
      </c>
      <c r="B242" s="1" t="n">
        <v>44515</v>
      </c>
      <c r="C242" s="1" t="n">
        <v>46060</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13549-2025</t>
        </is>
      </c>
      <c r="B243" s="1" t="n">
        <v>45736</v>
      </c>
      <c r="C243" s="1" t="n">
        <v>46060</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51245-2023</t>
        </is>
      </c>
      <c r="B244" s="1" t="n">
        <v>45212</v>
      </c>
      <c r="C244" s="1" t="n">
        <v>46060</v>
      </c>
      <c r="D244" t="inlineStr">
        <is>
          <t>SKÅNE LÄN</t>
        </is>
      </c>
      <c r="E244" t="inlineStr">
        <is>
          <t>HÄSSLEHOLM</t>
        </is>
      </c>
      <c r="G244" t="n">
        <v>2.1</v>
      </c>
      <c r="H244" t="n">
        <v>0</v>
      </c>
      <c r="I244" t="n">
        <v>0</v>
      </c>
      <c r="J244" t="n">
        <v>0</v>
      </c>
      <c r="K244" t="n">
        <v>0</v>
      </c>
      <c r="L244" t="n">
        <v>0</v>
      </c>
      <c r="M244" t="n">
        <v>0</v>
      </c>
      <c r="N244" t="n">
        <v>0</v>
      </c>
      <c r="O244" t="n">
        <v>0</v>
      </c>
      <c r="P244" t="n">
        <v>0</v>
      </c>
      <c r="Q244" t="n">
        <v>0</v>
      </c>
      <c r="R244" s="2" t="inlineStr"/>
    </row>
    <row r="245" ht="15" customHeight="1">
      <c r="A245" t="inlineStr">
        <is>
          <t>A 60959-2022</t>
        </is>
      </c>
      <c r="B245" s="1" t="n">
        <v>44914.64777777778</v>
      </c>
      <c r="C245" s="1" t="n">
        <v>46060</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59429-2023</t>
        </is>
      </c>
      <c r="B246" s="1" t="n">
        <v>45254.2875</v>
      </c>
      <c r="C246" s="1" t="n">
        <v>46060</v>
      </c>
      <c r="D246" t="inlineStr">
        <is>
          <t>SKÅNE LÄN</t>
        </is>
      </c>
      <c r="E246" t="inlineStr">
        <is>
          <t>HÄSSLEHOLM</t>
        </is>
      </c>
      <c r="G246" t="n">
        <v>0</v>
      </c>
      <c r="H246" t="n">
        <v>0</v>
      </c>
      <c r="I246" t="n">
        <v>0</v>
      </c>
      <c r="J246" t="n">
        <v>0</v>
      </c>
      <c r="K246" t="n">
        <v>0</v>
      </c>
      <c r="L246" t="n">
        <v>0</v>
      </c>
      <c r="M246" t="n">
        <v>0</v>
      </c>
      <c r="N246" t="n">
        <v>0</v>
      </c>
      <c r="O246" t="n">
        <v>0</v>
      </c>
      <c r="P246" t="n">
        <v>0</v>
      </c>
      <c r="Q246" t="n">
        <v>0</v>
      </c>
      <c r="R246" s="2" t="inlineStr"/>
    </row>
    <row r="247" ht="15" customHeight="1">
      <c r="A247" t="inlineStr">
        <is>
          <t>A 42906-2022</t>
        </is>
      </c>
      <c r="B247" s="1" t="n">
        <v>44833</v>
      </c>
      <c r="C247" s="1" t="n">
        <v>46060</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31934-2024</t>
        </is>
      </c>
      <c r="B248" s="1" t="n">
        <v>45510.41177083334</v>
      </c>
      <c r="C248" s="1" t="n">
        <v>46060</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20187-2023</t>
        </is>
      </c>
      <c r="B249" s="1" t="n">
        <v>45055.57027777778</v>
      </c>
      <c r="C249" s="1" t="n">
        <v>46060</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11266-2025</t>
        </is>
      </c>
      <c r="B250" s="1" t="n">
        <v>45726</v>
      </c>
      <c r="C250" s="1" t="n">
        <v>46060</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31931-2024</t>
        </is>
      </c>
      <c r="B251" s="1" t="n">
        <v>45510.40878472223</v>
      </c>
      <c r="C251" s="1" t="n">
        <v>46060</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15133-2023</t>
        </is>
      </c>
      <c r="B252" s="1" t="n">
        <v>45016</v>
      </c>
      <c r="C252" s="1" t="n">
        <v>46060</v>
      </c>
      <c r="D252" t="inlineStr">
        <is>
          <t>SKÅNE LÄN</t>
        </is>
      </c>
      <c r="E252" t="inlineStr">
        <is>
          <t>HÄSSLEHOLM</t>
        </is>
      </c>
      <c r="G252" t="n">
        <v>7.8</v>
      </c>
      <c r="H252" t="n">
        <v>0</v>
      </c>
      <c r="I252" t="n">
        <v>0</v>
      </c>
      <c r="J252" t="n">
        <v>0</v>
      </c>
      <c r="K252" t="n">
        <v>0</v>
      </c>
      <c r="L252" t="n">
        <v>0</v>
      </c>
      <c r="M252" t="n">
        <v>0</v>
      </c>
      <c r="N252" t="n">
        <v>0</v>
      </c>
      <c r="O252" t="n">
        <v>0</v>
      </c>
      <c r="P252" t="n">
        <v>0</v>
      </c>
      <c r="Q252" t="n">
        <v>0</v>
      </c>
      <c r="R252" s="2" t="inlineStr"/>
    </row>
    <row r="253" ht="15" customHeight="1">
      <c r="A253" t="inlineStr">
        <is>
          <t>A 12843-2023</t>
        </is>
      </c>
      <c r="B253" s="1" t="n">
        <v>45001.48423611111</v>
      </c>
      <c r="C253" s="1" t="n">
        <v>46060</v>
      </c>
      <c r="D253" t="inlineStr">
        <is>
          <t>SKÅNE LÄN</t>
        </is>
      </c>
      <c r="E253" t="inlineStr">
        <is>
          <t>HÄSSLEHOLM</t>
        </is>
      </c>
      <c r="G253" t="n">
        <v>3.9</v>
      </c>
      <c r="H253" t="n">
        <v>0</v>
      </c>
      <c r="I253" t="n">
        <v>0</v>
      </c>
      <c r="J253" t="n">
        <v>0</v>
      </c>
      <c r="K253" t="n">
        <v>0</v>
      </c>
      <c r="L253" t="n">
        <v>0</v>
      </c>
      <c r="M253" t="n">
        <v>0</v>
      </c>
      <c r="N253" t="n">
        <v>0</v>
      </c>
      <c r="O253" t="n">
        <v>0</v>
      </c>
      <c r="P253" t="n">
        <v>0</v>
      </c>
      <c r="Q253" t="n">
        <v>0</v>
      </c>
      <c r="R253" s="2" t="inlineStr"/>
    </row>
    <row r="254" ht="15" customHeight="1">
      <c r="A254" t="inlineStr">
        <is>
          <t>A 34883-2023</t>
        </is>
      </c>
      <c r="B254" s="1" t="n">
        <v>45142.37902777778</v>
      </c>
      <c r="C254" s="1" t="n">
        <v>46060</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26397-2023</t>
        </is>
      </c>
      <c r="B255" s="1" t="n">
        <v>45087</v>
      </c>
      <c r="C255" s="1" t="n">
        <v>46060</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1119-2024</t>
        </is>
      </c>
      <c r="B256" s="1" t="n">
        <v>45302</v>
      </c>
      <c r="C256" s="1" t="n">
        <v>46060</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47647-2024</t>
        </is>
      </c>
      <c r="B257" s="1" t="n">
        <v>45588</v>
      </c>
      <c r="C257" s="1" t="n">
        <v>46060</v>
      </c>
      <c r="D257" t="inlineStr">
        <is>
          <t>SKÅNE LÄN</t>
        </is>
      </c>
      <c r="E257" t="inlineStr">
        <is>
          <t>HÄSSLEHOLM</t>
        </is>
      </c>
      <c r="G257" t="n">
        <v>6.5</v>
      </c>
      <c r="H257" t="n">
        <v>0</v>
      </c>
      <c r="I257" t="n">
        <v>0</v>
      </c>
      <c r="J257" t="n">
        <v>0</v>
      </c>
      <c r="K257" t="n">
        <v>0</v>
      </c>
      <c r="L257" t="n">
        <v>0</v>
      </c>
      <c r="M257" t="n">
        <v>0</v>
      </c>
      <c r="N257" t="n">
        <v>0</v>
      </c>
      <c r="O257" t="n">
        <v>0</v>
      </c>
      <c r="P257" t="n">
        <v>0</v>
      </c>
      <c r="Q257" t="n">
        <v>0</v>
      </c>
      <c r="R257" s="2" t="inlineStr"/>
    </row>
    <row r="258" ht="15" customHeight="1">
      <c r="A258" t="inlineStr">
        <is>
          <t>A 32794-2021</t>
        </is>
      </c>
      <c r="B258" s="1" t="n">
        <v>44375</v>
      </c>
      <c r="C258" s="1" t="n">
        <v>46060</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58888-2024</t>
        </is>
      </c>
      <c r="B259" s="1" t="n">
        <v>45636.45962962963</v>
      </c>
      <c r="C259" s="1" t="n">
        <v>46060</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58618-2024</t>
        </is>
      </c>
      <c r="B260" s="1" t="n">
        <v>45635.56150462963</v>
      </c>
      <c r="C260" s="1" t="n">
        <v>46060</v>
      </c>
      <c r="D260" t="inlineStr">
        <is>
          <t>SKÅNE LÄN</t>
        </is>
      </c>
      <c r="E260" t="inlineStr">
        <is>
          <t>HÄSSLEHOLM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2479-2024</t>
        </is>
      </c>
      <c r="B261" s="1" t="n">
        <v>45313.40148148148</v>
      </c>
      <c r="C261" s="1" t="n">
        <v>46060</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16334-2024</t>
        </is>
      </c>
      <c r="B262" s="1" t="n">
        <v>45407.54856481482</v>
      </c>
      <c r="C262" s="1" t="n">
        <v>46060</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3663-2024</t>
        </is>
      </c>
      <c r="B263" s="1" t="n">
        <v>45321.34775462963</v>
      </c>
      <c r="C263" s="1" t="n">
        <v>46060</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9393-2025</t>
        </is>
      </c>
      <c r="B264" s="1" t="n">
        <v>45715.36230324074</v>
      </c>
      <c r="C264" s="1" t="n">
        <v>46060</v>
      </c>
      <c r="D264" t="inlineStr">
        <is>
          <t>SKÅNE LÄN</t>
        </is>
      </c>
      <c r="E264" t="inlineStr">
        <is>
          <t>HÄSSLEHOLM</t>
        </is>
      </c>
      <c r="G264" t="n">
        <v>1.4</v>
      </c>
      <c r="H264" t="n">
        <v>0</v>
      </c>
      <c r="I264" t="n">
        <v>0</v>
      </c>
      <c r="J264" t="n">
        <v>0</v>
      </c>
      <c r="K264" t="n">
        <v>0</v>
      </c>
      <c r="L264" t="n">
        <v>0</v>
      </c>
      <c r="M264" t="n">
        <v>0</v>
      </c>
      <c r="N264" t="n">
        <v>0</v>
      </c>
      <c r="O264" t="n">
        <v>0</v>
      </c>
      <c r="P264" t="n">
        <v>0</v>
      </c>
      <c r="Q264" t="n">
        <v>0</v>
      </c>
      <c r="R264" s="2" t="inlineStr"/>
    </row>
    <row r="265" ht="15" customHeight="1">
      <c r="A265" t="inlineStr">
        <is>
          <t>A 15897-2025</t>
        </is>
      </c>
      <c r="B265" s="1" t="n">
        <v>45749.41598379629</v>
      </c>
      <c r="C265" s="1" t="n">
        <v>46060</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12338-2024</t>
        </is>
      </c>
      <c r="B266" s="1" t="n">
        <v>45378.72869212963</v>
      </c>
      <c r="C266" s="1" t="n">
        <v>46060</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14255-2024</t>
        </is>
      </c>
      <c r="B267" s="1" t="n">
        <v>45393</v>
      </c>
      <c r="C267" s="1" t="n">
        <v>46060</v>
      </c>
      <c r="D267" t="inlineStr">
        <is>
          <t>SKÅNE LÄN</t>
        </is>
      </c>
      <c r="E267" t="inlineStr">
        <is>
          <t>HÄSSLEHOLM</t>
        </is>
      </c>
      <c r="G267" t="n">
        <v>11.9</v>
      </c>
      <c r="H267" t="n">
        <v>0</v>
      </c>
      <c r="I267" t="n">
        <v>0</v>
      </c>
      <c r="J267" t="n">
        <v>0</v>
      </c>
      <c r="K267" t="n">
        <v>0</v>
      </c>
      <c r="L267" t="n">
        <v>0</v>
      </c>
      <c r="M267" t="n">
        <v>0</v>
      </c>
      <c r="N267" t="n">
        <v>0</v>
      </c>
      <c r="O267" t="n">
        <v>0</v>
      </c>
      <c r="P267" t="n">
        <v>0</v>
      </c>
      <c r="Q267" t="n">
        <v>0</v>
      </c>
      <c r="R267" s="2" t="inlineStr"/>
    </row>
    <row r="268" ht="15" customHeight="1">
      <c r="A268" t="inlineStr">
        <is>
          <t>A 54982-2024</t>
        </is>
      </c>
      <c r="B268" s="1" t="n">
        <v>45620.7580787037</v>
      </c>
      <c r="C268" s="1" t="n">
        <v>46060</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61182-2024</t>
        </is>
      </c>
      <c r="B269" s="1" t="n">
        <v>45645</v>
      </c>
      <c r="C269" s="1" t="n">
        <v>46060</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8433-2024</t>
        </is>
      </c>
      <c r="B270" s="1" t="n">
        <v>45353.48434027778</v>
      </c>
      <c r="C270" s="1" t="n">
        <v>46060</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48807-2021</t>
        </is>
      </c>
      <c r="B271" s="1" t="n">
        <v>44452</v>
      </c>
      <c r="C271" s="1" t="n">
        <v>46060</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28457-2024</t>
        </is>
      </c>
      <c r="B272" s="1" t="n">
        <v>45477.68884259259</v>
      </c>
      <c r="C272" s="1" t="n">
        <v>46060</v>
      </c>
      <c r="D272" t="inlineStr">
        <is>
          <t>SKÅNE LÄN</t>
        </is>
      </c>
      <c r="E272" t="inlineStr">
        <is>
          <t>HÄSSLEHOLM</t>
        </is>
      </c>
      <c r="G272" t="n">
        <v>0.7</v>
      </c>
      <c r="H272" t="n">
        <v>0</v>
      </c>
      <c r="I272" t="n">
        <v>0</v>
      </c>
      <c r="J272" t="n">
        <v>0</v>
      </c>
      <c r="K272" t="n">
        <v>0</v>
      </c>
      <c r="L272" t="n">
        <v>0</v>
      </c>
      <c r="M272" t="n">
        <v>0</v>
      </c>
      <c r="N272" t="n">
        <v>0</v>
      </c>
      <c r="O272" t="n">
        <v>0</v>
      </c>
      <c r="P272" t="n">
        <v>0</v>
      </c>
      <c r="Q272" t="n">
        <v>0</v>
      </c>
      <c r="R272" s="2" t="inlineStr"/>
    </row>
    <row r="273" ht="15" customHeight="1">
      <c r="A273" t="inlineStr">
        <is>
          <t>A 51752-2023</t>
        </is>
      </c>
      <c r="B273" s="1" t="n">
        <v>45222</v>
      </c>
      <c r="C273" s="1" t="n">
        <v>46060</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15055-2023</t>
        </is>
      </c>
      <c r="B274" s="1" t="n">
        <v>45015</v>
      </c>
      <c r="C274" s="1" t="n">
        <v>46060</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31255-2024</t>
        </is>
      </c>
      <c r="B275" s="1" t="n">
        <v>45503.69114583333</v>
      </c>
      <c r="C275" s="1" t="n">
        <v>46060</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44697-2021</t>
        </is>
      </c>
      <c r="B276" s="1" t="n">
        <v>44438</v>
      </c>
      <c r="C276" s="1" t="n">
        <v>46060</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32834-2024</t>
        </is>
      </c>
      <c r="B277" s="1" t="n">
        <v>45516.6025</v>
      </c>
      <c r="C277" s="1" t="n">
        <v>46060</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13309-2025</t>
        </is>
      </c>
      <c r="B278" s="1" t="n">
        <v>45735.58512731481</v>
      </c>
      <c r="C278" s="1" t="n">
        <v>46060</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32100-2024</t>
        </is>
      </c>
      <c r="B279" s="1" t="n">
        <v>45511.41451388889</v>
      </c>
      <c r="C279" s="1" t="n">
        <v>46060</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46060</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34187-2023</t>
        </is>
      </c>
      <c r="B281" s="1" t="n">
        <v>45138</v>
      </c>
      <c r="C281" s="1" t="n">
        <v>46060</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10220-2023</t>
        </is>
      </c>
      <c r="B282" s="1" t="n">
        <v>44986.60916666667</v>
      </c>
      <c r="C282" s="1" t="n">
        <v>46060</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59109-2023</t>
        </is>
      </c>
      <c r="B283" s="1" t="n">
        <v>45253.30819444444</v>
      </c>
      <c r="C283" s="1" t="n">
        <v>46060</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49384-2021</t>
        </is>
      </c>
      <c r="B284" s="1" t="n">
        <v>44454</v>
      </c>
      <c r="C284" s="1" t="n">
        <v>46060</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54462-2022</t>
        </is>
      </c>
      <c r="B285" s="1" t="n">
        <v>44882</v>
      </c>
      <c r="C285" s="1" t="n">
        <v>46060</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35810-2023</t>
        </is>
      </c>
      <c r="B286" s="1" t="n">
        <v>45148.44046296296</v>
      </c>
      <c r="C286" s="1" t="n">
        <v>46060</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25611-2024</t>
        </is>
      </c>
      <c r="B287" s="1" t="n">
        <v>45463</v>
      </c>
      <c r="C287" s="1" t="n">
        <v>46060</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11260-2021</t>
        </is>
      </c>
      <c r="B288" s="1" t="n">
        <v>44263</v>
      </c>
      <c r="C288" s="1" t="n">
        <v>46060</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35833-2023</t>
        </is>
      </c>
      <c r="B289" s="1" t="n">
        <v>45148</v>
      </c>
      <c r="C289" s="1" t="n">
        <v>46060</v>
      </c>
      <c r="D289" t="inlineStr">
        <is>
          <t>SKÅNE LÄN</t>
        </is>
      </c>
      <c r="E289" t="inlineStr">
        <is>
          <t>HÄSSLEHOLM</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7094-2023</t>
        </is>
      </c>
      <c r="B290" s="1" t="n">
        <v>44970.36958333333</v>
      </c>
      <c r="C290" s="1" t="n">
        <v>46060</v>
      </c>
      <c r="D290" t="inlineStr">
        <is>
          <t>SKÅNE LÄN</t>
        </is>
      </c>
      <c r="E290" t="inlineStr">
        <is>
          <t>HÄSSLEHOLM</t>
        </is>
      </c>
      <c r="G290" t="n">
        <v>3.6</v>
      </c>
      <c r="H290" t="n">
        <v>0</v>
      </c>
      <c r="I290" t="n">
        <v>0</v>
      </c>
      <c r="J290" t="n">
        <v>0</v>
      </c>
      <c r="K290" t="n">
        <v>0</v>
      </c>
      <c r="L290" t="n">
        <v>0</v>
      </c>
      <c r="M290" t="n">
        <v>0</v>
      </c>
      <c r="N290" t="n">
        <v>0</v>
      </c>
      <c r="O290" t="n">
        <v>0</v>
      </c>
      <c r="P290" t="n">
        <v>0</v>
      </c>
      <c r="Q290" t="n">
        <v>0</v>
      </c>
      <c r="R290" s="2" t="inlineStr"/>
    </row>
    <row r="291" ht="15" customHeight="1">
      <c r="A291" t="inlineStr">
        <is>
          <t>A 59556-2023</t>
        </is>
      </c>
      <c r="B291" s="1" t="n">
        <v>45254.56313657408</v>
      </c>
      <c r="C291" s="1" t="n">
        <v>46060</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61504-2022</t>
        </is>
      </c>
      <c r="B292" s="1" t="n">
        <v>44910</v>
      </c>
      <c r="C292" s="1" t="n">
        <v>46060</v>
      </c>
      <c r="D292" t="inlineStr">
        <is>
          <t>SKÅNE LÄN</t>
        </is>
      </c>
      <c r="E292" t="inlineStr">
        <is>
          <t>HÄSSLEHOLM</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53077-2022</t>
        </is>
      </c>
      <c r="B293" s="1" t="n">
        <v>44873</v>
      </c>
      <c r="C293" s="1" t="n">
        <v>46060</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24675-2025</t>
        </is>
      </c>
      <c r="B294" s="1" t="n">
        <v>45798.653125</v>
      </c>
      <c r="C294" s="1" t="n">
        <v>46060</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19739-2023</t>
        </is>
      </c>
      <c r="B295" s="1" t="n">
        <v>45051</v>
      </c>
      <c r="C295" s="1" t="n">
        <v>46060</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52968-2022</t>
        </is>
      </c>
      <c r="B296" s="1" t="n">
        <v>44875</v>
      </c>
      <c r="C296" s="1" t="n">
        <v>46060</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19744-2023</t>
        </is>
      </c>
      <c r="B297" s="1" t="n">
        <v>45051</v>
      </c>
      <c r="C297" s="1" t="n">
        <v>46060</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14655-2025</t>
        </is>
      </c>
      <c r="B298" s="1" t="n">
        <v>45742.5072337963</v>
      </c>
      <c r="C298" s="1" t="n">
        <v>46060</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42735-2024</t>
        </is>
      </c>
      <c r="B299" s="1" t="n">
        <v>45566.47274305556</v>
      </c>
      <c r="C299" s="1" t="n">
        <v>46060</v>
      </c>
      <c r="D299" t="inlineStr">
        <is>
          <t>SKÅNE LÄN</t>
        </is>
      </c>
      <c r="E299" t="inlineStr">
        <is>
          <t>HÄSSLEHOLM</t>
        </is>
      </c>
      <c r="G299" t="n">
        <v>3.7</v>
      </c>
      <c r="H299" t="n">
        <v>0</v>
      </c>
      <c r="I299" t="n">
        <v>0</v>
      </c>
      <c r="J299" t="n">
        <v>0</v>
      </c>
      <c r="K299" t="n">
        <v>0</v>
      </c>
      <c r="L299" t="n">
        <v>0</v>
      </c>
      <c r="M299" t="n">
        <v>0</v>
      </c>
      <c r="N299" t="n">
        <v>0</v>
      </c>
      <c r="O299" t="n">
        <v>0</v>
      </c>
      <c r="P299" t="n">
        <v>0</v>
      </c>
      <c r="Q299" t="n">
        <v>0</v>
      </c>
      <c r="R299" s="2" t="inlineStr"/>
    </row>
    <row r="300" ht="15" customHeight="1">
      <c r="A300" t="inlineStr">
        <is>
          <t>A 14926-2024</t>
        </is>
      </c>
      <c r="B300" s="1" t="n">
        <v>45398</v>
      </c>
      <c r="C300" s="1" t="n">
        <v>46060</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60843-2022</t>
        </is>
      </c>
      <c r="B301" s="1" t="n">
        <v>44914</v>
      </c>
      <c r="C301" s="1" t="n">
        <v>46060</v>
      </c>
      <c r="D301" t="inlineStr">
        <is>
          <t>SKÅNE LÄN</t>
        </is>
      </c>
      <c r="E301" t="inlineStr">
        <is>
          <t>HÄSSLEHOLM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55522-2024</t>
        </is>
      </c>
      <c r="B302" s="1" t="n">
        <v>45622</v>
      </c>
      <c r="C302" s="1" t="n">
        <v>46060</v>
      </c>
      <c r="D302" t="inlineStr">
        <is>
          <t>SKÅNE LÄN</t>
        </is>
      </c>
      <c r="E302" t="inlineStr">
        <is>
          <t>HÄSSLEHOLM</t>
        </is>
      </c>
      <c r="G302" t="n">
        <v>5.6</v>
      </c>
      <c r="H302" t="n">
        <v>0</v>
      </c>
      <c r="I302" t="n">
        <v>0</v>
      </c>
      <c r="J302" t="n">
        <v>0</v>
      </c>
      <c r="K302" t="n">
        <v>0</v>
      </c>
      <c r="L302" t="n">
        <v>0</v>
      </c>
      <c r="M302" t="n">
        <v>0</v>
      </c>
      <c r="N302" t="n">
        <v>0</v>
      </c>
      <c r="O302" t="n">
        <v>0</v>
      </c>
      <c r="P302" t="n">
        <v>0</v>
      </c>
      <c r="Q302" t="n">
        <v>0</v>
      </c>
      <c r="R302" s="2" t="inlineStr"/>
    </row>
    <row r="303" ht="15" customHeight="1">
      <c r="A303" t="inlineStr">
        <is>
          <t>A 32826-2024</t>
        </is>
      </c>
      <c r="B303" s="1" t="n">
        <v>45516.59056712963</v>
      </c>
      <c r="C303" s="1" t="n">
        <v>46060</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59763-2022</t>
        </is>
      </c>
      <c r="B304" s="1" t="n">
        <v>44900</v>
      </c>
      <c r="C304" s="1" t="n">
        <v>46060</v>
      </c>
      <c r="D304" t="inlineStr">
        <is>
          <t>SKÅNE LÄN</t>
        </is>
      </c>
      <c r="E304" t="inlineStr">
        <is>
          <t>HÄSSLEHOLM</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46060</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46060</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9556-2025</t>
        </is>
      </c>
      <c r="B307" s="1" t="n">
        <v>45714</v>
      </c>
      <c r="C307" s="1" t="n">
        <v>46060</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3364-2023</t>
        </is>
      </c>
      <c r="B308" s="1" t="n">
        <v>44949</v>
      </c>
      <c r="C308" s="1" t="n">
        <v>46060</v>
      </c>
      <c r="D308" t="inlineStr">
        <is>
          <t>SKÅNE LÄN</t>
        </is>
      </c>
      <c r="E308" t="inlineStr">
        <is>
          <t>HÄSSLEHOLM</t>
        </is>
      </c>
      <c r="G308" t="n">
        <v>5.1</v>
      </c>
      <c r="H308" t="n">
        <v>0</v>
      </c>
      <c r="I308" t="n">
        <v>0</v>
      </c>
      <c r="J308" t="n">
        <v>0</v>
      </c>
      <c r="K308" t="n">
        <v>0</v>
      </c>
      <c r="L308" t="n">
        <v>0</v>
      </c>
      <c r="M308" t="n">
        <v>0</v>
      </c>
      <c r="N308" t="n">
        <v>0</v>
      </c>
      <c r="O308" t="n">
        <v>0</v>
      </c>
      <c r="P308" t="n">
        <v>0</v>
      </c>
      <c r="Q308" t="n">
        <v>0</v>
      </c>
      <c r="R308" s="2" t="inlineStr"/>
    </row>
    <row r="309" ht="15" customHeight="1">
      <c r="A309" t="inlineStr">
        <is>
          <t>A 52642-2021</t>
        </is>
      </c>
      <c r="B309" s="1" t="n">
        <v>44466.64298611111</v>
      </c>
      <c r="C309" s="1" t="n">
        <v>46060</v>
      </c>
      <c r="D309" t="inlineStr">
        <is>
          <t>SKÅNE LÄN</t>
        </is>
      </c>
      <c r="E309" t="inlineStr">
        <is>
          <t>HÄSSLEHOLM</t>
        </is>
      </c>
      <c r="G309" t="n">
        <v>3.7</v>
      </c>
      <c r="H309" t="n">
        <v>0</v>
      </c>
      <c r="I309" t="n">
        <v>0</v>
      </c>
      <c r="J309" t="n">
        <v>0</v>
      </c>
      <c r="K309" t="n">
        <v>0</v>
      </c>
      <c r="L309" t="n">
        <v>0</v>
      </c>
      <c r="M309" t="n">
        <v>0</v>
      </c>
      <c r="N309" t="n">
        <v>0</v>
      </c>
      <c r="O309" t="n">
        <v>0</v>
      </c>
      <c r="P309" t="n">
        <v>0</v>
      </c>
      <c r="Q309" t="n">
        <v>0</v>
      </c>
      <c r="R309" s="2" t="inlineStr"/>
    </row>
    <row r="310" ht="15" customHeight="1">
      <c r="A310" t="inlineStr">
        <is>
          <t>A 32512-2024</t>
        </is>
      </c>
      <c r="B310" s="1" t="n">
        <v>45513.45613425926</v>
      </c>
      <c r="C310" s="1" t="n">
        <v>46060</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15562-2024</t>
        </is>
      </c>
      <c r="B311" s="1" t="n">
        <v>45401.64975694445</v>
      </c>
      <c r="C311" s="1" t="n">
        <v>46060</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24985-2025</t>
        </is>
      </c>
      <c r="B312" s="1" t="n">
        <v>45799.60256944445</v>
      </c>
      <c r="C312" s="1" t="n">
        <v>46060</v>
      </c>
      <c r="D312" t="inlineStr">
        <is>
          <t>SKÅNE LÄN</t>
        </is>
      </c>
      <c r="E312" t="inlineStr">
        <is>
          <t>HÄSSLEHOLM</t>
        </is>
      </c>
      <c r="G312" t="n">
        <v>2.3</v>
      </c>
      <c r="H312" t="n">
        <v>0</v>
      </c>
      <c r="I312" t="n">
        <v>0</v>
      </c>
      <c r="J312" t="n">
        <v>0</v>
      </c>
      <c r="K312" t="n">
        <v>0</v>
      </c>
      <c r="L312" t="n">
        <v>0</v>
      </c>
      <c r="M312" t="n">
        <v>0</v>
      </c>
      <c r="N312" t="n">
        <v>0</v>
      </c>
      <c r="O312" t="n">
        <v>0</v>
      </c>
      <c r="P312" t="n">
        <v>0</v>
      </c>
      <c r="Q312" t="n">
        <v>0</v>
      </c>
      <c r="R312" s="2" t="inlineStr"/>
    </row>
    <row r="313" ht="15" customHeight="1">
      <c r="A313" t="inlineStr">
        <is>
          <t>A 10562-2025</t>
        </is>
      </c>
      <c r="B313" s="1" t="n">
        <v>45721.52913194444</v>
      </c>
      <c r="C313" s="1" t="n">
        <v>46060</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24658-2025</t>
        </is>
      </c>
      <c r="B314" s="1" t="n">
        <v>45798.64134259259</v>
      </c>
      <c r="C314" s="1" t="n">
        <v>46060</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28071-2023</t>
        </is>
      </c>
      <c r="B315" s="1" t="n">
        <v>45099.37755787037</v>
      </c>
      <c r="C315" s="1" t="n">
        <v>46060</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25372-2025</t>
        </is>
      </c>
      <c r="B316" s="1" t="n">
        <v>45799</v>
      </c>
      <c r="C316" s="1" t="n">
        <v>46060</v>
      </c>
      <c r="D316" t="inlineStr">
        <is>
          <t>SKÅNE LÄN</t>
        </is>
      </c>
      <c r="E316" t="inlineStr">
        <is>
          <t>HÄSSLEHOLM</t>
        </is>
      </c>
      <c r="G316" t="n">
        <v>3.1</v>
      </c>
      <c r="H316" t="n">
        <v>0</v>
      </c>
      <c r="I316" t="n">
        <v>0</v>
      </c>
      <c r="J316" t="n">
        <v>0</v>
      </c>
      <c r="K316" t="n">
        <v>0</v>
      </c>
      <c r="L316" t="n">
        <v>0</v>
      </c>
      <c r="M316" t="n">
        <v>0</v>
      </c>
      <c r="N316" t="n">
        <v>0</v>
      </c>
      <c r="O316" t="n">
        <v>0</v>
      </c>
      <c r="P316" t="n">
        <v>0</v>
      </c>
      <c r="Q316" t="n">
        <v>0</v>
      </c>
      <c r="R316" s="2" t="inlineStr"/>
    </row>
    <row r="317" ht="15" customHeight="1">
      <c r="A317" t="inlineStr">
        <is>
          <t>A 18648-2021</t>
        </is>
      </c>
      <c r="B317" s="1" t="n">
        <v>44306.70583333333</v>
      </c>
      <c r="C317" s="1" t="n">
        <v>46060</v>
      </c>
      <c r="D317" t="inlineStr">
        <is>
          <t>SKÅNE LÄN</t>
        </is>
      </c>
      <c r="E317" t="inlineStr">
        <is>
          <t>HÄSSLEHOLM</t>
        </is>
      </c>
      <c r="G317" t="n">
        <v>2.5</v>
      </c>
      <c r="H317" t="n">
        <v>0</v>
      </c>
      <c r="I317" t="n">
        <v>0</v>
      </c>
      <c r="J317" t="n">
        <v>0</v>
      </c>
      <c r="K317" t="n">
        <v>0</v>
      </c>
      <c r="L317" t="n">
        <v>0</v>
      </c>
      <c r="M317" t="n">
        <v>0</v>
      </c>
      <c r="N317" t="n">
        <v>0</v>
      </c>
      <c r="O317" t="n">
        <v>0</v>
      </c>
      <c r="P317" t="n">
        <v>0</v>
      </c>
      <c r="Q317" t="n">
        <v>0</v>
      </c>
      <c r="R317" s="2" t="inlineStr"/>
    </row>
    <row r="318" ht="15" customHeight="1">
      <c r="A318" t="inlineStr">
        <is>
          <t>A 9399-2025</t>
        </is>
      </c>
      <c r="B318" s="1" t="n">
        <v>45715.37861111111</v>
      </c>
      <c r="C318" s="1" t="n">
        <v>46060</v>
      </c>
      <c r="D318" t="inlineStr">
        <is>
          <t>SKÅNE LÄN</t>
        </is>
      </c>
      <c r="E318" t="inlineStr">
        <is>
          <t>HÄSSLEHOLM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23946-2023</t>
        </is>
      </c>
      <c r="B319" s="1" t="n">
        <v>45078.61601851852</v>
      </c>
      <c r="C319" s="1" t="n">
        <v>46060</v>
      </c>
      <c r="D319" t="inlineStr">
        <is>
          <t>SKÅNE LÄN</t>
        </is>
      </c>
      <c r="E319" t="inlineStr">
        <is>
          <t>HÄSSLEHOLM</t>
        </is>
      </c>
      <c r="G319" t="n">
        <v>0.2</v>
      </c>
      <c r="H319" t="n">
        <v>0</v>
      </c>
      <c r="I319" t="n">
        <v>0</v>
      </c>
      <c r="J319" t="n">
        <v>0</v>
      </c>
      <c r="K319" t="n">
        <v>0</v>
      </c>
      <c r="L319" t="n">
        <v>0</v>
      </c>
      <c r="M319" t="n">
        <v>0</v>
      </c>
      <c r="N319" t="n">
        <v>0</v>
      </c>
      <c r="O319" t="n">
        <v>0</v>
      </c>
      <c r="P319" t="n">
        <v>0</v>
      </c>
      <c r="Q319" t="n">
        <v>0</v>
      </c>
      <c r="R319" s="2" t="inlineStr"/>
    </row>
    <row r="320" ht="15" customHeight="1">
      <c r="A320" t="inlineStr">
        <is>
          <t>A 41459-2022</t>
        </is>
      </c>
      <c r="B320" s="1" t="n">
        <v>44826.93372685185</v>
      </c>
      <c r="C320" s="1" t="n">
        <v>46060</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46060</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259-2024</t>
        </is>
      </c>
      <c r="B322" s="1" t="n">
        <v>45294</v>
      </c>
      <c r="C322" s="1" t="n">
        <v>46060</v>
      </c>
      <c r="D322" t="inlineStr">
        <is>
          <t>SKÅNE LÄN</t>
        </is>
      </c>
      <c r="E322" t="inlineStr">
        <is>
          <t>HÄSSLEHOLM</t>
        </is>
      </c>
      <c r="G322" t="n">
        <v>8</v>
      </c>
      <c r="H322" t="n">
        <v>0</v>
      </c>
      <c r="I322" t="n">
        <v>0</v>
      </c>
      <c r="J322" t="n">
        <v>0</v>
      </c>
      <c r="K322" t="n">
        <v>0</v>
      </c>
      <c r="L322" t="n">
        <v>0</v>
      </c>
      <c r="M322" t="n">
        <v>0</v>
      </c>
      <c r="N322" t="n">
        <v>0</v>
      </c>
      <c r="O322" t="n">
        <v>0</v>
      </c>
      <c r="P322" t="n">
        <v>0</v>
      </c>
      <c r="Q322" t="n">
        <v>0</v>
      </c>
      <c r="R322" s="2" t="inlineStr"/>
    </row>
    <row r="323" ht="15" customHeight="1">
      <c r="A323" t="inlineStr">
        <is>
          <t>A 29659-2024</t>
        </is>
      </c>
      <c r="B323" s="1" t="n">
        <v>45484.92587962963</v>
      </c>
      <c r="C323" s="1" t="n">
        <v>46060</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27837-2024</t>
        </is>
      </c>
      <c r="B324" s="1" t="n">
        <v>45475</v>
      </c>
      <c r="C324" s="1" t="n">
        <v>46060</v>
      </c>
      <c r="D324" t="inlineStr">
        <is>
          <t>SKÅNE LÄN</t>
        </is>
      </c>
      <c r="E324" t="inlineStr">
        <is>
          <t>HÄSSLEHOLM</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1679-2022</t>
        </is>
      </c>
      <c r="B325" s="1" t="n">
        <v>44573</v>
      </c>
      <c r="C325" s="1" t="n">
        <v>46060</v>
      </c>
      <c r="D325" t="inlineStr">
        <is>
          <t>SKÅNE LÄN</t>
        </is>
      </c>
      <c r="E325" t="inlineStr">
        <is>
          <t>HÄSSLEHOLM</t>
        </is>
      </c>
      <c r="F325" t="inlineStr">
        <is>
          <t>Kyrkan</t>
        </is>
      </c>
      <c r="G325" t="n">
        <v>4.3</v>
      </c>
      <c r="H325" t="n">
        <v>0</v>
      </c>
      <c r="I325" t="n">
        <v>0</v>
      </c>
      <c r="J325" t="n">
        <v>0</v>
      </c>
      <c r="K325" t="n">
        <v>0</v>
      </c>
      <c r="L325" t="n">
        <v>0</v>
      </c>
      <c r="M325" t="n">
        <v>0</v>
      </c>
      <c r="N325" t="n">
        <v>0</v>
      </c>
      <c r="O325" t="n">
        <v>0</v>
      </c>
      <c r="P325" t="n">
        <v>0</v>
      </c>
      <c r="Q325" t="n">
        <v>0</v>
      </c>
      <c r="R325" s="2" t="inlineStr"/>
    </row>
    <row r="326" ht="15" customHeight="1">
      <c r="A326" t="inlineStr">
        <is>
          <t>A 51565-2023</t>
        </is>
      </c>
      <c r="B326" s="1" t="n">
        <v>45222</v>
      </c>
      <c r="C326" s="1" t="n">
        <v>46060</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25615-2025</t>
        </is>
      </c>
      <c r="B327" s="1" t="n">
        <v>45803</v>
      </c>
      <c r="C327" s="1" t="n">
        <v>46060</v>
      </c>
      <c r="D327" t="inlineStr">
        <is>
          <t>SKÅNE LÄN</t>
        </is>
      </c>
      <c r="E327" t="inlineStr">
        <is>
          <t>HÄSSLEHOLM</t>
        </is>
      </c>
      <c r="G327" t="n">
        <v>2.6</v>
      </c>
      <c r="H327" t="n">
        <v>0</v>
      </c>
      <c r="I327" t="n">
        <v>0</v>
      </c>
      <c r="J327" t="n">
        <v>0</v>
      </c>
      <c r="K327" t="n">
        <v>0</v>
      </c>
      <c r="L327" t="n">
        <v>0</v>
      </c>
      <c r="M327" t="n">
        <v>0</v>
      </c>
      <c r="N327" t="n">
        <v>0</v>
      </c>
      <c r="O327" t="n">
        <v>0</v>
      </c>
      <c r="P327" t="n">
        <v>0</v>
      </c>
      <c r="Q327" t="n">
        <v>0</v>
      </c>
      <c r="R327" s="2" t="inlineStr"/>
    </row>
    <row r="328" ht="15" customHeight="1">
      <c r="A328" t="inlineStr">
        <is>
          <t>A 29847-2024</t>
        </is>
      </c>
      <c r="B328" s="1" t="n">
        <v>45485.6278587963</v>
      </c>
      <c r="C328" s="1" t="n">
        <v>46060</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11412-2025</t>
        </is>
      </c>
      <c r="B329" s="1" t="n">
        <v>45726</v>
      </c>
      <c r="C329" s="1" t="n">
        <v>46060</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25430-2025</t>
        </is>
      </c>
      <c r="B330" s="1" t="n">
        <v>45800.78212962963</v>
      </c>
      <c r="C330" s="1" t="n">
        <v>46060</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11466-2025</t>
        </is>
      </c>
      <c r="B331" s="1" t="n">
        <v>45726</v>
      </c>
      <c r="C331" s="1" t="n">
        <v>46060</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22384-2024</t>
        </is>
      </c>
      <c r="B332" s="1" t="n">
        <v>45446.65592592592</v>
      </c>
      <c r="C332" s="1" t="n">
        <v>46060</v>
      </c>
      <c r="D332" t="inlineStr">
        <is>
          <t>SKÅNE LÄN</t>
        </is>
      </c>
      <c r="E332" t="inlineStr">
        <is>
          <t>HÄSSLEHOLM</t>
        </is>
      </c>
      <c r="G332" t="n">
        <v>2.4</v>
      </c>
      <c r="H332" t="n">
        <v>0</v>
      </c>
      <c r="I332" t="n">
        <v>0</v>
      </c>
      <c r="J332" t="n">
        <v>0</v>
      </c>
      <c r="K332" t="n">
        <v>0</v>
      </c>
      <c r="L332" t="n">
        <v>0</v>
      </c>
      <c r="M332" t="n">
        <v>0</v>
      </c>
      <c r="N332" t="n">
        <v>0</v>
      </c>
      <c r="O332" t="n">
        <v>0</v>
      </c>
      <c r="P332" t="n">
        <v>0</v>
      </c>
      <c r="Q332" t="n">
        <v>0</v>
      </c>
      <c r="R332" s="2" t="inlineStr"/>
    </row>
    <row r="333" ht="15" customHeight="1">
      <c r="A333" t="inlineStr">
        <is>
          <t>A 25431-2025</t>
        </is>
      </c>
      <c r="B333" s="1" t="n">
        <v>45800.78340277778</v>
      </c>
      <c r="C333" s="1" t="n">
        <v>46060</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25432-2025</t>
        </is>
      </c>
      <c r="B334" s="1" t="n">
        <v>45800.7847800926</v>
      </c>
      <c r="C334" s="1" t="n">
        <v>46060</v>
      </c>
      <c r="D334" t="inlineStr">
        <is>
          <t>SKÅNE LÄN</t>
        </is>
      </c>
      <c r="E334" t="inlineStr">
        <is>
          <t>HÄSSLEHOLM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11470-2025</t>
        </is>
      </c>
      <c r="B335" s="1" t="n">
        <v>45726</v>
      </c>
      <c r="C335" s="1" t="n">
        <v>46060</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51571-2023</t>
        </is>
      </c>
      <c r="B336" s="1" t="n">
        <v>45222</v>
      </c>
      <c r="C336" s="1" t="n">
        <v>46060</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49181-2024</t>
        </is>
      </c>
      <c r="B337" s="1" t="n">
        <v>45595</v>
      </c>
      <c r="C337" s="1" t="n">
        <v>46060</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6791-2021</t>
        </is>
      </c>
      <c r="B338" s="1" t="n">
        <v>44236</v>
      </c>
      <c r="C338" s="1" t="n">
        <v>46060</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32794-2023</t>
        </is>
      </c>
      <c r="B339" s="1" t="n">
        <v>45124.40446759259</v>
      </c>
      <c r="C339" s="1" t="n">
        <v>46060</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61436-2024</t>
        </is>
      </c>
      <c r="B340" s="1" t="n">
        <v>45646.46329861111</v>
      </c>
      <c r="C340" s="1" t="n">
        <v>46060</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37300-2023</t>
        </is>
      </c>
      <c r="B341" s="1" t="n">
        <v>45156</v>
      </c>
      <c r="C341" s="1" t="n">
        <v>46060</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26232-2025</t>
        </is>
      </c>
      <c r="B342" s="1" t="n">
        <v>45805.56642361111</v>
      </c>
      <c r="C342" s="1" t="n">
        <v>46060</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35644-2023</t>
        </is>
      </c>
      <c r="B343" s="1" t="n">
        <v>45147</v>
      </c>
      <c r="C343" s="1" t="n">
        <v>46060</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1560-2023</t>
        </is>
      </c>
      <c r="B344" s="1" t="n">
        <v>44937</v>
      </c>
      <c r="C344" s="1" t="n">
        <v>46060</v>
      </c>
      <c r="D344" t="inlineStr">
        <is>
          <t>SKÅNE LÄN</t>
        </is>
      </c>
      <c r="E344" t="inlineStr">
        <is>
          <t>HÄSSLEHOLM</t>
        </is>
      </c>
      <c r="G344" t="n">
        <v>6.8</v>
      </c>
      <c r="H344" t="n">
        <v>0</v>
      </c>
      <c r="I344" t="n">
        <v>0</v>
      </c>
      <c r="J344" t="n">
        <v>0</v>
      </c>
      <c r="K344" t="n">
        <v>0</v>
      </c>
      <c r="L344" t="n">
        <v>0</v>
      </c>
      <c r="M344" t="n">
        <v>0</v>
      </c>
      <c r="N344" t="n">
        <v>0</v>
      </c>
      <c r="O344" t="n">
        <v>0</v>
      </c>
      <c r="P344" t="n">
        <v>0</v>
      </c>
      <c r="Q344" t="n">
        <v>0</v>
      </c>
      <c r="R344" s="2" t="inlineStr"/>
    </row>
    <row r="345" ht="15" customHeight="1">
      <c r="A345" t="inlineStr">
        <is>
          <t>A 26244-2025</t>
        </is>
      </c>
      <c r="B345" s="1" t="n">
        <v>45805.57364583333</v>
      </c>
      <c r="C345" s="1" t="n">
        <v>46060</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28599-2024</t>
        </is>
      </c>
      <c r="B346" s="1" t="n">
        <v>45478.4247800926</v>
      </c>
      <c r="C346" s="1" t="n">
        <v>46060</v>
      </c>
      <c r="D346" t="inlineStr">
        <is>
          <t>SKÅNE LÄN</t>
        </is>
      </c>
      <c r="E346" t="inlineStr">
        <is>
          <t>HÄSSLEHOLM</t>
        </is>
      </c>
      <c r="G346" t="n">
        <v>8.6</v>
      </c>
      <c r="H346" t="n">
        <v>0</v>
      </c>
      <c r="I346" t="n">
        <v>0</v>
      </c>
      <c r="J346" t="n">
        <v>0</v>
      </c>
      <c r="K346" t="n">
        <v>0</v>
      </c>
      <c r="L346" t="n">
        <v>0</v>
      </c>
      <c r="M346" t="n">
        <v>0</v>
      </c>
      <c r="N346" t="n">
        <v>0</v>
      </c>
      <c r="O346" t="n">
        <v>0</v>
      </c>
      <c r="P346" t="n">
        <v>0</v>
      </c>
      <c r="Q346" t="n">
        <v>0</v>
      </c>
      <c r="R346" s="2" t="inlineStr"/>
    </row>
    <row r="347" ht="15" customHeight="1">
      <c r="A347" t="inlineStr">
        <is>
          <t>A 3123-2023</t>
        </is>
      </c>
      <c r="B347" s="1" t="n">
        <v>44946.4925</v>
      </c>
      <c r="C347" s="1" t="n">
        <v>46060</v>
      </c>
      <c r="D347" t="inlineStr">
        <is>
          <t>SKÅNE LÄN</t>
        </is>
      </c>
      <c r="E347" t="inlineStr">
        <is>
          <t>HÄSSLEHOLM</t>
        </is>
      </c>
      <c r="G347" t="n">
        <v>3.5</v>
      </c>
      <c r="H347" t="n">
        <v>0</v>
      </c>
      <c r="I347" t="n">
        <v>0</v>
      </c>
      <c r="J347" t="n">
        <v>0</v>
      </c>
      <c r="K347" t="n">
        <v>0</v>
      </c>
      <c r="L347" t="n">
        <v>0</v>
      </c>
      <c r="M347" t="n">
        <v>0</v>
      </c>
      <c r="N347" t="n">
        <v>0</v>
      </c>
      <c r="O347" t="n">
        <v>0</v>
      </c>
      <c r="P347" t="n">
        <v>0</v>
      </c>
      <c r="Q347" t="n">
        <v>0</v>
      </c>
      <c r="R347" s="2" t="inlineStr"/>
    </row>
    <row r="348" ht="15" customHeight="1">
      <c r="A348" t="inlineStr">
        <is>
          <t>A 3126-2023</t>
        </is>
      </c>
      <c r="B348" s="1" t="n">
        <v>44946.49570601852</v>
      </c>
      <c r="C348" s="1" t="n">
        <v>46060</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39366-2025</t>
        </is>
      </c>
      <c r="B349" s="1" t="n">
        <v>45889</v>
      </c>
      <c r="C349" s="1" t="n">
        <v>46060</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46060</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11446-2025</t>
        </is>
      </c>
      <c r="B351" s="1" t="n">
        <v>45726</v>
      </c>
      <c r="C351" s="1" t="n">
        <v>46060</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37318-2024</t>
        </is>
      </c>
      <c r="B352" s="1" t="n">
        <v>45540</v>
      </c>
      <c r="C352" s="1" t="n">
        <v>46060</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37324-2024</t>
        </is>
      </c>
      <c r="B353" s="1" t="n">
        <v>45540.50104166667</v>
      </c>
      <c r="C353" s="1" t="n">
        <v>46060</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57656-2022</t>
        </is>
      </c>
      <c r="B354" s="1" t="n">
        <v>44897.4325925926</v>
      </c>
      <c r="C354" s="1" t="n">
        <v>46060</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32881-2024</t>
        </is>
      </c>
      <c r="B355" s="1" t="n">
        <v>45516</v>
      </c>
      <c r="C355" s="1" t="n">
        <v>46060</v>
      </c>
      <c r="D355" t="inlineStr">
        <is>
          <t>SKÅNE LÄN</t>
        </is>
      </c>
      <c r="E355" t="inlineStr">
        <is>
          <t>HÄSSLEHOLM</t>
        </is>
      </c>
      <c r="G355" t="n">
        <v>6.3</v>
      </c>
      <c r="H355" t="n">
        <v>0</v>
      </c>
      <c r="I355" t="n">
        <v>0</v>
      </c>
      <c r="J355" t="n">
        <v>0</v>
      </c>
      <c r="K355" t="n">
        <v>0</v>
      </c>
      <c r="L355" t="n">
        <v>0</v>
      </c>
      <c r="M355" t="n">
        <v>0</v>
      </c>
      <c r="N355" t="n">
        <v>0</v>
      </c>
      <c r="O355" t="n">
        <v>0</v>
      </c>
      <c r="P355" t="n">
        <v>0</v>
      </c>
      <c r="Q355" t="n">
        <v>0</v>
      </c>
      <c r="R355" s="2" t="inlineStr"/>
    </row>
    <row r="356" ht="15" customHeight="1">
      <c r="A356" t="inlineStr">
        <is>
          <t>A 23860-2024</t>
        </is>
      </c>
      <c r="B356" s="1" t="n">
        <v>45455</v>
      </c>
      <c r="C356" s="1" t="n">
        <v>46060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23864-2024</t>
        </is>
      </c>
      <c r="B357" s="1" t="n">
        <v>45455</v>
      </c>
      <c r="C357" s="1" t="n">
        <v>46060</v>
      </c>
      <c r="D357" t="inlineStr">
        <is>
          <t>SKÅNE LÄN</t>
        </is>
      </c>
      <c r="E357" t="inlineStr">
        <is>
          <t>HÄSSLEHOLM</t>
        </is>
      </c>
      <c r="G357" t="n">
        <v>6.2</v>
      </c>
      <c r="H357" t="n">
        <v>0</v>
      </c>
      <c r="I357" t="n">
        <v>0</v>
      </c>
      <c r="J357" t="n">
        <v>0</v>
      </c>
      <c r="K357" t="n">
        <v>0</v>
      </c>
      <c r="L357" t="n">
        <v>0</v>
      </c>
      <c r="M357" t="n">
        <v>0</v>
      </c>
      <c r="N357" t="n">
        <v>0</v>
      </c>
      <c r="O357" t="n">
        <v>0</v>
      </c>
      <c r="P357" t="n">
        <v>0</v>
      </c>
      <c r="Q357" t="n">
        <v>0</v>
      </c>
      <c r="R357" s="2" t="inlineStr"/>
    </row>
    <row r="358" ht="15" customHeight="1">
      <c r="A358" t="inlineStr">
        <is>
          <t>A 7192-2025</t>
        </is>
      </c>
      <c r="B358" s="1" t="n">
        <v>45702.44746527778</v>
      </c>
      <c r="C358" s="1" t="n">
        <v>46060</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4734-2025</t>
        </is>
      </c>
      <c r="B359" s="1" t="n">
        <v>45688.44030092593</v>
      </c>
      <c r="C359" s="1" t="n">
        <v>46060</v>
      </c>
      <c r="D359" t="inlineStr">
        <is>
          <t>SKÅNE LÄN</t>
        </is>
      </c>
      <c r="E359" t="inlineStr">
        <is>
          <t>HÄSSLEHOLM</t>
        </is>
      </c>
      <c r="G359" t="n">
        <v>19.6</v>
      </c>
      <c r="H359" t="n">
        <v>0</v>
      </c>
      <c r="I359" t="n">
        <v>0</v>
      </c>
      <c r="J359" t="n">
        <v>0</v>
      </c>
      <c r="K359" t="n">
        <v>0</v>
      </c>
      <c r="L359" t="n">
        <v>0</v>
      </c>
      <c r="M359" t="n">
        <v>0</v>
      </c>
      <c r="N359" t="n">
        <v>0</v>
      </c>
      <c r="O359" t="n">
        <v>0</v>
      </c>
      <c r="P359" t="n">
        <v>0</v>
      </c>
      <c r="Q359" t="n">
        <v>0</v>
      </c>
      <c r="R359" s="2" t="inlineStr"/>
    </row>
    <row r="360" ht="15" customHeight="1">
      <c r="A360" t="inlineStr">
        <is>
          <t>A 38358-2024</t>
        </is>
      </c>
      <c r="B360" s="1" t="n">
        <v>45545.79068287037</v>
      </c>
      <c r="C360" s="1" t="n">
        <v>46060</v>
      </c>
      <c r="D360" t="inlineStr">
        <is>
          <t>SKÅNE LÄN</t>
        </is>
      </c>
      <c r="E360" t="inlineStr">
        <is>
          <t>HÄSSLEHOLM</t>
        </is>
      </c>
      <c r="G360" t="n">
        <v>9</v>
      </c>
      <c r="H360" t="n">
        <v>0</v>
      </c>
      <c r="I360" t="n">
        <v>0</v>
      </c>
      <c r="J360" t="n">
        <v>0</v>
      </c>
      <c r="K360" t="n">
        <v>0</v>
      </c>
      <c r="L360" t="n">
        <v>0</v>
      </c>
      <c r="M360" t="n">
        <v>0</v>
      </c>
      <c r="N360" t="n">
        <v>0</v>
      </c>
      <c r="O360" t="n">
        <v>0</v>
      </c>
      <c r="P360" t="n">
        <v>0</v>
      </c>
      <c r="Q360" t="n">
        <v>0</v>
      </c>
      <c r="R360" s="2" t="inlineStr"/>
    </row>
    <row r="361" ht="15" customHeight="1">
      <c r="A361" t="inlineStr">
        <is>
          <t>A 24776-2025</t>
        </is>
      </c>
      <c r="B361" s="1" t="n">
        <v>45799.40640046296</v>
      </c>
      <c r="C361" s="1" t="n">
        <v>46060</v>
      </c>
      <c r="D361" t="inlineStr">
        <is>
          <t>SKÅNE LÄN</t>
        </is>
      </c>
      <c r="E361" t="inlineStr">
        <is>
          <t>HÄSSLEHOLM</t>
        </is>
      </c>
      <c r="G361" t="n">
        <v>5.4</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46060</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27393-2025</t>
        </is>
      </c>
      <c r="B363" s="1" t="n">
        <v>45812.68295138889</v>
      </c>
      <c r="C363" s="1" t="n">
        <v>46060</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11798-2022</t>
        </is>
      </c>
      <c r="B364" s="1" t="n">
        <v>44634.64900462963</v>
      </c>
      <c r="C364" s="1" t="n">
        <v>46060</v>
      </c>
      <c r="D364" t="inlineStr">
        <is>
          <t>SKÅNE LÄN</t>
        </is>
      </c>
      <c r="E364" t="inlineStr">
        <is>
          <t>HÄSSLEHOLM</t>
        </is>
      </c>
      <c r="G364" t="n">
        <v>2.8</v>
      </c>
      <c r="H364" t="n">
        <v>0</v>
      </c>
      <c r="I364" t="n">
        <v>0</v>
      </c>
      <c r="J364" t="n">
        <v>0</v>
      </c>
      <c r="K364" t="n">
        <v>0</v>
      </c>
      <c r="L364" t="n">
        <v>0</v>
      </c>
      <c r="M364" t="n">
        <v>0</v>
      </c>
      <c r="N364" t="n">
        <v>0</v>
      </c>
      <c r="O364" t="n">
        <v>0</v>
      </c>
      <c r="P364" t="n">
        <v>0</v>
      </c>
      <c r="Q364" t="n">
        <v>0</v>
      </c>
      <c r="R364" s="2" t="inlineStr"/>
    </row>
    <row r="365" ht="15" customHeight="1">
      <c r="A365" t="inlineStr">
        <is>
          <t>A 39934-2025</t>
        </is>
      </c>
      <c r="B365" s="1" t="n">
        <v>45891.71465277778</v>
      </c>
      <c r="C365" s="1" t="n">
        <v>46060</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56881-2021</t>
        </is>
      </c>
      <c r="B366" s="1" t="n">
        <v>44481</v>
      </c>
      <c r="C366" s="1" t="n">
        <v>46060</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39457-2025</t>
        </is>
      </c>
      <c r="B367" s="1" t="n">
        <v>45889.76887731482</v>
      </c>
      <c r="C367" s="1" t="n">
        <v>46060</v>
      </c>
      <c r="D367" t="inlineStr">
        <is>
          <t>SKÅNE LÄN</t>
        </is>
      </c>
      <c r="E367" t="inlineStr">
        <is>
          <t>HÄSSLEHOLM</t>
        </is>
      </c>
      <c r="G367" t="n">
        <v>6.6</v>
      </c>
      <c r="H367" t="n">
        <v>0</v>
      </c>
      <c r="I367" t="n">
        <v>0</v>
      </c>
      <c r="J367" t="n">
        <v>0</v>
      </c>
      <c r="K367" t="n">
        <v>0</v>
      </c>
      <c r="L367" t="n">
        <v>0</v>
      </c>
      <c r="M367" t="n">
        <v>0</v>
      </c>
      <c r="N367" t="n">
        <v>0</v>
      </c>
      <c r="O367" t="n">
        <v>0</v>
      </c>
      <c r="P367" t="n">
        <v>0</v>
      </c>
      <c r="Q367" t="n">
        <v>0</v>
      </c>
      <c r="R367" s="2" t="inlineStr"/>
    </row>
    <row r="368" ht="15" customHeight="1">
      <c r="A368" t="inlineStr">
        <is>
          <t>A 16368-2025</t>
        </is>
      </c>
      <c r="B368" s="1" t="n">
        <v>45751</v>
      </c>
      <c r="C368" s="1" t="n">
        <v>46060</v>
      </c>
      <c r="D368" t="inlineStr">
        <is>
          <t>SKÅNE LÄN</t>
        </is>
      </c>
      <c r="E368" t="inlineStr">
        <is>
          <t>HÄSSLEHOLM</t>
        </is>
      </c>
      <c r="G368" t="n">
        <v>5</v>
      </c>
      <c r="H368" t="n">
        <v>0</v>
      </c>
      <c r="I368" t="n">
        <v>0</v>
      </c>
      <c r="J368" t="n">
        <v>0</v>
      </c>
      <c r="K368" t="n">
        <v>0</v>
      </c>
      <c r="L368" t="n">
        <v>0</v>
      </c>
      <c r="M368" t="n">
        <v>0</v>
      </c>
      <c r="N368" t="n">
        <v>0</v>
      </c>
      <c r="O368" t="n">
        <v>0</v>
      </c>
      <c r="P368" t="n">
        <v>0</v>
      </c>
      <c r="Q368" t="n">
        <v>0</v>
      </c>
      <c r="R368" s="2" t="inlineStr"/>
    </row>
    <row r="369" ht="15" customHeight="1">
      <c r="A369" t="inlineStr">
        <is>
          <t>A 13673-2023</t>
        </is>
      </c>
      <c r="B369" s="1" t="n">
        <v>45006.87957175926</v>
      </c>
      <c r="C369" s="1" t="n">
        <v>46060</v>
      </c>
      <c r="D369" t="inlineStr">
        <is>
          <t>SKÅNE LÄN</t>
        </is>
      </c>
      <c r="E369" t="inlineStr">
        <is>
          <t>HÄSSLEHOLM</t>
        </is>
      </c>
      <c r="G369" t="n">
        <v>3.2</v>
      </c>
      <c r="H369" t="n">
        <v>0</v>
      </c>
      <c r="I369" t="n">
        <v>0</v>
      </c>
      <c r="J369" t="n">
        <v>0</v>
      </c>
      <c r="K369" t="n">
        <v>0</v>
      </c>
      <c r="L369" t="n">
        <v>0</v>
      </c>
      <c r="M369" t="n">
        <v>0</v>
      </c>
      <c r="N369" t="n">
        <v>0</v>
      </c>
      <c r="O369" t="n">
        <v>0</v>
      </c>
      <c r="P369" t="n">
        <v>0</v>
      </c>
      <c r="Q369" t="n">
        <v>0</v>
      </c>
      <c r="R369" s="2" t="inlineStr"/>
    </row>
    <row r="370" ht="15" customHeight="1">
      <c r="A370" t="inlineStr">
        <is>
          <t>A 39937-2025</t>
        </is>
      </c>
      <c r="B370" s="1" t="n">
        <v>45891.73162037037</v>
      </c>
      <c r="C370" s="1" t="n">
        <v>46060</v>
      </c>
      <c r="D370" t="inlineStr">
        <is>
          <t>SKÅNE LÄN</t>
        </is>
      </c>
      <c r="E370" t="inlineStr">
        <is>
          <t>HÄSSLEHOLM</t>
        </is>
      </c>
      <c r="G370" t="n">
        <v>4.5</v>
      </c>
      <c r="H370" t="n">
        <v>0</v>
      </c>
      <c r="I370" t="n">
        <v>0</v>
      </c>
      <c r="J370" t="n">
        <v>0</v>
      </c>
      <c r="K370" t="n">
        <v>0</v>
      </c>
      <c r="L370" t="n">
        <v>0</v>
      </c>
      <c r="M370" t="n">
        <v>0</v>
      </c>
      <c r="N370" t="n">
        <v>0</v>
      </c>
      <c r="O370" t="n">
        <v>0</v>
      </c>
      <c r="P370" t="n">
        <v>0</v>
      </c>
      <c r="Q370" t="n">
        <v>0</v>
      </c>
      <c r="R370" s="2" t="inlineStr"/>
    </row>
    <row r="371" ht="15" customHeight="1">
      <c r="A371" t="inlineStr">
        <is>
          <t>A 38306-2022</t>
        </is>
      </c>
      <c r="B371" s="1" t="n">
        <v>44812.57515046297</v>
      </c>
      <c r="C371" s="1" t="n">
        <v>46060</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38712-2024</t>
        </is>
      </c>
      <c r="B372" s="1" t="n">
        <v>45547</v>
      </c>
      <c r="C372" s="1" t="n">
        <v>46060</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13310-2025</t>
        </is>
      </c>
      <c r="B373" s="1" t="n">
        <v>45735.58814814815</v>
      </c>
      <c r="C373" s="1" t="n">
        <v>46060</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28240-2025</t>
        </is>
      </c>
      <c r="B374" s="1" t="n">
        <v>45817</v>
      </c>
      <c r="C374" s="1" t="n">
        <v>46060</v>
      </c>
      <c r="D374" t="inlineStr">
        <is>
          <t>SKÅNE LÄN</t>
        </is>
      </c>
      <c r="E374" t="inlineStr">
        <is>
          <t>HÄSSLEHOLM</t>
        </is>
      </c>
      <c r="G374" t="n">
        <v>7.7</v>
      </c>
      <c r="H374" t="n">
        <v>0</v>
      </c>
      <c r="I374" t="n">
        <v>0</v>
      </c>
      <c r="J374" t="n">
        <v>0</v>
      </c>
      <c r="K374" t="n">
        <v>0</v>
      </c>
      <c r="L374" t="n">
        <v>0</v>
      </c>
      <c r="M374" t="n">
        <v>0</v>
      </c>
      <c r="N374" t="n">
        <v>0</v>
      </c>
      <c r="O374" t="n">
        <v>0</v>
      </c>
      <c r="P374" t="n">
        <v>0</v>
      </c>
      <c r="Q374" t="n">
        <v>0</v>
      </c>
      <c r="R374" s="2" t="inlineStr"/>
    </row>
    <row r="375" ht="15" customHeight="1">
      <c r="A375" t="inlineStr">
        <is>
          <t>A 27940-2025</t>
        </is>
      </c>
      <c r="B375" s="1" t="n">
        <v>45817.50439814815</v>
      </c>
      <c r="C375" s="1" t="n">
        <v>46060</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46060</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9555-2025</t>
        </is>
      </c>
      <c r="B377" s="1" t="n">
        <v>45714</v>
      </c>
      <c r="C377" s="1" t="n">
        <v>46060</v>
      </c>
      <c r="D377" t="inlineStr">
        <is>
          <t>SKÅNE LÄN</t>
        </is>
      </c>
      <c r="E377" t="inlineStr">
        <is>
          <t>HÄSSLEHOLM</t>
        </is>
      </c>
      <c r="G377" t="n">
        <v>5.4</v>
      </c>
      <c r="H377" t="n">
        <v>0</v>
      </c>
      <c r="I377" t="n">
        <v>0</v>
      </c>
      <c r="J377" t="n">
        <v>0</v>
      </c>
      <c r="K377" t="n">
        <v>0</v>
      </c>
      <c r="L377" t="n">
        <v>0</v>
      </c>
      <c r="M377" t="n">
        <v>0</v>
      </c>
      <c r="N377" t="n">
        <v>0</v>
      </c>
      <c r="O377" t="n">
        <v>0</v>
      </c>
      <c r="P377" t="n">
        <v>0</v>
      </c>
      <c r="Q377" t="n">
        <v>0</v>
      </c>
      <c r="R377" s="2" t="inlineStr"/>
    </row>
    <row r="378" ht="15" customHeight="1">
      <c r="A378" t="inlineStr">
        <is>
          <t>A 3746-2024</t>
        </is>
      </c>
      <c r="B378" s="1" t="n">
        <v>45321.50745370371</v>
      </c>
      <c r="C378" s="1" t="n">
        <v>46060</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40241-2025</t>
        </is>
      </c>
      <c r="B379" s="1" t="n">
        <v>45894.87251157407</v>
      </c>
      <c r="C379" s="1" t="n">
        <v>46060</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28251-2025</t>
        </is>
      </c>
      <c r="B380" s="1" t="n">
        <v>45817</v>
      </c>
      <c r="C380" s="1" t="n">
        <v>46060</v>
      </c>
      <c r="D380" t="inlineStr">
        <is>
          <t>SKÅNE LÄN</t>
        </is>
      </c>
      <c r="E380" t="inlineStr">
        <is>
          <t>HÄSSLEHOLM</t>
        </is>
      </c>
      <c r="G380" t="n">
        <v>7.2</v>
      </c>
      <c r="H380" t="n">
        <v>0</v>
      </c>
      <c r="I380" t="n">
        <v>0</v>
      </c>
      <c r="J380" t="n">
        <v>0</v>
      </c>
      <c r="K380" t="n">
        <v>0</v>
      </c>
      <c r="L380" t="n">
        <v>0</v>
      </c>
      <c r="M380" t="n">
        <v>0</v>
      </c>
      <c r="N380" t="n">
        <v>0</v>
      </c>
      <c r="O380" t="n">
        <v>0</v>
      </c>
      <c r="P380" t="n">
        <v>0</v>
      </c>
      <c r="Q380" t="n">
        <v>0</v>
      </c>
      <c r="R380" s="2" t="inlineStr"/>
    </row>
    <row r="381" ht="15" customHeight="1">
      <c r="A381" t="inlineStr">
        <is>
          <t>A 28122-2025</t>
        </is>
      </c>
      <c r="B381" s="1" t="n">
        <v>45817</v>
      </c>
      <c r="C381" s="1" t="n">
        <v>46060</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57649-2022</t>
        </is>
      </c>
      <c r="B382" s="1" t="n">
        <v>44897.42755787037</v>
      </c>
      <c r="C382" s="1" t="n">
        <v>46060</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57665-2022</t>
        </is>
      </c>
      <c r="B383" s="1" t="n">
        <v>44897.4494212963</v>
      </c>
      <c r="C383" s="1" t="n">
        <v>46060</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57676-2022</t>
        </is>
      </c>
      <c r="B384" s="1" t="n">
        <v>44897</v>
      </c>
      <c r="C384" s="1" t="n">
        <v>46060</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14145-2023</t>
        </is>
      </c>
      <c r="B385" s="1" t="n">
        <v>45009</v>
      </c>
      <c r="C385" s="1" t="n">
        <v>46060</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8244-2023</t>
        </is>
      </c>
      <c r="B386" s="1" t="n">
        <v>44974</v>
      </c>
      <c r="C386" s="1" t="n">
        <v>46060</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8246-2023</t>
        </is>
      </c>
      <c r="B387" s="1" t="n">
        <v>44974</v>
      </c>
      <c r="C387" s="1" t="n">
        <v>46060</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12584-2025</t>
        </is>
      </c>
      <c r="B388" s="1" t="n">
        <v>45732</v>
      </c>
      <c r="C388" s="1" t="n">
        <v>46060</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25606-2024</t>
        </is>
      </c>
      <c r="B389" s="1" t="n">
        <v>45463.63179398148</v>
      </c>
      <c r="C389" s="1" t="n">
        <v>46060</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27887-2025</t>
        </is>
      </c>
      <c r="B390" s="1" t="n">
        <v>45817.45994212963</v>
      </c>
      <c r="C390" s="1" t="n">
        <v>46060</v>
      </c>
      <c r="D390" t="inlineStr">
        <is>
          <t>SKÅNE LÄN</t>
        </is>
      </c>
      <c r="E390" t="inlineStr">
        <is>
          <t>HÄSSLEHOLM</t>
        </is>
      </c>
      <c r="G390" t="n">
        <v>4.8</v>
      </c>
      <c r="H390" t="n">
        <v>0</v>
      </c>
      <c r="I390" t="n">
        <v>0</v>
      </c>
      <c r="J390" t="n">
        <v>0</v>
      </c>
      <c r="K390" t="n">
        <v>0</v>
      </c>
      <c r="L390" t="n">
        <v>0</v>
      </c>
      <c r="M390" t="n">
        <v>0</v>
      </c>
      <c r="N390" t="n">
        <v>0</v>
      </c>
      <c r="O390" t="n">
        <v>0</v>
      </c>
      <c r="P390" t="n">
        <v>0</v>
      </c>
      <c r="Q390" t="n">
        <v>0</v>
      </c>
      <c r="R390" s="2" t="inlineStr"/>
    </row>
    <row r="391" ht="15" customHeight="1">
      <c r="A391" t="inlineStr">
        <is>
          <t>A 28095-2025</t>
        </is>
      </c>
      <c r="B391" s="1" t="n">
        <v>45817</v>
      </c>
      <c r="C391" s="1" t="n">
        <v>46060</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14939-2023</t>
        </is>
      </c>
      <c r="B392" s="1" t="n">
        <v>45014</v>
      </c>
      <c r="C392" s="1" t="n">
        <v>46060</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13345-2025</t>
        </is>
      </c>
      <c r="B393" s="1" t="n">
        <v>45735.63017361111</v>
      </c>
      <c r="C393" s="1" t="n">
        <v>46060</v>
      </c>
      <c r="D393" t="inlineStr">
        <is>
          <t>SKÅNE LÄN</t>
        </is>
      </c>
      <c r="E393" t="inlineStr">
        <is>
          <t>HÄSSLEHOLM</t>
        </is>
      </c>
      <c r="G393" t="n">
        <v>1.3</v>
      </c>
      <c r="H393" t="n">
        <v>0</v>
      </c>
      <c r="I393" t="n">
        <v>0</v>
      </c>
      <c r="J393" t="n">
        <v>0</v>
      </c>
      <c r="K393" t="n">
        <v>0</v>
      </c>
      <c r="L393" t="n">
        <v>0</v>
      </c>
      <c r="M393" t="n">
        <v>0</v>
      </c>
      <c r="N393" t="n">
        <v>0</v>
      </c>
      <c r="O393" t="n">
        <v>0</v>
      </c>
      <c r="P393" t="n">
        <v>0</v>
      </c>
      <c r="Q393" t="n">
        <v>0</v>
      </c>
      <c r="R393" s="2" t="inlineStr"/>
    </row>
    <row r="394" ht="15" customHeight="1">
      <c r="A394" t="inlineStr">
        <is>
          <t>A 4945-2022</t>
        </is>
      </c>
      <c r="B394" s="1" t="n">
        <v>44593</v>
      </c>
      <c r="C394" s="1" t="n">
        <v>46060</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12558-2023</t>
        </is>
      </c>
      <c r="B395" s="1" t="n">
        <v>45000.36103009259</v>
      </c>
      <c r="C395" s="1" t="n">
        <v>46060</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49827-2022</t>
        </is>
      </c>
      <c r="B396" s="1" t="n">
        <v>44859</v>
      </c>
      <c r="C396" s="1" t="n">
        <v>46060</v>
      </c>
      <c r="D396" t="inlineStr">
        <is>
          <t>SKÅNE LÄN</t>
        </is>
      </c>
      <c r="E396" t="inlineStr">
        <is>
          <t>HÄSSLEHOLM</t>
        </is>
      </c>
      <c r="G396" t="n">
        <v>6.1</v>
      </c>
      <c r="H396" t="n">
        <v>0</v>
      </c>
      <c r="I396" t="n">
        <v>0</v>
      </c>
      <c r="J396" t="n">
        <v>0</v>
      </c>
      <c r="K396" t="n">
        <v>0</v>
      </c>
      <c r="L396" t="n">
        <v>0</v>
      </c>
      <c r="M396" t="n">
        <v>0</v>
      </c>
      <c r="N396" t="n">
        <v>0</v>
      </c>
      <c r="O396" t="n">
        <v>0</v>
      </c>
      <c r="P396" t="n">
        <v>0</v>
      </c>
      <c r="Q396" t="n">
        <v>0</v>
      </c>
      <c r="R396" s="2" t="inlineStr"/>
    </row>
    <row r="397" ht="15" customHeight="1">
      <c r="A397" t="inlineStr">
        <is>
          <t>A 41400-2025</t>
        </is>
      </c>
      <c r="B397" s="1" t="n">
        <v>45901</v>
      </c>
      <c r="C397" s="1" t="n">
        <v>46060</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41401-2025</t>
        </is>
      </c>
      <c r="B398" s="1" t="n">
        <v>45901</v>
      </c>
      <c r="C398" s="1" t="n">
        <v>46060</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4119-2024</t>
        </is>
      </c>
      <c r="B399" s="1" t="n">
        <v>45323.67920138889</v>
      </c>
      <c r="C399" s="1" t="n">
        <v>46060</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6835-2023</t>
        </is>
      </c>
      <c r="B400" s="1" t="n">
        <v>44967</v>
      </c>
      <c r="C400" s="1" t="n">
        <v>46060</v>
      </c>
      <c r="D400" t="inlineStr">
        <is>
          <t>SKÅNE LÄN</t>
        </is>
      </c>
      <c r="E400" t="inlineStr">
        <is>
          <t>HÄSSLEHOLM</t>
        </is>
      </c>
      <c r="G400" t="n">
        <v>4.8</v>
      </c>
      <c r="H400" t="n">
        <v>0</v>
      </c>
      <c r="I400" t="n">
        <v>0</v>
      </c>
      <c r="J400" t="n">
        <v>0</v>
      </c>
      <c r="K400" t="n">
        <v>0</v>
      </c>
      <c r="L400" t="n">
        <v>0</v>
      </c>
      <c r="M400" t="n">
        <v>0</v>
      </c>
      <c r="N400" t="n">
        <v>0</v>
      </c>
      <c r="O400" t="n">
        <v>0</v>
      </c>
      <c r="P400" t="n">
        <v>0</v>
      </c>
      <c r="Q400" t="n">
        <v>0</v>
      </c>
      <c r="R400" s="2" t="inlineStr"/>
    </row>
    <row r="401" ht="15" customHeight="1">
      <c r="A401" t="inlineStr">
        <is>
          <t>A 47757-2024</t>
        </is>
      </c>
      <c r="B401" s="1" t="n">
        <v>45588.55075231481</v>
      </c>
      <c r="C401" s="1" t="n">
        <v>46060</v>
      </c>
      <c r="D401" t="inlineStr">
        <is>
          <t>SKÅNE LÄN</t>
        </is>
      </c>
      <c r="E401" t="inlineStr">
        <is>
          <t>HÄSSLEHOLM</t>
        </is>
      </c>
      <c r="G401" t="n">
        <v>5.5</v>
      </c>
      <c r="H401" t="n">
        <v>0</v>
      </c>
      <c r="I401" t="n">
        <v>0</v>
      </c>
      <c r="J401" t="n">
        <v>0</v>
      </c>
      <c r="K401" t="n">
        <v>0</v>
      </c>
      <c r="L401" t="n">
        <v>0</v>
      </c>
      <c r="M401" t="n">
        <v>0</v>
      </c>
      <c r="N401" t="n">
        <v>0</v>
      </c>
      <c r="O401" t="n">
        <v>0</v>
      </c>
      <c r="P401" t="n">
        <v>0</v>
      </c>
      <c r="Q401" t="n">
        <v>0</v>
      </c>
      <c r="R401" s="2" t="inlineStr"/>
    </row>
    <row r="402" ht="15" customHeight="1">
      <c r="A402" t="inlineStr">
        <is>
          <t>A 16550-2025</t>
        </is>
      </c>
      <c r="B402" s="1" t="n">
        <v>45751.69412037037</v>
      </c>
      <c r="C402" s="1" t="n">
        <v>46060</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29170-2025</t>
        </is>
      </c>
      <c r="B403" s="1" t="n">
        <v>45821.69766203704</v>
      </c>
      <c r="C403" s="1" t="n">
        <v>46060</v>
      </c>
      <c r="D403" t="inlineStr">
        <is>
          <t>SKÅNE LÄN</t>
        </is>
      </c>
      <c r="E403" t="inlineStr">
        <is>
          <t>HÄSSLEHOLM</t>
        </is>
      </c>
      <c r="G403" t="n">
        <v>3.1</v>
      </c>
      <c r="H403" t="n">
        <v>0</v>
      </c>
      <c r="I403" t="n">
        <v>0</v>
      </c>
      <c r="J403" t="n">
        <v>0</v>
      </c>
      <c r="K403" t="n">
        <v>0</v>
      </c>
      <c r="L403" t="n">
        <v>0</v>
      </c>
      <c r="M403" t="n">
        <v>0</v>
      </c>
      <c r="N403" t="n">
        <v>0</v>
      </c>
      <c r="O403" t="n">
        <v>0</v>
      </c>
      <c r="P403" t="n">
        <v>0</v>
      </c>
      <c r="Q403" t="n">
        <v>0</v>
      </c>
      <c r="R403" s="2" t="inlineStr"/>
    </row>
    <row r="404" ht="15" customHeight="1">
      <c r="A404" t="inlineStr">
        <is>
          <t>A 26536-2022</t>
        </is>
      </c>
      <c r="B404" s="1" t="n">
        <v>44739.45496527778</v>
      </c>
      <c r="C404" s="1" t="n">
        <v>46060</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25057-2024</t>
        </is>
      </c>
      <c r="B405" s="1" t="n">
        <v>45462</v>
      </c>
      <c r="C405" s="1" t="n">
        <v>46060</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29171-2025</t>
        </is>
      </c>
      <c r="B406" s="1" t="n">
        <v>45821.69863425926</v>
      </c>
      <c r="C406" s="1" t="n">
        <v>46060</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7494-2023</t>
        </is>
      </c>
      <c r="B407" s="1" t="n">
        <v>44971.70835648148</v>
      </c>
      <c r="C407" s="1" t="n">
        <v>46060</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10115-2024</t>
        </is>
      </c>
      <c r="B408" s="1" t="n">
        <v>45364.55339120371</v>
      </c>
      <c r="C408" s="1" t="n">
        <v>46060</v>
      </c>
      <c r="D408" t="inlineStr">
        <is>
          <t>SKÅNE LÄN</t>
        </is>
      </c>
      <c r="E408" t="inlineStr">
        <is>
          <t>HÄSSLEHOLM</t>
        </is>
      </c>
      <c r="G408" t="n">
        <v>7</v>
      </c>
      <c r="H408" t="n">
        <v>0</v>
      </c>
      <c r="I408" t="n">
        <v>0</v>
      </c>
      <c r="J408" t="n">
        <v>0</v>
      </c>
      <c r="K408" t="n">
        <v>0</v>
      </c>
      <c r="L408" t="n">
        <v>0</v>
      </c>
      <c r="M408" t="n">
        <v>0</v>
      </c>
      <c r="N408" t="n">
        <v>0</v>
      </c>
      <c r="O408" t="n">
        <v>0</v>
      </c>
      <c r="P408" t="n">
        <v>0</v>
      </c>
      <c r="Q408" t="n">
        <v>0</v>
      </c>
      <c r="R408" s="2" t="inlineStr"/>
    </row>
    <row r="409" ht="15" customHeight="1">
      <c r="A409" t="inlineStr">
        <is>
          <t>A 29168-2025</t>
        </is>
      </c>
      <c r="B409" s="1" t="n">
        <v>45821.69547453704</v>
      </c>
      <c r="C409" s="1" t="n">
        <v>46060</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42520-2025</t>
        </is>
      </c>
      <c r="B410" s="1" t="n">
        <v>45905.54846064815</v>
      </c>
      <c r="C410" s="1" t="n">
        <v>46060</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21328-2023</t>
        </is>
      </c>
      <c r="B411" s="1" t="n">
        <v>45062</v>
      </c>
      <c r="C411" s="1" t="n">
        <v>46060</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12570-2023</t>
        </is>
      </c>
      <c r="B412" s="1" t="n">
        <v>44999</v>
      </c>
      <c r="C412" s="1" t="n">
        <v>46060</v>
      </c>
      <c r="D412" t="inlineStr">
        <is>
          <t>SKÅNE LÄN</t>
        </is>
      </c>
      <c r="E412" t="inlineStr">
        <is>
          <t>HÄSSLEHOLM</t>
        </is>
      </c>
      <c r="G412" t="n">
        <v>3.4</v>
      </c>
      <c r="H412" t="n">
        <v>0</v>
      </c>
      <c r="I412" t="n">
        <v>0</v>
      </c>
      <c r="J412" t="n">
        <v>0</v>
      </c>
      <c r="K412" t="n">
        <v>0</v>
      </c>
      <c r="L412" t="n">
        <v>0</v>
      </c>
      <c r="M412" t="n">
        <v>0</v>
      </c>
      <c r="N412" t="n">
        <v>0</v>
      </c>
      <c r="O412" t="n">
        <v>0</v>
      </c>
      <c r="P412" t="n">
        <v>0</v>
      </c>
      <c r="Q412" t="n">
        <v>0</v>
      </c>
      <c r="R412" s="2" t="inlineStr"/>
    </row>
    <row r="413" ht="15" customHeight="1">
      <c r="A413" t="inlineStr">
        <is>
          <t>A 20435-2021</t>
        </is>
      </c>
      <c r="B413" s="1" t="n">
        <v>44315.5793287037</v>
      </c>
      <c r="C413" s="1" t="n">
        <v>46060</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25219-2023</t>
        </is>
      </c>
      <c r="B414" s="1" t="n">
        <v>45086.60541666667</v>
      </c>
      <c r="C414" s="1" t="n">
        <v>46060</v>
      </c>
      <c r="D414" t="inlineStr">
        <is>
          <t>SKÅNE LÄN</t>
        </is>
      </c>
      <c r="E414" t="inlineStr">
        <is>
          <t>HÄSSLEHOLM</t>
        </is>
      </c>
      <c r="G414" t="n">
        <v>6.9</v>
      </c>
      <c r="H414" t="n">
        <v>0</v>
      </c>
      <c r="I414" t="n">
        <v>0</v>
      </c>
      <c r="J414" t="n">
        <v>0</v>
      </c>
      <c r="K414" t="n">
        <v>0</v>
      </c>
      <c r="L414" t="n">
        <v>0</v>
      </c>
      <c r="M414" t="n">
        <v>0</v>
      </c>
      <c r="N414" t="n">
        <v>0</v>
      </c>
      <c r="O414" t="n">
        <v>0</v>
      </c>
      <c r="P414" t="n">
        <v>0</v>
      </c>
      <c r="Q414" t="n">
        <v>0</v>
      </c>
      <c r="R414" s="2" t="inlineStr"/>
    </row>
    <row r="415" ht="15" customHeight="1">
      <c r="A415" t="inlineStr">
        <is>
          <t>A 7306-2025</t>
        </is>
      </c>
      <c r="B415" s="1" t="n">
        <v>45702</v>
      </c>
      <c r="C415" s="1" t="n">
        <v>46060</v>
      </c>
      <c r="D415" t="inlineStr">
        <is>
          <t>SKÅNE LÄN</t>
        </is>
      </c>
      <c r="E415" t="inlineStr">
        <is>
          <t>HÄSSLEHOLM</t>
        </is>
      </c>
      <c r="F415" t="inlineStr">
        <is>
          <t>Övriga Aktiebolag</t>
        </is>
      </c>
      <c r="G415" t="n">
        <v>3.3</v>
      </c>
      <c r="H415" t="n">
        <v>0</v>
      </c>
      <c r="I415" t="n">
        <v>0</v>
      </c>
      <c r="J415" t="n">
        <v>0</v>
      </c>
      <c r="K415" t="n">
        <v>0</v>
      </c>
      <c r="L415" t="n">
        <v>0</v>
      </c>
      <c r="M415" t="n">
        <v>0</v>
      </c>
      <c r="N415" t="n">
        <v>0</v>
      </c>
      <c r="O415" t="n">
        <v>0</v>
      </c>
      <c r="P415" t="n">
        <v>0</v>
      </c>
      <c r="Q415" t="n">
        <v>0</v>
      </c>
      <c r="R415" s="2" t="inlineStr"/>
    </row>
    <row r="416" ht="15" customHeight="1">
      <c r="A416" t="inlineStr">
        <is>
          <t>A 7308-2025</t>
        </is>
      </c>
      <c r="B416" s="1" t="n">
        <v>45702</v>
      </c>
      <c r="C416" s="1" t="n">
        <v>46060</v>
      </c>
      <c r="D416" t="inlineStr">
        <is>
          <t>SKÅNE LÄN</t>
        </is>
      </c>
      <c r="E416" t="inlineStr">
        <is>
          <t>HÄSSLEHOLM</t>
        </is>
      </c>
      <c r="F416" t="inlineStr">
        <is>
          <t>Övriga Aktiebolag</t>
        </is>
      </c>
      <c r="G416" t="n">
        <v>4.8</v>
      </c>
      <c r="H416" t="n">
        <v>0</v>
      </c>
      <c r="I416" t="n">
        <v>0</v>
      </c>
      <c r="J416" t="n">
        <v>0</v>
      </c>
      <c r="K416" t="n">
        <v>0</v>
      </c>
      <c r="L416" t="n">
        <v>0</v>
      </c>
      <c r="M416" t="n">
        <v>0</v>
      </c>
      <c r="N416" t="n">
        <v>0</v>
      </c>
      <c r="O416" t="n">
        <v>0</v>
      </c>
      <c r="P416" t="n">
        <v>0</v>
      </c>
      <c r="Q416" t="n">
        <v>0</v>
      </c>
      <c r="R416" s="2" t="inlineStr"/>
    </row>
    <row r="417" ht="15" customHeight="1">
      <c r="A417" t="inlineStr">
        <is>
          <t>A 58250-2024</t>
        </is>
      </c>
      <c r="B417" s="1" t="n">
        <v>45632.55643518519</v>
      </c>
      <c r="C417" s="1" t="n">
        <v>46060</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54671-2022</t>
        </is>
      </c>
      <c r="B418" s="1" t="n">
        <v>44883</v>
      </c>
      <c r="C418" s="1" t="n">
        <v>46060</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40739-2024</t>
        </is>
      </c>
      <c r="B419" s="1" t="n">
        <v>45558</v>
      </c>
      <c r="C419" s="1" t="n">
        <v>46060</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43516-2025</t>
        </is>
      </c>
      <c r="B420" s="1" t="n">
        <v>45911</v>
      </c>
      <c r="C420" s="1" t="n">
        <v>46060</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43332-2025</t>
        </is>
      </c>
      <c r="B421" s="1" t="n">
        <v>45910.70217592592</v>
      </c>
      <c r="C421" s="1" t="n">
        <v>46060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13932-2023</t>
        </is>
      </c>
      <c r="B422" s="1" t="n">
        <v>45008.43935185186</v>
      </c>
      <c r="C422" s="1" t="n">
        <v>46060</v>
      </c>
      <c r="D422" t="inlineStr">
        <is>
          <t>SKÅNE LÄN</t>
        </is>
      </c>
      <c r="E422" t="inlineStr">
        <is>
          <t>HÄSSLEHOLM</t>
        </is>
      </c>
      <c r="G422" t="n">
        <v>3.3</v>
      </c>
      <c r="H422" t="n">
        <v>0</v>
      </c>
      <c r="I422" t="n">
        <v>0</v>
      </c>
      <c r="J422" t="n">
        <v>0</v>
      </c>
      <c r="K422" t="n">
        <v>0</v>
      </c>
      <c r="L422" t="n">
        <v>0</v>
      </c>
      <c r="M422" t="n">
        <v>0</v>
      </c>
      <c r="N422" t="n">
        <v>0</v>
      </c>
      <c r="O422" t="n">
        <v>0</v>
      </c>
      <c r="P422" t="n">
        <v>0</v>
      </c>
      <c r="Q422" t="n">
        <v>0</v>
      </c>
      <c r="R422" s="2" t="inlineStr"/>
    </row>
    <row r="423" ht="15" customHeight="1">
      <c r="A423" t="inlineStr">
        <is>
          <t>A 43333-2025</t>
        </is>
      </c>
      <c r="B423" s="1" t="n">
        <v>45910</v>
      </c>
      <c r="C423" s="1" t="n">
        <v>46060</v>
      </c>
      <c r="D423" t="inlineStr">
        <is>
          <t>SKÅNE LÄN</t>
        </is>
      </c>
      <c r="E423" t="inlineStr">
        <is>
          <t>HÄSSLEHOLM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35889-2023</t>
        </is>
      </c>
      <c r="B424" s="1" t="n">
        <v>45148</v>
      </c>
      <c r="C424" s="1" t="n">
        <v>46060</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35894-2023</t>
        </is>
      </c>
      <c r="B425" s="1" t="n">
        <v>45148</v>
      </c>
      <c r="C425" s="1" t="n">
        <v>46060</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45299-2024</t>
        </is>
      </c>
      <c r="B426" s="1" t="n">
        <v>45576.40599537037</v>
      </c>
      <c r="C426" s="1" t="n">
        <v>46060</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30010-2025</t>
        </is>
      </c>
      <c r="B427" s="1" t="n">
        <v>45826</v>
      </c>
      <c r="C427" s="1" t="n">
        <v>46060</v>
      </c>
      <c r="D427" t="inlineStr">
        <is>
          <t>SKÅNE LÄN</t>
        </is>
      </c>
      <c r="E427" t="inlineStr">
        <is>
          <t>HÄSSLEHOLM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25176-2024</t>
        </is>
      </c>
      <c r="B428" s="1" t="n">
        <v>45462.54582175926</v>
      </c>
      <c r="C428" s="1" t="n">
        <v>46060</v>
      </c>
      <c r="D428" t="inlineStr">
        <is>
          <t>SKÅNE LÄN</t>
        </is>
      </c>
      <c r="E428" t="inlineStr">
        <is>
          <t>HÄSSLEHOLM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43869-2025</t>
        </is>
      </c>
      <c r="B429" s="1" t="n">
        <v>45912.66452546296</v>
      </c>
      <c r="C429" s="1" t="n">
        <v>46060</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7771-2021</t>
        </is>
      </c>
      <c r="B430" s="1" t="n">
        <v>44242</v>
      </c>
      <c r="C430" s="1" t="n">
        <v>46060</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43741-2025</t>
        </is>
      </c>
      <c r="B431" s="1" t="n">
        <v>45912.45541666666</v>
      </c>
      <c r="C431" s="1" t="n">
        <v>46060</v>
      </c>
      <c r="D431" t="inlineStr">
        <is>
          <t>SKÅNE LÄN</t>
        </is>
      </c>
      <c r="E431" t="inlineStr">
        <is>
          <t>HÄSSLEHOLM</t>
        </is>
      </c>
      <c r="G431" t="n">
        <v>4.3</v>
      </c>
      <c r="H431" t="n">
        <v>0</v>
      </c>
      <c r="I431" t="n">
        <v>0</v>
      </c>
      <c r="J431" t="n">
        <v>0</v>
      </c>
      <c r="K431" t="n">
        <v>0</v>
      </c>
      <c r="L431" t="n">
        <v>0</v>
      </c>
      <c r="M431" t="n">
        <v>0</v>
      </c>
      <c r="N431" t="n">
        <v>0</v>
      </c>
      <c r="O431" t="n">
        <v>0</v>
      </c>
      <c r="P431" t="n">
        <v>0</v>
      </c>
      <c r="Q431" t="n">
        <v>0</v>
      </c>
      <c r="R431" s="2" t="inlineStr"/>
    </row>
    <row r="432" ht="15" customHeight="1">
      <c r="A432" t="inlineStr">
        <is>
          <t>A 44741-2023</t>
        </is>
      </c>
      <c r="B432" s="1" t="n">
        <v>45190.38804398148</v>
      </c>
      <c r="C432" s="1" t="n">
        <v>46060</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7476-2025</t>
        </is>
      </c>
      <c r="B433" s="1" t="n">
        <v>45702</v>
      </c>
      <c r="C433" s="1" t="n">
        <v>46060</v>
      </c>
      <c r="D433" t="inlineStr">
        <is>
          <t>SKÅNE LÄN</t>
        </is>
      </c>
      <c r="E433" t="inlineStr">
        <is>
          <t>HÄSSLEHOLM</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7513-2025</t>
        </is>
      </c>
      <c r="B434" s="1" t="n">
        <v>45702</v>
      </c>
      <c r="C434" s="1" t="n">
        <v>46060</v>
      </c>
      <c r="D434" t="inlineStr">
        <is>
          <t>SKÅNE LÄN</t>
        </is>
      </c>
      <c r="E434" t="inlineStr">
        <is>
          <t>HÄSSLEHOLM</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31161-2024</t>
        </is>
      </c>
      <c r="B435" s="1" t="n">
        <v>45503</v>
      </c>
      <c r="C435" s="1" t="n">
        <v>46060</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22157-2024</t>
        </is>
      </c>
      <c r="B436" s="1" t="n">
        <v>45445.85290509259</v>
      </c>
      <c r="C436" s="1" t="n">
        <v>46060</v>
      </c>
      <c r="D436" t="inlineStr">
        <is>
          <t>SKÅNE LÄN</t>
        </is>
      </c>
      <c r="E436" t="inlineStr">
        <is>
          <t>HÄSSLEHOLM</t>
        </is>
      </c>
      <c r="G436" t="n">
        <v>1</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46060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13358-2023</t>
        </is>
      </c>
      <c r="B438" s="1" t="n">
        <v>45005</v>
      </c>
      <c r="C438" s="1" t="n">
        <v>46060</v>
      </c>
      <c r="D438" t="inlineStr">
        <is>
          <t>SKÅNE LÄN</t>
        </is>
      </c>
      <c r="E438" t="inlineStr">
        <is>
          <t>HÄSSLEHOLM</t>
        </is>
      </c>
      <c r="F438" t="inlineStr">
        <is>
          <t>Övriga Aktiebolag</t>
        </is>
      </c>
      <c r="G438" t="n">
        <v>0.5</v>
      </c>
      <c r="H438" t="n">
        <v>0</v>
      </c>
      <c r="I438" t="n">
        <v>0</v>
      </c>
      <c r="J438" t="n">
        <v>0</v>
      </c>
      <c r="K438" t="n">
        <v>0</v>
      </c>
      <c r="L438" t="n">
        <v>0</v>
      </c>
      <c r="M438" t="n">
        <v>0</v>
      </c>
      <c r="N438" t="n">
        <v>0</v>
      </c>
      <c r="O438" t="n">
        <v>0</v>
      </c>
      <c r="P438" t="n">
        <v>0</v>
      </c>
      <c r="Q438" t="n">
        <v>0</v>
      </c>
      <c r="R438" s="2" t="inlineStr"/>
    </row>
    <row r="439" ht="15" customHeight="1">
      <c r="A439" t="inlineStr">
        <is>
          <t>A 3245-2022</t>
        </is>
      </c>
      <c r="B439" s="1" t="n">
        <v>44583.39136574074</v>
      </c>
      <c r="C439" s="1" t="n">
        <v>46060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43738-2025</t>
        </is>
      </c>
      <c r="B440" s="1" t="n">
        <v>45912.45037037037</v>
      </c>
      <c r="C440" s="1" t="n">
        <v>46060</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38228-2021</t>
        </is>
      </c>
      <c r="B441" s="1" t="n">
        <v>44405</v>
      </c>
      <c r="C441" s="1" t="n">
        <v>46060</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44624-2025</t>
        </is>
      </c>
      <c r="B442" s="1" t="n">
        <v>45917.47152777778</v>
      </c>
      <c r="C442" s="1" t="n">
        <v>46060</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3248-2022</t>
        </is>
      </c>
      <c r="B443" s="1" t="n">
        <v>44583</v>
      </c>
      <c r="C443" s="1" t="n">
        <v>46060</v>
      </c>
      <c r="D443" t="inlineStr">
        <is>
          <t>SKÅNE LÄN</t>
        </is>
      </c>
      <c r="E443" t="inlineStr">
        <is>
          <t>HÄSSLEHOLM</t>
        </is>
      </c>
      <c r="G443" t="n">
        <v>3</v>
      </c>
      <c r="H443" t="n">
        <v>0</v>
      </c>
      <c r="I443" t="n">
        <v>0</v>
      </c>
      <c r="J443" t="n">
        <v>0</v>
      </c>
      <c r="K443" t="n">
        <v>0</v>
      </c>
      <c r="L443" t="n">
        <v>0</v>
      </c>
      <c r="M443" t="n">
        <v>0</v>
      </c>
      <c r="N443" t="n">
        <v>0</v>
      </c>
      <c r="O443" t="n">
        <v>0</v>
      </c>
      <c r="P443" t="n">
        <v>0</v>
      </c>
      <c r="Q443" t="n">
        <v>0</v>
      </c>
      <c r="R443" s="2" t="inlineStr"/>
    </row>
    <row r="444" ht="15" customHeight="1">
      <c r="A444" t="inlineStr">
        <is>
          <t>A 44611-2025</t>
        </is>
      </c>
      <c r="B444" s="1" t="n">
        <v>45917.45109953704</v>
      </c>
      <c r="C444" s="1" t="n">
        <v>46060</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44330-2025</t>
        </is>
      </c>
      <c r="B445" s="1" t="n">
        <v>45916.42120370371</v>
      </c>
      <c r="C445" s="1" t="n">
        <v>46060</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44523-2025</t>
        </is>
      </c>
      <c r="B446" s="1" t="n">
        <v>45916</v>
      </c>
      <c r="C446" s="1" t="n">
        <v>46060</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25538-2024</t>
        </is>
      </c>
      <c r="B447" s="1" t="n">
        <v>45463</v>
      </c>
      <c r="C447" s="1" t="n">
        <v>46060</v>
      </c>
      <c r="D447" t="inlineStr">
        <is>
          <t>SKÅNE LÄN</t>
        </is>
      </c>
      <c r="E447" t="inlineStr">
        <is>
          <t>HÄSSLEHOLM</t>
        </is>
      </c>
      <c r="G447" t="n">
        <v>1.6</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46060</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36733-2023</t>
        </is>
      </c>
      <c r="B449" s="1" t="n">
        <v>45153.69989583334</v>
      </c>
      <c r="C449" s="1" t="n">
        <v>46060</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46060</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60509-2023</t>
        </is>
      </c>
      <c r="B451" s="1" t="n">
        <v>45259</v>
      </c>
      <c r="C451" s="1" t="n">
        <v>46060</v>
      </c>
      <c r="D451" t="inlineStr">
        <is>
          <t>SKÅNE LÄN</t>
        </is>
      </c>
      <c r="E451" t="inlineStr">
        <is>
          <t>HÄSSLEHOLM</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44614-2025</t>
        </is>
      </c>
      <c r="B452" s="1" t="n">
        <v>45917.45422453704</v>
      </c>
      <c r="C452" s="1" t="n">
        <v>46060</v>
      </c>
      <c r="D452" t="inlineStr">
        <is>
          <t>SKÅNE LÄN</t>
        </is>
      </c>
      <c r="E452" t="inlineStr">
        <is>
          <t>HÄSSLEHOLM</t>
        </is>
      </c>
      <c r="G452" t="n">
        <v>5.4</v>
      </c>
      <c r="H452" t="n">
        <v>0</v>
      </c>
      <c r="I452" t="n">
        <v>0</v>
      </c>
      <c r="J452" t="n">
        <v>0</v>
      </c>
      <c r="K452" t="n">
        <v>0</v>
      </c>
      <c r="L452" t="n">
        <v>0</v>
      </c>
      <c r="M452" t="n">
        <v>0</v>
      </c>
      <c r="N452" t="n">
        <v>0</v>
      </c>
      <c r="O452" t="n">
        <v>0</v>
      </c>
      <c r="P452" t="n">
        <v>0</v>
      </c>
      <c r="Q452" t="n">
        <v>0</v>
      </c>
      <c r="R452" s="2" t="inlineStr"/>
    </row>
    <row r="453" ht="15" customHeight="1">
      <c r="A453" t="inlineStr">
        <is>
          <t>A 45176-2025</t>
        </is>
      </c>
      <c r="B453" s="1" t="n">
        <v>45919.52307870371</v>
      </c>
      <c r="C453" s="1" t="n">
        <v>46060</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1562-2023</t>
        </is>
      </c>
      <c r="B454" s="1" t="n">
        <v>44937.60450231482</v>
      </c>
      <c r="C454" s="1" t="n">
        <v>46060</v>
      </c>
      <c r="D454" t="inlineStr">
        <is>
          <t>SKÅNE LÄN</t>
        </is>
      </c>
      <c r="E454" t="inlineStr">
        <is>
          <t>HÄSSLEHOLM</t>
        </is>
      </c>
      <c r="G454" t="n">
        <v>2.7</v>
      </c>
      <c r="H454" t="n">
        <v>0</v>
      </c>
      <c r="I454" t="n">
        <v>0</v>
      </c>
      <c r="J454" t="n">
        <v>0</v>
      </c>
      <c r="K454" t="n">
        <v>0</v>
      </c>
      <c r="L454" t="n">
        <v>0</v>
      </c>
      <c r="M454" t="n">
        <v>0</v>
      </c>
      <c r="N454" t="n">
        <v>0</v>
      </c>
      <c r="O454" t="n">
        <v>0</v>
      </c>
      <c r="P454" t="n">
        <v>0</v>
      </c>
      <c r="Q454" t="n">
        <v>0</v>
      </c>
      <c r="R454" s="2" t="inlineStr"/>
    </row>
    <row r="455" ht="15" customHeight="1">
      <c r="A455" t="inlineStr">
        <is>
          <t>A 45220-2023</t>
        </is>
      </c>
      <c r="B455" s="1" t="n">
        <v>45191</v>
      </c>
      <c r="C455" s="1" t="n">
        <v>46060</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45221-2025</t>
        </is>
      </c>
      <c r="B456" s="1" t="n">
        <v>45919.57760416667</v>
      </c>
      <c r="C456" s="1" t="n">
        <v>46060</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32967-2023</t>
        </is>
      </c>
      <c r="B457" s="1" t="n">
        <v>45125</v>
      </c>
      <c r="C457" s="1" t="n">
        <v>46060</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32968-2023</t>
        </is>
      </c>
      <c r="B458" s="1" t="n">
        <v>45125</v>
      </c>
      <c r="C458" s="1" t="n">
        <v>46060</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10277-2023</t>
        </is>
      </c>
      <c r="B459" s="1" t="n">
        <v>44986</v>
      </c>
      <c r="C459" s="1" t="n">
        <v>46060</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10290-2023</t>
        </is>
      </c>
      <c r="B460" s="1" t="n">
        <v>44986</v>
      </c>
      <c r="C460" s="1" t="n">
        <v>46060</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45273-2025</t>
        </is>
      </c>
      <c r="B461" s="1" t="n">
        <v>45919.70486111111</v>
      </c>
      <c r="C461" s="1" t="n">
        <v>46060</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45084-2025</t>
        </is>
      </c>
      <c r="B462" s="1" t="n">
        <v>45918</v>
      </c>
      <c r="C462" s="1" t="n">
        <v>46060</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45496-2025</t>
        </is>
      </c>
      <c r="B463" s="1" t="n">
        <v>45922</v>
      </c>
      <c r="C463" s="1" t="n">
        <v>46060</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35237-2023</t>
        </is>
      </c>
      <c r="B464" s="1" t="n">
        <v>45145.74532407407</v>
      </c>
      <c r="C464" s="1" t="n">
        <v>46060</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46060</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45314-2025</t>
        </is>
      </c>
      <c r="B466" s="1" t="n">
        <v>45921.81738425926</v>
      </c>
      <c r="C466" s="1" t="n">
        <v>46060</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45763-2025</t>
        </is>
      </c>
      <c r="B467" s="1" t="n">
        <v>45923.51778935185</v>
      </c>
      <c r="C467" s="1" t="n">
        <v>46060</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45764-2025</t>
        </is>
      </c>
      <c r="B468" s="1" t="n">
        <v>45923.52037037037</v>
      </c>
      <c r="C468" s="1" t="n">
        <v>46060</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31159-2025</t>
        </is>
      </c>
      <c r="B469" s="1" t="n">
        <v>45832.65322916667</v>
      </c>
      <c r="C469" s="1" t="n">
        <v>46060</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45443-2025</t>
        </is>
      </c>
      <c r="B470" s="1" t="n">
        <v>45920</v>
      </c>
      <c r="C470" s="1" t="n">
        <v>46060</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45458-2025</t>
        </is>
      </c>
      <c r="B471" s="1" t="n">
        <v>45920</v>
      </c>
      <c r="C471" s="1" t="n">
        <v>46060</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45465-2025</t>
        </is>
      </c>
      <c r="B472" s="1" t="n">
        <v>45920</v>
      </c>
      <c r="C472" s="1" t="n">
        <v>46060</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46060</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45683-2025</t>
        </is>
      </c>
      <c r="B474" s="1" t="n">
        <v>45923.37590277778</v>
      </c>
      <c r="C474" s="1" t="n">
        <v>46060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45516-2025</t>
        </is>
      </c>
      <c r="B475" s="1" t="n">
        <v>45922</v>
      </c>
      <c r="C475" s="1" t="n">
        <v>46060</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45514-2025</t>
        </is>
      </c>
      <c r="B476" s="1" t="n">
        <v>45922</v>
      </c>
      <c r="C476" s="1" t="n">
        <v>46060</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11121-2023</t>
        </is>
      </c>
      <c r="B477" s="1" t="n">
        <v>44986</v>
      </c>
      <c r="C477" s="1" t="n">
        <v>46060</v>
      </c>
      <c r="D477" t="inlineStr">
        <is>
          <t>SKÅNE LÄN</t>
        </is>
      </c>
      <c r="E477" t="inlineStr">
        <is>
          <t>HÄSSLEHOLM</t>
        </is>
      </c>
      <c r="F477" t="inlineStr">
        <is>
          <t>Kommuner</t>
        </is>
      </c>
      <c r="G477" t="n">
        <v>5.8</v>
      </c>
      <c r="H477" t="n">
        <v>0</v>
      </c>
      <c r="I477" t="n">
        <v>0</v>
      </c>
      <c r="J477" t="n">
        <v>0</v>
      </c>
      <c r="K477" t="n">
        <v>0</v>
      </c>
      <c r="L477" t="n">
        <v>0</v>
      </c>
      <c r="M477" t="n">
        <v>0</v>
      </c>
      <c r="N477" t="n">
        <v>0</v>
      </c>
      <c r="O477" t="n">
        <v>0</v>
      </c>
      <c r="P477" t="n">
        <v>0</v>
      </c>
      <c r="Q477" t="n">
        <v>0</v>
      </c>
      <c r="R477" s="2" t="inlineStr"/>
    </row>
    <row r="478" ht="15" customHeight="1">
      <c r="A478" t="inlineStr">
        <is>
          <t>A 11116-2023</t>
        </is>
      </c>
      <c r="B478" s="1" t="n">
        <v>44986</v>
      </c>
      <c r="C478" s="1" t="n">
        <v>46060</v>
      </c>
      <c r="D478" t="inlineStr">
        <is>
          <t>SKÅNE LÄN</t>
        </is>
      </c>
      <c r="E478" t="inlineStr">
        <is>
          <t>HÄSSLEHOLM</t>
        </is>
      </c>
      <c r="F478" t="inlineStr">
        <is>
          <t>Kommuner</t>
        </is>
      </c>
      <c r="G478" t="n">
        <v>15.1</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46060</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57967-2023</t>
        </is>
      </c>
      <c r="B480" s="1" t="n">
        <v>45247.57984953704</v>
      </c>
      <c r="C480" s="1" t="n">
        <v>46060</v>
      </c>
      <c r="D480" t="inlineStr">
        <is>
          <t>SKÅNE LÄN</t>
        </is>
      </c>
      <c r="E480" t="inlineStr">
        <is>
          <t>HÄSSLEHOLM</t>
        </is>
      </c>
      <c r="G480" t="n">
        <v>8.6</v>
      </c>
      <c r="H480" t="n">
        <v>0</v>
      </c>
      <c r="I480" t="n">
        <v>0</v>
      </c>
      <c r="J480" t="n">
        <v>0</v>
      </c>
      <c r="K480" t="n">
        <v>0</v>
      </c>
      <c r="L480" t="n">
        <v>0</v>
      </c>
      <c r="M480" t="n">
        <v>0</v>
      </c>
      <c r="N480" t="n">
        <v>0</v>
      </c>
      <c r="O480" t="n">
        <v>0</v>
      </c>
      <c r="P480" t="n">
        <v>0</v>
      </c>
      <c r="Q480" t="n">
        <v>0</v>
      </c>
      <c r="R480" s="2" t="inlineStr"/>
    </row>
    <row r="481" ht="15" customHeight="1">
      <c r="A481" t="inlineStr">
        <is>
          <t>A 62041-2022</t>
        </is>
      </c>
      <c r="B481" s="1" t="n">
        <v>44918.55743055556</v>
      </c>
      <c r="C481" s="1" t="n">
        <v>46060</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12468-2024</t>
        </is>
      </c>
      <c r="B482" s="1" t="n">
        <v>45379</v>
      </c>
      <c r="C482" s="1" t="n">
        <v>46060</v>
      </c>
      <c r="D482" t="inlineStr">
        <is>
          <t>SKÅNE LÄN</t>
        </is>
      </c>
      <c r="E482" t="inlineStr">
        <is>
          <t>HÄSSLEHOLM</t>
        </is>
      </c>
      <c r="G482" t="n">
        <v>15.5</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46060</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1553-2023</t>
        </is>
      </c>
      <c r="B484" s="1" t="n">
        <v>44937</v>
      </c>
      <c r="C484" s="1" t="n">
        <v>46060</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22690-2022</t>
        </is>
      </c>
      <c r="B485" s="1" t="n">
        <v>44714.5421875</v>
      </c>
      <c r="C485" s="1" t="n">
        <v>46060</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53897-2023</t>
        </is>
      </c>
      <c r="B486" s="1" t="n">
        <v>45231.53934027778</v>
      </c>
      <c r="C486" s="1" t="n">
        <v>46060</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1170-2025</t>
        </is>
      </c>
      <c r="B487" s="1" t="n">
        <v>45667.29226851852</v>
      </c>
      <c r="C487" s="1" t="n">
        <v>46060</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46060</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22132-2024</t>
        </is>
      </c>
      <c r="B489" s="1" t="n">
        <v>45444.37234953704</v>
      </c>
      <c r="C489" s="1" t="n">
        <v>46060</v>
      </c>
      <c r="D489" t="inlineStr">
        <is>
          <t>SKÅNE LÄN</t>
        </is>
      </c>
      <c r="E489" t="inlineStr">
        <is>
          <t>HÄSSLEHOLM</t>
        </is>
      </c>
      <c r="G489" t="n">
        <v>3.1</v>
      </c>
      <c r="H489" t="n">
        <v>0</v>
      </c>
      <c r="I489" t="n">
        <v>0</v>
      </c>
      <c r="J489" t="n">
        <v>0</v>
      </c>
      <c r="K489" t="n">
        <v>0</v>
      </c>
      <c r="L489" t="n">
        <v>0</v>
      </c>
      <c r="M489" t="n">
        <v>0</v>
      </c>
      <c r="N489" t="n">
        <v>0</v>
      </c>
      <c r="O489" t="n">
        <v>0</v>
      </c>
      <c r="P489" t="n">
        <v>0</v>
      </c>
      <c r="Q489" t="n">
        <v>0</v>
      </c>
      <c r="R489" s="2" t="inlineStr"/>
    </row>
    <row r="490" ht="15" customHeight="1">
      <c r="A490" t="inlineStr">
        <is>
          <t>A 32210-2024</t>
        </is>
      </c>
      <c r="B490" s="1" t="n">
        <v>45511.67777777778</v>
      </c>
      <c r="C490" s="1" t="n">
        <v>46060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46786-2025</t>
        </is>
      </c>
      <c r="B491" s="1" t="n">
        <v>45926.64484953704</v>
      </c>
      <c r="C491" s="1" t="n">
        <v>46060</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2743-2023</t>
        </is>
      </c>
      <c r="B492" s="1" t="n">
        <v>44944</v>
      </c>
      <c r="C492" s="1" t="n">
        <v>46060</v>
      </c>
      <c r="D492" t="inlineStr">
        <is>
          <t>SKÅNE LÄN</t>
        </is>
      </c>
      <c r="E492" t="inlineStr">
        <is>
          <t>HÄSSLEHOLM</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8749-2024</t>
        </is>
      </c>
      <c r="B493" s="1" t="n">
        <v>45356.50387731481</v>
      </c>
      <c r="C493" s="1" t="n">
        <v>46060</v>
      </c>
      <c r="D493" t="inlineStr">
        <is>
          <t>SKÅNE LÄN</t>
        </is>
      </c>
      <c r="E493" t="inlineStr">
        <is>
          <t>HÄSSLEHOLM</t>
        </is>
      </c>
      <c r="G493" t="n">
        <v>2.9</v>
      </c>
      <c r="H493" t="n">
        <v>0</v>
      </c>
      <c r="I493" t="n">
        <v>0</v>
      </c>
      <c r="J493" t="n">
        <v>0</v>
      </c>
      <c r="K493" t="n">
        <v>0</v>
      </c>
      <c r="L493" t="n">
        <v>0</v>
      </c>
      <c r="M493" t="n">
        <v>0</v>
      </c>
      <c r="N493" t="n">
        <v>0</v>
      </c>
      <c r="O493" t="n">
        <v>0</v>
      </c>
      <c r="P493" t="n">
        <v>0</v>
      </c>
      <c r="Q493" t="n">
        <v>0</v>
      </c>
      <c r="R493" s="2" t="inlineStr"/>
    </row>
    <row r="494" ht="15" customHeight="1">
      <c r="A494" t="inlineStr">
        <is>
          <t>A 8752-2024</t>
        </is>
      </c>
      <c r="B494" s="1" t="n">
        <v>45356</v>
      </c>
      <c r="C494" s="1" t="n">
        <v>46060</v>
      </c>
      <c r="D494" t="inlineStr">
        <is>
          <t>SKÅNE LÄN</t>
        </is>
      </c>
      <c r="E494" t="inlineStr">
        <is>
          <t>HÄSSLEHOLM</t>
        </is>
      </c>
      <c r="G494" t="n">
        <v>3.4</v>
      </c>
      <c r="H494" t="n">
        <v>0</v>
      </c>
      <c r="I494" t="n">
        <v>0</v>
      </c>
      <c r="J494" t="n">
        <v>0</v>
      </c>
      <c r="K494" t="n">
        <v>0</v>
      </c>
      <c r="L494" t="n">
        <v>0</v>
      </c>
      <c r="M494" t="n">
        <v>0</v>
      </c>
      <c r="N494" t="n">
        <v>0</v>
      </c>
      <c r="O494" t="n">
        <v>0</v>
      </c>
      <c r="P494" t="n">
        <v>0</v>
      </c>
      <c r="Q494" t="n">
        <v>0</v>
      </c>
      <c r="R494" s="2" t="inlineStr"/>
    </row>
    <row r="495" ht="15" customHeight="1">
      <c r="A495" t="inlineStr">
        <is>
          <t>A 8759-2024</t>
        </is>
      </c>
      <c r="B495" s="1" t="n">
        <v>45356.52271990741</v>
      </c>
      <c r="C495" s="1" t="n">
        <v>46060</v>
      </c>
      <c r="D495" t="inlineStr">
        <is>
          <t>SKÅNE LÄN</t>
        </is>
      </c>
      <c r="E495" t="inlineStr">
        <is>
          <t>HÄSSLEHOLM</t>
        </is>
      </c>
      <c r="G495" t="n">
        <v>5.7</v>
      </c>
      <c r="H495" t="n">
        <v>0</v>
      </c>
      <c r="I495" t="n">
        <v>0</v>
      </c>
      <c r="J495" t="n">
        <v>0</v>
      </c>
      <c r="K495" t="n">
        <v>0</v>
      </c>
      <c r="L495" t="n">
        <v>0</v>
      </c>
      <c r="M495" t="n">
        <v>0</v>
      </c>
      <c r="N495" t="n">
        <v>0</v>
      </c>
      <c r="O495" t="n">
        <v>0</v>
      </c>
      <c r="P495" t="n">
        <v>0</v>
      </c>
      <c r="Q495" t="n">
        <v>0</v>
      </c>
      <c r="R495" s="2" t="inlineStr"/>
    </row>
    <row r="496" ht="15" customHeight="1">
      <c r="A496" t="inlineStr">
        <is>
          <t>A 47126-2025</t>
        </is>
      </c>
      <c r="B496" s="1" t="n">
        <v>45929.685625</v>
      </c>
      <c r="C496" s="1" t="n">
        <v>46060</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47127-2025</t>
        </is>
      </c>
      <c r="B497" s="1" t="n">
        <v>45929.6893287037</v>
      </c>
      <c r="C497" s="1" t="n">
        <v>46060</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48624-2021</t>
        </is>
      </c>
      <c r="B498" s="1" t="n">
        <v>44452</v>
      </c>
      <c r="C498" s="1" t="n">
        <v>46060</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59434-2023</t>
        </is>
      </c>
      <c r="B499" s="1" t="n">
        <v>45254.30440972222</v>
      </c>
      <c r="C499" s="1" t="n">
        <v>46060</v>
      </c>
      <c r="D499" t="inlineStr">
        <is>
          <t>SKÅNE LÄN</t>
        </is>
      </c>
      <c r="E499" t="inlineStr">
        <is>
          <t>HÄSSLEHOLM</t>
        </is>
      </c>
      <c r="G499" t="n">
        <v>3.6</v>
      </c>
      <c r="H499" t="n">
        <v>0</v>
      </c>
      <c r="I499" t="n">
        <v>0</v>
      </c>
      <c r="J499" t="n">
        <v>0</v>
      </c>
      <c r="K499" t="n">
        <v>0</v>
      </c>
      <c r="L499" t="n">
        <v>0</v>
      </c>
      <c r="M499" t="n">
        <v>0</v>
      </c>
      <c r="N499" t="n">
        <v>0</v>
      </c>
      <c r="O499" t="n">
        <v>0</v>
      </c>
      <c r="P499" t="n">
        <v>0</v>
      </c>
      <c r="Q499" t="n">
        <v>0</v>
      </c>
      <c r="R499" s="2" t="inlineStr"/>
    </row>
    <row r="500" ht="15" customHeight="1">
      <c r="A500" t="inlineStr">
        <is>
          <t>A 46761-2025</t>
        </is>
      </c>
      <c r="B500" s="1" t="n">
        <v>45926.62289351852</v>
      </c>
      <c r="C500" s="1" t="n">
        <v>46060</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2290-2024</t>
        </is>
      </c>
      <c r="B501" s="1" t="n">
        <v>45310</v>
      </c>
      <c r="C501" s="1" t="n">
        <v>46060</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46855-2025</t>
        </is>
      </c>
      <c r="B502" s="1" t="n">
        <v>45928.88497685185</v>
      </c>
      <c r="C502" s="1" t="n">
        <v>46060</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46605-2025</t>
        </is>
      </c>
      <c r="B503" s="1" t="n">
        <v>45926.41214120371</v>
      </c>
      <c r="C503" s="1" t="n">
        <v>46060</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33067-2024</t>
        </is>
      </c>
      <c r="B504" s="1" t="n">
        <v>45517.6520949074</v>
      </c>
      <c r="C504" s="1" t="n">
        <v>46060</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28236-2022</t>
        </is>
      </c>
      <c r="B505" s="1" t="n">
        <v>44746</v>
      </c>
      <c r="C505" s="1" t="n">
        <v>46060</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61625-2022</t>
        </is>
      </c>
      <c r="B506" s="1" t="n">
        <v>44916</v>
      </c>
      <c r="C506" s="1" t="n">
        <v>46060</v>
      </c>
      <c r="D506" t="inlineStr">
        <is>
          <t>SKÅNE LÄN</t>
        </is>
      </c>
      <c r="E506" t="inlineStr">
        <is>
          <t>HÄSSLEHOLM</t>
        </is>
      </c>
      <c r="G506" t="n">
        <v>2.4</v>
      </c>
      <c r="H506" t="n">
        <v>0</v>
      </c>
      <c r="I506" t="n">
        <v>0</v>
      </c>
      <c r="J506" t="n">
        <v>0</v>
      </c>
      <c r="K506" t="n">
        <v>0</v>
      </c>
      <c r="L506" t="n">
        <v>0</v>
      </c>
      <c r="M506" t="n">
        <v>0</v>
      </c>
      <c r="N506" t="n">
        <v>0</v>
      </c>
      <c r="O506" t="n">
        <v>0</v>
      </c>
      <c r="P506" t="n">
        <v>0</v>
      </c>
      <c r="Q506" t="n">
        <v>0</v>
      </c>
      <c r="R506" s="2" t="inlineStr"/>
    </row>
    <row r="507" ht="15" customHeight="1">
      <c r="A507" t="inlineStr">
        <is>
          <t>A 38829-2024</t>
        </is>
      </c>
      <c r="B507" s="1" t="n">
        <v>45547.57247685185</v>
      </c>
      <c r="C507" s="1" t="n">
        <v>46060</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46060</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13890-2024</t>
        </is>
      </c>
      <c r="B509" s="1" t="n">
        <v>45391</v>
      </c>
      <c r="C509" s="1" t="n">
        <v>46060</v>
      </c>
      <c r="D509" t="inlineStr">
        <is>
          <t>SKÅNE LÄN</t>
        </is>
      </c>
      <c r="E509" t="inlineStr">
        <is>
          <t>HÄSSLEHOLM</t>
        </is>
      </c>
      <c r="F509" t="inlineStr">
        <is>
          <t>Kommuner</t>
        </is>
      </c>
      <c r="G509" t="n">
        <v>1.4</v>
      </c>
      <c r="H509" t="n">
        <v>0</v>
      </c>
      <c r="I509" t="n">
        <v>0</v>
      </c>
      <c r="J509" t="n">
        <v>0</v>
      </c>
      <c r="K509" t="n">
        <v>0</v>
      </c>
      <c r="L509" t="n">
        <v>0</v>
      </c>
      <c r="M509" t="n">
        <v>0</v>
      </c>
      <c r="N509" t="n">
        <v>0</v>
      </c>
      <c r="O509" t="n">
        <v>0</v>
      </c>
      <c r="P509" t="n">
        <v>0</v>
      </c>
      <c r="Q509" t="n">
        <v>0</v>
      </c>
      <c r="R509" s="2" t="inlineStr"/>
    </row>
    <row r="510" ht="15" customHeight="1">
      <c r="A510" t="inlineStr">
        <is>
          <t>A 55218-2023</t>
        </is>
      </c>
      <c r="B510" s="1" t="n">
        <v>45237</v>
      </c>
      <c r="C510" s="1" t="n">
        <v>46060</v>
      </c>
      <c r="D510" t="inlineStr">
        <is>
          <t>SKÅNE LÄN</t>
        </is>
      </c>
      <c r="E510" t="inlineStr">
        <is>
          <t>HÄSSLEHOLM</t>
        </is>
      </c>
      <c r="G510" t="n">
        <v>2</v>
      </c>
      <c r="H510" t="n">
        <v>0</v>
      </c>
      <c r="I510" t="n">
        <v>0</v>
      </c>
      <c r="J510" t="n">
        <v>0</v>
      </c>
      <c r="K510" t="n">
        <v>0</v>
      </c>
      <c r="L510" t="n">
        <v>0</v>
      </c>
      <c r="M510" t="n">
        <v>0</v>
      </c>
      <c r="N510" t="n">
        <v>0</v>
      </c>
      <c r="O510" t="n">
        <v>0</v>
      </c>
      <c r="P510" t="n">
        <v>0</v>
      </c>
      <c r="Q510" t="n">
        <v>0</v>
      </c>
      <c r="R510" s="2" t="inlineStr"/>
    </row>
    <row r="511" ht="15" customHeight="1">
      <c r="A511" t="inlineStr">
        <is>
          <t>A 47259-2025</t>
        </is>
      </c>
      <c r="B511" s="1" t="n">
        <v>45930</v>
      </c>
      <c r="C511" s="1" t="n">
        <v>46060</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47473-2025</t>
        </is>
      </c>
      <c r="B512" s="1" t="n">
        <v>45930.67763888889</v>
      </c>
      <c r="C512" s="1" t="n">
        <v>46060</v>
      </c>
      <c r="D512" t="inlineStr">
        <is>
          <t>SKÅNE LÄN</t>
        </is>
      </c>
      <c r="E512" t="inlineStr">
        <is>
          <t>HÄSSLEHOLM</t>
        </is>
      </c>
      <c r="G512" t="n">
        <v>4.7</v>
      </c>
      <c r="H512" t="n">
        <v>0</v>
      </c>
      <c r="I512" t="n">
        <v>0</v>
      </c>
      <c r="J512" t="n">
        <v>0</v>
      </c>
      <c r="K512" t="n">
        <v>0</v>
      </c>
      <c r="L512" t="n">
        <v>0</v>
      </c>
      <c r="M512" t="n">
        <v>0</v>
      </c>
      <c r="N512" t="n">
        <v>0</v>
      </c>
      <c r="O512" t="n">
        <v>0</v>
      </c>
      <c r="P512" t="n">
        <v>0</v>
      </c>
      <c r="Q512" t="n">
        <v>0</v>
      </c>
      <c r="R512" s="2" t="inlineStr"/>
    </row>
    <row r="513" ht="15" customHeight="1">
      <c r="A513" t="inlineStr">
        <is>
          <t>A 29649-2025</t>
        </is>
      </c>
      <c r="B513" s="1" t="n">
        <v>45825.47446759259</v>
      </c>
      <c r="C513" s="1" t="n">
        <v>46060</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46288-2023</t>
        </is>
      </c>
      <c r="B514" s="1" t="n">
        <v>45197.30221064815</v>
      </c>
      <c r="C514" s="1" t="n">
        <v>46060</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47466-2025</t>
        </is>
      </c>
      <c r="B515" s="1" t="n">
        <v>45930.66677083333</v>
      </c>
      <c r="C515" s="1" t="n">
        <v>46060</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49106-2023</t>
        </is>
      </c>
      <c r="B516" s="1" t="n">
        <v>45210</v>
      </c>
      <c r="C516" s="1" t="n">
        <v>46060</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10409-2024</t>
        </is>
      </c>
      <c r="B517" s="1" t="n">
        <v>45365.6978125</v>
      </c>
      <c r="C517" s="1" t="n">
        <v>46060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47248-2023</t>
        </is>
      </c>
      <c r="B518" s="1" t="n">
        <v>45202</v>
      </c>
      <c r="C518" s="1" t="n">
        <v>46060</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48184-2025</t>
        </is>
      </c>
      <c r="B519" s="1" t="n">
        <v>45933.46131944445</v>
      </c>
      <c r="C519" s="1" t="n">
        <v>46060</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48185-2025</t>
        </is>
      </c>
      <c r="B520" s="1" t="n">
        <v>45933.46434027778</v>
      </c>
      <c r="C520" s="1" t="n">
        <v>46060</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20990-2023</t>
        </is>
      </c>
      <c r="B521" s="1" t="n">
        <v>45061.46186342592</v>
      </c>
      <c r="C521" s="1" t="n">
        <v>46060</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32585-2025</t>
        </is>
      </c>
      <c r="B522" s="1" t="n">
        <v>45838.60021990741</v>
      </c>
      <c r="C522" s="1" t="n">
        <v>46060</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32592-2025</t>
        </is>
      </c>
      <c r="B523" s="1" t="n">
        <v>45838.61020833333</v>
      </c>
      <c r="C523" s="1" t="n">
        <v>46060</v>
      </c>
      <c r="D523" t="inlineStr">
        <is>
          <t>SKÅNE LÄN</t>
        </is>
      </c>
      <c r="E523" t="inlineStr">
        <is>
          <t>HÄSSLEHOLM</t>
        </is>
      </c>
      <c r="G523" t="n">
        <v>2.1</v>
      </c>
      <c r="H523" t="n">
        <v>0</v>
      </c>
      <c r="I523" t="n">
        <v>0</v>
      </c>
      <c r="J523" t="n">
        <v>0</v>
      </c>
      <c r="K523" t="n">
        <v>0</v>
      </c>
      <c r="L523" t="n">
        <v>0</v>
      </c>
      <c r="M523" t="n">
        <v>0</v>
      </c>
      <c r="N523" t="n">
        <v>0</v>
      </c>
      <c r="O523" t="n">
        <v>0</v>
      </c>
      <c r="P523" t="n">
        <v>0</v>
      </c>
      <c r="Q523" t="n">
        <v>0</v>
      </c>
      <c r="R523" s="2" t="inlineStr"/>
    </row>
    <row r="524" ht="15" customHeight="1">
      <c r="A524" t="inlineStr">
        <is>
          <t>A 54171-2022</t>
        </is>
      </c>
      <c r="B524" s="1" t="n">
        <v>44881</v>
      </c>
      <c r="C524" s="1" t="n">
        <v>46060</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57277-2023</t>
        </is>
      </c>
      <c r="B525" s="1" t="n">
        <v>45245.59104166667</v>
      </c>
      <c r="C525" s="1" t="n">
        <v>46060</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46060</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33562-2025</t>
        </is>
      </c>
      <c r="B527" s="1" t="n">
        <v>45841.57803240741</v>
      </c>
      <c r="C527" s="1" t="n">
        <v>46060</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35150-2023</t>
        </is>
      </c>
      <c r="B528" s="1" t="n">
        <v>45145</v>
      </c>
      <c r="C528" s="1" t="n">
        <v>46060</v>
      </c>
      <c r="D528" t="inlineStr">
        <is>
          <t>SKÅNE LÄN</t>
        </is>
      </c>
      <c r="E528" t="inlineStr">
        <is>
          <t>HÄSSLEHOLM</t>
        </is>
      </c>
      <c r="G528" t="n">
        <v>4.9</v>
      </c>
      <c r="H528" t="n">
        <v>0</v>
      </c>
      <c r="I528" t="n">
        <v>0</v>
      </c>
      <c r="J528" t="n">
        <v>0</v>
      </c>
      <c r="K528" t="n">
        <v>0</v>
      </c>
      <c r="L528" t="n">
        <v>0</v>
      </c>
      <c r="M528" t="n">
        <v>0</v>
      </c>
      <c r="N528" t="n">
        <v>0</v>
      </c>
      <c r="O528" t="n">
        <v>0</v>
      </c>
      <c r="P528" t="n">
        <v>0</v>
      </c>
      <c r="Q528" t="n">
        <v>0</v>
      </c>
      <c r="R528" s="2" t="inlineStr"/>
    </row>
    <row r="529" ht="15" customHeight="1">
      <c r="A529" t="inlineStr">
        <is>
          <t>A 49135-2025</t>
        </is>
      </c>
      <c r="B529" s="1" t="n">
        <v>45938.00990740741</v>
      </c>
      <c r="C529" s="1" t="n">
        <v>46060</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49136-2025</t>
        </is>
      </c>
      <c r="B530" s="1" t="n">
        <v>45938.01277777777</v>
      </c>
      <c r="C530" s="1" t="n">
        <v>46060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49137-2025</t>
        </is>
      </c>
      <c r="B531" s="1" t="n">
        <v>45938.05672453704</v>
      </c>
      <c r="C531" s="1" t="n">
        <v>46060</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18041-2023</t>
        </is>
      </c>
      <c r="B532" s="1" t="n">
        <v>45040</v>
      </c>
      <c r="C532" s="1" t="n">
        <v>46060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49250-2022</t>
        </is>
      </c>
      <c r="B533" s="1" t="n">
        <v>44858</v>
      </c>
      <c r="C533" s="1" t="n">
        <v>46060</v>
      </c>
      <c r="D533" t="inlineStr">
        <is>
          <t>SKÅNE LÄN</t>
        </is>
      </c>
      <c r="E533" t="inlineStr">
        <is>
          <t>HÄSSLEHOLM</t>
        </is>
      </c>
      <c r="F533" t="inlineStr">
        <is>
          <t>Kyrkan</t>
        </is>
      </c>
      <c r="G533" t="n">
        <v>1.5</v>
      </c>
      <c r="H533" t="n">
        <v>0</v>
      </c>
      <c r="I533" t="n">
        <v>0</v>
      </c>
      <c r="J533" t="n">
        <v>0</v>
      </c>
      <c r="K533" t="n">
        <v>0</v>
      </c>
      <c r="L533" t="n">
        <v>0</v>
      </c>
      <c r="M533" t="n">
        <v>0</v>
      </c>
      <c r="N533" t="n">
        <v>0</v>
      </c>
      <c r="O533" t="n">
        <v>0</v>
      </c>
      <c r="P533" t="n">
        <v>0</v>
      </c>
      <c r="Q533" t="n">
        <v>0</v>
      </c>
      <c r="R533" s="2" t="inlineStr"/>
    </row>
    <row r="534" ht="15" customHeight="1">
      <c r="A534" t="inlineStr">
        <is>
          <t>A 27197-2021</t>
        </is>
      </c>
      <c r="B534" s="1" t="n">
        <v>44350</v>
      </c>
      <c r="C534" s="1" t="n">
        <v>46060</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45222-2023</t>
        </is>
      </c>
      <c r="B535" s="1" t="n">
        <v>45191</v>
      </c>
      <c r="C535" s="1" t="n">
        <v>46060</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46060</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46060</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61569-2023</t>
        </is>
      </c>
      <c r="B538" s="1" t="n">
        <v>45265</v>
      </c>
      <c r="C538" s="1" t="n">
        <v>46060</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52235-2021</t>
        </is>
      </c>
      <c r="B539" s="1" t="n">
        <v>44463.60085648148</v>
      </c>
      <c r="C539" s="1" t="n">
        <v>46060</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33875-2025</t>
        </is>
      </c>
      <c r="B540" s="1" t="n">
        <v>45842.55300925926</v>
      </c>
      <c r="C540" s="1" t="n">
        <v>46060</v>
      </c>
      <c r="D540" t="inlineStr">
        <is>
          <t>SKÅNE LÄN</t>
        </is>
      </c>
      <c r="E540" t="inlineStr">
        <is>
          <t>HÄSSLEHOLM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54471-2023</t>
        </is>
      </c>
      <c r="B541" s="1" t="n">
        <v>45233.4640162037</v>
      </c>
      <c r="C541" s="1" t="n">
        <v>46060</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33877-2025</t>
        </is>
      </c>
      <c r="B542" s="1" t="n">
        <v>45842.55564814815</v>
      </c>
      <c r="C542" s="1" t="n">
        <v>46060</v>
      </c>
      <c r="D542" t="inlineStr">
        <is>
          <t>SKÅNE LÄN</t>
        </is>
      </c>
      <c r="E542" t="inlineStr">
        <is>
          <t>HÄSSLEHOLM</t>
        </is>
      </c>
      <c r="G542" t="n">
        <v>3.9</v>
      </c>
      <c r="H542" t="n">
        <v>0</v>
      </c>
      <c r="I542" t="n">
        <v>0</v>
      </c>
      <c r="J542" t="n">
        <v>0</v>
      </c>
      <c r="K542" t="n">
        <v>0</v>
      </c>
      <c r="L542" t="n">
        <v>0</v>
      </c>
      <c r="M542" t="n">
        <v>0</v>
      </c>
      <c r="N542" t="n">
        <v>0</v>
      </c>
      <c r="O542" t="n">
        <v>0</v>
      </c>
      <c r="P542" t="n">
        <v>0</v>
      </c>
      <c r="Q542" t="n">
        <v>0</v>
      </c>
      <c r="R542" s="2" t="inlineStr"/>
    </row>
    <row r="543" ht="15" customHeight="1">
      <c r="A543" t="inlineStr">
        <is>
          <t>A 33879-2025</t>
        </is>
      </c>
      <c r="B543" s="1" t="n">
        <v>45842.55766203703</v>
      </c>
      <c r="C543" s="1" t="n">
        <v>46060</v>
      </c>
      <c r="D543" t="inlineStr">
        <is>
          <t>SKÅNE LÄN</t>
        </is>
      </c>
      <c r="E543" t="inlineStr">
        <is>
          <t>HÄSSLEHOLM</t>
        </is>
      </c>
      <c r="G543" t="n">
        <v>6.1</v>
      </c>
      <c r="H543" t="n">
        <v>0</v>
      </c>
      <c r="I543" t="n">
        <v>0</v>
      </c>
      <c r="J543" t="n">
        <v>0</v>
      </c>
      <c r="K543" t="n">
        <v>0</v>
      </c>
      <c r="L543" t="n">
        <v>0</v>
      </c>
      <c r="M543" t="n">
        <v>0</v>
      </c>
      <c r="N543" t="n">
        <v>0</v>
      </c>
      <c r="O543" t="n">
        <v>0</v>
      </c>
      <c r="P543" t="n">
        <v>0</v>
      </c>
      <c r="Q543" t="n">
        <v>0</v>
      </c>
      <c r="R543" s="2" t="inlineStr"/>
    </row>
    <row r="544" ht="15" customHeight="1">
      <c r="A544" t="inlineStr">
        <is>
          <t>A 49845-2025</t>
        </is>
      </c>
      <c r="B544" s="1" t="n">
        <v>45940.48015046296</v>
      </c>
      <c r="C544" s="1" t="n">
        <v>46060</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33948-2025</t>
        </is>
      </c>
      <c r="B545" s="1" t="n">
        <v>45842.65945601852</v>
      </c>
      <c r="C545" s="1" t="n">
        <v>46060</v>
      </c>
      <c r="D545" t="inlineStr">
        <is>
          <t>SKÅNE LÄN</t>
        </is>
      </c>
      <c r="E545" t="inlineStr">
        <is>
          <t>HÄSSLEHOLM</t>
        </is>
      </c>
      <c r="G545" t="n">
        <v>8.5</v>
      </c>
      <c r="H545" t="n">
        <v>0</v>
      </c>
      <c r="I545" t="n">
        <v>0</v>
      </c>
      <c r="J545" t="n">
        <v>0</v>
      </c>
      <c r="K545" t="n">
        <v>0</v>
      </c>
      <c r="L545" t="n">
        <v>0</v>
      </c>
      <c r="M545" t="n">
        <v>0</v>
      </c>
      <c r="N545" t="n">
        <v>0</v>
      </c>
      <c r="O545" t="n">
        <v>0</v>
      </c>
      <c r="P545" t="n">
        <v>0</v>
      </c>
      <c r="Q545" t="n">
        <v>0</v>
      </c>
      <c r="R545" s="2" t="inlineStr"/>
    </row>
    <row r="546" ht="15" customHeight="1">
      <c r="A546" t="inlineStr">
        <is>
          <t>A 50607-2023</t>
        </is>
      </c>
      <c r="B546" s="1" t="n">
        <v>45210</v>
      </c>
      <c r="C546" s="1" t="n">
        <v>46060</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38148-2022</t>
        </is>
      </c>
      <c r="B547" s="1" t="n">
        <v>44811</v>
      </c>
      <c r="C547" s="1" t="n">
        <v>46060</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22678-2025</t>
        </is>
      </c>
      <c r="B548" s="1" t="n">
        <v>45789.49725694444</v>
      </c>
      <c r="C548" s="1" t="n">
        <v>46060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31944-2023</t>
        </is>
      </c>
      <c r="B549" s="1" t="n">
        <v>45119.34895833334</v>
      </c>
      <c r="C549" s="1" t="n">
        <v>46060</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1706-2025</t>
        </is>
      </c>
      <c r="B550" s="1" t="n">
        <v>45670</v>
      </c>
      <c r="C550" s="1" t="n">
        <v>46060</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32958-2023</t>
        </is>
      </c>
      <c r="B551" s="1" t="n">
        <v>45125.52142361111</v>
      </c>
      <c r="C551" s="1" t="n">
        <v>46060</v>
      </c>
      <c r="D551" t="inlineStr">
        <is>
          <t>SKÅNE LÄN</t>
        </is>
      </c>
      <c r="E551" t="inlineStr">
        <is>
          <t>HÄSSLEHOLM</t>
        </is>
      </c>
      <c r="G551" t="n">
        <v>7.9</v>
      </c>
      <c r="H551" t="n">
        <v>0</v>
      </c>
      <c r="I551" t="n">
        <v>0</v>
      </c>
      <c r="J551" t="n">
        <v>0</v>
      </c>
      <c r="K551" t="n">
        <v>0</v>
      </c>
      <c r="L551" t="n">
        <v>0</v>
      </c>
      <c r="M551" t="n">
        <v>0</v>
      </c>
      <c r="N551" t="n">
        <v>0</v>
      </c>
      <c r="O551" t="n">
        <v>0</v>
      </c>
      <c r="P551" t="n">
        <v>0</v>
      </c>
      <c r="Q551" t="n">
        <v>0</v>
      </c>
      <c r="R551" s="2" t="inlineStr"/>
    </row>
    <row r="552" ht="15" customHeight="1">
      <c r="A552" t="inlineStr">
        <is>
          <t>A 34174-2025</t>
        </is>
      </c>
      <c r="B552" s="1" t="n">
        <v>45844</v>
      </c>
      <c r="C552" s="1" t="n">
        <v>46060</v>
      </c>
      <c r="D552" t="inlineStr">
        <is>
          <t>SKÅNE LÄN</t>
        </is>
      </c>
      <c r="E552" t="inlineStr">
        <is>
          <t>HÄSSLEHOLM</t>
        </is>
      </c>
      <c r="G552" t="n">
        <v>4.7</v>
      </c>
      <c r="H552" t="n">
        <v>0</v>
      </c>
      <c r="I552" t="n">
        <v>0</v>
      </c>
      <c r="J552" t="n">
        <v>0</v>
      </c>
      <c r="K552" t="n">
        <v>0</v>
      </c>
      <c r="L552" t="n">
        <v>0</v>
      </c>
      <c r="M552" t="n">
        <v>0</v>
      </c>
      <c r="N552" t="n">
        <v>0</v>
      </c>
      <c r="O552" t="n">
        <v>0</v>
      </c>
      <c r="P552" t="n">
        <v>0</v>
      </c>
      <c r="Q552" t="n">
        <v>0</v>
      </c>
      <c r="R552" s="2" t="inlineStr"/>
    </row>
    <row r="553" ht="15" customHeight="1">
      <c r="A553" t="inlineStr">
        <is>
          <t>A 1886-2025</t>
        </is>
      </c>
      <c r="B553" s="1" t="n">
        <v>45671</v>
      </c>
      <c r="C553" s="1" t="n">
        <v>46060</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15536-2025</t>
        </is>
      </c>
      <c r="B554" s="1" t="n">
        <v>45747</v>
      </c>
      <c r="C554" s="1" t="n">
        <v>46060</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24904-2025</t>
        </is>
      </c>
      <c r="B555" s="1" t="n">
        <v>45799</v>
      </c>
      <c r="C555" s="1" t="n">
        <v>46060</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34177-2025</t>
        </is>
      </c>
      <c r="B556" s="1" t="n">
        <v>45844</v>
      </c>
      <c r="C556" s="1" t="n">
        <v>46060</v>
      </c>
      <c r="D556" t="inlineStr">
        <is>
          <t>SKÅNE LÄN</t>
        </is>
      </c>
      <c r="E556" t="inlineStr">
        <is>
          <t>HÄSSLEHOLM</t>
        </is>
      </c>
      <c r="G556" t="n">
        <v>3</v>
      </c>
      <c r="H556" t="n">
        <v>0</v>
      </c>
      <c r="I556" t="n">
        <v>0</v>
      </c>
      <c r="J556" t="n">
        <v>0</v>
      </c>
      <c r="K556" t="n">
        <v>0</v>
      </c>
      <c r="L556" t="n">
        <v>0</v>
      </c>
      <c r="M556" t="n">
        <v>0</v>
      </c>
      <c r="N556" t="n">
        <v>0</v>
      </c>
      <c r="O556" t="n">
        <v>0</v>
      </c>
      <c r="P556" t="n">
        <v>0</v>
      </c>
      <c r="Q556" t="n">
        <v>0</v>
      </c>
      <c r="R556" s="2" t="inlineStr"/>
    </row>
    <row r="557" ht="15" customHeight="1">
      <c r="A557" t="inlineStr">
        <is>
          <t>A 55056-2021</t>
        </is>
      </c>
      <c r="B557" s="1" t="n">
        <v>44474.62072916667</v>
      </c>
      <c r="C557" s="1" t="n">
        <v>46060</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33950-2025</t>
        </is>
      </c>
      <c r="B558" s="1" t="n">
        <v>45842</v>
      </c>
      <c r="C558" s="1" t="n">
        <v>46060</v>
      </c>
      <c r="D558" t="inlineStr">
        <is>
          <t>SKÅNE LÄN</t>
        </is>
      </c>
      <c r="E558" t="inlineStr">
        <is>
          <t>HÄSSLEHOLM</t>
        </is>
      </c>
      <c r="G558" t="n">
        <v>5.7</v>
      </c>
      <c r="H558" t="n">
        <v>0</v>
      </c>
      <c r="I558" t="n">
        <v>0</v>
      </c>
      <c r="J558" t="n">
        <v>0</v>
      </c>
      <c r="K558" t="n">
        <v>0</v>
      </c>
      <c r="L558" t="n">
        <v>0</v>
      </c>
      <c r="M558" t="n">
        <v>0</v>
      </c>
      <c r="N558" t="n">
        <v>0</v>
      </c>
      <c r="O558" t="n">
        <v>0</v>
      </c>
      <c r="P558" t="n">
        <v>0</v>
      </c>
      <c r="Q558" t="n">
        <v>0</v>
      </c>
      <c r="R558" s="2" t="inlineStr"/>
    </row>
    <row r="559" ht="15" customHeight="1">
      <c r="A559" t="inlineStr">
        <is>
          <t>A 13544-2025</t>
        </is>
      </c>
      <c r="B559" s="1" t="n">
        <v>45736</v>
      </c>
      <c r="C559" s="1" t="n">
        <v>46060</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8755-2024</t>
        </is>
      </c>
      <c r="B560" s="1" t="n">
        <v>45356</v>
      </c>
      <c r="C560" s="1" t="n">
        <v>46060</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8760-2024</t>
        </is>
      </c>
      <c r="B561" s="1" t="n">
        <v>45356.53420138889</v>
      </c>
      <c r="C561" s="1" t="n">
        <v>46060</v>
      </c>
      <c r="D561" t="inlineStr">
        <is>
          <t>SKÅNE LÄN</t>
        </is>
      </c>
      <c r="E561" t="inlineStr">
        <is>
          <t>HÄSSLEHOLM</t>
        </is>
      </c>
      <c r="G561" t="n">
        <v>6.1</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46060</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46060</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46060</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46060</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50834-2025</t>
        </is>
      </c>
      <c r="B566" s="1" t="n">
        <v>45946.55746527778</v>
      </c>
      <c r="C566" s="1" t="n">
        <v>46060</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33257-2024</t>
        </is>
      </c>
      <c r="B567" s="1" t="n">
        <v>45518</v>
      </c>
      <c r="C567" s="1" t="n">
        <v>46060</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46060</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34869-2025</t>
        </is>
      </c>
      <c r="B569" s="1" t="n">
        <v>45849</v>
      </c>
      <c r="C569" s="1" t="n">
        <v>46060</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46060</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46060</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51097-2025</t>
        </is>
      </c>
      <c r="B572" s="1" t="n">
        <v>45947.48018518519</v>
      </c>
      <c r="C572" s="1" t="n">
        <v>46060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24865-2024</t>
        </is>
      </c>
      <c r="B573" s="1" t="n">
        <v>45461.48974537037</v>
      </c>
      <c r="C573" s="1" t="n">
        <v>46060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20970-2025</t>
        </is>
      </c>
      <c r="B574" s="1" t="n">
        <v>45777.45417824074</v>
      </c>
      <c r="C574" s="1" t="n">
        <v>46060</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51597-2025</t>
        </is>
      </c>
      <c r="B575" s="1" t="n">
        <v>45951.37163194444</v>
      </c>
      <c r="C575" s="1" t="n">
        <v>46060</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35259-2025</t>
        </is>
      </c>
      <c r="B576" s="1" t="n">
        <v>45853.76912037037</v>
      </c>
      <c r="C576" s="1" t="n">
        <v>46060</v>
      </c>
      <c r="D576" t="inlineStr">
        <is>
          <t>SKÅNE LÄN</t>
        </is>
      </c>
      <c r="E576" t="inlineStr">
        <is>
          <t>HÄSSLEHOLM</t>
        </is>
      </c>
      <c r="G576" t="n">
        <v>1.9</v>
      </c>
      <c r="H576" t="n">
        <v>0</v>
      </c>
      <c r="I576" t="n">
        <v>0</v>
      </c>
      <c r="J576" t="n">
        <v>0</v>
      </c>
      <c r="K576" t="n">
        <v>0</v>
      </c>
      <c r="L576" t="n">
        <v>0</v>
      </c>
      <c r="M576" t="n">
        <v>0</v>
      </c>
      <c r="N576" t="n">
        <v>0</v>
      </c>
      <c r="O576" t="n">
        <v>0</v>
      </c>
      <c r="P576" t="n">
        <v>0</v>
      </c>
      <c r="Q576" t="n">
        <v>0</v>
      </c>
      <c r="R576" s="2" t="inlineStr"/>
    </row>
    <row r="577" ht="15" customHeight="1">
      <c r="A577" t="inlineStr">
        <is>
          <t>A 58272-2024</t>
        </is>
      </c>
      <c r="B577" s="1" t="n">
        <v>45632.57025462963</v>
      </c>
      <c r="C577" s="1" t="n">
        <v>46060</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17413-2025</t>
        </is>
      </c>
      <c r="B578" s="1" t="n">
        <v>45757.37480324074</v>
      </c>
      <c r="C578" s="1" t="n">
        <v>46060</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18580-2023</t>
        </is>
      </c>
      <c r="B579" s="1" t="n">
        <v>45043.37037037037</v>
      </c>
      <c r="C579" s="1" t="n">
        <v>46060</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46060</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46060</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9611-2025</t>
        </is>
      </c>
      <c r="B582" s="1" t="n">
        <v>45715</v>
      </c>
      <c r="C582" s="1" t="n">
        <v>46060</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24906-2022</t>
        </is>
      </c>
      <c r="B583" s="1" t="n">
        <v>44728</v>
      </c>
      <c r="C583" s="1" t="n">
        <v>46060</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46060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3890-2024</t>
        </is>
      </c>
      <c r="B585" s="1" t="n">
        <v>45322.45366898148</v>
      </c>
      <c r="C585" s="1" t="n">
        <v>46060</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15800-2025</t>
        </is>
      </c>
      <c r="B586" s="1" t="n">
        <v>45748.64831018518</v>
      </c>
      <c r="C586" s="1" t="n">
        <v>46060</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36259-2025</t>
        </is>
      </c>
      <c r="B587" s="1" t="n">
        <v>45867.59799768519</v>
      </c>
      <c r="C587" s="1" t="n">
        <v>46060</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36130-2025</t>
        </is>
      </c>
      <c r="B588" s="1" t="n">
        <v>45866.62273148148</v>
      </c>
      <c r="C588" s="1" t="n">
        <v>46060</v>
      </c>
      <c r="D588" t="inlineStr">
        <is>
          <t>SKÅNE LÄN</t>
        </is>
      </c>
      <c r="E588" t="inlineStr">
        <is>
          <t>HÄSSLEHOLM</t>
        </is>
      </c>
      <c r="G588" t="n">
        <v>4.7</v>
      </c>
      <c r="H588" t="n">
        <v>0</v>
      </c>
      <c r="I588" t="n">
        <v>0</v>
      </c>
      <c r="J588" t="n">
        <v>0</v>
      </c>
      <c r="K588" t="n">
        <v>0</v>
      </c>
      <c r="L588" t="n">
        <v>0</v>
      </c>
      <c r="M588" t="n">
        <v>0</v>
      </c>
      <c r="N588" t="n">
        <v>0</v>
      </c>
      <c r="O588" t="n">
        <v>0</v>
      </c>
      <c r="P588" t="n">
        <v>0</v>
      </c>
      <c r="Q588" t="n">
        <v>0</v>
      </c>
      <c r="R588" s="2" t="inlineStr"/>
    </row>
    <row r="589" ht="15" customHeight="1">
      <c r="A589" t="inlineStr">
        <is>
          <t>A 13897-2024</t>
        </is>
      </c>
      <c r="B589" s="1" t="n">
        <v>45391</v>
      </c>
      <c r="C589" s="1" t="n">
        <v>46060</v>
      </c>
      <c r="D589" t="inlineStr">
        <is>
          <t>SKÅNE LÄN</t>
        </is>
      </c>
      <c r="E589" t="inlineStr">
        <is>
          <t>HÄSSLEHOLM</t>
        </is>
      </c>
      <c r="F589" t="inlineStr">
        <is>
          <t>Kommuner</t>
        </is>
      </c>
      <c r="G589" t="n">
        <v>4</v>
      </c>
      <c r="H589" t="n">
        <v>0</v>
      </c>
      <c r="I589" t="n">
        <v>0</v>
      </c>
      <c r="J589" t="n">
        <v>0</v>
      </c>
      <c r="K589" t="n">
        <v>0</v>
      </c>
      <c r="L589" t="n">
        <v>0</v>
      </c>
      <c r="M589" t="n">
        <v>0</v>
      </c>
      <c r="N589" t="n">
        <v>0</v>
      </c>
      <c r="O589" t="n">
        <v>0</v>
      </c>
      <c r="P589" t="n">
        <v>0</v>
      </c>
      <c r="Q589" t="n">
        <v>0</v>
      </c>
      <c r="R589" s="2" t="inlineStr"/>
    </row>
    <row r="590" ht="15" customHeight="1">
      <c r="A590" t="inlineStr">
        <is>
          <t>A 56355-2023</t>
        </is>
      </c>
      <c r="B590" s="1" t="n">
        <v>45243.3702662037</v>
      </c>
      <c r="C590" s="1" t="n">
        <v>46060</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52126-2025</t>
        </is>
      </c>
      <c r="B591" s="1" t="n">
        <v>45952.72109953704</v>
      </c>
      <c r="C591" s="1" t="n">
        <v>46060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19666-2025</t>
        </is>
      </c>
      <c r="B592" s="1" t="n">
        <v>45770.69326388889</v>
      </c>
      <c r="C592" s="1" t="n">
        <v>46060</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36359-2025</t>
        </is>
      </c>
      <c r="B593" s="1" t="n">
        <v>45867</v>
      </c>
      <c r="C593" s="1" t="n">
        <v>46060</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36361-2025</t>
        </is>
      </c>
      <c r="B594" s="1" t="n">
        <v>45867</v>
      </c>
      <c r="C594" s="1" t="n">
        <v>46060</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36085-2025</t>
        </is>
      </c>
      <c r="B595" s="1" t="n">
        <v>45866.46190972222</v>
      </c>
      <c r="C595" s="1" t="n">
        <v>46060</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59246-2024</t>
        </is>
      </c>
      <c r="B596" s="1" t="n">
        <v>45636</v>
      </c>
      <c r="C596" s="1" t="n">
        <v>46060</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20800-2023</t>
        </is>
      </c>
      <c r="B597" s="1" t="n">
        <v>45058.61640046296</v>
      </c>
      <c r="C597" s="1" t="n">
        <v>46060</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36358-2025</t>
        </is>
      </c>
      <c r="B598" s="1" t="n">
        <v>45867</v>
      </c>
      <c r="C598" s="1" t="n">
        <v>46060</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11019-2025</t>
        </is>
      </c>
      <c r="B599" s="1" t="n">
        <v>45723</v>
      </c>
      <c r="C599" s="1" t="n">
        <v>46060</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11681-2023</t>
        </is>
      </c>
      <c r="B600" s="1" t="n">
        <v>44992</v>
      </c>
      <c r="C600" s="1" t="n">
        <v>46060</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33927-2021</t>
        </is>
      </c>
      <c r="B601" s="1" t="n">
        <v>44378</v>
      </c>
      <c r="C601" s="1" t="n">
        <v>46060</v>
      </c>
      <c r="D601" t="inlineStr">
        <is>
          <t>SKÅNE LÄN</t>
        </is>
      </c>
      <c r="E601" t="inlineStr">
        <is>
          <t>HÄSSLEHOLM</t>
        </is>
      </c>
      <c r="G601" t="n">
        <v>16.7</v>
      </c>
      <c r="H601" t="n">
        <v>0</v>
      </c>
      <c r="I601" t="n">
        <v>0</v>
      </c>
      <c r="J601" t="n">
        <v>0</v>
      </c>
      <c r="K601" t="n">
        <v>0</v>
      </c>
      <c r="L601" t="n">
        <v>0</v>
      </c>
      <c r="M601" t="n">
        <v>0</v>
      </c>
      <c r="N601" t="n">
        <v>0</v>
      </c>
      <c r="O601" t="n">
        <v>0</v>
      </c>
      <c r="P601" t="n">
        <v>0</v>
      </c>
      <c r="Q601" t="n">
        <v>0</v>
      </c>
      <c r="R601" s="2" t="inlineStr"/>
    </row>
    <row r="602" ht="15" customHeight="1">
      <c r="A602" t="inlineStr">
        <is>
          <t>A 7305-2025</t>
        </is>
      </c>
      <c r="B602" s="1" t="n">
        <v>45702</v>
      </c>
      <c r="C602" s="1" t="n">
        <v>46060</v>
      </c>
      <c r="D602" t="inlineStr">
        <is>
          <t>SKÅNE LÄN</t>
        </is>
      </c>
      <c r="E602" t="inlineStr">
        <is>
          <t>HÄSSLEHOLM</t>
        </is>
      </c>
      <c r="F602" t="inlineStr">
        <is>
          <t>Övriga Aktiebolag</t>
        </is>
      </c>
      <c r="G602" t="n">
        <v>2.2</v>
      </c>
      <c r="H602" t="n">
        <v>0</v>
      </c>
      <c r="I602" t="n">
        <v>0</v>
      </c>
      <c r="J602" t="n">
        <v>0</v>
      </c>
      <c r="K602" t="n">
        <v>0</v>
      </c>
      <c r="L602" t="n">
        <v>0</v>
      </c>
      <c r="M602" t="n">
        <v>0</v>
      </c>
      <c r="N602" t="n">
        <v>0</v>
      </c>
      <c r="O602" t="n">
        <v>0</v>
      </c>
      <c r="P602" t="n">
        <v>0</v>
      </c>
      <c r="Q602" t="n">
        <v>0</v>
      </c>
      <c r="R602" s="2" t="inlineStr"/>
    </row>
    <row r="603" ht="15" customHeight="1">
      <c r="A603" t="inlineStr">
        <is>
          <t>A 5116-2023</t>
        </is>
      </c>
      <c r="B603" s="1" t="n">
        <v>44958.67546296296</v>
      </c>
      <c r="C603" s="1" t="n">
        <v>46060</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42364-2023</t>
        </is>
      </c>
      <c r="B604" s="1" t="n">
        <v>45180.54754629629</v>
      </c>
      <c r="C604" s="1" t="n">
        <v>46060</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54408-2024</t>
        </is>
      </c>
      <c r="B605" s="1" t="n">
        <v>45617.47263888889</v>
      </c>
      <c r="C605" s="1" t="n">
        <v>46060</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5780-2024</t>
        </is>
      </c>
      <c r="B606" s="1" t="n">
        <v>45335.41983796296</v>
      </c>
      <c r="C606" s="1" t="n">
        <v>46060</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8209-2025</t>
        </is>
      </c>
      <c r="B607" s="1" t="n">
        <v>45708.44244212963</v>
      </c>
      <c r="C607" s="1" t="n">
        <v>46060</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7481-2023</t>
        </is>
      </c>
      <c r="B608" s="1" t="n">
        <v>44971</v>
      </c>
      <c r="C608" s="1" t="n">
        <v>46060</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59728-2022</t>
        </is>
      </c>
      <c r="B609" s="1" t="n">
        <v>44900</v>
      </c>
      <c r="C609" s="1" t="n">
        <v>46060</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23683-2023</t>
        </is>
      </c>
      <c r="B610" s="1" t="n">
        <v>45077</v>
      </c>
      <c r="C610" s="1" t="n">
        <v>46060</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36938-2025</t>
        </is>
      </c>
      <c r="B611" s="1" t="n">
        <v>45874.58476851852</v>
      </c>
      <c r="C611" s="1" t="n">
        <v>46060</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2663-2023</t>
        </is>
      </c>
      <c r="B612" s="1" t="n">
        <v>44942</v>
      </c>
      <c r="C612" s="1" t="n">
        <v>46060</v>
      </c>
      <c r="D612" t="inlineStr">
        <is>
          <t>SKÅNE LÄN</t>
        </is>
      </c>
      <c r="E612" t="inlineStr">
        <is>
          <t>HÄSSLEHOLM</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23172-2022</t>
        </is>
      </c>
      <c r="B613" s="1" t="n">
        <v>44719</v>
      </c>
      <c r="C613" s="1" t="n">
        <v>46060</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23173-2022</t>
        </is>
      </c>
      <c r="B614" s="1" t="n">
        <v>44719.72155092593</v>
      </c>
      <c r="C614" s="1" t="n">
        <v>46060</v>
      </c>
      <c r="D614" t="inlineStr">
        <is>
          <t>SKÅNE LÄN</t>
        </is>
      </c>
      <c r="E614" t="inlineStr">
        <is>
          <t>HÄSSLEHOLM</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53020-2025</t>
        </is>
      </c>
      <c r="B615" s="1" t="n">
        <v>45957.90707175926</v>
      </c>
      <c r="C615" s="1" t="n">
        <v>46060</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53424-2025</t>
        </is>
      </c>
      <c r="B616" s="1" t="n">
        <v>45959</v>
      </c>
      <c r="C616" s="1" t="n">
        <v>46060</v>
      </c>
      <c r="D616" t="inlineStr">
        <is>
          <t>SKÅNE LÄN</t>
        </is>
      </c>
      <c r="E616" t="inlineStr">
        <is>
          <t>HÄSSLEHOLM</t>
        </is>
      </c>
      <c r="G616" t="n">
        <v>3.4</v>
      </c>
      <c r="H616" t="n">
        <v>0</v>
      </c>
      <c r="I616" t="n">
        <v>0</v>
      </c>
      <c r="J616" t="n">
        <v>0</v>
      </c>
      <c r="K616" t="n">
        <v>0</v>
      </c>
      <c r="L616" t="n">
        <v>0</v>
      </c>
      <c r="M616" t="n">
        <v>0</v>
      </c>
      <c r="N616" t="n">
        <v>0</v>
      </c>
      <c r="O616" t="n">
        <v>0</v>
      </c>
      <c r="P616" t="n">
        <v>0</v>
      </c>
      <c r="Q616" t="n">
        <v>0</v>
      </c>
      <c r="R616" s="2" t="inlineStr"/>
    </row>
    <row r="617" ht="15" customHeight="1">
      <c r="A617" t="inlineStr">
        <is>
          <t>A 17492-2025</t>
        </is>
      </c>
      <c r="B617" s="1" t="n">
        <v>45747</v>
      </c>
      <c r="C617" s="1" t="n">
        <v>46060</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53018-2025</t>
        </is>
      </c>
      <c r="B618" s="1" t="n">
        <v>45957.90064814815</v>
      </c>
      <c r="C618" s="1" t="n">
        <v>46060</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53056-2025</t>
        </is>
      </c>
      <c r="B619" s="1" t="n">
        <v>45958.36518518518</v>
      </c>
      <c r="C619" s="1" t="n">
        <v>46060</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37286-2025</t>
        </is>
      </c>
      <c r="B620" s="1" t="n">
        <v>45876.50116898148</v>
      </c>
      <c r="C620" s="1" t="n">
        <v>46060</v>
      </c>
      <c r="D620" t="inlineStr">
        <is>
          <t>SKÅNE LÄN</t>
        </is>
      </c>
      <c r="E620" t="inlineStr">
        <is>
          <t>HÄSSLEHOLM</t>
        </is>
      </c>
      <c r="G620" t="n">
        <v>2.9</v>
      </c>
      <c r="H620" t="n">
        <v>0</v>
      </c>
      <c r="I620" t="n">
        <v>0</v>
      </c>
      <c r="J620" t="n">
        <v>0</v>
      </c>
      <c r="K620" t="n">
        <v>0</v>
      </c>
      <c r="L620" t="n">
        <v>0</v>
      </c>
      <c r="M620" t="n">
        <v>0</v>
      </c>
      <c r="N620" t="n">
        <v>0</v>
      </c>
      <c r="O620" t="n">
        <v>0</v>
      </c>
      <c r="P620" t="n">
        <v>0</v>
      </c>
      <c r="Q620" t="n">
        <v>0</v>
      </c>
      <c r="R620" s="2" t="inlineStr"/>
    </row>
    <row r="621" ht="15" customHeight="1">
      <c r="A621" t="inlineStr">
        <is>
          <t>A 50664-2023</t>
        </is>
      </c>
      <c r="B621" s="1" t="n">
        <v>45217</v>
      </c>
      <c r="C621" s="1" t="n">
        <v>46060</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37271-2025</t>
        </is>
      </c>
      <c r="B622" s="1" t="n">
        <v>45876.47828703704</v>
      </c>
      <c r="C622" s="1" t="n">
        <v>46060</v>
      </c>
      <c r="D622" t="inlineStr">
        <is>
          <t>SKÅNE LÄN</t>
        </is>
      </c>
      <c r="E622" t="inlineStr">
        <is>
          <t>HÄSSLEHOLM</t>
        </is>
      </c>
      <c r="G622" t="n">
        <v>4.1</v>
      </c>
      <c r="H622" t="n">
        <v>0</v>
      </c>
      <c r="I622" t="n">
        <v>0</v>
      </c>
      <c r="J622" t="n">
        <v>0</v>
      </c>
      <c r="K622" t="n">
        <v>0</v>
      </c>
      <c r="L622" t="n">
        <v>0</v>
      </c>
      <c r="M622" t="n">
        <v>0</v>
      </c>
      <c r="N622" t="n">
        <v>0</v>
      </c>
      <c r="O622" t="n">
        <v>0</v>
      </c>
      <c r="P622" t="n">
        <v>0</v>
      </c>
      <c r="Q622" t="n">
        <v>0</v>
      </c>
      <c r="R622" s="2" t="inlineStr"/>
    </row>
    <row r="623" ht="15" customHeight="1">
      <c r="A623" t="inlineStr">
        <is>
          <t>A 42428-2022</t>
        </is>
      </c>
      <c r="B623" s="1" t="n">
        <v>44831</v>
      </c>
      <c r="C623" s="1" t="n">
        <v>46060</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62171-2022</t>
        </is>
      </c>
      <c r="B624" s="1" t="n">
        <v>44915</v>
      </c>
      <c r="C624" s="1" t="n">
        <v>46060</v>
      </c>
      <c r="D624" t="inlineStr">
        <is>
          <t>SKÅNE LÄN</t>
        </is>
      </c>
      <c r="E624" t="inlineStr">
        <is>
          <t>HÄSSLEHOLM</t>
        </is>
      </c>
      <c r="F624" t="inlineStr">
        <is>
          <t>Kyrkan</t>
        </is>
      </c>
      <c r="G624" t="n">
        <v>9</v>
      </c>
      <c r="H624" t="n">
        <v>0</v>
      </c>
      <c r="I624" t="n">
        <v>0</v>
      </c>
      <c r="J624" t="n">
        <v>0</v>
      </c>
      <c r="K624" t="n">
        <v>0</v>
      </c>
      <c r="L624" t="n">
        <v>0</v>
      </c>
      <c r="M624" t="n">
        <v>0</v>
      </c>
      <c r="N624" t="n">
        <v>0</v>
      </c>
      <c r="O624" t="n">
        <v>0</v>
      </c>
      <c r="P624" t="n">
        <v>0</v>
      </c>
      <c r="Q624" t="n">
        <v>0</v>
      </c>
      <c r="R624" s="2" t="inlineStr"/>
    </row>
    <row r="625" ht="15" customHeight="1">
      <c r="A625" t="inlineStr">
        <is>
          <t>A 56956-2024</t>
        </is>
      </c>
      <c r="B625" s="1" t="n">
        <v>45626</v>
      </c>
      <c r="C625" s="1" t="n">
        <v>46060</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46060</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47161-2025</t>
        </is>
      </c>
      <c r="B627" s="1" t="n">
        <v>45929</v>
      </c>
      <c r="C627" s="1" t="n">
        <v>46060</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9885-2021</t>
        </is>
      </c>
      <c r="B628" s="1" t="n">
        <v>44253</v>
      </c>
      <c r="C628" s="1" t="n">
        <v>46060</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16862-2025</t>
        </is>
      </c>
      <c r="B629" s="1" t="n">
        <v>45751</v>
      </c>
      <c r="C629" s="1" t="n">
        <v>46060</v>
      </c>
      <c r="D629" t="inlineStr">
        <is>
          <t>SKÅNE LÄN</t>
        </is>
      </c>
      <c r="E629" t="inlineStr">
        <is>
          <t>HÄSSLEHOLM</t>
        </is>
      </c>
      <c r="G629" t="n">
        <v>2.3</v>
      </c>
      <c r="H629" t="n">
        <v>0</v>
      </c>
      <c r="I629" t="n">
        <v>0</v>
      </c>
      <c r="J629" t="n">
        <v>0</v>
      </c>
      <c r="K629" t="n">
        <v>0</v>
      </c>
      <c r="L629" t="n">
        <v>0</v>
      </c>
      <c r="M629" t="n">
        <v>0</v>
      </c>
      <c r="N629" t="n">
        <v>0</v>
      </c>
      <c r="O629" t="n">
        <v>0</v>
      </c>
      <c r="P629" t="n">
        <v>0</v>
      </c>
      <c r="Q629" t="n">
        <v>0</v>
      </c>
      <c r="R629" s="2" t="inlineStr"/>
    </row>
    <row r="630" ht="15" customHeight="1">
      <c r="A630" t="inlineStr">
        <is>
          <t>A 18109-2025</t>
        </is>
      </c>
      <c r="B630" s="1" t="n">
        <v>45761</v>
      </c>
      <c r="C630" s="1" t="n">
        <v>46060</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35711-2024</t>
        </is>
      </c>
      <c r="B631" s="1" t="n">
        <v>45532</v>
      </c>
      <c r="C631" s="1" t="n">
        <v>46060</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46060</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54771-2025</t>
        </is>
      </c>
      <c r="B633" s="1" t="n">
        <v>45966.60829861111</v>
      </c>
      <c r="C633" s="1" t="n">
        <v>46060</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54664-2025</t>
        </is>
      </c>
      <c r="B634" s="1" t="n">
        <v>45966.40738425926</v>
      </c>
      <c r="C634" s="1" t="n">
        <v>46060</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54763-2025</t>
        </is>
      </c>
      <c r="B635" s="1" t="n">
        <v>45966.60167824074</v>
      </c>
      <c r="C635" s="1" t="n">
        <v>46060</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61680-2022</t>
        </is>
      </c>
      <c r="B636" s="1" t="n">
        <v>44917.36372685185</v>
      </c>
      <c r="C636" s="1" t="n">
        <v>46060</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27297-2023</t>
        </is>
      </c>
      <c r="B637" s="1" t="n">
        <v>45096</v>
      </c>
      <c r="C637" s="1" t="n">
        <v>46060</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61489-2024</t>
        </is>
      </c>
      <c r="B638" s="1" t="n">
        <v>45646.54875</v>
      </c>
      <c r="C638" s="1" t="n">
        <v>46060</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54668-2025</t>
        </is>
      </c>
      <c r="B639" s="1" t="n">
        <v>45966.40803240741</v>
      </c>
      <c r="C639" s="1" t="n">
        <v>46060</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9747-2024</t>
        </is>
      </c>
      <c r="B640" s="1" t="n">
        <v>45362</v>
      </c>
      <c r="C640" s="1" t="n">
        <v>46060</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17699-2024</t>
        </is>
      </c>
      <c r="B641" s="1" t="n">
        <v>45418.46094907408</v>
      </c>
      <c r="C641" s="1" t="n">
        <v>46060</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17702-2024</t>
        </is>
      </c>
      <c r="B642" s="1" t="n">
        <v>45418.46534722222</v>
      </c>
      <c r="C642" s="1" t="n">
        <v>46060</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6101-2022</t>
        </is>
      </c>
      <c r="B643" s="1" t="n">
        <v>44599.63016203704</v>
      </c>
      <c r="C643" s="1" t="n">
        <v>46060</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55268-2025</t>
        </is>
      </c>
      <c r="B644" s="1" t="n">
        <v>45968.6715625</v>
      </c>
      <c r="C644" s="1" t="n">
        <v>46060</v>
      </c>
      <c r="D644" t="inlineStr">
        <is>
          <t>SKÅNE LÄN</t>
        </is>
      </c>
      <c r="E644" t="inlineStr">
        <is>
          <t>HÄSSLEHOLM</t>
        </is>
      </c>
      <c r="G644" t="n">
        <v>2.8</v>
      </c>
      <c r="H644" t="n">
        <v>0</v>
      </c>
      <c r="I644" t="n">
        <v>0</v>
      </c>
      <c r="J644" t="n">
        <v>0</v>
      </c>
      <c r="K644" t="n">
        <v>0</v>
      </c>
      <c r="L644" t="n">
        <v>0</v>
      </c>
      <c r="M644" t="n">
        <v>0</v>
      </c>
      <c r="N644" t="n">
        <v>0</v>
      </c>
      <c r="O644" t="n">
        <v>0</v>
      </c>
      <c r="P644" t="n">
        <v>0</v>
      </c>
      <c r="Q644" t="n">
        <v>0</v>
      </c>
      <c r="R644" s="2" t="inlineStr"/>
    </row>
    <row r="645" ht="15" customHeight="1">
      <c r="A645" t="inlineStr">
        <is>
          <t>A 16951-2025</t>
        </is>
      </c>
      <c r="B645" s="1" t="n">
        <v>45755</v>
      </c>
      <c r="C645" s="1" t="n">
        <v>46060</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16614-2025</t>
        </is>
      </c>
      <c r="B646" s="1" t="n">
        <v>45754.283125</v>
      </c>
      <c r="C646" s="1" t="n">
        <v>46060</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3888-2024</t>
        </is>
      </c>
      <c r="B647" s="1" t="n">
        <v>45322.45089120371</v>
      </c>
      <c r="C647" s="1" t="n">
        <v>46060</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3889-2024</t>
        </is>
      </c>
      <c r="B648" s="1" t="n">
        <v>45322.45234953704</v>
      </c>
      <c r="C648" s="1" t="n">
        <v>46060</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55549-2025</t>
        </is>
      </c>
      <c r="B649" s="1" t="n">
        <v>45971.63805555556</v>
      </c>
      <c r="C649" s="1" t="n">
        <v>46060</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3294-2025</t>
        </is>
      </c>
      <c r="B650" s="1" t="n">
        <v>45679.64125</v>
      </c>
      <c r="C650" s="1" t="n">
        <v>46060</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9669-2025</t>
        </is>
      </c>
      <c r="B651" s="1" t="n">
        <v>45716.32921296296</v>
      </c>
      <c r="C651" s="1" t="n">
        <v>46060</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31995-2023</t>
        </is>
      </c>
      <c r="B652" s="1" t="n">
        <v>45107</v>
      </c>
      <c r="C652" s="1" t="n">
        <v>46060</v>
      </c>
      <c r="D652" t="inlineStr">
        <is>
          <t>SKÅNE LÄN</t>
        </is>
      </c>
      <c r="E652" t="inlineStr">
        <is>
          <t>HÄSSLEHOLM</t>
        </is>
      </c>
      <c r="G652" t="n">
        <v>7.3</v>
      </c>
      <c r="H652" t="n">
        <v>0</v>
      </c>
      <c r="I652" t="n">
        <v>0</v>
      </c>
      <c r="J652" t="n">
        <v>0</v>
      </c>
      <c r="K652" t="n">
        <v>0</v>
      </c>
      <c r="L652" t="n">
        <v>0</v>
      </c>
      <c r="M652" t="n">
        <v>0</v>
      </c>
      <c r="N652" t="n">
        <v>0</v>
      </c>
      <c r="O652" t="n">
        <v>0</v>
      </c>
      <c r="P652" t="n">
        <v>0</v>
      </c>
      <c r="Q652" t="n">
        <v>0</v>
      </c>
      <c r="R652" s="2" t="inlineStr"/>
    </row>
    <row r="653" ht="15" customHeight="1">
      <c r="A653" t="inlineStr">
        <is>
          <t>A 31998-2023</t>
        </is>
      </c>
      <c r="B653" s="1" t="n">
        <v>45119</v>
      </c>
      <c r="C653" s="1" t="n">
        <v>46060</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7150-2025</t>
        </is>
      </c>
      <c r="B654" s="1" t="n">
        <v>45702.38239583333</v>
      </c>
      <c r="C654" s="1" t="n">
        <v>46060</v>
      </c>
      <c r="D654" t="inlineStr">
        <is>
          <t>SKÅNE LÄN</t>
        </is>
      </c>
      <c r="E654" t="inlineStr">
        <is>
          <t>HÄSSLEHOLM</t>
        </is>
      </c>
      <c r="G654" t="n">
        <v>2.3</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46060</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20185-2023</t>
        </is>
      </c>
      <c r="B656" s="1" t="n">
        <v>45055.56795138889</v>
      </c>
      <c r="C656" s="1" t="n">
        <v>46060</v>
      </c>
      <c r="D656" t="inlineStr">
        <is>
          <t>SKÅNE LÄN</t>
        </is>
      </c>
      <c r="E656" t="inlineStr">
        <is>
          <t>HÄSSLEHOLM</t>
        </is>
      </c>
      <c r="G656" t="n">
        <v>3.5</v>
      </c>
      <c r="H656" t="n">
        <v>0</v>
      </c>
      <c r="I656" t="n">
        <v>0</v>
      </c>
      <c r="J656" t="n">
        <v>0</v>
      </c>
      <c r="K656" t="n">
        <v>0</v>
      </c>
      <c r="L656" t="n">
        <v>0</v>
      </c>
      <c r="M656" t="n">
        <v>0</v>
      </c>
      <c r="N656" t="n">
        <v>0</v>
      </c>
      <c r="O656" t="n">
        <v>0</v>
      </c>
      <c r="P656" t="n">
        <v>0</v>
      </c>
      <c r="Q656" t="n">
        <v>0</v>
      </c>
      <c r="R656" s="2" t="inlineStr"/>
    </row>
    <row r="657" ht="15" customHeight="1">
      <c r="A657" t="inlineStr">
        <is>
          <t>A 61170-2022</t>
        </is>
      </c>
      <c r="B657" s="1" t="n">
        <v>44915.48543981482</v>
      </c>
      <c r="C657" s="1" t="n">
        <v>46060</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55455-2025</t>
        </is>
      </c>
      <c r="B658" s="1" t="n">
        <v>45971</v>
      </c>
      <c r="C658" s="1" t="n">
        <v>46060</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43629-2023</t>
        </is>
      </c>
      <c r="B659" s="1" t="n">
        <v>45184</v>
      </c>
      <c r="C659" s="1" t="n">
        <v>46060</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13990-2022</t>
        </is>
      </c>
      <c r="B660" s="1" t="n">
        <v>44650</v>
      </c>
      <c r="C660" s="1" t="n">
        <v>46060</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56667-2025</t>
        </is>
      </c>
      <c r="B661" s="1" t="n">
        <v>45975.68508101852</v>
      </c>
      <c r="C661" s="1" t="n">
        <v>46060</v>
      </c>
      <c r="D661" t="inlineStr">
        <is>
          <t>SKÅNE LÄN</t>
        </is>
      </c>
      <c r="E661" t="inlineStr">
        <is>
          <t>HÄSSLEHOLM</t>
        </is>
      </c>
      <c r="G661" t="n">
        <v>4.4</v>
      </c>
      <c r="H661" t="n">
        <v>0</v>
      </c>
      <c r="I661" t="n">
        <v>0</v>
      </c>
      <c r="J661" t="n">
        <v>0</v>
      </c>
      <c r="K661" t="n">
        <v>0</v>
      </c>
      <c r="L661" t="n">
        <v>0</v>
      </c>
      <c r="M661" t="n">
        <v>0</v>
      </c>
      <c r="N661" t="n">
        <v>0</v>
      </c>
      <c r="O661" t="n">
        <v>0</v>
      </c>
      <c r="P661" t="n">
        <v>0</v>
      </c>
      <c r="Q661" t="n">
        <v>0</v>
      </c>
      <c r="R661" s="2" t="inlineStr"/>
    </row>
    <row r="662" ht="15" customHeight="1">
      <c r="A662" t="inlineStr">
        <is>
          <t>A 34342-2021</t>
        </is>
      </c>
      <c r="B662" s="1" t="n">
        <v>44379</v>
      </c>
      <c r="C662" s="1" t="n">
        <v>46060</v>
      </c>
      <c r="D662" t="inlineStr">
        <is>
          <t>SKÅNE LÄN</t>
        </is>
      </c>
      <c r="E662" t="inlineStr">
        <is>
          <t>HÄSSLEHOLM</t>
        </is>
      </c>
      <c r="G662" t="n">
        <v>7</v>
      </c>
      <c r="H662" t="n">
        <v>0</v>
      </c>
      <c r="I662" t="n">
        <v>0</v>
      </c>
      <c r="J662" t="n">
        <v>0</v>
      </c>
      <c r="K662" t="n">
        <v>0</v>
      </c>
      <c r="L662" t="n">
        <v>0</v>
      </c>
      <c r="M662" t="n">
        <v>0</v>
      </c>
      <c r="N662" t="n">
        <v>0</v>
      </c>
      <c r="O662" t="n">
        <v>0</v>
      </c>
      <c r="P662" t="n">
        <v>0</v>
      </c>
      <c r="Q662" t="n">
        <v>0</v>
      </c>
      <c r="R662" s="2" t="inlineStr"/>
    </row>
    <row r="663" ht="15" customHeight="1">
      <c r="A663" t="inlineStr">
        <is>
          <t>A 1557-2023</t>
        </is>
      </c>
      <c r="B663" s="1" t="n">
        <v>44937</v>
      </c>
      <c r="C663" s="1" t="n">
        <v>46060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9239-2025</t>
        </is>
      </c>
      <c r="B664" s="1" t="n">
        <v>45714</v>
      </c>
      <c r="C664" s="1" t="n">
        <v>46060</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56797-2025</t>
        </is>
      </c>
      <c r="B665" s="1" t="n">
        <v>45978.43273148148</v>
      </c>
      <c r="C665" s="1" t="n">
        <v>46060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56798-2025</t>
        </is>
      </c>
      <c r="B666" s="1" t="n">
        <v>45978.43378472222</v>
      </c>
      <c r="C666" s="1" t="n">
        <v>46060</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50564-2023</t>
        </is>
      </c>
      <c r="B667" s="1" t="n">
        <v>45217.37957175926</v>
      </c>
      <c r="C667" s="1" t="n">
        <v>46060</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43061-2024</t>
        </is>
      </c>
      <c r="B668" s="1" t="n">
        <v>45567</v>
      </c>
      <c r="C668" s="1" t="n">
        <v>46060</v>
      </c>
      <c r="D668" t="inlineStr">
        <is>
          <t>SKÅNE LÄN</t>
        </is>
      </c>
      <c r="E668" t="inlineStr">
        <is>
          <t>HÄSSLEHOLM</t>
        </is>
      </c>
      <c r="G668" t="n">
        <v>4.5</v>
      </c>
      <c r="H668" t="n">
        <v>0</v>
      </c>
      <c r="I668" t="n">
        <v>0</v>
      </c>
      <c r="J668" t="n">
        <v>0</v>
      </c>
      <c r="K668" t="n">
        <v>0</v>
      </c>
      <c r="L668" t="n">
        <v>0</v>
      </c>
      <c r="M668" t="n">
        <v>0</v>
      </c>
      <c r="N668" t="n">
        <v>0</v>
      </c>
      <c r="O668" t="n">
        <v>0</v>
      </c>
      <c r="P668" t="n">
        <v>0</v>
      </c>
      <c r="Q668" t="n">
        <v>0</v>
      </c>
      <c r="R668" s="2" t="inlineStr"/>
    </row>
    <row r="669" ht="15" customHeight="1">
      <c r="A669" t="inlineStr">
        <is>
          <t>A 54171-2021</t>
        </is>
      </c>
      <c r="B669" s="1" t="n">
        <v>44470</v>
      </c>
      <c r="C669" s="1" t="n">
        <v>46060</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24640-2023</t>
        </is>
      </c>
      <c r="B670" s="1" t="n">
        <v>45084.43181712963</v>
      </c>
      <c r="C670" s="1" t="n">
        <v>46060</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56767-2025</t>
        </is>
      </c>
      <c r="B671" s="1" t="n">
        <v>45978.38178240741</v>
      </c>
      <c r="C671" s="1" t="n">
        <v>46060</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56769-2025</t>
        </is>
      </c>
      <c r="B672" s="1" t="n">
        <v>45978.38429398148</v>
      </c>
      <c r="C672" s="1" t="n">
        <v>46060</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56794-2025</t>
        </is>
      </c>
      <c r="B673" s="1" t="n">
        <v>45978.43039351852</v>
      </c>
      <c r="C673" s="1" t="n">
        <v>46060</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51618-2024</t>
        </is>
      </c>
      <c r="B674" s="1" t="n">
        <v>45604.82615740741</v>
      </c>
      <c r="C674" s="1" t="n">
        <v>46060</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55569-2025</t>
        </is>
      </c>
      <c r="B675" s="1" t="n">
        <v>45971</v>
      </c>
      <c r="C675" s="1" t="n">
        <v>46060</v>
      </c>
      <c r="D675" t="inlineStr">
        <is>
          <t>SKÅNE LÄN</t>
        </is>
      </c>
      <c r="E675" t="inlineStr">
        <is>
          <t>HÄSSLEHOLM</t>
        </is>
      </c>
      <c r="G675" t="n">
        <v>4.2</v>
      </c>
      <c r="H675" t="n">
        <v>0</v>
      </c>
      <c r="I675" t="n">
        <v>0</v>
      </c>
      <c r="J675" t="n">
        <v>0</v>
      </c>
      <c r="K675" t="n">
        <v>0</v>
      </c>
      <c r="L675" t="n">
        <v>0</v>
      </c>
      <c r="M675" t="n">
        <v>0</v>
      </c>
      <c r="N675" t="n">
        <v>0</v>
      </c>
      <c r="O675" t="n">
        <v>0</v>
      </c>
      <c r="P675" t="n">
        <v>0</v>
      </c>
      <c r="Q675" t="n">
        <v>0</v>
      </c>
      <c r="R675" s="2" t="inlineStr"/>
    </row>
    <row r="676" ht="15" customHeight="1">
      <c r="A676" t="inlineStr">
        <is>
          <t>A 57817-2025</t>
        </is>
      </c>
      <c r="B676" s="1" t="n">
        <v>45981.59475694445</v>
      </c>
      <c r="C676" s="1" t="n">
        <v>46060</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8249-2023</t>
        </is>
      </c>
      <c r="B677" s="1" t="n">
        <v>44974</v>
      </c>
      <c r="C677" s="1" t="n">
        <v>46060</v>
      </c>
      <c r="D677" t="inlineStr">
        <is>
          <t>SKÅNE LÄN</t>
        </is>
      </c>
      <c r="E677" t="inlineStr">
        <is>
          <t>HÄSSLEHOLM</t>
        </is>
      </c>
      <c r="G677" t="n">
        <v>5.8</v>
      </c>
      <c r="H677" t="n">
        <v>0</v>
      </c>
      <c r="I677" t="n">
        <v>0</v>
      </c>
      <c r="J677" t="n">
        <v>0</v>
      </c>
      <c r="K677" t="n">
        <v>0</v>
      </c>
      <c r="L677" t="n">
        <v>0</v>
      </c>
      <c r="M677" t="n">
        <v>0</v>
      </c>
      <c r="N677" t="n">
        <v>0</v>
      </c>
      <c r="O677" t="n">
        <v>0</v>
      </c>
      <c r="P677" t="n">
        <v>0</v>
      </c>
      <c r="Q677" t="n">
        <v>0</v>
      </c>
      <c r="R677" s="2" t="inlineStr"/>
    </row>
    <row r="678" ht="15" customHeight="1">
      <c r="A678" t="inlineStr">
        <is>
          <t>A 30092-2025</t>
        </is>
      </c>
      <c r="B678" s="1" t="n">
        <v>45826</v>
      </c>
      <c r="C678" s="1" t="n">
        <v>46060</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30109-2025</t>
        </is>
      </c>
      <c r="B679" s="1" t="n">
        <v>45826</v>
      </c>
      <c r="C679" s="1" t="n">
        <v>46060</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47840-2023</t>
        </is>
      </c>
      <c r="B680" s="1" t="n">
        <v>45204</v>
      </c>
      <c r="C680" s="1" t="n">
        <v>46060</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58241-2025</t>
        </is>
      </c>
      <c r="B681" s="1" t="n">
        <v>45985.38797453704</v>
      </c>
      <c r="C681" s="1" t="n">
        <v>46060</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62277-2023</t>
        </is>
      </c>
      <c r="B682" s="1" t="n">
        <v>45266</v>
      </c>
      <c r="C682" s="1" t="n">
        <v>46060</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34369-2023</t>
        </is>
      </c>
      <c r="B683" s="1" t="n">
        <v>45139.47817129629</v>
      </c>
      <c r="C683" s="1" t="n">
        <v>46060</v>
      </c>
      <c r="D683" t="inlineStr">
        <is>
          <t>SKÅNE LÄN</t>
        </is>
      </c>
      <c r="E683" t="inlineStr">
        <is>
          <t>HÄSSLEHOLM</t>
        </is>
      </c>
      <c r="G683" t="n">
        <v>2</v>
      </c>
      <c r="H683" t="n">
        <v>0</v>
      </c>
      <c r="I683" t="n">
        <v>0</v>
      </c>
      <c r="J683" t="n">
        <v>0</v>
      </c>
      <c r="K683" t="n">
        <v>0</v>
      </c>
      <c r="L683" t="n">
        <v>0</v>
      </c>
      <c r="M683" t="n">
        <v>0</v>
      </c>
      <c r="N683" t="n">
        <v>0</v>
      </c>
      <c r="O683" t="n">
        <v>0</v>
      </c>
      <c r="P683" t="n">
        <v>0</v>
      </c>
      <c r="Q683" t="n">
        <v>0</v>
      </c>
      <c r="R683" s="2" t="inlineStr"/>
    </row>
    <row r="684" ht="15" customHeight="1">
      <c r="A684" t="inlineStr">
        <is>
          <t>A 34834-2023</t>
        </is>
      </c>
      <c r="B684" s="1" t="n">
        <v>45141.7199537037</v>
      </c>
      <c r="C684" s="1" t="n">
        <v>46060</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48627-2023</t>
        </is>
      </c>
      <c r="B685" s="1" t="n">
        <v>45208.57371527778</v>
      </c>
      <c r="C685" s="1" t="n">
        <v>46060</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11607-2025</t>
        </is>
      </c>
      <c r="B686" s="1" t="n">
        <v>45727</v>
      </c>
      <c r="C686" s="1" t="n">
        <v>46060</v>
      </c>
      <c r="D686" t="inlineStr">
        <is>
          <t>SKÅNE LÄN</t>
        </is>
      </c>
      <c r="E686" t="inlineStr">
        <is>
          <t>HÄSSLEHOLM</t>
        </is>
      </c>
      <c r="G686" t="n">
        <v>4.1</v>
      </c>
      <c r="H686" t="n">
        <v>0</v>
      </c>
      <c r="I686" t="n">
        <v>0</v>
      </c>
      <c r="J686" t="n">
        <v>0</v>
      </c>
      <c r="K686" t="n">
        <v>0</v>
      </c>
      <c r="L686" t="n">
        <v>0</v>
      </c>
      <c r="M686" t="n">
        <v>0</v>
      </c>
      <c r="N686" t="n">
        <v>0</v>
      </c>
      <c r="O686" t="n">
        <v>0</v>
      </c>
      <c r="P686" t="n">
        <v>0</v>
      </c>
      <c r="Q686" t="n">
        <v>0</v>
      </c>
      <c r="R686" s="2" t="inlineStr"/>
    </row>
    <row r="687" ht="15" customHeight="1">
      <c r="A687" t="inlineStr">
        <is>
          <t>A 720-2025</t>
        </is>
      </c>
      <c r="B687" s="1" t="n">
        <v>45665.3744212963</v>
      </c>
      <c r="C687" s="1" t="n">
        <v>46060</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12182-2025</t>
        </is>
      </c>
      <c r="B688" s="1" t="n">
        <v>45729</v>
      </c>
      <c r="C688" s="1" t="n">
        <v>46060</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60848-2022</t>
        </is>
      </c>
      <c r="B689" s="1" t="n">
        <v>44914</v>
      </c>
      <c r="C689" s="1" t="n">
        <v>46060</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11753-2025</t>
        </is>
      </c>
      <c r="B690" s="1" t="n">
        <v>45727</v>
      </c>
      <c r="C690" s="1" t="n">
        <v>46060</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6164-2023</t>
        </is>
      </c>
      <c r="B691" s="1" t="n">
        <v>44964.66871527778</v>
      </c>
      <c r="C691" s="1" t="n">
        <v>46060</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58933-2025</t>
        </is>
      </c>
      <c r="B692" s="1" t="n">
        <v>45987.56107638889</v>
      </c>
      <c r="C692" s="1" t="n">
        <v>46060</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45392-2024</t>
        </is>
      </c>
      <c r="B693" s="1" t="n">
        <v>45576.55008101852</v>
      </c>
      <c r="C693" s="1" t="n">
        <v>46060</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16454-2023</t>
        </is>
      </c>
      <c r="B694" s="1" t="n">
        <v>45029.48425925926</v>
      </c>
      <c r="C694" s="1" t="n">
        <v>46060</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17335-2024</t>
        </is>
      </c>
      <c r="B695" s="1" t="n">
        <v>45414.5687962963</v>
      </c>
      <c r="C695" s="1" t="n">
        <v>46060</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24246-2023</t>
        </is>
      </c>
      <c r="B696" s="1" t="n">
        <v>45079</v>
      </c>
      <c r="C696" s="1" t="n">
        <v>46060</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24249-2023</t>
        </is>
      </c>
      <c r="B697" s="1" t="n">
        <v>45079.62466435185</v>
      </c>
      <c r="C697" s="1" t="n">
        <v>46060</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31989-2024</t>
        </is>
      </c>
      <c r="B698" s="1" t="n">
        <v>45510.58085648148</v>
      </c>
      <c r="C698" s="1" t="n">
        <v>46060</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1120-2024</t>
        </is>
      </c>
      <c r="B699" s="1" t="n">
        <v>45302.4452662037</v>
      </c>
      <c r="C699" s="1" t="n">
        <v>46060</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60973-2024</t>
        </is>
      </c>
      <c r="B700" s="1" t="n">
        <v>45644</v>
      </c>
      <c r="C700" s="1" t="n">
        <v>46060</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27478-2023</t>
        </is>
      </c>
      <c r="B701" s="1" t="n">
        <v>45092</v>
      </c>
      <c r="C701" s="1" t="n">
        <v>46060</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37898-2021</t>
        </is>
      </c>
      <c r="B702" s="1" t="n">
        <v>44403</v>
      </c>
      <c r="C702" s="1" t="n">
        <v>46060</v>
      </c>
      <c r="D702" t="inlineStr">
        <is>
          <t>SKÅNE LÄN</t>
        </is>
      </c>
      <c r="E702" t="inlineStr">
        <is>
          <t>HÄSSLEHOLM</t>
        </is>
      </c>
      <c r="F702" t="inlineStr">
        <is>
          <t>Kommuner</t>
        </is>
      </c>
      <c r="G702" t="n">
        <v>8.4</v>
      </c>
      <c r="H702" t="n">
        <v>0</v>
      </c>
      <c r="I702" t="n">
        <v>0</v>
      </c>
      <c r="J702" t="n">
        <v>0</v>
      </c>
      <c r="K702" t="n">
        <v>0</v>
      </c>
      <c r="L702" t="n">
        <v>0</v>
      </c>
      <c r="M702" t="n">
        <v>0</v>
      </c>
      <c r="N702" t="n">
        <v>0</v>
      </c>
      <c r="O702" t="n">
        <v>0</v>
      </c>
      <c r="P702" t="n">
        <v>0</v>
      </c>
      <c r="Q702" t="n">
        <v>0</v>
      </c>
      <c r="R702" s="2" t="inlineStr"/>
    </row>
    <row r="703" ht="15" customHeight="1">
      <c r="A703" t="inlineStr">
        <is>
          <t>A 26641-2023</t>
        </is>
      </c>
      <c r="B703" s="1" t="n">
        <v>45092.89619212963</v>
      </c>
      <c r="C703" s="1" t="n">
        <v>46060</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6327-2021</t>
        </is>
      </c>
      <c r="B704" s="1" t="n">
        <v>44235</v>
      </c>
      <c r="C704" s="1" t="n">
        <v>46060</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931-2026</t>
        </is>
      </c>
      <c r="B705" s="1" t="n">
        <v>46030.51495370371</v>
      </c>
      <c r="C705" s="1" t="n">
        <v>46060</v>
      </c>
      <c r="D705" t="inlineStr">
        <is>
          <t>SKÅNE LÄN</t>
        </is>
      </c>
      <c r="E705" t="inlineStr">
        <is>
          <t>HÄSSLEHOLM</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16397-2022</t>
        </is>
      </c>
      <c r="B706" s="1" t="n">
        <v>44671</v>
      </c>
      <c r="C706" s="1" t="n">
        <v>46060</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16398-2022</t>
        </is>
      </c>
      <c r="B707" s="1" t="n">
        <v>44671</v>
      </c>
      <c r="C707" s="1" t="n">
        <v>46060</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4512-2024</t>
        </is>
      </c>
      <c r="B708" s="1" t="n">
        <v>45327.6312962963</v>
      </c>
      <c r="C708" s="1" t="n">
        <v>46060</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706-2026</t>
        </is>
      </c>
      <c r="B709" s="1" t="n">
        <v>46029.61739583333</v>
      </c>
      <c r="C709" s="1" t="n">
        <v>46060</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15512-2025</t>
        </is>
      </c>
      <c r="B710" s="1" t="n">
        <v>45747</v>
      </c>
      <c r="C710" s="1" t="n">
        <v>46060</v>
      </c>
      <c r="D710" t="inlineStr">
        <is>
          <t>SKÅNE LÄN</t>
        </is>
      </c>
      <c r="E710" t="inlineStr">
        <is>
          <t>HÄSSLEHOLM</t>
        </is>
      </c>
      <c r="G710" t="n">
        <v>3.5</v>
      </c>
      <c r="H710" t="n">
        <v>0</v>
      </c>
      <c r="I710" t="n">
        <v>0</v>
      </c>
      <c r="J710" t="n">
        <v>0</v>
      </c>
      <c r="K710" t="n">
        <v>0</v>
      </c>
      <c r="L710" t="n">
        <v>0</v>
      </c>
      <c r="M710" t="n">
        <v>0</v>
      </c>
      <c r="N710" t="n">
        <v>0</v>
      </c>
      <c r="O710" t="n">
        <v>0</v>
      </c>
      <c r="P710" t="n">
        <v>0</v>
      </c>
      <c r="Q710" t="n">
        <v>0</v>
      </c>
      <c r="R710" s="2" t="inlineStr"/>
    </row>
    <row r="711" ht="15" customHeight="1">
      <c r="A711" t="inlineStr">
        <is>
          <t>A 39044-2024</t>
        </is>
      </c>
      <c r="B711" s="1" t="n">
        <v>45548.47707175926</v>
      </c>
      <c r="C711" s="1" t="n">
        <v>46060</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19020-2024</t>
        </is>
      </c>
      <c r="B712" s="1" t="n">
        <v>45427.66167824074</v>
      </c>
      <c r="C712" s="1" t="n">
        <v>46060</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40734-2024</t>
        </is>
      </c>
      <c r="B713" s="1" t="n">
        <v>45558</v>
      </c>
      <c r="C713" s="1" t="n">
        <v>46060</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40738-2024</t>
        </is>
      </c>
      <c r="B714" s="1" t="n">
        <v>45558</v>
      </c>
      <c r="C714" s="1" t="n">
        <v>46060</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49199-2024</t>
        </is>
      </c>
      <c r="B715" s="1" t="n">
        <v>45595</v>
      </c>
      <c r="C715" s="1" t="n">
        <v>46060</v>
      </c>
      <c r="D715" t="inlineStr">
        <is>
          <t>SKÅNE LÄN</t>
        </is>
      </c>
      <c r="E715" t="inlineStr">
        <is>
          <t>HÄSSLEHOLM</t>
        </is>
      </c>
      <c r="G715" t="n">
        <v>5.2</v>
      </c>
      <c r="H715" t="n">
        <v>0</v>
      </c>
      <c r="I715" t="n">
        <v>0</v>
      </c>
      <c r="J715" t="n">
        <v>0</v>
      </c>
      <c r="K715" t="n">
        <v>0</v>
      </c>
      <c r="L715" t="n">
        <v>0</v>
      </c>
      <c r="M715" t="n">
        <v>0</v>
      </c>
      <c r="N715" t="n">
        <v>0</v>
      </c>
      <c r="O715" t="n">
        <v>0</v>
      </c>
      <c r="P715" t="n">
        <v>0</v>
      </c>
      <c r="Q715" t="n">
        <v>0</v>
      </c>
      <c r="R715" s="2" t="inlineStr"/>
    </row>
    <row r="716" ht="15" customHeight="1">
      <c r="A716" t="inlineStr">
        <is>
          <t>A 6638-2021</t>
        </is>
      </c>
      <c r="B716" s="1" t="n">
        <v>44235</v>
      </c>
      <c r="C716" s="1" t="n">
        <v>46060</v>
      </c>
      <c r="D716" t="inlineStr">
        <is>
          <t>SKÅNE LÄN</t>
        </is>
      </c>
      <c r="E716" t="inlineStr">
        <is>
          <t>HÄSSLEHOLM</t>
        </is>
      </c>
      <c r="G716" t="n">
        <v>112.4</v>
      </c>
      <c r="H716" t="n">
        <v>0</v>
      </c>
      <c r="I716" t="n">
        <v>0</v>
      </c>
      <c r="J716" t="n">
        <v>0</v>
      </c>
      <c r="K716" t="n">
        <v>0</v>
      </c>
      <c r="L716" t="n">
        <v>0</v>
      </c>
      <c r="M716" t="n">
        <v>0</v>
      </c>
      <c r="N716" t="n">
        <v>0</v>
      </c>
      <c r="O716" t="n">
        <v>0</v>
      </c>
      <c r="P716" t="n">
        <v>0</v>
      </c>
      <c r="Q716" t="n">
        <v>0</v>
      </c>
      <c r="R716" s="2" t="inlineStr"/>
    </row>
    <row r="717" ht="15" customHeight="1">
      <c r="A717" t="inlineStr">
        <is>
          <t>A 59722-2025</t>
        </is>
      </c>
      <c r="B717" s="1" t="n">
        <v>45992.5474537037</v>
      </c>
      <c r="C717" s="1" t="n">
        <v>46060</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1616-2025</t>
        </is>
      </c>
      <c r="B718" s="1" t="n">
        <v>45670</v>
      </c>
      <c r="C718" s="1" t="n">
        <v>46060</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2712-2024</t>
        </is>
      </c>
      <c r="B719" s="1" t="n">
        <v>45314</v>
      </c>
      <c r="C719" s="1" t="n">
        <v>46060</v>
      </c>
      <c r="D719" t="inlineStr">
        <is>
          <t>SKÅNE LÄN</t>
        </is>
      </c>
      <c r="E719" t="inlineStr">
        <is>
          <t>HÄSSLEHOLM</t>
        </is>
      </c>
      <c r="G719" t="n">
        <v>11.3</v>
      </c>
      <c r="H719" t="n">
        <v>0</v>
      </c>
      <c r="I719" t="n">
        <v>0</v>
      </c>
      <c r="J719" t="n">
        <v>0</v>
      </c>
      <c r="K719" t="n">
        <v>0</v>
      </c>
      <c r="L719" t="n">
        <v>0</v>
      </c>
      <c r="M719" t="n">
        <v>0</v>
      </c>
      <c r="N719" t="n">
        <v>0</v>
      </c>
      <c r="O719" t="n">
        <v>0</v>
      </c>
      <c r="P719" t="n">
        <v>0</v>
      </c>
      <c r="Q719" t="n">
        <v>0</v>
      </c>
      <c r="R719" s="2" t="inlineStr"/>
    </row>
    <row r="720" ht="15" customHeight="1">
      <c r="A720" t="inlineStr">
        <is>
          <t>A 53055-2021</t>
        </is>
      </c>
      <c r="B720" s="1" t="n">
        <v>44467</v>
      </c>
      <c r="C720" s="1" t="n">
        <v>46060</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1640-2026</t>
        </is>
      </c>
      <c r="B721" s="1" t="n">
        <v>46034.4961574074</v>
      </c>
      <c r="C721" s="1" t="n">
        <v>46060</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56986-2024</t>
        </is>
      </c>
      <c r="B722" s="1" t="n">
        <v>45626</v>
      </c>
      <c r="C722" s="1" t="n">
        <v>46060</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46222-2022</t>
        </is>
      </c>
      <c r="B723" s="1" t="n">
        <v>44847.58725694445</v>
      </c>
      <c r="C723" s="1" t="n">
        <v>46060</v>
      </c>
      <c r="D723" t="inlineStr">
        <is>
          <t>SKÅNE LÄN</t>
        </is>
      </c>
      <c r="E723" t="inlineStr">
        <is>
          <t>HÄSSLEHOLM</t>
        </is>
      </c>
      <c r="G723" t="n">
        <v>6.3</v>
      </c>
      <c r="H723" t="n">
        <v>0</v>
      </c>
      <c r="I723" t="n">
        <v>0</v>
      </c>
      <c r="J723" t="n">
        <v>0</v>
      </c>
      <c r="K723" t="n">
        <v>0</v>
      </c>
      <c r="L723" t="n">
        <v>0</v>
      </c>
      <c r="M723" t="n">
        <v>0</v>
      </c>
      <c r="N723" t="n">
        <v>0</v>
      </c>
      <c r="O723" t="n">
        <v>0</v>
      </c>
      <c r="P723" t="n">
        <v>0</v>
      </c>
      <c r="Q723" t="n">
        <v>0</v>
      </c>
      <c r="R723" s="2" t="inlineStr"/>
    </row>
    <row r="724" ht="15" customHeight="1">
      <c r="A724" t="inlineStr">
        <is>
          <t>A 2567-2024</t>
        </is>
      </c>
      <c r="B724" s="1" t="n">
        <v>45313.62460648148</v>
      </c>
      <c r="C724" s="1" t="n">
        <v>46060</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32154-2024</t>
        </is>
      </c>
      <c r="B725" s="1" t="n">
        <v>45511</v>
      </c>
      <c r="C725" s="1" t="n">
        <v>46060</v>
      </c>
      <c r="D725" t="inlineStr">
        <is>
          <t>SKÅNE LÄN</t>
        </is>
      </c>
      <c r="E725" t="inlineStr">
        <is>
          <t>HÄSSLEHOLM</t>
        </is>
      </c>
      <c r="G725" t="n">
        <v>6.4</v>
      </c>
      <c r="H725" t="n">
        <v>0</v>
      </c>
      <c r="I725" t="n">
        <v>0</v>
      </c>
      <c r="J725" t="n">
        <v>0</v>
      </c>
      <c r="K725" t="n">
        <v>0</v>
      </c>
      <c r="L725" t="n">
        <v>0</v>
      </c>
      <c r="M725" t="n">
        <v>0</v>
      </c>
      <c r="N725" t="n">
        <v>0</v>
      </c>
      <c r="O725" t="n">
        <v>0</v>
      </c>
      <c r="P725" t="n">
        <v>0</v>
      </c>
      <c r="Q725" t="n">
        <v>0</v>
      </c>
      <c r="R725" s="2" t="inlineStr"/>
    </row>
    <row r="726" ht="15" customHeight="1">
      <c r="A726" t="inlineStr">
        <is>
          <t>A 1645-2026</t>
        </is>
      </c>
      <c r="B726" s="1" t="n">
        <v>46034.5069212963</v>
      </c>
      <c r="C726" s="1" t="n">
        <v>46060</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28632-2024</t>
        </is>
      </c>
      <c r="B727" s="1" t="n">
        <v>45478</v>
      </c>
      <c r="C727" s="1" t="n">
        <v>46060</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11708-2025</t>
        </is>
      </c>
      <c r="B728" s="1" t="n">
        <v>45727.58626157408</v>
      </c>
      <c r="C728" s="1" t="n">
        <v>46060</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21028-2021</t>
        </is>
      </c>
      <c r="B729" s="1" t="n">
        <v>44319</v>
      </c>
      <c r="C729" s="1" t="n">
        <v>46060</v>
      </c>
      <c r="D729" t="inlineStr">
        <is>
          <t>SKÅNE LÄN</t>
        </is>
      </c>
      <c r="E729" t="inlineStr">
        <is>
          <t>HÄSSLEHOLM</t>
        </is>
      </c>
      <c r="G729" t="n">
        <v>3.1</v>
      </c>
      <c r="H729" t="n">
        <v>0</v>
      </c>
      <c r="I729" t="n">
        <v>0</v>
      </c>
      <c r="J729" t="n">
        <v>0</v>
      </c>
      <c r="K729" t="n">
        <v>0</v>
      </c>
      <c r="L729" t="n">
        <v>0</v>
      </c>
      <c r="M729" t="n">
        <v>0</v>
      </c>
      <c r="N729" t="n">
        <v>0</v>
      </c>
      <c r="O729" t="n">
        <v>0</v>
      </c>
      <c r="P729" t="n">
        <v>0</v>
      </c>
      <c r="Q729" t="n">
        <v>0</v>
      </c>
      <c r="R729" s="2" t="inlineStr"/>
    </row>
    <row r="730" ht="15" customHeight="1">
      <c r="A730" t="inlineStr">
        <is>
          <t>A 69357-2021</t>
        </is>
      </c>
      <c r="B730" s="1" t="n">
        <v>44531</v>
      </c>
      <c r="C730" s="1" t="n">
        <v>46060</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1656-2026</t>
        </is>
      </c>
      <c r="B731" s="1" t="n">
        <v>46034.54035879629</v>
      </c>
      <c r="C731" s="1" t="n">
        <v>46060</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1659-2026</t>
        </is>
      </c>
      <c r="B732" s="1" t="n">
        <v>46034.55335648148</v>
      </c>
      <c r="C732" s="1" t="n">
        <v>46060</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1658-2026</t>
        </is>
      </c>
      <c r="B733" s="1" t="n">
        <v>46034.55091435185</v>
      </c>
      <c r="C733" s="1" t="n">
        <v>46060</v>
      </c>
      <c r="D733" t="inlineStr">
        <is>
          <t>SKÅNE LÄN</t>
        </is>
      </c>
      <c r="E733" t="inlineStr">
        <is>
          <t>HÄSSLEHOLM</t>
        </is>
      </c>
      <c r="G733" t="n">
        <v>2</v>
      </c>
      <c r="H733" t="n">
        <v>0</v>
      </c>
      <c r="I733" t="n">
        <v>0</v>
      </c>
      <c r="J733" t="n">
        <v>0</v>
      </c>
      <c r="K733" t="n">
        <v>0</v>
      </c>
      <c r="L733" t="n">
        <v>0</v>
      </c>
      <c r="M733" t="n">
        <v>0</v>
      </c>
      <c r="N733" t="n">
        <v>0</v>
      </c>
      <c r="O733" t="n">
        <v>0</v>
      </c>
      <c r="P733" t="n">
        <v>0</v>
      </c>
      <c r="Q733" t="n">
        <v>0</v>
      </c>
      <c r="R733" s="2" t="inlineStr"/>
    </row>
    <row r="734" ht="15" customHeight="1">
      <c r="A734" t="inlineStr">
        <is>
          <t>A 3855-2023</t>
        </is>
      </c>
      <c r="B734" s="1" t="n">
        <v>44951.69708333333</v>
      </c>
      <c r="C734" s="1" t="n">
        <v>46060</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33481-2024</t>
        </is>
      </c>
      <c r="B735" s="1" t="n">
        <v>45519</v>
      </c>
      <c r="C735" s="1" t="n">
        <v>46060</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1289-2024</t>
        </is>
      </c>
      <c r="B736" s="1" t="n">
        <v>45303.32234953704</v>
      </c>
      <c r="C736" s="1" t="n">
        <v>46060</v>
      </c>
      <c r="D736" t="inlineStr">
        <is>
          <t>SKÅNE LÄN</t>
        </is>
      </c>
      <c r="E736" t="inlineStr">
        <is>
          <t>HÄSSLEHOLM</t>
        </is>
      </c>
      <c r="G736" t="n">
        <v>4.6</v>
      </c>
      <c r="H736" t="n">
        <v>0</v>
      </c>
      <c r="I736" t="n">
        <v>0</v>
      </c>
      <c r="J736" t="n">
        <v>0</v>
      </c>
      <c r="K736" t="n">
        <v>0</v>
      </c>
      <c r="L736" t="n">
        <v>0</v>
      </c>
      <c r="M736" t="n">
        <v>0</v>
      </c>
      <c r="N736" t="n">
        <v>0</v>
      </c>
      <c r="O736" t="n">
        <v>0</v>
      </c>
      <c r="P736" t="n">
        <v>0</v>
      </c>
      <c r="Q736" t="n">
        <v>0</v>
      </c>
      <c r="R736" s="2" t="inlineStr"/>
    </row>
    <row r="737" ht="15" customHeight="1">
      <c r="A737" t="inlineStr">
        <is>
          <t>A 2618-2026</t>
        </is>
      </c>
      <c r="B737" s="1" t="n">
        <v>46035</v>
      </c>
      <c r="C737" s="1" t="n">
        <v>46060</v>
      </c>
      <c r="D737" t="inlineStr">
        <is>
          <t>SKÅNE LÄN</t>
        </is>
      </c>
      <c r="E737" t="inlineStr">
        <is>
          <t>HÄSSLEHOLM</t>
        </is>
      </c>
      <c r="F737" t="inlineStr">
        <is>
          <t>Kyrkan</t>
        </is>
      </c>
      <c r="G737" t="n">
        <v>4.8</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46060</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7152-2025</t>
        </is>
      </c>
      <c r="B739" s="1" t="n">
        <v>45702.3837037037</v>
      </c>
      <c r="C739" s="1" t="n">
        <v>46060</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7160-2025</t>
        </is>
      </c>
      <c r="B740" s="1" t="n">
        <v>45702.3875462963</v>
      </c>
      <c r="C740" s="1" t="n">
        <v>46060</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2306-2026</t>
        </is>
      </c>
      <c r="B741" s="1" t="n">
        <v>46034</v>
      </c>
      <c r="C741" s="1" t="n">
        <v>46060</v>
      </c>
      <c r="D741" t="inlineStr">
        <is>
          <t>SKÅNE LÄN</t>
        </is>
      </c>
      <c r="E741" t="inlineStr">
        <is>
          <t>HÄSSLEHOLM</t>
        </is>
      </c>
      <c r="G741" t="n">
        <v>3.4</v>
      </c>
      <c r="H741" t="n">
        <v>0</v>
      </c>
      <c r="I741" t="n">
        <v>0</v>
      </c>
      <c r="J741" t="n">
        <v>0</v>
      </c>
      <c r="K741" t="n">
        <v>0</v>
      </c>
      <c r="L741" t="n">
        <v>0</v>
      </c>
      <c r="M741" t="n">
        <v>0</v>
      </c>
      <c r="N741" t="n">
        <v>0</v>
      </c>
      <c r="O741" t="n">
        <v>0</v>
      </c>
      <c r="P741" t="n">
        <v>0</v>
      </c>
      <c r="Q741" t="n">
        <v>0</v>
      </c>
      <c r="R741" s="2" t="inlineStr"/>
    </row>
    <row r="742" ht="15" customHeight="1">
      <c r="A742" t="inlineStr">
        <is>
          <t>A 27291-2023</t>
        </is>
      </c>
      <c r="B742" s="1" t="n">
        <v>45096</v>
      </c>
      <c r="C742" s="1" t="n">
        <v>46060</v>
      </c>
      <c r="D742" t="inlineStr">
        <is>
          <t>SKÅNE LÄN</t>
        </is>
      </c>
      <c r="E742" t="inlineStr">
        <is>
          <t>HÄSSLEHOLM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441-2022</t>
        </is>
      </c>
      <c r="B743" s="1" t="n">
        <v>44565.97125</v>
      </c>
      <c r="C743" s="1" t="n">
        <v>46060</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5887-2025</t>
        </is>
      </c>
      <c r="B744" s="1" t="n">
        <v>45695.37925925926</v>
      </c>
      <c r="C744" s="1" t="n">
        <v>46060</v>
      </c>
      <c r="D744" t="inlineStr">
        <is>
          <t>SKÅNE LÄN</t>
        </is>
      </c>
      <c r="E744" t="inlineStr">
        <is>
          <t>HÄSSLEHOLM</t>
        </is>
      </c>
      <c r="G744" t="n">
        <v>4.8</v>
      </c>
      <c r="H744" t="n">
        <v>0</v>
      </c>
      <c r="I744" t="n">
        <v>0</v>
      </c>
      <c r="J744" t="n">
        <v>0</v>
      </c>
      <c r="K744" t="n">
        <v>0</v>
      </c>
      <c r="L744" t="n">
        <v>0</v>
      </c>
      <c r="M744" t="n">
        <v>0</v>
      </c>
      <c r="N744" t="n">
        <v>0</v>
      </c>
      <c r="O744" t="n">
        <v>0</v>
      </c>
      <c r="P744" t="n">
        <v>0</v>
      </c>
      <c r="Q744" t="n">
        <v>0</v>
      </c>
      <c r="R744" s="2" t="inlineStr"/>
    </row>
    <row r="745" ht="15" customHeight="1">
      <c r="A745" t="inlineStr">
        <is>
          <t>A 14157-2021</t>
        </is>
      </c>
      <c r="B745" s="1" t="n">
        <v>44278.43246527778</v>
      </c>
      <c r="C745" s="1" t="n">
        <v>46060</v>
      </c>
      <c r="D745" t="inlineStr">
        <is>
          <t>SKÅNE LÄN</t>
        </is>
      </c>
      <c r="E745" t="inlineStr">
        <is>
          <t>HÄSSLEHOLM</t>
        </is>
      </c>
      <c r="G745" t="n">
        <v>10.5</v>
      </c>
      <c r="H745" t="n">
        <v>0</v>
      </c>
      <c r="I745" t="n">
        <v>0</v>
      </c>
      <c r="J745" t="n">
        <v>0</v>
      </c>
      <c r="K745" t="n">
        <v>0</v>
      </c>
      <c r="L745" t="n">
        <v>0</v>
      </c>
      <c r="M745" t="n">
        <v>0</v>
      </c>
      <c r="N745" t="n">
        <v>0</v>
      </c>
      <c r="O745" t="n">
        <v>0</v>
      </c>
      <c r="P745" t="n">
        <v>0</v>
      </c>
      <c r="Q745" t="n">
        <v>0</v>
      </c>
      <c r="R745" s="2" t="inlineStr"/>
    </row>
    <row r="746" ht="15" customHeight="1">
      <c r="A746" t="inlineStr">
        <is>
          <t>A 2617-2026</t>
        </is>
      </c>
      <c r="B746" s="1" t="n">
        <v>46035</v>
      </c>
      <c r="C746" s="1" t="n">
        <v>46060</v>
      </c>
      <c r="D746" t="inlineStr">
        <is>
          <t>SKÅNE LÄN</t>
        </is>
      </c>
      <c r="E746" t="inlineStr">
        <is>
          <t>HÄSSLEHOLM</t>
        </is>
      </c>
      <c r="F746" t="inlineStr">
        <is>
          <t>Kyrkan</t>
        </is>
      </c>
      <c r="G746" t="n">
        <v>5.5</v>
      </c>
      <c r="H746" t="n">
        <v>0</v>
      </c>
      <c r="I746" t="n">
        <v>0</v>
      </c>
      <c r="J746" t="n">
        <v>0</v>
      </c>
      <c r="K746" t="n">
        <v>0</v>
      </c>
      <c r="L746" t="n">
        <v>0</v>
      </c>
      <c r="M746" t="n">
        <v>0</v>
      </c>
      <c r="N746" t="n">
        <v>0</v>
      </c>
      <c r="O746" t="n">
        <v>0</v>
      </c>
      <c r="P746" t="n">
        <v>0</v>
      </c>
      <c r="Q746" t="n">
        <v>0</v>
      </c>
      <c r="R746" s="2" t="inlineStr"/>
    </row>
    <row r="747" ht="15" customHeight="1">
      <c r="A747" t="inlineStr">
        <is>
          <t>A 54874-2022</t>
        </is>
      </c>
      <c r="B747" s="1" t="n">
        <v>44881</v>
      </c>
      <c r="C747" s="1" t="n">
        <v>46060</v>
      </c>
      <c r="D747" t="inlineStr">
        <is>
          <t>SKÅNE LÄN</t>
        </is>
      </c>
      <c r="E747" t="inlineStr">
        <is>
          <t>HÄSSLEHOLM</t>
        </is>
      </c>
      <c r="G747" t="n">
        <v>8.1</v>
      </c>
      <c r="H747" t="n">
        <v>0</v>
      </c>
      <c r="I747" t="n">
        <v>0</v>
      </c>
      <c r="J747" t="n">
        <v>0</v>
      </c>
      <c r="K747" t="n">
        <v>0</v>
      </c>
      <c r="L747" t="n">
        <v>0</v>
      </c>
      <c r="M747" t="n">
        <v>0</v>
      </c>
      <c r="N747" t="n">
        <v>0</v>
      </c>
      <c r="O747" t="n">
        <v>0</v>
      </c>
      <c r="P747" t="n">
        <v>0</v>
      </c>
      <c r="Q747" t="n">
        <v>0</v>
      </c>
      <c r="R747" s="2" t="inlineStr"/>
    </row>
    <row r="748" ht="15" customHeight="1">
      <c r="A748" t="inlineStr">
        <is>
          <t>A 17152-2025</t>
        </is>
      </c>
      <c r="B748" s="1" t="n">
        <v>45756.33318287037</v>
      </c>
      <c r="C748" s="1" t="n">
        <v>46060</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34301-2024</t>
        </is>
      </c>
      <c r="B749" s="1" t="n">
        <v>45524</v>
      </c>
      <c r="C749" s="1" t="n">
        <v>46060</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27242-2022</t>
        </is>
      </c>
      <c r="B750" s="1" t="n">
        <v>44741</v>
      </c>
      <c r="C750" s="1" t="n">
        <v>46060</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61158-2022</t>
        </is>
      </c>
      <c r="B751" s="1" t="n">
        <v>44915.47112268519</v>
      </c>
      <c r="C751" s="1" t="n">
        <v>46060</v>
      </c>
      <c r="D751" t="inlineStr">
        <is>
          <t>SKÅNE LÄN</t>
        </is>
      </c>
      <c r="E751" t="inlineStr">
        <is>
          <t>HÄSSLEHOLM</t>
        </is>
      </c>
      <c r="G751" t="n">
        <v>8.4</v>
      </c>
      <c r="H751" t="n">
        <v>0</v>
      </c>
      <c r="I751" t="n">
        <v>0</v>
      </c>
      <c r="J751" t="n">
        <v>0</v>
      </c>
      <c r="K751" t="n">
        <v>0</v>
      </c>
      <c r="L751" t="n">
        <v>0</v>
      </c>
      <c r="M751" t="n">
        <v>0</v>
      </c>
      <c r="N751" t="n">
        <v>0</v>
      </c>
      <c r="O751" t="n">
        <v>0</v>
      </c>
      <c r="P751" t="n">
        <v>0</v>
      </c>
      <c r="Q751" t="n">
        <v>0</v>
      </c>
      <c r="R751" s="2" t="inlineStr"/>
    </row>
    <row r="752" ht="15" customHeight="1">
      <c r="A752" t="inlineStr">
        <is>
          <t>A 61186-2022</t>
        </is>
      </c>
      <c r="B752" s="1" t="n">
        <v>44915.50745370371</v>
      </c>
      <c r="C752" s="1" t="n">
        <v>46060</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62055-2023</t>
        </is>
      </c>
      <c r="B753" s="1" t="n">
        <v>45266.70287037037</v>
      </c>
      <c r="C753" s="1" t="n">
        <v>46060</v>
      </c>
      <c r="D753" t="inlineStr">
        <is>
          <t>SKÅNE LÄN</t>
        </is>
      </c>
      <c r="E753" t="inlineStr">
        <is>
          <t>HÄSSLEHOLM</t>
        </is>
      </c>
      <c r="G753" t="n">
        <v>5.2</v>
      </c>
      <c r="H753" t="n">
        <v>0</v>
      </c>
      <c r="I753" t="n">
        <v>0</v>
      </c>
      <c r="J753" t="n">
        <v>0</v>
      </c>
      <c r="K753" t="n">
        <v>0</v>
      </c>
      <c r="L753" t="n">
        <v>0</v>
      </c>
      <c r="M753" t="n">
        <v>0</v>
      </c>
      <c r="N753" t="n">
        <v>0</v>
      </c>
      <c r="O753" t="n">
        <v>0</v>
      </c>
      <c r="P753" t="n">
        <v>0</v>
      </c>
      <c r="Q753" t="n">
        <v>0</v>
      </c>
      <c r="R753" s="2" t="inlineStr"/>
    </row>
    <row r="754" ht="15" customHeight="1">
      <c r="A754" t="inlineStr">
        <is>
          <t>A 33465-2024</t>
        </is>
      </c>
      <c r="B754" s="1" t="n">
        <v>45519.59619212963</v>
      </c>
      <c r="C754" s="1" t="n">
        <v>46060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26642-2023</t>
        </is>
      </c>
      <c r="B755" s="1" t="n">
        <v>45092.8975</v>
      </c>
      <c r="C755" s="1" t="n">
        <v>46060</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3298-2026</t>
        </is>
      </c>
      <c r="B756" s="1" t="n">
        <v>46041</v>
      </c>
      <c r="C756" s="1" t="n">
        <v>46060</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66321-2021</t>
        </is>
      </c>
      <c r="B757" s="1" t="n">
        <v>44518</v>
      </c>
      <c r="C757" s="1" t="n">
        <v>46060</v>
      </c>
      <c r="D757" t="inlineStr">
        <is>
          <t>SKÅNE LÄN</t>
        </is>
      </c>
      <c r="E757" t="inlineStr">
        <is>
          <t>HÄSSLEHOLM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16668-2025</t>
        </is>
      </c>
      <c r="B758" s="1" t="n">
        <v>45754.43009259259</v>
      </c>
      <c r="C758" s="1" t="n">
        <v>46060</v>
      </c>
      <c r="D758" t="inlineStr">
        <is>
          <t>SKÅNE LÄN</t>
        </is>
      </c>
      <c r="E758" t="inlineStr">
        <is>
          <t>HÄSSLEHOLM</t>
        </is>
      </c>
      <c r="G758" t="n">
        <v>4</v>
      </c>
      <c r="H758" t="n">
        <v>0</v>
      </c>
      <c r="I758" t="n">
        <v>0</v>
      </c>
      <c r="J758" t="n">
        <v>0</v>
      </c>
      <c r="K758" t="n">
        <v>0</v>
      </c>
      <c r="L758" t="n">
        <v>0</v>
      </c>
      <c r="M758" t="n">
        <v>0</v>
      </c>
      <c r="N758" t="n">
        <v>0</v>
      </c>
      <c r="O758" t="n">
        <v>0</v>
      </c>
      <c r="P758" t="n">
        <v>0</v>
      </c>
      <c r="Q758" t="n">
        <v>0</v>
      </c>
      <c r="R758" s="2" t="inlineStr"/>
    </row>
    <row r="759" ht="15" customHeight="1">
      <c r="A759" t="inlineStr">
        <is>
          <t>A 23857-2024</t>
        </is>
      </c>
      <c r="B759" s="1" t="n">
        <v>45455</v>
      </c>
      <c r="C759" s="1" t="n">
        <v>46060</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31268-2024</t>
        </is>
      </c>
      <c r="B760" s="1" t="n">
        <v>45504</v>
      </c>
      <c r="C760" s="1" t="n">
        <v>46060</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51287-2022</t>
        </is>
      </c>
      <c r="B761" s="1" t="n">
        <v>44868.83146990741</v>
      </c>
      <c r="C761" s="1" t="n">
        <v>46060</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20494-2024</t>
        </is>
      </c>
      <c r="B762" s="1" t="n">
        <v>45435</v>
      </c>
      <c r="C762" s="1" t="n">
        <v>46060</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46060</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31572-2022</t>
        </is>
      </c>
      <c r="B764" s="1" t="n">
        <v>44775</v>
      </c>
      <c r="C764" s="1" t="n">
        <v>46060</v>
      </c>
      <c r="D764" t="inlineStr">
        <is>
          <t>SKÅNE LÄN</t>
        </is>
      </c>
      <c r="E764" t="inlineStr">
        <is>
          <t>HÄSSLEHOLM</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4356-2024</t>
        </is>
      </c>
      <c r="B765" s="1" t="n">
        <v>45325.36195601852</v>
      </c>
      <c r="C765" s="1" t="n">
        <v>46060</v>
      </c>
      <c r="D765" t="inlineStr">
        <is>
          <t>SKÅNE LÄN</t>
        </is>
      </c>
      <c r="E765" t="inlineStr">
        <is>
          <t>HÄSSLEHOLM</t>
        </is>
      </c>
      <c r="G765" t="n">
        <v>3.2</v>
      </c>
      <c r="H765" t="n">
        <v>0</v>
      </c>
      <c r="I765" t="n">
        <v>0</v>
      </c>
      <c r="J765" t="n">
        <v>0</v>
      </c>
      <c r="K765" t="n">
        <v>0</v>
      </c>
      <c r="L765" t="n">
        <v>0</v>
      </c>
      <c r="M765" t="n">
        <v>0</v>
      </c>
      <c r="N765" t="n">
        <v>0</v>
      </c>
      <c r="O765" t="n">
        <v>0</v>
      </c>
      <c r="P765" t="n">
        <v>0</v>
      </c>
      <c r="Q765" t="n">
        <v>0</v>
      </c>
      <c r="R765" s="2" t="inlineStr"/>
    </row>
    <row r="766" ht="15" customHeight="1">
      <c r="A766" t="inlineStr">
        <is>
          <t>A 3715-2026</t>
        </is>
      </c>
      <c r="B766" s="1" t="n">
        <v>46043.48746527778</v>
      </c>
      <c r="C766" s="1" t="n">
        <v>46060</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61322-2025</t>
        </is>
      </c>
      <c r="B767" s="1" t="n">
        <v>46000</v>
      </c>
      <c r="C767" s="1" t="n">
        <v>46060</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3480-2024</t>
        </is>
      </c>
      <c r="B768" s="1" t="n">
        <v>45320.43998842593</v>
      </c>
      <c r="C768" s="1" t="n">
        <v>46060</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58632-2025</t>
        </is>
      </c>
      <c r="B769" s="1" t="n">
        <v>45986</v>
      </c>
      <c r="C769" s="1" t="n">
        <v>46060</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5980-2024</t>
        </is>
      </c>
      <c r="B770" s="1" t="n">
        <v>45335</v>
      </c>
      <c r="C770" s="1" t="n">
        <v>46060</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3862-2026</t>
        </is>
      </c>
      <c r="B771" s="1" t="n">
        <v>46043.62646990741</v>
      </c>
      <c r="C771" s="1" t="n">
        <v>46060</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10802-2024</t>
        </is>
      </c>
      <c r="B772" s="1" t="n">
        <v>45369</v>
      </c>
      <c r="C772" s="1" t="n">
        <v>46060</v>
      </c>
      <c r="D772" t="inlineStr">
        <is>
          <t>SKÅNE LÄN</t>
        </is>
      </c>
      <c r="E772" t="inlineStr">
        <is>
          <t>HÄSSLEHOLM</t>
        </is>
      </c>
      <c r="G772" t="n">
        <v>3.4</v>
      </c>
      <c r="H772" t="n">
        <v>0</v>
      </c>
      <c r="I772" t="n">
        <v>0</v>
      </c>
      <c r="J772" t="n">
        <v>0</v>
      </c>
      <c r="K772" t="n">
        <v>0</v>
      </c>
      <c r="L772" t="n">
        <v>0</v>
      </c>
      <c r="M772" t="n">
        <v>0</v>
      </c>
      <c r="N772" t="n">
        <v>0</v>
      </c>
      <c r="O772" t="n">
        <v>0</v>
      </c>
      <c r="P772" t="n">
        <v>0</v>
      </c>
      <c r="Q772" t="n">
        <v>0</v>
      </c>
      <c r="R772" s="2" t="inlineStr"/>
    </row>
    <row r="773" ht="15" customHeight="1">
      <c r="A773" t="inlineStr">
        <is>
          <t>A 45653-2024</t>
        </is>
      </c>
      <c r="B773" s="1" t="n">
        <v>45579.48872685185</v>
      </c>
      <c r="C773" s="1" t="n">
        <v>46060</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3904-2026</t>
        </is>
      </c>
      <c r="B774" s="1" t="n">
        <v>46043.69711805556</v>
      </c>
      <c r="C774" s="1" t="n">
        <v>46060</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9322-2025</t>
        </is>
      </c>
      <c r="B775" s="1" t="n">
        <v>45714.72241898148</v>
      </c>
      <c r="C775" s="1" t="n">
        <v>46060</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61474-2025</t>
        </is>
      </c>
      <c r="B776" s="1" t="n">
        <v>46001.61886574074</v>
      </c>
      <c r="C776" s="1" t="n">
        <v>46060</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260-2024</t>
        </is>
      </c>
      <c r="B777" s="1" t="n">
        <v>45294</v>
      </c>
      <c r="C777" s="1" t="n">
        <v>46060</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40780-2022</t>
        </is>
      </c>
      <c r="B778" s="1" t="n">
        <v>44820</v>
      </c>
      <c r="C778" s="1" t="n">
        <v>46060</v>
      </c>
      <c r="D778" t="inlineStr">
        <is>
          <t>SKÅNE LÄN</t>
        </is>
      </c>
      <c r="E778" t="inlineStr">
        <is>
          <t>HÄSSLEHOLM</t>
        </is>
      </c>
      <c r="G778" t="n">
        <v>7.4</v>
      </c>
      <c r="H778" t="n">
        <v>0</v>
      </c>
      <c r="I778" t="n">
        <v>0</v>
      </c>
      <c r="J778" t="n">
        <v>0</v>
      </c>
      <c r="K778" t="n">
        <v>0</v>
      </c>
      <c r="L778" t="n">
        <v>0</v>
      </c>
      <c r="M778" t="n">
        <v>0</v>
      </c>
      <c r="N778" t="n">
        <v>0</v>
      </c>
      <c r="O778" t="n">
        <v>0</v>
      </c>
      <c r="P778" t="n">
        <v>0</v>
      </c>
      <c r="Q778" t="n">
        <v>0</v>
      </c>
      <c r="R778" s="2" t="inlineStr"/>
    </row>
    <row r="779" ht="15" customHeight="1">
      <c r="A779" t="inlineStr">
        <is>
          <t>A 32008-2024</t>
        </is>
      </c>
      <c r="B779" s="1" t="n">
        <v>45510</v>
      </c>
      <c r="C779" s="1" t="n">
        <v>46060</v>
      </c>
      <c r="D779" t="inlineStr">
        <is>
          <t>SKÅNE LÄN</t>
        </is>
      </c>
      <c r="E779" t="inlineStr">
        <is>
          <t>HÄSSLEHOLM</t>
        </is>
      </c>
      <c r="G779" t="n">
        <v>5.1</v>
      </c>
      <c r="H779" t="n">
        <v>0</v>
      </c>
      <c r="I779" t="n">
        <v>0</v>
      </c>
      <c r="J779" t="n">
        <v>0</v>
      </c>
      <c r="K779" t="n">
        <v>0</v>
      </c>
      <c r="L779" t="n">
        <v>0</v>
      </c>
      <c r="M779" t="n">
        <v>0</v>
      </c>
      <c r="N779" t="n">
        <v>0</v>
      </c>
      <c r="O779" t="n">
        <v>0</v>
      </c>
      <c r="P779" t="n">
        <v>0</v>
      </c>
      <c r="Q779" t="n">
        <v>0</v>
      </c>
      <c r="R779" s="2" t="inlineStr"/>
    </row>
    <row r="780" ht="15" customHeight="1">
      <c r="A780" t="inlineStr">
        <is>
          <t>A 56065-2025</t>
        </is>
      </c>
      <c r="B780" s="1" t="n">
        <v>45973</v>
      </c>
      <c r="C780" s="1" t="n">
        <v>46060</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5316-2023</t>
        </is>
      </c>
      <c r="B781" s="1" t="n">
        <v>44959</v>
      </c>
      <c r="C781" s="1" t="n">
        <v>46060</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64884-2023</t>
        </is>
      </c>
      <c r="B782" s="1" t="n">
        <v>45282.57809027778</v>
      </c>
      <c r="C782" s="1" t="n">
        <v>46060</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48112-2024</t>
        </is>
      </c>
      <c r="B783" s="1" t="n">
        <v>45589.6295949074</v>
      </c>
      <c r="C783" s="1" t="n">
        <v>46060</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6310-2025</t>
        </is>
      </c>
      <c r="B784" s="1" t="n">
        <v>45698</v>
      </c>
      <c r="C784" s="1" t="n">
        <v>46060</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4981-2026</t>
        </is>
      </c>
      <c r="B785" s="1" t="n">
        <v>46049.37100694444</v>
      </c>
      <c r="C785" s="1" t="n">
        <v>46060</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16474-2025</t>
        </is>
      </c>
      <c r="B786" s="1" t="n">
        <v>45751.56834490741</v>
      </c>
      <c r="C786" s="1" t="n">
        <v>46060</v>
      </c>
      <c r="D786" t="inlineStr">
        <is>
          <t>SKÅNE LÄN</t>
        </is>
      </c>
      <c r="E786" t="inlineStr">
        <is>
          <t>HÄSSLEHOLM</t>
        </is>
      </c>
      <c r="G786" t="n">
        <v>5.9</v>
      </c>
      <c r="H786" t="n">
        <v>0</v>
      </c>
      <c r="I786" t="n">
        <v>0</v>
      </c>
      <c r="J786" t="n">
        <v>0</v>
      </c>
      <c r="K786" t="n">
        <v>0</v>
      </c>
      <c r="L786" t="n">
        <v>0</v>
      </c>
      <c r="M786" t="n">
        <v>0</v>
      </c>
      <c r="N786" t="n">
        <v>0</v>
      </c>
      <c r="O786" t="n">
        <v>0</v>
      </c>
      <c r="P786" t="n">
        <v>0</v>
      </c>
      <c r="Q786" t="n">
        <v>0</v>
      </c>
      <c r="R786" s="2" t="inlineStr"/>
    </row>
    <row r="787" ht="15" customHeight="1">
      <c r="A787" t="inlineStr">
        <is>
          <t>A 62376-2025</t>
        </is>
      </c>
      <c r="B787" s="1" t="n">
        <v>46006</v>
      </c>
      <c r="C787" s="1" t="n">
        <v>46060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62271-2025</t>
        </is>
      </c>
      <c r="B788" s="1" t="n">
        <v>46006.62256944444</v>
      </c>
      <c r="C788" s="1" t="n">
        <v>46060</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48097-2024</t>
        </is>
      </c>
      <c r="B789" s="1" t="n">
        <v>45589.61413194444</v>
      </c>
      <c r="C789" s="1" t="n">
        <v>46060</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46060</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42776-2021</t>
        </is>
      </c>
      <c r="B791" s="1" t="n">
        <v>44428</v>
      </c>
      <c r="C791" s="1" t="n">
        <v>46060</v>
      </c>
      <c r="D791" t="inlineStr">
        <is>
          <t>SKÅNE LÄN</t>
        </is>
      </c>
      <c r="E791" t="inlineStr">
        <is>
          <t>HÄSSLEHOLM</t>
        </is>
      </c>
      <c r="G791" t="n">
        <v>3.2</v>
      </c>
      <c r="H791" t="n">
        <v>0</v>
      </c>
      <c r="I791" t="n">
        <v>0</v>
      </c>
      <c r="J791" t="n">
        <v>0</v>
      </c>
      <c r="K791" t="n">
        <v>0</v>
      </c>
      <c r="L791" t="n">
        <v>0</v>
      </c>
      <c r="M791" t="n">
        <v>0</v>
      </c>
      <c r="N791" t="n">
        <v>0</v>
      </c>
      <c r="O791" t="n">
        <v>0</v>
      </c>
      <c r="P791" t="n">
        <v>0</v>
      </c>
      <c r="Q791" t="n">
        <v>0</v>
      </c>
      <c r="R791" s="2" t="inlineStr"/>
    </row>
    <row r="792" ht="15" customHeight="1">
      <c r="A792" t="inlineStr">
        <is>
          <t>A 62264-2025</t>
        </is>
      </c>
      <c r="B792" s="1" t="n">
        <v>46006.61644675926</v>
      </c>
      <c r="C792" s="1" t="n">
        <v>46060</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46813-2024</t>
        </is>
      </c>
      <c r="B793" s="1" t="n">
        <v>45583</v>
      </c>
      <c r="C793" s="1" t="n">
        <v>46060</v>
      </c>
      <c r="D793" t="inlineStr">
        <is>
          <t>SKÅNE LÄN</t>
        </is>
      </c>
      <c r="E793" t="inlineStr">
        <is>
          <t>HÄSSLEHOLM</t>
        </is>
      </c>
      <c r="G793" t="n">
        <v>14.9</v>
      </c>
      <c r="H793" t="n">
        <v>0</v>
      </c>
      <c r="I793" t="n">
        <v>0</v>
      </c>
      <c r="J793" t="n">
        <v>0</v>
      </c>
      <c r="K793" t="n">
        <v>0</v>
      </c>
      <c r="L793" t="n">
        <v>0</v>
      </c>
      <c r="M793" t="n">
        <v>0</v>
      </c>
      <c r="N793" t="n">
        <v>0</v>
      </c>
      <c r="O793" t="n">
        <v>0</v>
      </c>
      <c r="P793" t="n">
        <v>0</v>
      </c>
      <c r="Q793" t="n">
        <v>0</v>
      </c>
      <c r="R793" s="2" t="inlineStr"/>
    </row>
    <row r="794" ht="15" customHeight="1">
      <c r="A794" t="inlineStr">
        <is>
          <t>A 14700-2023</t>
        </is>
      </c>
      <c r="B794" s="1" t="n">
        <v>45014.38376157408</v>
      </c>
      <c r="C794" s="1" t="n">
        <v>46060</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5759-2026</t>
        </is>
      </c>
      <c r="B795" s="1" t="n">
        <v>46051.61814814815</v>
      </c>
      <c r="C795" s="1" t="n">
        <v>46060</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39915-2023</t>
        </is>
      </c>
      <c r="B796" s="1" t="n">
        <v>45168.4684375</v>
      </c>
      <c r="C796" s="1" t="n">
        <v>46060</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20058-2023</t>
        </is>
      </c>
      <c r="B797" s="1" t="n">
        <v>45054.68476851852</v>
      </c>
      <c r="C797" s="1" t="n">
        <v>46060</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5497-2026</t>
        </is>
      </c>
      <c r="B798" s="1" t="n">
        <v>46050.61875</v>
      </c>
      <c r="C798" s="1" t="n">
        <v>46060</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54807-2025</t>
        </is>
      </c>
      <c r="B799" s="1" t="n">
        <v>45966</v>
      </c>
      <c r="C799" s="1" t="n">
        <v>46060</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8619-2023</t>
        </is>
      </c>
      <c r="B800" s="1" t="n">
        <v>44977.81979166667</v>
      </c>
      <c r="C800" s="1" t="n">
        <v>46060</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9543-2025</t>
        </is>
      </c>
      <c r="B801" s="1" t="n">
        <v>45715</v>
      </c>
      <c r="C801" s="1" t="n">
        <v>46060</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54798-2025</t>
        </is>
      </c>
      <c r="B802" s="1" t="n">
        <v>45966</v>
      </c>
      <c r="C802" s="1" t="n">
        <v>46060</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4994-2026</t>
        </is>
      </c>
      <c r="B803" s="1" t="n">
        <v>46049</v>
      </c>
      <c r="C803" s="1" t="n">
        <v>46060</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53067-2022</t>
        </is>
      </c>
      <c r="B804" s="1" t="n">
        <v>44873</v>
      </c>
      <c r="C804" s="1" t="n">
        <v>46060</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46060</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5757-2026</t>
        </is>
      </c>
      <c r="B806" s="1" t="n">
        <v>46051.61309027778</v>
      </c>
      <c r="C806" s="1" t="n">
        <v>46060</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5103-2026</t>
        </is>
      </c>
      <c r="B807" s="1" t="n">
        <v>46049.56725694444</v>
      </c>
      <c r="C807" s="1" t="n">
        <v>46060</v>
      </c>
      <c r="D807" t="inlineStr">
        <is>
          <t>SKÅNE LÄN</t>
        </is>
      </c>
      <c r="E807" t="inlineStr">
        <is>
          <t>HÄSSLEHOLM</t>
        </is>
      </c>
      <c r="G807" t="n">
        <v>5.4</v>
      </c>
      <c r="H807" t="n">
        <v>0</v>
      </c>
      <c r="I807" t="n">
        <v>0</v>
      </c>
      <c r="J807" t="n">
        <v>0</v>
      </c>
      <c r="K807" t="n">
        <v>0</v>
      </c>
      <c r="L807" t="n">
        <v>0</v>
      </c>
      <c r="M807" t="n">
        <v>0</v>
      </c>
      <c r="N807" t="n">
        <v>0</v>
      </c>
      <c r="O807" t="n">
        <v>0</v>
      </c>
      <c r="P807" t="n">
        <v>0</v>
      </c>
      <c r="Q807" t="n">
        <v>0</v>
      </c>
      <c r="R807" s="2" t="inlineStr"/>
    </row>
    <row r="808" ht="15" customHeight="1">
      <c r="A808" t="inlineStr">
        <is>
          <t>A 5503-2026</t>
        </is>
      </c>
      <c r="B808" s="1" t="n">
        <v>46050.62509259259</v>
      </c>
      <c r="C808" s="1" t="n">
        <v>46060</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5516-2026</t>
        </is>
      </c>
      <c r="B809" s="1" t="n">
        <v>46050.64197916666</v>
      </c>
      <c r="C809" s="1" t="n">
        <v>46060</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62417-2025</t>
        </is>
      </c>
      <c r="B810" s="1" t="n">
        <v>46007</v>
      </c>
      <c r="C810" s="1" t="n">
        <v>46060</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46185-2022</t>
        </is>
      </c>
      <c r="B811" s="1" t="n">
        <v>44847</v>
      </c>
      <c r="C811" s="1" t="n">
        <v>46060</v>
      </c>
      <c r="D811" t="inlineStr">
        <is>
          <t>SKÅNE LÄN</t>
        </is>
      </c>
      <c r="E811" t="inlineStr">
        <is>
          <t>HÄSSLEHOLM</t>
        </is>
      </c>
      <c r="G811" t="n">
        <v>16.8</v>
      </c>
      <c r="H811" t="n">
        <v>0</v>
      </c>
      <c r="I811" t="n">
        <v>0</v>
      </c>
      <c r="J811" t="n">
        <v>0</v>
      </c>
      <c r="K811" t="n">
        <v>0</v>
      </c>
      <c r="L811" t="n">
        <v>0</v>
      </c>
      <c r="M811" t="n">
        <v>0</v>
      </c>
      <c r="N811" t="n">
        <v>0</v>
      </c>
      <c r="O811" t="n">
        <v>0</v>
      </c>
      <c r="P811" t="n">
        <v>0</v>
      </c>
      <c r="Q811" t="n">
        <v>0</v>
      </c>
      <c r="R811" s="2" t="inlineStr"/>
    </row>
    <row r="812" ht="15" customHeight="1">
      <c r="A812" t="inlineStr">
        <is>
          <t>A 18623-2023</t>
        </is>
      </c>
      <c r="B812" s="1" t="n">
        <v>45043</v>
      </c>
      <c r="C812" s="1" t="n">
        <v>46060</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33873-2021</t>
        </is>
      </c>
      <c r="B813" s="1" t="n">
        <v>44378</v>
      </c>
      <c r="C813" s="1" t="n">
        <v>46060</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46060</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15053-2023</t>
        </is>
      </c>
      <c r="B815" s="1" t="n">
        <v>45015</v>
      </c>
      <c r="C815" s="1" t="n">
        <v>46060</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9302-2025</t>
        </is>
      </c>
      <c r="B816" s="1" t="n">
        <v>45714.67233796296</v>
      </c>
      <c r="C816" s="1" t="n">
        <v>46060</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47907-2021</t>
        </is>
      </c>
      <c r="B817" s="1" t="n">
        <v>44448</v>
      </c>
      <c r="C817" s="1" t="n">
        <v>46060</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1197-2024</t>
        </is>
      </c>
      <c r="B818" s="1" t="n">
        <v>45302</v>
      </c>
      <c r="C818" s="1" t="n">
        <v>46060</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13712-2025</t>
        </is>
      </c>
      <c r="B819" s="1" t="n">
        <v>45737</v>
      </c>
      <c r="C819" s="1" t="n">
        <v>46060</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27349-2025</t>
        </is>
      </c>
      <c r="B820" s="1" t="n">
        <v>45812</v>
      </c>
      <c r="C820" s="1" t="n">
        <v>46060</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49950-2023</t>
        </is>
      </c>
      <c r="B821" s="1" t="n">
        <v>45215</v>
      </c>
      <c r="C821" s="1" t="n">
        <v>46060</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41694-2024</t>
        </is>
      </c>
      <c r="B822" s="1" t="n">
        <v>45560.68341435185</v>
      </c>
      <c r="C822" s="1" t="n">
        <v>46060</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63415-2025</t>
        </is>
      </c>
      <c r="B823" s="1" t="n">
        <v>46013.32163194445</v>
      </c>
      <c r="C823" s="1" t="n">
        <v>46060</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63416-2025</t>
        </is>
      </c>
      <c r="B824" s="1" t="n">
        <v>46013.3232175926</v>
      </c>
      <c r="C824" s="1" t="n">
        <v>46060</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63510-2025</t>
        </is>
      </c>
      <c r="B825" s="1" t="n">
        <v>46013.49172453704</v>
      </c>
      <c r="C825" s="1" t="n">
        <v>46060</v>
      </c>
      <c r="D825" t="inlineStr">
        <is>
          <t>SKÅNE LÄN</t>
        </is>
      </c>
      <c r="E825" t="inlineStr">
        <is>
          <t>HÄSSLEHOLM</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36795-2023</t>
        </is>
      </c>
      <c r="B826" s="1" t="n">
        <v>45154.38245370371</v>
      </c>
      <c r="C826" s="1" t="n">
        <v>46060</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46942-2024</t>
        </is>
      </c>
      <c r="B827" s="1" t="n">
        <v>45585.6684375</v>
      </c>
      <c r="C827" s="1" t="n">
        <v>46060</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6295-2026</t>
        </is>
      </c>
      <c r="B828" s="1" t="n">
        <v>46055.56115740741</v>
      </c>
      <c r="C828" s="1" t="n">
        <v>46060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6309-2026</t>
        </is>
      </c>
      <c r="B829" s="1" t="n">
        <v>46055.57369212963</v>
      </c>
      <c r="C829" s="1" t="n">
        <v>46060</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6363-2026</t>
        </is>
      </c>
      <c r="B830" s="1" t="n">
        <v>46055.62319444444</v>
      </c>
      <c r="C830" s="1" t="n">
        <v>46060</v>
      </c>
      <c r="D830" t="inlineStr">
        <is>
          <t>SKÅNE LÄN</t>
        </is>
      </c>
      <c r="E830" t="inlineStr">
        <is>
          <t>HÄSSLEHOLM</t>
        </is>
      </c>
      <c r="G830" t="n">
        <v>4.4</v>
      </c>
      <c r="H830" t="n">
        <v>0</v>
      </c>
      <c r="I830" t="n">
        <v>0</v>
      </c>
      <c r="J830" t="n">
        <v>0</v>
      </c>
      <c r="K830" t="n">
        <v>0</v>
      </c>
      <c r="L830" t="n">
        <v>0</v>
      </c>
      <c r="M830" t="n">
        <v>0</v>
      </c>
      <c r="N830" t="n">
        <v>0</v>
      </c>
      <c r="O830" t="n">
        <v>0</v>
      </c>
      <c r="P830" t="n">
        <v>0</v>
      </c>
      <c r="Q830" t="n">
        <v>0</v>
      </c>
      <c r="R830" s="2" t="inlineStr"/>
    </row>
    <row r="831" ht="15" customHeight="1">
      <c r="A831" t="inlineStr">
        <is>
          <t>A 43696-2024</t>
        </is>
      </c>
      <c r="B831" s="1" t="n">
        <v>45569.58855324074</v>
      </c>
      <c r="C831" s="1" t="n">
        <v>46060</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63354-2025</t>
        </is>
      </c>
      <c r="B832" s="1" t="n">
        <v>46010.66957175926</v>
      </c>
      <c r="C832" s="1" t="n">
        <v>46060</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36706-2022</t>
        </is>
      </c>
      <c r="B833" s="1" t="n">
        <v>44805.32891203704</v>
      </c>
      <c r="C833" s="1" t="n">
        <v>46060</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54426-2025</t>
        </is>
      </c>
      <c r="B834" s="1" t="n">
        <v>45965</v>
      </c>
      <c r="C834" s="1" t="n">
        <v>46060</v>
      </c>
      <c r="D834" t="inlineStr">
        <is>
          <t>SKÅNE LÄN</t>
        </is>
      </c>
      <c r="E834" t="inlineStr">
        <is>
          <t>HÄSSLEHOLM</t>
        </is>
      </c>
      <c r="G834" t="n">
        <v>3.7</v>
      </c>
      <c r="H834" t="n">
        <v>0</v>
      </c>
      <c r="I834" t="n">
        <v>0</v>
      </c>
      <c r="J834" t="n">
        <v>0</v>
      </c>
      <c r="K834" t="n">
        <v>0</v>
      </c>
      <c r="L834" t="n">
        <v>0</v>
      </c>
      <c r="M834" t="n">
        <v>0</v>
      </c>
      <c r="N834" t="n">
        <v>0</v>
      </c>
      <c r="O834" t="n">
        <v>0</v>
      </c>
      <c r="P834" t="n">
        <v>0</v>
      </c>
      <c r="Q834" t="n">
        <v>0</v>
      </c>
      <c r="R834" s="2" t="inlineStr"/>
    </row>
    <row r="835" ht="15" customHeight="1">
      <c r="A835" t="inlineStr">
        <is>
          <t>A 63473-2025</t>
        </is>
      </c>
      <c r="B835" s="1" t="n">
        <v>46013.44364583334</v>
      </c>
      <c r="C835" s="1" t="n">
        <v>46060</v>
      </c>
      <c r="D835" t="inlineStr">
        <is>
          <t>SKÅNE LÄN</t>
        </is>
      </c>
      <c r="E835" t="inlineStr">
        <is>
          <t>HÄSSLEHOLM</t>
        </is>
      </c>
      <c r="F835" t="inlineStr">
        <is>
          <t>Kommuner</t>
        </is>
      </c>
      <c r="G835" t="n">
        <v>5.9</v>
      </c>
      <c r="H835" t="n">
        <v>0</v>
      </c>
      <c r="I835" t="n">
        <v>0</v>
      </c>
      <c r="J835" t="n">
        <v>0</v>
      </c>
      <c r="K835" t="n">
        <v>0</v>
      </c>
      <c r="L835" t="n">
        <v>0</v>
      </c>
      <c r="M835" t="n">
        <v>0</v>
      </c>
      <c r="N835" t="n">
        <v>0</v>
      </c>
      <c r="O835" t="n">
        <v>0</v>
      </c>
      <c r="P835" t="n">
        <v>0</v>
      </c>
      <c r="Q835" t="n">
        <v>0</v>
      </c>
      <c r="R835" s="2" t="inlineStr"/>
    </row>
    <row r="836" ht="15" customHeight="1">
      <c r="A836" t="inlineStr">
        <is>
          <t>A 63487-2025</t>
        </is>
      </c>
      <c r="B836" s="1" t="n">
        <v>46013.46878472222</v>
      </c>
      <c r="C836" s="1" t="n">
        <v>46060</v>
      </c>
      <c r="D836" t="inlineStr">
        <is>
          <t>SKÅNE LÄN</t>
        </is>
      </c>
      <c r="E836" t="inlineStr">
        <is>
          <t>HÄSSLEHOLM</t>
        </is>
      </c>
      <c r="F836" t="inlineStr">
        <is>
          <t>Kommuner</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22594-2024</t>
        </is>
      </c>
      <c r="B837" s="1" t="n">
        <v>45447.60892361111</v>
      </c>
      <c r="C837" s="1" t="n">
        <v>46060</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63414-2025</t>
        </is>
      </c>
      <c r="B838" s="1" t="n">
        <v>46013.32008101852</v>
      </c>
      <c r="C838" s="1" t="n">
        <v>46060</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63476-2025</t>
        </is>
      </c>
      <c r="B839" s="1" t="n">
        <v>46013.44621527778</v>
      </c>
      <c r="C839" s="1" t="n">
        <v>46060</v>
      </c>
      <c r="D839" t="inlineStr">
        <is>
          <t>SKÅNE LÄN</t>
        </is>
      </c>
      <c r="E839" t="inlineStr">
        <is>
          <t>HÄSSLEHOLM</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63284-2025</t>
        </is>
      </c>
      <c r="B840" s="1" t="n">
        <v>46010</v>
      </c>
      <c r="C840" s="1" t="n">
        <v>46060</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25213-2023</t>
        </is>
      </c>
      <c r="B841" s="1" t="n">
        <v>45086.60010416667</v>
      </c>
      <c r="C841" s="1" t="n">
        <v>46060</v>
      </c>
      <c r="D841" t="inlineStr">
        <is>
          <t>SKÅNE LÄN</t>
        </is>
      </c>
      <c r="E841" t="inlineStr">
        <is>
          <t>HÄSSLEHOLM</t>
        </is>
      </c>
      <c r="G841" t="n">
        <v>7.2</v>
      </c>
      <c r="H841" t="n">
        <v>0</v>
      </c>
      <c r="I841" t="n">
        <v>0</v>
      </c>
      <c r="J841" t="n">
        <v>0</v>
      </c>
      <c r="K841" t="n">
        <v>0</v>
      </c>
      <c r="L841" t="n">
        <v>0</v>
      </c>
      <c r="M841" t="n">
        <v>0</v>
      </c>
      <c r="N841" t="n">
        <v>0</v>
      </c>
      <c r="O841" t="n">
        <v>0</v>
      </c>
      <c r="P841" t="n">
        <v>0</v>
      </c>
      <c r="Q841" t="n">
        <v>0</v>
      </c>
      <c r="R841" s="2" t="inlineStr"/>
    </row>
    <row r="842" ht="15" customHeight="1">
      <c r="A842" t="inlineStr">
        <is>
          <t>A 18063-2023</t>
        </is>
      </c>
      <c r="B842" s="1" t="n">
        <v>45040.62850694444</v>
      </c>
      <c r="C842" s="1" t="n">
        <v>46060</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6449-2026</t>
        </is>
      </c>
      <c r="B843" s="1" t="n">
        <v>46055.87239583334</v>
      </c>
      <c r="C843" s="1" t="n">
        <v>46060</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47422-2025</t>
        </is>
      </c>
      <c r="B844" s="1" t="n">
        <v>45930</v>
      </c>
      <c r="C844" s="1" t="n">
        <v>46060</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61524-2022</t>
        </is>
      </c>
      <c r="B845" s="1" t="n">
        <v>44910</v>
      </c>
      <c r="C845" s="1" t="n">
        <v>46060</v>
      </c>
      <c r="D845" t="inlineStr">
        <is>
          <t>SKÅNE LÄN</t>
        </is>
      </c>
      <c r="E845" t="inlineStr">
        <is>
          <t>HÄSSLEHOLM</t>
        </is>
      </c>
      <c r="F845" t="inlineStr">
        <is>
          <t>Kyrkan</t>
        </is>
      </c>
      <c r="G845" t="n">
        <v>2.1</v>
      </c>
      <c r="H845" t="n">
        <v>0</v>
      </c>
      <c r="I845" t="n">
        <v>0</v>
      </c>
      <c r="J845" t="n">
        <v>0</v>
      </c>
      <c r="K845" t="n">
        <v>0</v>
      </c>
      <c r="L845" t="n">
        <v>0</v>
      </c>
      <c r="M845" t="n">
        <v>0</v>
      </c>
      <c r="N845" t="n">
        <v>0</v>
      </c>
      <c r="O845" t="n">
        <v>0</v>
      </c>
      <c r="P845" t="n">
        <v>0</v>
      </c>
      <c r="Q845" t="n">
        <v>0</v>
      </c>
      <c r="R845" s="2" t="inlineStr"/>
    </row>
    <row r="846" ht="15" customHeight="1">
      <c r="A846" t="inlineStr">
        <is>
          <t>A 61578-2023</t>
        </is>
      </c>
      <c r="B846" s="1" t="n">
        <v>45265.47399305556</v>
      </c>
      <c r="C846" s="1" t="n">
        <v>46060</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47432-2025</t>
        </is>
      </c>
      <c r="B847" s="1" t="n">
        <v>45930</v>
      </c>
      <c r="C847" s="1" t="n">
        <v>46060</v>
      </c>
      <c r="D847" t="inlineStr">
        <is>
          <t>SKÅNE LÄN</t>
        </is>
      </c>
      <c r="E847" t="inlineStr">
        <is>
          <t>HÄSSLEHOLM</t>
        </is>
      </c>
      <c r="G847" t="n">
        <v>3.1</v>
      </c>
      <c r="H847" t="n">
        <v>0</v>
      </c>
      <c r="I847" t="n">
        <v>0</v>
      </c>
      <c r="J847" t="n">
        <v>0</v>
      </c>
      <c r="K847" t="n">
        <v>0</v>
      </c>
      <c r="L847" t="n">
        <v>0</v>
      </c>
      <c r="M847" t="n">
        <v>0</v>
      </c>
      <c r="N847" t="n">
        <v>0</v>
      </c>
      <c r="O847" t="n">
        <v>0</v>
      </c>
      <c r="P847" t="n">
        <v>0</v>
      </c>
      <c r="Q847" t="n">
        <v>0</v>
      </c>
      <c r="R847" s="2" t="inlineStr"/>
    </row>
    <row r="848" ht="15" customHeight="1">
      <c r="A848" t="inlineStr">
        <is>
          <t>A 47450-2025</t>
        </is>
      </c>
      <c r="B848" s="1" t="n">
        <v>45930</v>
      </c>
      <c r="C848" s="1" t="n">
        <v>46060</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25542-2024</t>
        </is>
      </c>
      <c r="B849" s="1" t="n">
        <v>45463</v>
      </c>
      <c r="C849" s="1" t="n">
        <v>46060</v>
      </c>
      <c r="D849" t="inlineStr">
        <is>
          <t>SKÅNE LÄN</t>
        </is>
      </c>
      <c r="E849" t="inlineStr">
        <is>
          <t>HÄSSLEHOLM</t>
        </is>
      </c>
      <c r="G849" t="n">
        <v>6.9</v>
      </c>
      <c r="H849" t="n">
        <v>0</v>
      </c>
      <c r="I849" t="n">
        <v>0</v>
      </c>
      <c r="J849" t="n">
        <v>0</v>
      </c>
      <c r="K849" t="n">
        <v>0</v>
      </c>
      <c r="L849" t="n">
        <v>0</v>
      </c>
      <c r="M849" t="n">
        <v>0</v>
      </c>
      <c r="N849" t="n">
        <v>0</v>
      </c>
      <c r="O849" t="n">
        <v>0</v>
      </c>
      <c r="P849" t="n">
        <v>0</v>
      </c>
      <c r="Q849" t="n">
        <v>0</v>
      </c>
      <c r="R849" s="2" t="inlineStr"/>
    </row>
    <row r="850" ht="15" customHeight="1">
      <c r="A850" t="inlineStr">
        <is>
          <t>A 47352-2025</t>
        </is>
      </c>
      <c r="B850" s="1" t="n">
        <v>45930</v>
      </c>
      <c r="C850" s="1" t="n">
        <v>46060</v>
      </c>
      <c r="D850" t="inlineStr">
        <is>
          <t>SKÅNE LÄN</t>
        </is>
      </c>
      <c r="E850" t="inlineStr">
        <is>
          <t>HÄSSLEHOLM</t>
        </is>
      </c>
      <c r="G850" t="n">
        <v>16.6</v>
      </c>
      <c r="H850" t="n">
        <v>0</v>
      </c>
      <c r="I850" t="n">
        <v>0</v>
      </c>
      <c r="J850" t="n">
        <v>0</v>
      </c>
      <c r="K850" t="n">
        <v>0</v>
      </c>
      <c r="L850" t="n">
        <v>0</v>
      </c>
      <c r="M850" t="n">
        <v>0</v>
      </c>
      <c r="N850" t="n">
        <v>0</v>
      </c>
      <c r="O850" t="n">
        <v>0</v>
      </c>
      <c r="P850" t="n">
        <v>0</v>
      </c>
      <c r="Q850" t="n">
        <v>0</v>
      </c>
      <c r="R850" s="2" t="inlineStr"/>
    </row>
    <row r="851" ht="15" customHeight="1">
      <c r="A851" t="inlineStr">
        <is>
          <t>A 6877-2026</t>
        </is>
      </c>
      <c r="B851" s="1" t="n">
        <v>46057.45768518518</v>
      </c>
      <c r="C851" s="1" t="n">
        <v>46060</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63710-2025</t>
        </is>
      </c>
      <c r="B852" s="1" t="n">
        <v>46014.62143518519</v>
      </c>
      <c r="C852" s="1" t="n">
        <v>46060</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42370-2023</t>
        </is>
      </c>
      <c r="B853" s="1" t="n">
        <v>45180</v>
      </c>
      <c r="C853" s="1" t="n">
        <v>46060</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63712-2025</t>
        </is>
      </c>
      <c r="B854" s="1" t="n">
        <v>46014.63092592593</v>
      </c>
      <c r="C854" s="1" t="n">
        <v>46060</v>
      </c>
      <c r="D854" t="inlineStr">
        <is>
          <t>SKÅNE LÄN</t>
        </is>
      </c>
      <c r="E854" t="inlineStr">
        <is>
          <t>HÄSSLEHOLM</t>
        </is>
      </c>
      <c r="G854" t="n">
        <v>3.9</v>
      </c>
      <c r="H854" t="n">
        <v>0</v>
      </c>
      <c r="I854" t="n">
        <v>0</v>
      </c>
      <c r="J854" t="n">
        <v>0</v>
      </c>
      <c r="K854" t="n">
        <v>0</v>
      </c>
      <c r="L854" t="n">
        <v>0</v>
      </c>
      <c r="M854" t="n">
        <v>0</v>
      </c>
      <c r="N854" t="n">
        <v>0</v>
      </c>
      <c r="O854" t="n">
        <v>0</v>
      </c>
      <c r="P854" t="n">
        <v>0</v>
      </c>
      <c r="Q854" t="n">
        <v>0</v>
      </c>
      <c r="R854" s="2" t="inlineStr"/>
    </row>
    <row r="855" ht="15" customHeight="1">
      <c r="A855" t="inlineStr">
        <is>
          <t>A 11422-2025</t>
        </is>
      </c>
      <c r="B855" s="1" t="n">
        <v>45726</v>
      </c>
      <c r="C855" s="1" t="n">
        <v>46060</v>
      </c>
      <c r="D855" t="inlineStr">
        <is>
          <t>SKÅNE LÄN</t>
        </is>
      </c>
      <c r="E855" t="inlineStr">
        <is>
          <t>HÄSSLEHOLM</t>
        </is>
      </c>
      <c r="G855" t="n">
        <v>14.9</v>
      </c>
      <c r="H855" t="n">
        <v>0</v>
      </c>
      <c r="I855" t="n">
        <v>0</v>
      </c>
      <c r="J855" t="n">
        <v>0</v>
      </c>
      <c r="K855" t="n">
        <v>0</v>
      </c>
      <c r="L855" t="n">
        <v>0</v>
      </c>
      <c r="M855" t="n">
        <v>0</v>
      </c>
      <c r="N855" t="n">
        <v>0</v>
      </c>
      <c r="O855" t="n">
        <v>0</v>
      </c>
      <c r="P855" t="n">
        <v>0</v>
      </c>
      <c r="Q855" t="n">
        <v>0</v>
      </c>
      <c r="R855" s="2" t="inlineStr"/>
    </row>
    <row r="856" ht="15" customHeight="1">
      <c r="A856" t="inlineStr">
        <is>
          <t>A 63709-2025</t>
        </is>
      </c>
      <c r="B856" s="1" t="n">
        <v>46014.61700231482</v>
      </c>
      <c r="C856" s="1" t="n">
        <v>46060</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47394-2025</t>
        </is>
      </c>
      <c r="B857" s="1" t="n">
        <v>45930</v>
      </c>
      <c r="C857" s="1" t="n">
        <v>46060</v>
      </c>
      <c r="D857" t="inlineStr">
        <is>
          <t>SKÅNE LÄN</t>
        </is>
      </c>
      <c r="E857" t="inlineStr">
        <is>
          <t>HÄSSLEHOLM</t>
        </is>
      </c>
      <c r="G857" t="n">
        <v>2.4</v>
      </c>
      <c r="H857" t="n">
        <v>0</v>
      </c>
      <c r="I857" t="n">
        <v>0</v>
      </c>
      <c r="J857" t="n">
        <v>0</v>
      </c>
      <c r="K857" t="n">
        <v>0</v>
      </c>
      <c r="L857" t="n">
        <v>0</v>
      </c>
      <c r="M857" t="n">
        <v>0</v>
      </c>
      <c r="N857" t="n">
        <v>0</v>
      </c>
      <c r="O857" t="n">
        <v>0</v>
      </c>
      <c r="P857" t="n">
        <v>0</v>
      </c>
      <c r="Q857" t="n">
        <v>0</v>
      </c>
      <c r="R857" s="2" t="inlineStr"/>
    </row>
    <row r="858" ht="15" customHeight="1">
      <c r="A858" t="inlineStr">
        <is>
          <t>A 7604-2024</t>
        </is>
      </c>
      <c r="B858" s="1" t="n">
        <v>45348</v>
      </c>
      <c r="C858" s="1" t="n">
        <v>46060</v>
      </c>
      <c r="D858" t="inlineStr">
        <is>
          <t>SKÅNE LÄN</t>
        </is>
      </c>
      <c r="E858" t="inlineStr">
        <is>
          <t>HÄSSLEHOLM</t>
        </is>
      </c>
      <c r="G858" t="n">
        <v>11.1</v>
      </c>
      <c r="H858" t="n">
        <v>0</v>
      </c>
      <c r="I858" t="n">
        <v>0</v>
      </c>
      <c r="J858" t="n">
        <v>0</v>
      </c>
      <c r="K858" t="n">
        <v>0</v>
      </c>
      <c r="L858" t="n">
        <v>0</v>
      </c>
      <c r="M858" t="n">
        <v>0</v>
      </c>
      <c r="N858" t="n">
        <v>0</v>
      </c>
      <c r="O858" t="n">
        <v>0</v>
      </c>
      <c r="P858" t="n">
        <v>0</v>
      </c>
      <c r="Q858" t="n">
        <v>0</v>
      </c>
      <c r="R858" s="2" t="inlineStr"/>
    </row>
    <row r="859" ht="15" customHeight="1">
      <c r="A859" t="inlineStr">
        <is>
          <t>A 29853-2024</t>
        </is>
      </c>
      <c r="B859" s="1" t="n">
        <v>45485.65844907407</v>
      </c>
      <c r="C859" s="1" t="n">
        <v>46060</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29287-2023</t>
        </is>
      </c>
      <c r="B860" s="1" t="n">
        <v>45098</v>
      </c>
      <c r="C860" s="1" t="n">
        <v>46060</v>
      </c>
      <c r="D860" t="inlineStr">
        <is>
          <t>SKÅNE LÄN</t>
        </is>
      </c>
      <c r="E860" t="inlineStr">
        <is>
          <t>HÄSSLEHOLM</t>
        </is>
      </c>
      <c r="G860" t="n">
        <v>5.7</v>
      </c>
      <c r="H860" t="n">
        <v>0</v>
      </c>
      <c r="I860" t="n">
        <v>0</v>
      </c>
      <c r="J860" t="n">
        <v>0</v>
      </c>
      <c r="K860" t="n">
        <v>0</v>
      </c>
      <c r="L860" t="n">
        <v>0</v>
      </c>
      <c r="M860" t="n">
        <v>0</v>
      </c>
      <c r="N860" t="n">
        <v>0</v>
      </c>
      <c r="O860" t="n">
        <v>0</v>
      </c>
      <c r="P860" t="n">
        <v>0</v>
      </c>
      <c r="Q860" t="n">
        <v>0</v>
      </c>
      <c r="R860" s="2" t="inlineStr"/>
    </row>
    <row r="861" ht="15" customHeight="1">
      <c r="A861" t="inlineStr">
        <is>
          <t>A 5992-2022</t>
        </is>
      </c>
      <c r="B861" s="1" t="n">
        <v>44599</v>
      </c>
      <c r="C861" s="1" t="n">
        <v>46060</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8160-2024</t>
        </is>
      </c>
      <c r="B862" s="1" t="n">
        <v>45351</v>
      </c>
      <c r="C862" s="1" t="n">
        <v>46060</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25324-2024</t>
        </is>
      </c>
      <c r="B863" s="1" t="n">
        <v>45462.804375</v>
      </c>
      <c r="C863" s="1" t="n">
        <v>46060</v>
      </c>
      <c r="D863" t="inlineStr">
        <is>
          <t>SKÅNE LÄN</t>
        </is>
      </c>
      <c r="E863" t="inlineStr">
        <is>
          <t>HÄSSLEHOLM</t>
        </is>
      </c>
      <c r="G863" t="n">
        <v>0.2</v>
      </c>
      <c r="H863" t="n">
        <v>0</v>
      </c>
      <c r="I863" t="n">
        <v>0</v>
      </c>
      <c r="J863" t="n">
        <v>0</v>
      </c>
      <c r="K863" t="n">
        <v>0</v>
      </c>
      <c r="L863" t="n">
        <v>0</v>
      </c>
      <c r="M863" t="n">
        <v>0</v>
      </c>
      <c r="N863" t="n">
        <v>0</v>
      </c>
      <c r="O863" t="n">
        <v>0</v>
      </c>
      <c r="P863" t="n">
        <v>0</v>
      </c>
      <c r="Q863" t="n">
        <v>0</v>
      </c>
      <c r="R863" s="2" t="inlineStr"/>
    </row>
    <row r="864" ht="15" customHeight="1">
      <c r="A864" t="inlineStr">
        <is>
          <t>A 8803-2023</t>
        </is>
      </c>
      <c r="B864" s="1" t="n">
        <v>44978.61712962963</v>
      </c>
      <c r="C864" s="1" t="n">
        <v>46060</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4809-2025</t>
        </is>
      </c>
      <c r="B865" s="1" t="n">
        <v>45688.60148148148</v>
      </c>
      <c r="C865" s="1" t="n">
        <v>46060</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12780-2024</t>
        </is>
      </c>
      <c r="B866" s="1" t="n">
        <v>45384.59726851852</v>
      </c>
      <c r="C866" s="1" t="n">
        <v>46060</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46060</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41680-2024</t>
        </is>
      </c>
      <c r="B868" s="1" t="n">
        <v>45560</v>
      </c>
      <c r="C868" s="1" t="n">
        <v>46060</v>
      </c>
      <c r="D868" t="inlineStr">
        <is>
          <t>SKÅNE LÄN</t>
        </is>
      </c>
      <c r="E868" t="inlineStr">
        <is>
          <t>HÄSSLEHOLM</t>
        </is>
      </c>
      <c r="G868" t="n">
        <v>0.2</v>
      </c>
      <c r="H868" t="n">
        <v>0</v>
      </c>
      <c r="I868" t="n">
        <v>0</v>
      </c>
      <c r="J868" t="n">
        <v>0</v>
      </c>
      <c r="K868" t="n">
        <v>0</v>
      </c>
      <c r="L868" t="n">
        <v>0</v>
      </c>
      <c r="M868" t="n">
        <v>0</v>
      </c>
      <c r="N868" t="n">
        <v>0</v>
      </c>
      <c r="O868" t="n">
        <v>0</v>
      </c>
      <c r="P868" t="n">
        <v>0</v>
      </c>
      <c r="Q868" t="n">
        <v>0</v>
      </c>
      <c r="R868" s="2" t="inlineStr"/>
    </row>
    <row r="869" ht="15" customHeight="1">
      <c r="A869" t="inlineStr">
        <is>
          <t>A 26857-2025</t>
        </is>
      </c>
      <c r="B869" s="1" t="n">
        <v>45810</v>
      </c>
      <c r="C869" s="1" t="n">
        <v>46060</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7244-2026</t>
        </is>
      </c>
      <c r="B870" s="1" t="n">
        <v>46058.58646990741</v>
      </c>
      <c r="C870" s="1" t="n">
        <v>46060</v>
      </c>
      <c r="D870" t="inlineStr">
        <is>
          <t>SKÅNE LÄN</t>
        </is>
      </c>
      <c r="E870" t="inlineStr">
        <is>
          <t>HÄSSLEHOLM</t>
        </is>
      </c>
      <c r="G870" t="n">
        <v>7</v>
      </c>
      <c r="H870" t="n">
        <v>0</v>
      </c>
      <c r="I870" t="n">
        <v>0</v>
      </c>
      <c r="J870" t="n">
        <v>0</v>
      </c>
      <c r="K870" t="n">
        <v>0</v>
      </c>
      <c r="L870" t="n">
        <v>0</v>
      </c>
      <c r="M870" t="n">
        <v>0</v>
      </c>
      <c r="N870" t="n">
        <v>0</v>
      </c>
      <c r="O870" t="n">
        <v>0</v>
      </c>
      <c r="P870" t="n">
        <v>0</v>
      </c>
      <c r="Q870" t="n">
        <v>0</v>
      </c>
      <c r="R870" s="2" t="inlineStr"/>
    </row>
    <row r="871" ht="15" customHeight="1">
      <c r="A871" t="inlineStr">
        <is>
          <t>A 30006-2023</t>
        </is>
      </c>
      <c r="B871" s="1" t="n">
        <v>45109.79962962963</v>
      </c>
      <c r="C871" s="1" t="n">
        <v>46060</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49167-2022</t>
        </is>
      </c>
      <c r="B872" s="1" t="n">
        <v>44860</v>
      </c>
      <c r="C872" s="1" t="n">
        <v>46060</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20510-2021</t>
        </is>
      </c>
      <c r="B873" s="1" t="n">
        <v>44315</v>
      </c>
      <c r="C873" s="1" t="n">
        <v>46060</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57963-2023</t>
        </is>
      </c>
      <c r="B874" s="1" t="n">
        <v>45247.57732638889</v>
      </c>
      <c r="C874" s="1" t="n">
        <v>46060</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57033-2022</t>
        </is>
      </c>
      <c r="B875" s="1" t="n">
        <v>44895.31270833333</v>
      </c>
      <c r="C875" s="1" t="n">
        <v>46060</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58689-2025</t>
        </is>
      </c>
      <c r="B876" s="1" t="n">
        <v>45986</v>
      </c>
      <c r="C876" s="1" t="n">
        <v>46060</v>
      </c>
      <c r="D876" t="inlineStr">
        <is>
          <t>SKÅNE LÄN</t>
        </is>
      </c>
      <c r="E876" t="inlineStr">
        <is>
          <t>HÄSSLEHOLM</t>
        </is>
      </c>
      <c r="G876" t="n">
        <v>3.9</v>
      </c>
      <c r="H876" t="n">
        <v>0</v>
      </c>
      <c r="I876" t="n">
        <v>0</v>
      </c>
      <c r="J876" t="n">
        <v>0</v>
      </c>
      <c r="K876" t="n">
        <v>0</v>
      </c>
      <c r="L876" t="n">
        <v>0</v>
      </c>
      <c r="M876" t="n">
        <v>0</v>
      </c>
      <c r="N876" t="n">
        <v>0</v>
      </c>
      <c r="O876" t="n">
        <v>0</v>
      </c>
      <c r="P876" t="n">
        <v>0</v>
      </c>
      <c r="Q876" t="n">
        <v>0</v>
      </c>
      <c r="R876" s="2" t="inlineStr"/>
    </row>
    <row r="877" ht="15" customHeight="1">
      <c r="A877" t="inlineStr">
        <is>
          <t>A 35845-2022</t>
        </is>
      </c>
      <c r="B877" s="1" t="n">
        <v>44802</v>
      </c>
      <c r="C877" s="1" t="n">
        <v>46060</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22140-2023</t>
        </is>
      </c>
      <c r="B878" s="1" t="n">
        <v>45065</v>
      </c>
      <c r="C878" s="1" t="n">
        <v>46060</v>
      </c>
      <c r="D878" t="inlineStr">
        <is>
          <t>SKÅNE LÄN</t>
        </is>
      </c>
      <c r="E878" t="inlineStr">
        <is>
          <t>HÄSSLEHOLM</t>
        </is>
      </c>
      <c r="G878" t="n">
        <v>6.7</v>
      </c>
      <c r="H878" t="n">
        <v>0</v>
      </c>
      <c r="I878" t="n">
        <v>0</v>
      </c>
      <c r="J878" t="n">
        <v>0</v>
      </c>
      <c r="K878" t="n">
        <v>0</v>
      </c>
      <c r="L878" t="n">
        <v>0</v>
      </c>
      <c r="M878" t="n">
        <v>0</v>
      </c>
      <c r="N878" t="n">
        <v>0</v>
      </c>
      <c r="O878" t="n">
        <v>0</v>
      </c>
      <c r="P878" t="n">
        <v>0</v>
      </c>
      <c r="Q878" t="n">
        <v>0</v>
      </c>
      <c r="R878" s="2" t="inlineStr"/>
    </row>
    <row r="879" ht="15" customHeight="1">
      <c r="A879" t="inlineStr">
        <is>
          <t>A 6316-2026</t>
        </is>
      </c>
      <c r="B879" s="1" t="n">
        <v>46055</v>
      </c>
      <c r="C879" s="1" t="n">
        <v>46060</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7653-2024</t>
        </is>
      </c>
      <c r="B880" s="1" t="n">
        <v>45348.69043981482</v>
      </c>
      <c r="C880" s="1" t="n">
        <v>46060</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6328-2026</t>
        </is>
      </c>
      <c r="B881" s="1" t="n">
        <v>46055</v>
      </c>
      <c r="C881" s="1" t="n">
        <v>46060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46060</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46060</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46060</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46060</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46060</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46060</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46060</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46060</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46060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46060</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46060</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46060</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46060</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46060</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46060</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46060</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46060</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46060</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46060</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46060</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46060</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46060</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46060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46060</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46060</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46060</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46060</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46060</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46060</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46060</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46060</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46060</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46060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46060</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46060</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46060</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46060</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46060</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46060</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46060</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46060</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46060</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46060</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46060</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46060</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46060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46060</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46060</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46060</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46060</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46060</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46060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46060</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46060</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46060</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46060</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46060</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46060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46060</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46060</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46060</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46060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46060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46060</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46060</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46060</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46060</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46060</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46060</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46060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46060</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46060</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46060</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46060</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46060</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46060</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46060</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46060</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46060</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46060</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46060</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46060</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46060</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46060</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46060</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46060</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46060</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46060</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46060</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46060</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46060</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46060</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46060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46060</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46060</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46060</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46060</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46060</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46060</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46060</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46060</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46060</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46060</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46060</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46060</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46060</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46060</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46060</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46060</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46060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46060</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46060</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46060</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46060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46060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46060</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46060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46060</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46060</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46060</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46060</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46060</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46060</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46060</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46060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46060</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46060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46060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46060</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46060</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46060</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46060</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46060</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46060</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46060</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46060</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46060</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46060</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46060</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46060</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46060</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46060</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46060</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46060</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46060</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46060</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46060</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46060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46060</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46060</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46060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46060</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46060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46060</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46060</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46060</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46060</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46060</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46060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46060</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46060</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46060</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46060</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46060</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46060</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46060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46060</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46060</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46060</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46060</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46060</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46060</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46060</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46060</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46060</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46060</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46060</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46060</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46060</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46060</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46060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46060</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46060</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46060</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46060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46060</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46060</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46060</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46060</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46060</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46060</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46060</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46060</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46060</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46060</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46060</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46060</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46060</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46060</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46060</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46060</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46060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46060</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46060</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46060</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46060</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46060</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46060</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46060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46060</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46060</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46060</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46060</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46060</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46060</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46060</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46060</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46060</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46060</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46060</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46060</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46060</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46060</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46060</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46060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46060</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46060</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46060</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46060</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46060</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46060</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46060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46060</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46060</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46060</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46060</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46060</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46060</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46060</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46060</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46060</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46060</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46060</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46060</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46060</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46060</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46060</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46060</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46060</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46060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46060</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46060</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46060</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46060</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46060</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46060</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46060</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46060</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46060</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46060</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46060</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46060</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46060</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46060</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46060</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46060</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46060</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46060</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46060</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46060</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46060</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46060</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46060</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46060</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46060</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46060</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46060</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46060</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46060</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46060</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46060</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46060</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46060</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46060</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56069-2024</t>
        </is>
      </c>
      <c r="B1166" s="1" t="n">
        <v>45624.38006944444</v>
      </c>
      <c r="C1166" s="1" t="n">
        <v>46060</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7681-2025</t>
        </is>
      </c>
      <c r="B1167" s="1" t="n">
        <v>45706.36758101852</v>
      </c>
      <c r="C1167" s="1" t="n">
        <v>46060</v>
      </c>
      <c r="D1167" t="inlineStr">
        <is>
          <t>SKÅNE LÄN</t>
        </is>
      </c>
      <c r="E1167" t="inlineStr">
        <is>
          <t>HÄSSLEHOLM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24032-2025</t>
        </is>
      </c>
      <c r="B1168" s="1" t="n">
        <v>45796.478125</v>
      </c>
      <c r="C1168" s="1" t="n">
        <v>46060</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6596-2021</t>
        </is>
      </c>
      <c r="B1169" s="1" t="n">
        <v>44236</v>
      </c>
      <c r="C1169" s="1" t="n">
        <v>46060</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60789-2024</t>
        </is>
      </c>
      <c r="B1170" s="1" t="n">
        <v>45644</v>
      </c>
      <c r="C1170" s="1" t="n">
        <v>46060</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5252-2025</t>
        </is>
      </c>
      <c r="B1171" s="1" t="n">
        <v>45692.3449537037</v>
      </c>
      <c r="C1171" s="1" t="n">
        <v>46060</v>
      </c>
      <c r="D1171" t="inlineStr">
        <is>
          <t>SKÅNE LÄN</t>
        </is>
      </c>
      <c r="E1171" t="inlineStr">
        <is>
          <t>HÄSSLEHOLM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5242-2025</t>
        </is>
      </c>
      <c r="B1172" s="1" t="n">
        <v>45692.32883101852</v>
      </c>
      <c r="C1172" s="1" t="n">
        <v>46060</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24034-2025</t>
        </is>
      </c>
      <c r="B1173" s="1" t="n">
        <v>45796.48251157408</v>
      </c>
      <c r="C1173" s="1" t="n">
        <v>46060</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24250-2025</t>
        </is>
      </c>
      <c r="B1174" s="1" t="n">
        <v>45797.40260416667</v>
      </c>
      <c r="C1174" s="1" t="n">
        <v>46060</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24029-2025</t>
        </is>
      </c>
      <c r="B1175" s="1" t="n">
        <v>45796.47552083333</v>
      </c>
      <c r="C1175" s="1" t="n">
        <v>46060</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24039-2025</t>
        </is>
      </c>
      <c r="B1176" s="1" t="n">
        <v>45796.48675925926</v>
      </c>
      <c r="C1176" s="1" t="n">
        <v>46060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c r="A1177" t="inlineStr">
        <is>
          <t>A 24047-2025</t>
        </is>
      </c>
      <c r="B1177" s="1" t="n">
        <v>45796.49528935185</v>
      </c>
      <c r="C1177" s="1" t="n">
        <v>46060</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2026-02-07T13:52:03Z</dcterms:created>
  <dcterms:modified xmlns:dcterms="http://purl.org/dc/terms/" xmlns:xsi="http://www.w3.org/2001/XMLSchema-instance" xsi:type="dcterms:W3CDTF">2026-02-07T13:52:04Z</dcterms:modified>
</cp:coreProperties>
</file>