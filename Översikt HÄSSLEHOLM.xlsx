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45999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45999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45999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45999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45999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45999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45999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45999</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45999</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45999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45999</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45999</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45999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45999</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45999</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49572-2022</t>
        </is>
      </c>
      <c r="B21" s="1" t="n">
        <v>44862.335</v>
      </c>
      <c r="C21" s="1" t="n">
        <v>45999</v>
      </c>
      <c r="D21" t="inlineStr">
        <is>
          <t>SKÅNE LÄN</t>
        </is>
      </c>
      <c r="E21" t="inlineStr">
        <is>
          <t>HÄSSLEHOLM</t>
        </is>
      </c>
      <c r="G21" t="n">
        <v>1.4</v>
      </c>
      <c r="H21" t="n">
        <v>0</v>
      </c>
      <c r="I21" t="n">
        <v>1</v>
      </c>
      <c r="J21" t="n">
        <v>0</v>
      </c>
      <c r="K21" t="n">
        <v>0</v>
      </c>
      <c r="L21" t="n">
        <v>0</v>
      </c>
      <c r="M21" t="n">
        <v>0</v>
      </c>
      <c r="N21" t="n">
        <v>0</v>
      </c>
      <c r="O21" t="n">
        <v>0</v>
      </c>
      <c r="P21" t="n">
        <v>0</v>
      </c>
      <c r="Q21" t="n">
        <v>1</v>
      </c>
      <c r="R21" s="2" t="inlineStr">
        <is>
          <t>Blåmossa</t>
        </is>
      </c>
      <c r="S21">
        <f>HYPERLINK("https://klasma.github.io/Logging_1293/artfynd/A 49572-2022 artfynd.xlsx", "A 49572-2022")</f>
        <v/>
      </c>
      <c r="T21">
        <f>HYPERLINK("https://klasma.github.io/Logging_1293/kartor/A 49572-2022 karta.png", "A 49572-2022")</f>
        <v/>
      </c>
      <c r="V21">
        <f>HYPERLINK("https://klasma.github.io/Logging_1293/klagomål/A 49572-2022 FSC-klagomål.docx", "A 49572-2022")</f>
        <v/>
      </c>
      <c r="W21">
        <f>HYPERLINK("https://klasma.github.io/Logging_1293/klagomålsmail/A 49572-2022 FSC-klagomål mail.docx", "A 49572-2022")</f>
        <v/>
      </c>
      <c r="X21">
        <f>HYPERLINK("https://klasma.github.io/Logging_1293/tillsyn/A 49572-2022 tillsynsbegäran.docx", "A 49572-2022")</f>
        <v/>
      </c>
      <c r="Y21">
        <f>HYPERLINK("https://klasma.github.io/Logging_1293/tillsynsmail/A 49572-2022 tillsynsbegäran mail.docx", "A 49572-2022")</f>
        <v/>
      </c>
    </row>
    <row r="22" ht="15" customHeight="1">
      <c r="A22" t="inlineStr">
        <is>
          <t>A 7862-2024</t>
        </is>
      </c>
      <c r="B22" s="1" t="n">
        <v>45348</v>
      </c>
      <c r="C22" s="1" t="n">
        <v>45999</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45999</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29272-2023</t>
        </is>
      </c>
      <c r="B24" s="1" t="n">
        <v>45105</v>
      </c>
      <c r="C24" s="1" t="n">
        <v>45999</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61707-2024</t>
        </is>
      </c>
      <c r="B25" s="1" t="n">
        <v>45648.61747685185</v>
      </c>
      <c r="C25" s="1" t="n">
        <v>45999</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Rödlånke</t>
        </is>
      </c>
      <c r="S25">
        <f>HYPERLINK("https://klasma.github.io/Logging_1293/artfynd/A 61707-2024 artfynd.xlsx", "A 61707-2024")</f>
        <v/>
      </c>
      <c r="T25">
        <f>HYPERLINK("https://klasma.github.io/Logging_1293/kartor/A 61707-2024 karta.png", "A 61707-2024")</f>
        <v/>
      </c>
      <c r="V25">
        <f>HYPERLINK("https://klasma.github.io/Logging_1293/klagomål/A 61707-2024 FSC-klagomål.docx", "A 61707-2024")</f>
        <v/>
      </c>
      <c r="W25">
        <f>HYPERLINK("https://klasma.github.io/Logging_1293/klagomålsmail/A 61707-2024 FSC-klagomål mail.docx", "A 61707-2024")</f>
        <v/>
      </c>
      <c r="X25">
        <f>HYPERLINK("https://klasma.github.io/Logging_1293/tillsyn/A 61707-2024 tillsynsbegäran.docx", "A 61707-2024")</f>
        <v/>
      </c>
      <c r="Y25">
        <f>HYPERLINK("https://klasma.github.io/Logging_1293/tillsynsmail/A 61707-2024 tillsynsbegäran mail.docx", "A 61707-2024")</f>
        <v/>
      </c>
    </row>
    <row r="26" ht="15" customHeight="1">
      <c r="A26" t="inlineStr">
        <is>
          <t>A 16107-2025</t>
        </is>
      </c>
      <c r="B26" s="1" t="n">
        <v>45750.34537037037</v>
      </c>
      <c r="C26" s="1" t="n">
        <v>45999</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36690-2025</t>
        </is>
      </c>
      <c r="B27" s="1" t="n">
        <v>45873.42915509259</v>
      </c>
      <c r="C27" s="1" t="n">
        <v>45999</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6634-2024</t>
        </is>
      </c>
      <c r="B28" s="1" t="n">
        <v>45341</v>
      </c>
      <c r="C28" s="1" t="n">
        <v>45999</v>
      </c>
      <c r="D28" t="inlineStr">
        <is>
          <t>SKÅNE LÄN</t>
        </is>
      </c>
      <c r="E28" t="inlineStr">
        <is>
          <t>HÄSSLEHOLM</t>
        </is>
      </c>
      <c r="G28" t="n">
        <v>1.9</v>
      </c>
      <c r="H28" t="n">
        <v>0</v>
      </c>
      <c r="I28" t="n">
        <v>0</v>
      </c>
      <c r="J28" t="n">
        <v>0</v>
      </c>
      <c r="K28" t="n">
        <v>1</v>
      </c>
      <c r="L28" t="n">
        <v>0</v>
      </c>
      <c r="M28" t="n">
        <v>0</v>
      </c>
      <c r="N28" t="n">
        <v>0</v>
      </c>
      <c r="O28" t="n">
        <v>1</v>
      </c>
      <c r="P28" t="n">
        <v>1</v>
      </c>
      <c r="Q28" t="n">
        <v>1</v>
      </c>
      <c r="R28" s="2" t="inlineStr">
        <is>
          <t>Revig blodrot</t>
        </is>
      </c>
      <c r="S28">
        <f>HYPERLINK("https://klasma.github.io/Logging_1293/artfynd/A 6634-2024 artfynd.xlsx", "A 6634-2024")</f>
        <v/>
      </c>
      <c r="T28">
        <f>HYPERLINK("https://klasma.github.io/Logging_1293/kartor/A 6634-2024 karta.png", "A 6634-2024")</f>
        <v/>
      </c>
      <c r="V28">
        <f>HYPERLINK("https://klasma.github.io/Logging_1293/klagomål/A 6634-2024 FSC-klagomål.docx", "A 6634-2024")</f>
        <v/>
      </c>
      <c r="W28">
        <f>HYPERLINK("https://klasma.github.io/Logging_1293/klagomålsmail/A 6634-2024 FSC-klagomål mail.docx", "A 6634-2024")</f>
        <v/>
      </c>
      <c r="X28">
        <f>HYPERLINK("https://klasma.github.io/Logging_1293/tillsyn/A 6634-2024 tillsynsbegäran.docx", "A 6634-2024")</f>
        <v/>
      </c>
      <c r="Y28">
        <f>HYPERLINK("https://klasma.github.io/Logging_1293/tillsynsmail/A 6634-2024 tillsynsbegäran mail.docx", "A 6634-2024")</f>
        <v/>
      </c>
    </row>
    <row r="29" ht="15" customHeight="1">
      <c r="A29" t="inlineStr">
        <is>
          <t>A 60925-2024</t>
        </is>
      </c>
      <c r="B29" s="1" t="n">
        <v>45645.3550462963</v>
      </c>
      <c r="C29" s="1" t="n">
        <v>45999</v>
      </c>
      <c r="D29" t="inlineStr">
        <is>
          <t>SKÅNE LÄN</t>
        </is>
      </c>
      <c r="E29" t="inlineStr">
        <is>
          <t>HÄSSLEHOLM</t>
        </is>
      </c>
      <c r="G29" t="n">
        <v>1.8</v>
      </c>
      <c r="H29" t="n">
        <v>0</v>
      </c>
      <c r="I29" t="n">
        <v>0</v>
      </c>
      <c r="J29" t="n">
        <v>0</v>
      </c>
      <c r="K29" t="n">
        <v>0</v>
      </c>
      <c r="L29" t="n">
        <v>1</v>
      </c>
      <c r="M29" t="n">
        <v>0</v>
      </c>
      <c r="N29" t="n">
        <v>0</v>
      </c>
      <c r="O29" t="n">
        <v>1</v>
      </c>
      <c r="P29" t="n">
        <v>1</v>
      </c>
      <c r="Q29" t="n">
        <v>1</v>
      </c>
      <c r="R29" s="2" t="inlineStr">
        <is>
          <t>Ask</t>
        </is>
      </c>
      <c r="S29">
        <f>HYPERLINK("https://klasma.github.io/Logging_1293/artfynd/A 60925-2024 artfynd.xlsx", "A 60925-2024")</f>
        <v/>
      </c>
      <c r="T29">
        <f>HYPERLINK("https://klasma.github.io/Logging_1293/kartor/A 60925-2024 karta.png", "A 60925-2024")</f>
        <v/>
      </c>
      <c r="V29">
        <f>HYPERLINK("https://klasma.github.io/Logging_1293/klagomål/A 60925-2024 FSC-klagomål.docx", "A 60925-2024")</f>
        <v/>
      </c>
      <c r="W29">
        <f>HYPERLINK("https://klasma.github.io/Logging_1293/klagomålsmail/A 60925-2024 FSC-klagomål mail.docx", "A 60925-2024")</f>
        <v/>
      </c>
      <c r="X29">
        <f>HYPERLINK("https://klasma.github.io/Logging_1293/tillsyn/A 60925-2024 tillsynsbegäran.docx", "A 60925-2024")</f>
        <v/>
      </c>
      <c r="Y29">
        <f>HYPERLINK("https://klasma.github.io/Logging_1293/tillsynsmail/A 60925-2024 tillsynsbegäran mail.docx", "A 60925-2024")</f>
        <v/>
      </c>
    </row>
    <row r="30" ht="15" customHeight="1">
      <c r="A30" t="inlineStr">
        <is>
          <t>A 40613-2025</t>
        </is>
      </c>
      <c r="B30" s="1" t="n">
        <v>45896</v>
      </c>
      <c r="C30" s="1" t="n">
        <v>45999</v>
      </c>
      <c r="D30" t="inlineStr">
        <is>
          <t>SKÅNE LÄN</t>
        </is>
      </c>
      <c r="E30" t="inlineStr">
        <is>
          <t>HÄSSLEHOLM</t>
        </is>
      </c>
      <c r="F30" t="inlineStr">
        <is>
          <t>Kyrkan</t>
        </is>
      </c>
      <c r="G30" t="n">
        <v>3.4</v>
      </c>
      <c r="H30" t="n">
        <v>1</v>
      </c>
      <c r="I30" t="n">
        <v>0</v>
      </c>
      <c r="J30" t="n">
        <v>0</v>
      </c>
      <c r="K30" t="n">
        <v>0</v>
      </c>
      <c r="L30" t="n">
        <v>0</v>
      </c>
      <c r="M30" t="n">
        <v>0</v>
      </c>
      <c r="N30" t="n">
        <v>0</v>
      </c>
      <c r="O30" t="n">
        <v>0</v>
      </c>
      <c r="P30" t="n">
        <v>0</v>
      </c>
      <c r="Q30" t="n">
        <v>1</v>
      </c>
      <c r="R30" s="2" t="inlineStr">
        <is>
          <t>Revlummer</t>
        </is>
      </c>
      <c r="S30">
        <f>HYPERLINK("https://klasma.github.io/Logging_1293/artfynd/A 40613-2025 artfynd.xlsx", "A 40613-2025")</f>
        <v/>
      </c>
      <c r="T30">
        <f>HYPERLINK("https://klasma.github.io/Logging_1293/kartor/A 40613-2025 karta.png", "A 40613-2025")</f>
        <v/>
      </c>
      <c r="V30">
        <f>HYPERLINK("https://klasma.github.io/Logging_1293/klagomål/A 40613-2025 FSC-klagomål.docx", "A 40613-2025")</f>
        <v/>
      </c>
      <c r="W30">
        <f>HYPERLINK("https://klasma.github.io/Logging_1293/klagomålsmail/A 40613-2025 FSC-klagomål mail.docx", "A 40613-2025")</f>
        <v/>
      </c>
      <c r="X30">
        <f>HYPERLINK("https://klasma.github.io/Logging_1293/tillsyn/A 40613-2025 tillsynsbegäran.docx", "A 40613-2025")</f>
        <v/>
      </c>
      <c r="Y30">
        <f>HYPERLINK("https://klasma.github.io/Logging_1293/tillsynsmail/A 40613-2025 tillsynsbegäran mail.docx", "A 40613-2025")</f>
        <v/>
      </c>
    </row>
    <row r="31" ht="15" customHeight="1">
      <c r="A31" t="inlineStr">
        <is>
          <t>A 4619-2025</t>
        </is>
      </c>
      <c r="B31" s="1" t="n">
        <v>45687</v>
      </c>
      <c r="C31" s="1" t="n">
        <v>45999</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57533-2025</t>
        </is>
      </c>
      <c r="B32" s="1" t="n">
        <v>45980.63923611111</v>
      </c>
      <c r="C32" s="1" t="n">
        <v>45999</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54523-2024</t>
        </is>
      </c>
      <c r="B33" s="1" t="n">
        <v>45617</v>
      </c>
      <c r="C33" s="1" t="n">
        <v>45999</v>
      </c>
      <c r="D33" t="inlineStr">
        <is>
          <t>SKÅNE LÄN</t>
        </is>
      </c>
      <c r="E33" t="inlineStr">
        <is>
          <t>HÄSSLEHOLM</t>
        </is>
      </c>
      <c r="G33" t="n">
        <v>4.5</v>
      </c>
      <c r="H33" t="n">
        <v>1</v>
      </c>
      <c r="I33" t="n">
        <v>0</v>
      </c>
      <c r="J33" t="n">
        <v>0</v>
      </c>
      <c r="K33" t="n">
        <v>0</v>
      </c>
      <c r="L33" t="n">
        <v>0</v>
      </c>
      <c r="M33" t="n">
        <v>0</v>
      </c>
      <c r="N33" t="n">
        <v>0</v>
      </c>
      <c r="O33" t="n">
        <v>0</v>
      </c>
      <c r="P33" t="n">
        <v>0</v>
      </c>
      <c r="Q33" t="n">
        <v>1</v>
      </c>
      <c r="R33" s="2" t="inlineStr">
        <is>
          <t>Grönvit nattviol</t>
        </is>
      </c>
      <c r="S33">
        <f>HYPERLINK("https://klasma.github.io/Logging_1293/artfynd/A 54523-2024 artfynd.xlsx", "A 54523-2024")</f>
        <v/>
      </c>
      <c r="T33">
        <f>HYPERLINK("https://klasma.github.io/Logging_1293/kartor/A 54523-2024 karta.png", "A 54523-2024")</f>
        <v/>
      </c>
      <c r="V33">
        <f>HYPERLINK("https://klasma.github.io/Logging_1293/klagomål/A 54523-2024 FSC-klagomål.docx", "A 54523-2024")</f>
        <v/>
      </c>
      <c r="W33">
        <f>HYPERLINK("https://klasma.github.io/Logging_1293/klagomålsmail/A 54523-2024 FSC-klagomål mail.docx", "A 54523-2024")</f>
        <v/>
      </c>
      <c r="X33">
        <f>HYPERLINK("https://klasma.github.io/Logging_1293/tillsyn/A 54523-2024 tillsynsbegäran.docx", "A 54523-2024")</f>
        <v/>
      </c>
      <c r="Y33">
        <f>HYPERLINK("https://klasma.github.io/Logging_1293/tillsynsmail/A 54523-2024 tillsynsbegäran mail.docx", "A 54523-2024")</f>
        <v/>
      </c>
    </row>
    <row r="34" ht="15" customHeight="1">
      <c r="A34" t="inlineStr">
        <is>
          <t>A 27390-2025</t>
        </is>
      </c>
      <c r="B34" s="1" t="n">
        <v>45812.67840277778</v>
      </c>
      <c r="C34" s="1" t="n">
        <v>45999</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Grönhjon</t>
        </is>
      </c>
      <c r="S34">
        <f>HYPERLINK("https://klasma.github.io/Logging_1293/artfynd/A 27390-2025 artfynd.xlsx", "A 27390-2025")</f>
        <v/>
      </c>
      <c r="T34">
        <f>HYPERLINK("https://klasma.github.io/Logging_1293/kartor/A 27390-2025 karta.png", "A 27390-2025")</f>
        <v/>
      </c>
      <c r="V34">
        <f>HYPERLINK("https://klasma.github.io/Logging_1293/klagomål/A 27390-2025 FSC-klagomål.docx", "A 27390-2025")</f>
        <v/>
      </c>
      <c r="W34">
        <f>HYPERLINK("https://klasma.github.io/Logging_1293/klagomålsmail/A 27390-2025 FSC-klagomål mail.docx", "A 27390-2025")</f>
        <v/>
      </c>
      <c r="X34">
        <f>HYPERLINK("https://klasma.github.io/Logging_1293/tillsyn/A 27390-2025 tillsynsbegäran.docx", "A 27390-2025")</f>
        <v/>
      </c>
      <c r="Y34">
        <f>HYPERLINK("https://klasma.github.io/Logging_1293/tillsynsmail/A 27390-2025 tillsynsbegäran mail.docx", "A 27390-2025")</f>
        <v/>
      </c>
    </row>
    <row r="35" ht="15" customHeight="1">
      <c r="A35" t="inlineStr">
        <is>
          <t>A 9289-2025</t>
        </is>
      </c>
      <c r="B35" s="1" t="n">
        <v>45714</v>
      </c>
      <c r="C35" s="1" t="n">
        <v>45999</v>
      </c>
      <c r="D35" t="inlineStr">
        <is>
          <t>SKÅNE LÄN</t>
        </is>
      </c>
      <c r="E35" t="inlineStr">
        <is>
          <t>HÄSSLEHOLM</t>
        </is>
      </c>
      <c r="G35" t="n">
        <v>18</v>
      </c>
      <c r="H35" t="n">
        <v>0</v>
      </c>
      <c r="I35" t="n">
        <v>1</v>
      </c>
      <c r="J35" t="n">
        <v>0</v>
      </c>
      <c r="K35" t="n">
        <v>0</v>
      </c>
      <c r="L35" t="n">
        <v>0</v>
      </c>
      <c r="M35" t="n">
        <v>0</v>
      </c>
      <c r="N35" t="n">
        <v>0</v>
      </c>
      <c r="O35" t="n">
        <v>0</v>
      </c>
      <c r="P35" t="n">
        <v>0</v>
      </c>
      <c r="Q35" t="n">
        <v>1</v>
      </c>
      <c r="R35" s="2" t="inlineStr">
        <is>
          <t>Tibast</t>
        </is>
      </c>
      <c r="S35">
        <f>HYPERLINK("https://klasma.github.io/Logging_1293/artfynd/A 9289-2025 artfynd.xlsx", "A 9289-2025")</f>
        <v/>
      </c>
      <c r="T35">
        <f>HYPERLINK("https://klasma.github.io/Logging_1293/kartor/A 9289-2025 karta.png", "A 9289-2025")</f>
        <v/>
      </c>
      <c r="V35">
        <f>HYPERLINK("https://klasma.github.io/Logging_1293/klagomål/A 9289-2025 FSC-klagomål.docx", "A 9289-2025")</f>
        <v/>
      </c>
      <c r="W35">
        <f>HYPERLINK("https://klasma.github.io/Logging_1293/klagomålsmail/A 9289-2025 FSC-klagomål mail.docx", "A 9289-2025")</f>
        <v/>
      </c>
      <c r="X35">
        <f>HYPERLINK("https://klasma.github.io/Logging_1293/tillsyn/A 9289-2025 tillsynsbegäran.docx", "A 9289-2025")</f>
        <v/>
      </c>
      <c r="Y35">
        <f>HYPERLINK("https://klasma.github.io/Logging_1293/tillsynsmail/A 9289-2025 tillsynsbegäran mail.docx", "A 9289-2025")</f>
        <v/>
      </c>
    </row>
    <row r="36" ht="15" customHeight="1">
      <c r="A36" t="inlineStr">
        <is>
          <t>A 14933-2023</t>
        </is>
      </c>
      <c r="B36" s="1" t="n">
        <v>45014</v>
      </c>
      <c r="C36" s="1" t="n">
        <v>45999</v>
      </c>
      <c r="D36" t="inlineStr">
        <is>
          <t>SKÅNE LÄN</t>
        </is>
      </c>
      <c r="E36" t="inlineStr">
        <is>
          <t>HÄSSLEHOLM</t>
        </is>
      </c>
      <c r="G36" t="n">
        <v>1.2</v>
      </c>
      <c r="H36" t="n">
        <v>0</v>
      </c>
      <c r="I36" t="n">
        <v>0</v>
      </c>
      <c r="J36" t="n">
        <v>0</v>
      </c>
      <c r="K36" t="n">
        <v>1</v>
      </c>
      <c r="L36" t="n">
        <v>0</v>
      </c>
      <c r="M36" t="n">
        <v>0</v>
      </c>
      <c r="N36" t="n">
        <v>0</v>
      </c>
      <c r="O36" t="n">
        <v>1</v>
      </c>
      <c r="P36" t="n">
        <v>1</v>
      </c>
      <c r="Q36" t="n">
        <v>1</v>
      </c>
      <c r="R36" s="2" t="inlineStr">
        <is>
          <t>Småvänderot</t>
        </is>
      </c>
      <c r="S36">
        <f>HYPERLINK("https://klasma.github.io/Logging_1293/artfynd/A 14933-2023 artfynd.xlsx", "A 14933-2023")</f>
        <v/>
      </c>
      <c r="T36">
        <f>HYPERLINK("https://klasma.github.io/Logging_1293/kartor/A 14933-2023 karta.png", "A 14933-2023")</f>
        <v/>
      </c>
      <c r="V36">
        <f>HYPERLINK("https://klasma.github.io/Logging_1293/klagomål/A 14933-2023 FSC-klagomål.docx", "A 14933-2023")</f>
        <v/>
      </c>
      <c r="W36">
        <f>HYPERLINK("https://klasma.github.io/Logging_1293/klagomålsmail/A 14933-2023 FSC-klagomål mail.docx", "A 14933-2023")</f>
        <v/>
      </c>
      <c r="X36">
        <f>HYPERLINK("https://klasma.github.io/Logging_1293/tillsyn/A 14933-2023 tillsynsbegäran.docx", "A 14933-2023")</f>
        <v/>
      </c>
      <c r="Y36">
        <f>HYPERLINK("https://klasma.github.io/Logging_1293/tillsynsmail/A 14933-2023 tillsynsbegäran mail.docx", "A 14933-2023")</f>
        <v/>
      </c>
    </row>
    <row r="37" ht="15" customHeight="1">
      <c r="A37" t="inlineStr">
        <is>
          <t>A 8223-2025</t>
        </is>
      </c>
      <c r="B37" s="1" t="n">
        <v>45708.46127314815</v>
      </c>
      <c r="C37" s="1" t="n">
        <v>45999</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45999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45999</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45999</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45999</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45999</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45999</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45999</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45999</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45999</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45999</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45999</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45999</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45999</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45999</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45999</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45999</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45999</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45999</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45999</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45999</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45999</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45999</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45999</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45999</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45999</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45999</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45999</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45999</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45999</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45999</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45999</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45999</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45999</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45999</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45999</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45999</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45999</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45999</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45999</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45999</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45999</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45999</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45999</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45999</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45999</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45999</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45999</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45999</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45999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45999</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45999</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45999</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45999</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45999</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45999</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27330-2021</t>
        </is>
      </c>
      <c r="B94" s="1" t="n">
        <v>44351</v>
      </c>
      <c r="C94" s="1" t="n">
        <v>45999</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19449-2021</t>
        </is>
      </c>
      <c r="B95" s="1" t="n">
        <v>44310.88846064815</v>
      </c>
      <c r="C95" s="1" t="n">
        <v>45999</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45999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63972-2021</t>
        </is>
      </c>
      <c r="B97" s="1" t="n">
        <v>44509.89649305555</v>
      </c>
      <c r="C97" s="1" t="n">
        <v>45999</v>
      </c>
      <c r="D97" t="inlineStr">
        <is>
          <t>SKÅNE LÄN</t>
        </is>
      </c>
      <c r="E97" t="inlineStr">
        <is>
          <t>HÄSSLEHOLM</t>
        </is>
      </c>
      <c r="G97" t="n">
        <v>0.8</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45999</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44328-2021</t>
        </is>
      </c>
      <c r="B99" s="1" t="n">
        <v>44435</v>
      </c>
      <c r="C99" s="1" t="n">
        <v>45999</v>
      </c>
      <c r="D99" t="inlineStr">
        <is>
          <t>SKÅNE LÄN</t>
        </is>
      </c>
      <c r="E99" t="inlineStr">
        <is>
          <t>HÄSSLEHOLM</t>
        </is>
      </c>
      <c r="G99" t="n">
        <v>2.7</v>
      </c>
      <c r="H99" t="n">
        <v>0</v>
      </c>
      <c r="I99" t="n">
        <v>0</v>
      </c>
      <c r="J99" t="n">
        <v>0</v>
      </c>
      <c r="K99" t="n">
        <v>0</v>
      </c>
      <c r="L99" t="n">
        <v>0</v>
      </c>
      <c r="M99" t="n">
        <v>0</v>
      </c>
      <c r="N99" t="n">
        <v>0</v>
      </c>
      <c r="O99" t="n">
        <v>0</v>
      </c>
      <c r="P99" t="n">
        <v>0</v>
      </c>
      <c r="Q99" t="n">
        <v>0</v>
      </c>
      <c r="R99" s="2" t="inlineStr"/>
    </row>
    <row r="100" ht="15" customHeight="1">
      <c r="A100" t="inlineStr">
        <is>
          <t>A 34684-2021</t>
        </is>
      </c>
      <c r="B100" s="1" t="n">
        <v>44382</v>
      </c>
      <c r="C100" s="1" t="n">
        <v>45999</v>
      </c>
      <c r="D100" t="inlineStr">
        <is>
          <t>SKÅNE LÄN</t>
        </is>
      </c>
      <c r="E100" t="inlineStr">
        <is>
          <t>HÄSSLEHOLM</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74293-2021</t>
        </is>
      </c>
      <c r="B101" s="1" t="n">
        <v>44558</v>
      </c>
      <c r="C101" s="1" t="n">
        <v>45999</v>
      </c>
      <c r="D101" t="inlineStr">
        <is>
          <t>SKÅNE LÄN</t>
        </is>
      </c>
      <c r="E101" t="inlineStr">
        <is>
          <t>HÄSSLEHOLM</t>
        </is>
      </c>
      <c r="F101" t="inlineStr">
        <is>
          <t>Kyrkan</t>
        </is>
      </c>
      <c r="G101" t="n">
        <v>3.3</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45999</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45999</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45999</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45999</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45999</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354-2022</t>
        </is>
      </c>
      <c r="B107" s="1" t="n">
        <v>44565.62510416667</v>
      </c>
      <c r="C107" s="1" t="n">
        <v>45999</v>
      </c>
      <c r="D107" t="inlineStr">
        <is>
          <t>SKÅNE LÄN</t>
        </is>
      </c>
      <c r="E107" t="inlineStr">
        <is>
          <t>HÄSSLEHOLM</t>
        </is>
      </c>
      <c r="G107" t="n">
        <v>2.4</v>
      </c>
      <c r="H107" t="n">
        <v>0</v>
      </c>
      <c r="I107" t="n">
        <v>0</v>
      </c>
      <c r="J107" t="n">
        <v>0</v>
      </c>
      <c r="K107" t="n">
        <v>0</v>
      </c>
      <c r="L107" t="n">
        <v>0</v>
      </c>
      <c r="M107" t="n">
        <v>0</v>
      </c>
      <c r="N107" t="n">
        <v>0</v>
      </c>
      <c r="O107" t="n">
        <v>0</v>
      </c>
      <c r="P107" t="n">
        <v>0</v>
      </c>
      <c r="Q107" t="n">
        <v>0</v>
      </c>
      <c r="R107" s="2" t="inlineStr"/>
    </row>
    <row r="108" ht="15" customHeight="1">
      <c r="A108" t="inlineStr">
        <is>
          <t>A 32892-2021</t>
        </is>
      </c>
      <c r="B108" s="1" t="n">
        <v>44375</v>
      </c>
      <c r="C108" s="1" t="n">
        <v>45999</v>
      </c>
      <c r="D108" t="inlineStr">
        <is>
          <t>SKÅNE LÄN</t>
        </is>
      </c>
      <c r="E108" t="inlineStr">
        <is>
          <t>HÄSSLEHOLM</t>
        </is>
      </c>
      <c r="G108" t="n">
        <v>2.9</v>
      </c>
      <c r="H108" t="n">
        <v>0</v>
      </c>
      <c r="I108" t="n">
        <v>0</v>
      </c>
      <c r="J108" t="n">
        <v>0</v>
      </c>
      <c r="K108" t="n">
        <v>0</v>
      </c>
      <c r="L108" t="n">
        <v>0</v>
      </c>
      <c r="M108" t="n">
        <v>0</v>
      </c>
      <c r="N108" t="n">
        <v>0</v>
      </c>
      <c r="O108" t="n">
        <v>0</v>
      </c>
      <c r="P108" t="n">
        <v>0</v>
      </c>
      <c r="Q108" t="n">
        <v>0</v>
      </c>
      <c r="R108" s="2" t="inlineStr"/>
    </row>
    <row r="109" ht="15" customHeight="1">
      <c r="A109" t="inlineStr">
        <is>
          <t>A 2952-2021</t>
        </is>
      </c>
      <c r="B109" s="1" t="n">
        <v>44216</v>
      </c>
      <c r="C109" s="1" t="n">
        <v>45999</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15118-2022</t>
        </is>
      </c>
      <c r="B110" s="1" t="n">
        <v>44659</v>
      </c>
      <c r="C110" s="1" t="n">
        <v>45999</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43639-2021</t>
        </is>
      </c>
      <c r="B111" s="1" t="n">
        <v>44433</v>
      </c>
      <c r="C111" s="1" t="n">
        <v>45999</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7701-2021</t>
        </is>
      </c>
      <c r="B112" s="1" t="n">
        <v>44242</v>
      </c>
      <c r="C112" s="1" t="n">
        <v>45999</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7857-2022</t>
        </is>
      </c>
      <c r="B113" s="1" t="n">
        <v>44607</v>
      </c>
      <c r="C113" s="1" t="n">
        <v>45999</v>
      </c>
      <c r="D113" t="inlineStr">
        <is>
          <t>SKÅNE LÄN</t>
        </is>
      </c>
      <c r="E113" t="inlineStr">
        <is>
          <t>HÄSSLEHOLM</t>
        </is>
      </c>
      <c r="F113" t="inlineStr">
        <is>
          <t>Kyrkan</t>
        </is>
      </c>
      <c r="G113" t="n">
        <v>12.2</v>
      </c>
      <c r="H113" t="n">
        <v>0</v>
      </c>
      <c r="I113" t="n">
        <v>0</v>
      </c>
      <c r="J113" t="n">
        <v>0</v>
      </c>
      <c r="K113" t="n">
        <v>0</v>
      </c>
      <c r="L113" t="n">
        <v>0</v>
      </c>
      <c r="M113" t="n">
        <v>0</v>
      </c>
      <c r="N113" t="n">
        <v>0</v>
      </c>
      <c r="O113" t="n">
        <v>0</v>
      </c>
      <c r="P113" t="n">
        <v>0</v>
      </c>
      <c r="Q113" t="n">
        <v>0</v>
      </c>
      <c r="R113" s="2" t="inlineStr"/>
    </row>
    <row r="114" ht="15" customHeight="1">
      <c r="A114" t="inlineStr">
        <is>
          <t>A 3276-2022</t>
        </is>
      </c>
      <c r="B114" s="1" t="n">
        <v>44584.40916666666</v>
      </c>
      <c r="C114" s="1" t="n">
        <v>45999</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52461-2021</t>
        </is>
      </c>
      <c r="B115" s="1" t="n">
        <v>44466</v>
      </c>
      <c r="C115" s="1" t="n">
        <v>45999</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1461-2021</t>
        </is>
      </c>
      <c r="B116" s="1" t="n">
        <v>44208</v>
      </c>
      <c r="C116" s="1" t="n">
        <v>45999</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52295-2021</t>
        </is>
      </c>
      <c r="B117" s="1" t="n">
        <v>44463</v>
      </c>
      <c r="C117" s="1" t="n">
        <v>45999</v>
      </c>
      <c r="D117" t="inlineStr">
        <is>
          <t>SKÅNE LÄN</t>
        </is>
      </c>
      <c r="E117" t="inlineStr">
        <is>
          <t>HÄSSLEHOLM</t>
        </is>
      </c>
      <c r="G117" t="n">
        <v>0.3</v>
      </c>
      <c r="H117" t="n">
        <v>0</v>
      </c>
      <c r="I117" t="n">
        <v>0</v>
      </c>
      <c r="J117" t="n">
        <v>0</v>
      </c>
      <c r="K117" t="n">
        <v>0</v>
      </c>
      <c r="L117" t="n">
        <v>0</v>
      </c>
      <c r="M117" t="n">
        <v>0</v>
      </c>
      <c r="N117" t="n">
        <v>0</v>
      </c>
      <c r="O117" t="n">
        <v>0</v>
      </c>
      <c r="P117" t="n">
        <v>0</v>
      </c>
      <c r="Q117" t="n">
        <v>0</v>
      </c>
      <c r="R117" s="2" t="inlineStr"/>
    </row>
    <row r="118" ht="15" customHeight="1">
      <c r="A118" t="inlineStr">
        <is>
          <t>A 6973-2021</t>
        </is>
      </c>
      <c r="B118" s="1" t="n">
        <v>44237</v>
      </c>
      <c r="C118" s="1" t="n">
        <v>45999</v>
      </c>
      <c r="D118" t="inlineStr">
        <is>
          <t>SKÅNE LÄN</t>
        </is>
      </c>
      <c r="E118" t="inlineStr">
        <is>
          <t>HÄSSLEHOLM</t>
        </is>
      </c>
      <c r="G118" t="n">
        <v>0.4</v>
      </c>
      <c r="H118" t="n">
        <v>0</v>
      </c>
      <c r="I118" t="n">
        <v>0</v>
      </c>
      <c r="J118" t="n">
        <v>0</v>
      </c>
      <c r="K118" t="n">
        <v>0</v>
      </c>
      <c r="L118" t="n">
        <v>0</v>
      </c>
      <c r="M118" t="n">
        <v>0</v>
      </c>
      <c r="N118" t="n">
        <v>0</v>
      </c>
      <c r="O118" t="n">
        <v>0</v>
      </c>
      <c r="P118" t="n">
        <v>0</v>
      </c>
      <c r="Q118" t="n">
        <v>0</v>
      </c>
      <c r="R118" s="2" t="inlineStr"/>
    </row>
    <row r="119" ht="15" customHeight="1">
      <c r="A119" t="inlineStr">
        <is>
          <t>A 68909-2021</t>
        </is>
      </c>
      <c r="B119" s="1" t="n">
        <v>44530.46730324074</v>
      </c>
      <c r="C119" s="1" t="n">
        <v>45999</v>
      </c>
      <c r="D119" t="inlineStr">
        <is>
          <t>SKÅNE LÄN</t>
        </is>
      </c>
      <c r="E119" t="inlineStr">
        <is>
          <t>HÄSSLEHOLM</t>
        </is>
      </c>
      <c r="G119" t="n">
        <v>0.9</v>
      </c>
      <c r="H119" t="n">
        <v>0</v>
      </c>
      <c r="I119" t="n">
        <v>0</v>
      </c>
      <c r="J119" t="n">
        <v>0</v>
      </c>
      <c r="K119" t="n">
        <v>0</v>
      </c>
      <c r="L119" t="n">
        <v>0</v>
      </c>
      <c r="M119" t="n">
        <v>0</v>
      </c>
      <c r="N119" t="n">
        <v>0</v>
      </c>
      <c r="O119" t="n">
        <v>0</v>
      </c>
      <c r="P119" t="n">
        <v>0</v>
      </c>
      <c r="Q119" t="n">
        <v>0</v>
      </c>
      <c r="R119" s="2" t="inlineStr"/>
    </row>
    <row r="120" ht="15" customHeight="1">
      <c r="A120" t="inlineStr">
        <is>
          <t>A 61072-2021</t>
        </is>
      </c>
      <c r="B120" s="1" t="n">
        <v>44497.83344907407</v>
      </c>
      <c r="C120" s="1" t="n">
        <v>45999</v>
      </c>
      <c r="D120" t="inlineStr">
        <is>
          <t>SKÅNE LÄN</t>
        </is>
      </c>
      <c r="E120" t="inlineStr">
        <is>
          <t>HÄSSLEHOLM</t>
        </is>
      </c>
      <c r="G120" t="n">
        <v>0.4</v>
      </c>
      <c r="H120" t="n">
        <v>0</v>
      </c>
      <c r="I120" t="n">
        <v>0</v>
      </c>
      <c r="J120" t="n">
        <v>0</v>
      </c>
      <c r="K120" t="n">
        <v>0</v>
      </c>
      <c r="L120" t="n">
        <v>0</v>
      </c>
      <c r="M120" t="n">
        <v>0</v>
      </c>
      <c r="N120" t="n">
        <v>0</v>
      </c>
      <c r="O120" t="n">
        <v>0</v>
      </c>
      <c r="P120" t="n">
        <v>0</v>
      </c>
      <c r="Q120" t="n">
        <v>0</v>
      </c>
      <c r="R120" s="2" t="inlineStr"/>
    </row>
    <row r="121" ht="15" customHeight="1">
      <c r="A121" t="inlineStr">
        <is>
          <t>A 39102-2022</t>
        </is>
      </c>
      <c r="B121" s="1" t="n">
        <v>44817.43260416666</v>
      </c>
      <c r="C121" s="1" t="n">
        <v>45999</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5564-2022</t>
        </is>
      </c>
      <c r="B122" s="1" t="n">
        <v>44595</v>
      </c>
      <c r="C122" s="1" t="n">
        <v>45999</v>
      </c>
      <c r="D122" t="inlineStr">
        <is>
          <t>SKÅNE LÄN</t>
        </is>
      </c>
      <c r="E122" t="inlineStr">
        <is>
          <t>HÄSSLEHOLM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37334-2021</t>
        </is>
      </c>
      <c r="B123" s="1" t="n">
        <v>44397.57800925926</v>
      </c>
      <c r="C123" s="1" t="n">
        <v>45999</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47112-2021</t>
        </is>
      </c>
      <c r="B124" s="1" t="n">
        <v>44446</v>
      </c>
      <c r="C124" s="1" t="n">
        <v>45999</v>
      </c>
      <c r="D124" t="inlineStr">
        <is>
          <t>SKÅNE LÄN</t>
        </is>
      </c>
      <c r="E124" t="inlineStr">
        <is>
          <t>HÄSSLEHOLM</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20659-2021</t>
        </is>
      </c>
      <c r="B125" s="1" t="n">
        <v>44316</v>
      </c>
      <c r="C125" s="1" t="n">
        <v>45999</v>
      </c>
      <c r="D125" t="inlineStr">
        <is>
          <t>SKÅNE LÄN</t>
        </is>
      </c>
      <c r="E125" t="inlineStr">
        <is>
          <t>HÄSSLEHOLM</t>
        </is>
      </c>
      <c r="G125" t="n">
        <v>2.8</v>
      </c>
      <c r="H125" t="n">
        <v>0</v>
      </c>
      <c r="I125" t="n">
        <v>0</v>
      </c>
      <c r="J125" t="n">
        <v>0</v>
      </c>
      <c r="K125" t="n">
        <v>0</v>
      </c>
      <c r="L125" t="n">
        <v>0</v>
      </c>
      <c r="M125" t="n">
        <v>0</v>
      </c>
      <c r="N125" t="n">
        <v>0</v>
      </c>
      <c r="O125" t="n">
        <v>0</v>
      </c>
      <c r="P125" t="n">
        <v>0</v>
      </c>
      <c r="Q125" t="n">
        <v>0</v>
      </c>
      <c r="R125" s="2" t="inlineStr"/>
    </row>
    <row r="126" ht="15" customHeight="1">
      <c r="A126" t="inlineStr">
        <is>
          <t>A 21535-2021</t>
        </is>
      </c>
      <c r="B126" s="1" t="n">
        <v>44321</v>
      </c>
      <c r="C126" s="1" t="n">
        <v>45999</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34982-2022</t>
        </is>
      </c>
      <c r="B127" s="1" t="n">
        <v>44796.69055555556</v>
      </c>
      <c r="C127" s="1" t="n">
        <v>45999</v>
      </c>
      <c r="D127" t="inlineStr">
        <is>
          <t>SKÅNE LÄN</t>
        </is>
      </c>
      <c r="E127" t="inlineStr">
        <is>
          <t>HÄSSLEHOLM</t>
        </is>
      </c>
      <c r="F127" t="inlineStr">
        <is>
          <t>Kyrkan</t>
        </is>
      </c>
      <c r="G127" t="n">
        <v>3.4</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45999</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23003-2021</t>
        </is>
      </c>
      <c r="B129" s="1" t="n">
        <v>44328</v>
      </c>
      <c r="C129" s="1" t="n">
        <v>45999</v>
      </c>
      <c r="D129" t="inlineStr">
        <is>
          <t>SKÅNE LÄN</t>
        </is>
      </c>
      <c r="E129" t="inlineStr">
        <is>
          <t>HÄSSLEHOLM</t>
        </is>
      </c>
      <c r="G129" t="n">
        <v>4.4</v>
      </c>
      <c r="H129" t="n">
        <v>0</v>
      </c>
      <c r="I129" t="n">
        <v>0</v>
      </c>
      <c r="J129" t="n">
        <v>0</v>
      </c>
      <c r="K129" t="n">
        <v>0</v>
      </c>
      <c r="L129" t="n">
        <v>0</v>
      </c>
      <c r="M129" t="n">
        <v>0</v>
      </c>
      <c r="N129" t="n">
        <v>0</v>
      </c>
      <c r="O129" t="n">
        <v>0</v>
      </c>
      <c r="P129" t="n">
        <v>0</v>
      </c>
      <c r="Q129" t="n">
        <v>0</v>
      </c>
      <c r="R129" s="2" t="inlineStr"/>
    </row>
    <row r="130" ht="15" customHeight="1">
      <c r="A130" t="inlineStr">
        <is>
          <t>A 37170-2022</t>
        </is>
      </c>
      <c r="B130" s="1" t="n">
        <v>44806.61038194445</v>
      </c>
      <c r="C130" s="1" t="n">
        <v>45999</v>
      </c>
      <c r="D130" t="inlineStr">
        <is>
          <t>SKÅNE LÄN</t>
        </is>
      </c>
      <c r="E130" t="inlineStr">
        <is>
          <t>HÄSSLEHOLM</t>
        </is>
      </c>
      <c r="F130" t="inlineStr">
        <is>
          <t>Kyrkan</t>
        </is>
      </c>
      <c r="G130" t="n">
        <v>4.5</v>
      </c>
      <c r="H130" t="n">
        <v>0</v>
      </c>
      <c r="I130" t="n">
        <v>0</v>
      </c>
      <c r="J130" t="n">
        <v>0</v>
      </c>
      <c r="K130" t="n">
        <v>0</v>
      </c>
      <c r="L130" t="n">
        <v>0</v>
      </c>
      <c r="M130" t="n">
        <v>0</v>
      </c>
      <c r="N130" t="n">
        <v>0</v>
      </c>
      <c r="O130" t="n">
        <v>0</v>
      </c>
      <c r="P130" t="n">
        <v>0</v>
      </c>
      <c r="Q130" t="n">
        <v>0</v>
      </c>
      <c r="R130" s="2" t="inlineStr"/>
    </row>
    <row r="131" ht="15" customHeight="1">
      <c r="A131" t="inlineStr">
        <is>
          <t>A 32792-2021</t>
        </is>
      </c>
      <c r="B131" s="1" t="n">
        <v>44375</v>
      </c>
      <c r="C131" s="1" t="n">
        <v>45999</v>
      </c>
      <c r="D131" t="inlineStr">
        <is>
          <t>SKÅNE LÄN</t>
        </is>
      </c>
      <c r="E131" t="inlineStr">
        <is>
          <t>HÄSSLEHOLM</t>
        </is>
      </c>
      <c r="G131" t="n">
        <v>1</v>
      </c>
      <c r="H131" t="n">
        <v>0</v>
      </c>
      <c r="I131" t="n">
        <v>0</v>
      </c>
      <c r="J131" t="n">
        <v>0</v>
      </c>
      <c r="K131" t="n">
        <v>0</v>
      </c>
      <c r="L131" t="n">
        <v>0</v>
      </c>
      <c r="M131" t="n">
        <v>0</v>
      </c>
      <c r="N131" t="n">
        <v>0</v>
      </c>
      <c r="O131" t="n">
        <v>0</v>
      </c>
      <c r="P131" t="n">
        <v>0</v>
      </c>
      <c r="Q131" t="n">
        <v>0</v>
      </c>
      <c r="R131" s="2" t="inlineStr"/>
    </row>
    <row r="132" ht="15" customHeight="1">
      <c r="A132" t="inlineStr">
        <is>
          <t>A 3167-2022</t>
        </is>
      </c>
      <c r="B132" s="1" t="n">
        <v>44582</v>
      </c>
      <c r="C132" s="1" t="n">
        <v>45999</v>
      </c>
      <c r="D132" t="inlineStr">
        <is>
          <t>SKÅNE LÄN</t>
        </is>
      </c>
      <c r="E132" t="inlineStr">
        <is>
          <t>HÄSSLEHOLM</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6414-2022</t>
        </is>
      </c>
      <c r="B133" s="1" t="n">
        <v>44600</v>
      </c>
      <c r="C133" s="1" t="n">
        <v>45999</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45999</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33736-2021</t>
        </is>
      </c>
      <c r="B135" s="1" t="n">
        <v>44378</v>
      </c>
      <c r="C135" s="1" t="n">
        <v>45999</v>
      </c>
      <c r="D135" t="inlineStr">
        <is>
          <t>SKÅNE LÄN</t>
        </is>
      </c>
      <c r="E135" t="inlineStr">
        <is>
          <t>HÄSSLEHOLM</t>
        </is>
      </c>
      <c r="G135" t="n">
        <v>7.6</v>
      </c>
      <c r="H135" t="n">
        <v>0</v>
      </c>
      <c r="I135" t="n">
        <v>0</v>
      </c>
      <c r="J135" t="n">
        <v>0</v>
      </c>
      <c r="K135" t="n">
        <v>0</v>
      </c>
      <c r="L135" t="n">
        <v>0</v>
      </c>
      <c r="M135" t="n">
        <v>0</v>
      </c>
      <c r="N135" t="n">
        <v>0</v>
      </c>
      <c r="O135" t="n">
        <v>0</v>
      </c>
      <c r="P135" t="n">
        <v>0</v>
      </c>
      <c r="Q135" t="n">
        <v>0</v>
      </c>
      <c r="R135" s="2" t="inlineStr"/>
    </row>
    <row r="136" ht="15" customHeight="1">
      <c r="A136" t="inlineStr">
        <is>
          <t>A 55425-2022</t>
        </is>
      </c>
      <c r="B136" s="1" t="n">
        <v>44887.60577546297</v>
      </c>
      <c r="C136" s="1" t="n">
        <v>45999</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60260-2021</t>
        </is>
      </c>
      <c r="B137" s="1" t="n">
        <v>44495</v>
      </c>
      <c r="C137" s="1" t="n">
        <v>45999</v>
      </c>
      <c r="D137" t="inlineStr">
        <is>
          <t>SKÅNE LÄN</t>
        </is>
      </c>
      <c r="E137" t="inlineStr">
        <is>
          <t>HÄSSLEHOLM</t>
        </is>
      </c>
      <c r="G137" t="n">
        <v>2.1</v>
      </c>
      <c r="H137" t="n">
        <v>0</v>
      </c>
      <c r="I137" t="n">
        <v>0</v>
      </c>
      <c r="J137" t="n">
        <v>0</v>
      </c>
      <c r="K137" t="n">
        <v>0</v>
      </c>
      <c r="L137" t="n">
        <v>0</v>
      </c>
      <c r="M137" t="n">
        <v>0</v>
      </c>
      <c r="N137" t="n">
        <v>0</v>
      </c>
      <c r="O137" t="n">
        <v>0</v>
      </c>
      <c r="P137" t="n">
        <v>0</v>
      </c>
      <c r="Q137" t="n">
        <v>0</v>
      </c>
      <c r="R137" s="2" t="inlineStr"/>
    </row>
    <row r="138" ht="15" customHeight="1">
      <c r="A138" t="inlineStr">
        <is>
          <t>A 15986-2022</t>
        </is>
      </c>
      <c r="B138" s="1" t="n">
        <v>44664</v>
      </c>
      <c r="C138" s="1" t="n">
        <v>45999</v>
      </c>
      <c r="D138" t="inlineStr">
        <is>
          <t>SKÅNE LÄN</t>
        </is>
      </c>
      <c r="E138" t="inlineStr">
        <is>
          <t>HÄSSLEHOLM</t>
        </is>
      </c>
      <c r="F138" t="inlineStr">
        <is>
          <t>Kyrkan</t>
        </is>
      </c>
      <c r="G138" t="n">
        <v>6</v>
      </c>
      <c r="H138" t="n">
        <v>0</v>
      </c>
      <c r="I138" t="n">
        <v>0</v>
      </c>
      <c r="J138" t="n">
        <v>0</v>
      </c>
      <c r="K138" t="n">
        <v>0</v>
      </c>
      <c r="L138" t="n">
        <v>0</v>
      </c>
      <c r="M138" t="n">
        <v>0</v>
      </c>
      <c r="N138" t="n">
        <v>0</v>
      </c>
      <c r="O138" t="n">
        <v>0</v>
      </c>
      <c r="P138" t="n">
        <v>0</v>
      </c>
      <c r="Q138" t="n">
        <v>0</v>
      </c>
      <c r="R138" s="2" t="inlineStr"/>
    </row>
    <row r="139" ht="15" customHeight="1">
      <c r="A139" t="inlineStr">
        <is>
          <t>A 51888-2021</t>
        </is>
      </c>
      <c r="B139" s="1" t="n">
        <v>44462</v>
      </c>
      <c r="C139" s="1" t="n">
        <v>45999</v>
      </c>
      <c r="D139" t="inlineStr">
        <is>
          <t>SKÅNE LÄN</t>
        </is>
      </c>
      <c r="E139" t="inlineStr">
        <is>
          <t>HÄSSLEHOLM</t>
        </is>
      </c>
      <c r="G139" t="n">
        <v>5.6</v>
      </c>
      <c r="H139" t="n">
        <v>0</v>
      </c>
      <c r="I139" t="n">
        <v>0</v>
      </c>
      <c r="J139" t="n">
        <v>0</v>
      </c>
      <c r="K139" t="n">
        <v>0</v>
      </c>
      <c r="L139" t="n">
        <v>0</v>
      </c>
      <c r="M139" t="n">
        <v>0</v>
      </c>
      <c r="N139" t="n">
        <v>0</v>
      </c>
      <c r="O139" t="n">
        <v>0</v>
      </c>
      <c r="P139" t="n">
        <v>0</v>
      </c>
      <c r="Q139" t="n">
        <v>0</v>
      </c>
      <c r="R139" s="2" t="inlineStr"/>
    </row>
    <row r="140" ht="15" customHeight="1">
      <c r="A140" t="inlineStr">
        <is>
          <t>A 52786-2021</t>
        </is>
      </c>
      <c r="B140" s="1" t="n">
        <v>44467.36061342592</v>
      </c>
      <c r="C140" s="1" t="n">
        <v>45999</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56431-2021</t>
        </is>
      </c>
      <c r="B141" s="1" t="n">
        <v>44480</v>
      </c>
      <c r="C141" s="1" t="n">
        <v>45999</v>
      </c>
      <c r="D141" t="inlineStr">
        <is>
          <t>SKÅNE LÄN</t>
        </is>
      </c>
      <c r="E141" t="inlineStr">
        <is>
          <t>HÄSSLEHOLM</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45999</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45999</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45999</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45999</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44669-2022</t>
        </is>
      </c>
      <c r="B146" s="1" t="n">
        <v>44840</v>
      </c>
      <c r="C146" s="1" t="n">
        <v>45999</v>
      </c>
      <c r="D146" t="inlineStr">
        <is>
          <t>SKÅNE LÄN</t>
        </is>
      </c>
      <c r="E146" t="inlineStr">
        <is>
          <t>HÄSSLEHOLM</t>
        </is>
      </c>
      <c r="G146" t="n">
        <v>1.2</v>
      </c>
      <c r="H146" t="n">
        <v>0</v>
      </c>
      <c r="I146" t="n">
        <v>0</v>
      </c>
      <c r="J146" t="n">
        <v>0</v>
      </c>
      <c r="K146" t="n">
        <v>0</v>
      </c>
      <c r="L146" t="n">
        <v>0</v>
      </c>
      <c r="M146" t="n">
        <v>0</v>
      </c>
      <c r="N146" t="n">
        <v>0</v>
      </c>
      <c r="O146" t="n">
        <v>0</v>
      </c>
      <c r="P146" t="n">
        <v>0</v>
      </c>
      <c r="Q146" t="n">
        <v>0</v>
      </c>
      <c r="R146" s="2" t="inlineStr"/>
    </row>
    <row r="147" ht="15" customHeight="1">
      <c r="A147" t="inlineStr">
        <is>
          <t>A 69103-2020</t>
        </is>
      </c>
      <c r="B147" s="1" t="n">
        <v>44188</v>
      </c>
      <c r="C147" s="1" t="n">
        <v>45999</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45999</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45999</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40702-2021</t>
        </is>
      </c>
      <c r="B150" s="1" t="n">
        <v>44420.61719907408</v>
      </c>
      <c r="C150" s="1" t="n">
        <v>45999</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26386-2022</t>
        </is>
      </c>
      <c r="B151" s="1" t="n">
        <v>44735.6803125</v>
      </c>
      <c r="C151" s="1" t="n">
        <v>45999</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3447-2021</t>
        </is>
      </c>
      <c r="B152" s="1" t="n">
        <v>44218</v>
      </c>
      <c r="C152" s="1" t="n">
        <v>45999</v>
      </c>
      <c r="D152" t="inlineStr">
        <is>
          <t>SKÅNE LÄN</t>
        </is>
      </c>
      <c r="E152" t="inlineStr">
        <is>
          <t>HÄSSLEHOLM</t>
        </is>
      </c>
      <c r="G152" t="n">
        <v>3.9</v>
      </c>
      <c r="H152" t="n">
        <v>0</v>
      </c>
      <c r="I152" t="n">
        <v>0</v>
      </c>
      <c r="J152" t="n">
        <v>0</v>
      </c>
      <c r="K152" t="n">
        <v>0</v>
      </c>
      <c r="L152" t="n">
        <v>0</v>
      </c>
      <c r="M152" t="n">
        <v>0</v>
      </c>
      <c r="N152" t="n">
        <v>0</v>
      </c>
      <c r="O152" t="n">
        <v>0</v>
      </c>
      <c r="P152" t="n">
        <v>0</v>
      </c>
      <c r="Q152" t="n">
        <v>0</v>
      </c>
      <c r="R152" s="2" t="inlineStr"/>
    </row>
    <row r="153" ht="15" customHeight="1">
      <c r="A153" t="inlineStr">
        <is>
          <t>A 22320-2021</t>
        </is>
      </c>
      <c r="B153" s="1" t="n">
        <v>44323</v>
      </c>
      <c r="C153" s="1" t="n">
        <v>45999</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25469-2022</t>
        </is>
      </c>
      <c r="B154" s="1" t="n">
        <v>44732</v>
      </c>
      <c r="C154" s="1" t="n">
        <v>45999</v>
      </c>
      <c r="D154" t="inlineStr">
        <is>
          <t>SKÅNE LÄN</t>
        </is>
      </c>
      <c r="E154" t="inlineStr">
        <is>
          <t>HÄSSLEHOLM</t>
        </is>
      </c>
      <c r="G154" t="n">
        <v>4.2</v>
      </c>
      <c r="H154" t="n">
        <v>0</v>
      </c>
      <c r="I154" t="n">
        <v>0</v>
      </c>
      <c r="J154" t="n">
        <v>0</v>
      </c>
      <c r="K154" t="n">
        <v>0</v>
      </c>
      <c r="L154" t="n">
        <v>0</v>
      </c>
      <c r="M154" t="n">
        <v>0</v>
      </c>
      <c r="N154" t="n">
        <v>0</v>
      </c>
      <c r="O154" t="n">
        <v>0</v>
      </c>
      <c r="P154" t="n">
        <v>0</v>
      </c>
      <c r="Q154" t="n">
        <v>0</v>
      </c>
      <c r="R154" s="2" t="inlineStr"/>
    </row>
    <row r="155" ht="15" customHeight="1">
      <c r="A155" t="inlineStr">
        <is>
          <t>A 74297-2021</t>
        </is>
      </c>
      <c r="B155" s="1" t="n">
        <v>44558</v>
      </c>
      <c r="C155" s="1" t="n">
        <v>45999</v>
      </c>
      <c r="D155" t="inlineStr">
        <is>
          <t>SKÅNE LÄN</t>
        </is>
      </c>
      <c r="E155" t="inlineStr">
        <is>
          <t>HÄSSLEHOLM</t>
        </is>
      </c>
      <c r="F155" t="inlineStr">
        <is>
          <t>Kyrkan</t>
        </is>
      </c>
      <c r="G155" t="n">
        <v>3.8</v>
      </c>
      <c r="H155" t="n">
        <v>0</v>
      </c>
      <c r="I155" t="n">
        <v>0</v>
      </c>
      <c r="J155" t="n">
        <v>0</v>
      </c>
      <c r="K155" t="n">
        <v>0</v>
      </c>
      <c r="L155" t="n">
        <v>0</v>
      </c>
      <c r="M155" t="n">
        <v>0</v>
      </c>
      <c r="N155" t="n">
        <v>0</v>
      </c>
      <c r="O155" t="n">
        <v>0</v>
      </c>
      <c r="P155" t="n">
        <v>0</v>
      </c>
      <c r="Q155" t="n">
        <v>0</v>
      </c>
      <c r="R155" s="2" t="inlineStr"/>
    </row>
    <row r="156" ht="15" customHeight="1">
      <c r="A156" t="inlineStr">
        <is>
          <t>A 2514-2021</t>
        </is>
      </c>
      <c r="B156" s="1" t="n">
        <v>44214</v>
      </c>
      <c r="C156" s="1" t="n">
        <v>45999</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68200-2020</t>
        </is>
      </c>
      <c r="B157" s="1" t="n">
        <v>44183</v>
      </c>
      <c r="C157" s="1" t="n">
        <v>45999</v>
      </c>
      <c r="D157" t="inlineStr">
        <is>
          <t>SKÅNE LÄN</t>
        </is>
      </c>
      <c r="E157" t="inlineStr">
        <is>
          <t>HÄSSLEHOLM</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6962-2021</t>
        </is>
      </c>
      <c r="B158" s="1" t="n">
        <v>44237</v>
      </c>
      <c r="C158" s="1" t="n">
        <v>45999</v>
      </c>
      <c r="D158" t="inlineStr">
        <is>
          <t>SKÅNE LÄN</t>
        </is>
      </c>
      <c r="E158" t="inlineStr">
        <is>
          <t>HÄSSLEHOLM</t>
        </is>
      </c>
      <c r="G158" t="n">
        <v>4.2</v>
      </c>
      <c r="H158" t="n">
        <v>0</v>
      </c>
      <c r="I158" t="n">
        <v>0</v>
      </c>
      <c r="J158" t="n">
        <v>0</v>
      </c>
      <c r="K158" t="n">
        <v>0</v>
      </c>
      <c r="L158" t="n">
        <v>0</v>
      </c>
      <c r="M158" t="n">
        <v>0</v>
      </c>
      <c r="N158" t="n">
        <v>0</v>
      </c>
      <c r="O158" t="n">
        <v>0</v>
      </c>
      <c r="P158" t="n">
        <v>0</v>
      </c>
      <c r="Q158" t="n">
        <v>0</v>
      </c>
      <c r="R158" s="2" t="inlineStr"/>
    </row>
    <row r="159" ht="15" customHeight="1">
      <c r="A159" t="inlineStr">
        <is>
          <t>A 73513-2021</t>
        </is>
      </c>
      <c r="B159" s="1" t="n">
        <v>44551.69012731482</v>
      </c>
      <c r="C159" s="1" t="n">
        <v>45999</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9292-2022</t>
        </is>
      </c>
      <c r="B160" s="1" t="n">
        <v>44616</v>
      </c>
      <c r="C160" s="1" t="n">
        <v>45999</v>
      </c>
      <c r="D160" t="inlineStr">
        <is>
          <t>SKÅNE LÄN</t>
        </is>
      </c>
      <c r="E160" t="inlineStr">
        <is>
          <t>HÄSSLEHOLM</t>
        </is>
      </c>
      <c r="G160" t="n">
        <v>1.6</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45999</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3277-2022</t>
        </is>
      </c>
      <c r="B162" s="1" t="n">
        <v>44584.41274305555</v>
      </c>
      <c r="C162" s="1" t="n">
        <v>45999</v>
      </c>
      <c r="D162" t="inlineStr">
        <is>
          <t>SKÅNE LÄN</t>
        </is>
      </c>
      <c r="E162" t="inlineStr">
        <is>
          <t>HÄSSLEHOLM</t>
        </is>
      </c>
      <c r="G162" t="n">
        <v>0.2</v>
      </c>
      <c r="H162" t="n">
        <v>0</v>
      </c>
      <c r="I162" t="n">
        <v>0</v>
      </c>
      <c r="J162" t="n">
        <v>0</v>
      </c>
      <c r="K162" t="n">
        <v>0</v>
      </c>
      <c r="L162" t="n">
        <v>0</v>
      </c>
      <c r="M162" t="n">
        <v>0</v>
      </c>
      <c r="N162" t="n">
        <v>0</v>
      </c>
      <c r="O162" t="n">
        <v>0</v>
      </c>
      <c r="P162" t="n">
        <v>0</v>
      </c>
      <c r="Q162" t="n">
        <v>0</v>
      </c>
      <c r="R162" s="2" t="inlineStr"/>
    </row>
    <row r="163" ht="15" customHeight="1">
      <c r="A163" t="inlineStr">
        <is>
          <t>A 69198-2020</t>
        </is>
      </c>
      <c r="B163" s="1" t="n">
        <v>44191</v>
      </c>
      <c r="C163" s="1" t="n">
        <v>45999</v>
      </c>
      <c r="D163" t="inlineStr">
        <is>
          <t>SKÅNE LÄN</t>
        </is>
      </c>
      <c r="E163" t="inlineStr">
        <is>
          <t>HÄSSLEHOLM</t>
        </is>
      </c>
      <c r="G163" t="n">
        <v>6.6</v>
      </c>
      <c r="H163" t="n">
        <v>0</v>
      </c>
      <c r="I163" t="n">
        <v>0</v>
      </c>
      <c r="J163" t="n">
        <v>0</v>
      </c>
      <c r="K163" t="n">
        <v>0</v>
      </c>
      <c r="L163" t="n">
        <v>0</v>
      </c>
      <c r="M163" t="n">
        <v>0</v>
      </c>
      <c r="N163" t="n">
        <v>0</v>
      </c>
      <c r="O163" t="n">
        <v>0</v>
      </c>
      <c r="P163" t="n">
        <v>0</v>
      </c>
      <c r="Q163" t="n">
        <v>0</v>
      </c>
      <c r="R163" s="2" t="inlineStr"/>
    </row>
    <row r="164" ht="15" customHeight="1">
      <c r="A164" t="inlineStr">
        <is>
          <t>A 7522-2021</t>
        </is>
      </c>
      <c r="B164" s="1" t="n">
        <v>44238</v>
      </c>
      <c r="C164" s="1" t="n">
        <v>45999</v>
      </c>
      <c r="D164" t="inlineStr">
        <is>
          <t>SKÅNE LÄN</t>
        </is>
      </c>
      <c r="E164" t="inlineStr">
        <is>
          <t>HÄSSLEHOLM</t>
        </is>
      </c>
      <c r="G164" t="n">
        <v>2.2</v>
      </c>
      <c r="H164" t="n">
        <v>0</v>
      </c>
      <c r="I164" t="n">
        <v>0</v>
      </c>
      <c r="J164" t="n">
        <v>0</v>
      </c>
      <c r="K164" t="n">
        <v>0</v>
      </c>
      <c r="L164" t="n">
        <v>0</v>
      </c>
      <c r="M164" t="n">
        <v>0</v>
      </c>
      <c r="N164" t="n">
        <v>0</v>
      </c>
      <c r="O164" t="n">
        <v>0</v>
      </c>
      <c r="P164" t="n">
        <v>0</v>
      </c>
      <c r="Q164" t="n">
        <v>0</v>
      </c>
      <c r="R164" s="2" t="inlineStr"/>
    </row>
    <row r="165" ht="15" customHeight="1">
      <c r="A165" t="inlineStr">
        <is>
          <t>A 64607-2021</t>
        </is>
      </c>
      <c r="B165" s="1" t="n">
        <v>44511</v>
      </c>
      <c r="C165" s="1" t="n">
        <v>45999</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69201-2020</t>
        </is>
      </c>
      <c r="B166" s="1" t="n">
        <v>44191</v>
      </c>
      <c r="C166" s="1" t="n">
        <v>45999</v>
      </c>
      <c r="D166" t="inlineStr">
        <is>
          <t>SKÅNE LÄN</t>
        </is>
      </c>
      <c r="E166" t="inlineStr">
        <is>
          <t>HÄSSLEHOLM</t>
        </is>
      </c>
      <c r="G166" t="n">
        <v>0.6</v>
      </c>
      <c r="H166" t="n">
        <v>0</v>
      </c>
      <c r="I166" t="n">
        <v>0</v>
      </c>
      <c r="J166" t="n">
        <v>0</v>
      </c>
      <c r="K166" t="n">
        <v>0</v>
      </c>
      <c r="L166" t="n">
        <v>0</v>
      </c>
      <c r="M166" t="n">
        <v>0</v>
      </c>
      <c r="N166" t="n">
        <v>0</v>
      </c>
      <c r="O166" t="n">
        <v>0</v>
      </c>
      <c r="P166" t="n">
        <v>0</v>
      </c>
      <c r="Q166" t="n">
        <v>0</v>
      </c>
      <c r="R166" s="2" t="inlineStr"/>
    </row>
    <row r="167" ht="15" customHeight="1">
      <c r="A167" t="inlineStr">
        <is>
          <t>A 14054-2021</t>
        </is>
      </c>
      <c r="B167" s="1" t="n">
        <v>44277</v>
      </c>
      <c r="C167" s="1" t="n">
        <v>45999</v>
      </c>
      <c r="D167" t="inlineStr">
        <is>
          <t>SKÅNE LÄN</t>
        </is>
      </c>
      <c r="E167" t="inlineStr">
        <is>
          <t>HÄSSLEHOLM</t>
        </is>
      </c>
      <c r="G167" t="n">
        <v>2</v>
      </c>
      <c r="H167" t="n">
        <v>0</v>
      </c>
      <c r="I167" t="n">
        <v>0</v>
      </c>
      <c r="J167" t="n">
        <v>0</v>
      </c>
      <c r="K167" t="n">
        <v>0</v>
      </c>
      <c r="L167" t="n">
        <v>0</v>
      </c>
      <c r="M167" t="n">
        <v>0</v>
      </c>
      <c r="N167" t="n">
        <v>0</v>
      </c>
      <c r="O167" t="n">
        <v>0</v>
      </c>
      <c r="P167" t="n">
        <v>0</v>
      </c>
      <c r="Q167" t="n">
        <v>0</v>
      </c>
      <c r="R167" s="2" t="inlineStr"/>
    </row>
    <row r="168" ht="15" customHeight="1">
      <c r="A168" t="inlineStr">
        <is>
          <t>A 8278-2021</t>
        </is>
      </c>
      <c r="B168" s="1" t="n">
        <v>44244</v>
      </c>
      <c r="C168" s="1" t="n">
        <v>45999</v>
      </c>
      <c r="D168" t="inlineStr">
        <is>
          <t>SKÅNE LÄN</t>
        </is>
      </c>
      <c r="E168" t="inlineStr">
        <is>
          <t>HÄSSLEHOLM</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2858-2022</t>
        </is>
      </c>
      <c r="B169" s="1" t="n">
        <v>44581</v>
      </c>
      <c r="C169" s="1" t="n">
        <v>45999</v>
      </c>
      <c r="D169" t="inlineStr">
        <is>
          <t>SKÅNE LÄN</t>
        </is>
      </c>
      <c r="E169" t="inlineStr">
        <is>
          <t>HÄSSLEHOLM</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9257-2021</t>
        </is>
      </c>
      <c r="B170" s="1" t="n">
        <v>44250</v>
      </c>
      <c r="C170" s="1" t="n">
        <v>45999</v>
      </c>
      <c r="D170" t="inlineStr">
        <is>
          <t>SKÅNE LÄN</t>
        </is>
      </c>
      <c r="E170" t="inlineStr">
        <is>
          <t>HÄSSLEHOLM</t>
        </is>
      </c>
      <c r="G170" t="n">
        <v>2.2</v>
      </c>
      <c r="H170" t="n">
        <v>0</v>
      </c>
      <c r="I170" t="n">
        <v>0</v>
      </c>
      <c r="J170" t="n">
        <v>0</v>
      </c>
      <c r="K170" t="n">
        <v>0</v>
      </c>
      <c r="L170" t="n">
        <v>0</v>
      </c>
      <c r="M170" t="n">
        <v>0</v>
      </c>
      <c r="N170" t="n">
        <v>0</v>
      </c>
      <c r="O170" t="n">
        <v>0</v>
      </c>
      <c r="P170" t="n">
        <v>0</v>
      </c>
      <c r="Q170" t="n">
        <v>0</v>
      </c>
      <c r="R170" s="2" t="inlineStr"/>
    </row>
    <row r="171" ht="15" customHeight="1">
      <c r="A171" t="inlineStr">
        <is>
          <t>A 27959-2022</t>
        </is>
      </c>
      <c r="B171" s="1" t="n">
        <v>44744</v>
      </c>
      <c r="C171" s="1" t="n">
        <v>45999</v>
      </c>
      <c r="D171" t="inlineStr">
        <is>
          <t>SKÅNE LÄN</t>
        </is>
      </c>
      <c r="E171" t="inlineStr">
        <is>
          <t>HÄSSLEHOLM</t>
        </is>
      </c>
      <c r="G171" t="n">
        <v>3</v>
      </c>
      <c r="H171" t="n">
        <v>0</v>
      </c>
      <c r="I171" t="n">
        <v>0</v>
      </c>
      <c r="J171" t="n">
        <v>0</v>
      </c>
      <c r="K171" t="n">
        <v>0</v>
      </c>
      <c r="L171" t="n">
        <v>0</v>
      </c>
      <c r="M171" t="n">
        <v>0</v>
      </c>
      <c r="N171" t="n">
        <v>0</v>
      </c>
      <c r="O171" t="n">
        <v>0</v>
      </c>
      <c r="P171" t="n">
        <v>0</v>
      </c>
      <c r="Q171" t="n">
        <v>0</v>
      </c>
      <c r="R171" s="2" t="inlineStr"/>
    </row>
    <row r="172" ht="15" customHeight="1">
      <c r="A172" t="inlineStr">
        <is>
          <t>A 66474-2020</t>
        </is>
      </c>
      <c r="B172" s="1" t="n">
        <v>44177</v>
      </c>
      <c r="C172" s="1" t="n">
        <v>45999</v>
      </c>
      <c r="D172" t="inlineStr">
        <is>
          <t>SKÅNE LÄN</t>
        </is>
      </c>
      <c r="E172" t="inlineStr">
        <is>
          <t>HÄSSLEHOLM</t>
        </is>
      </c>
      <c r="G172" t="n">
        <v>2.8</v>
      </c>
      <c r="H172" t="n">
        <v>0</v>
      </c>
      <c r="I172" t="n">
        <v>0</v>
      </c>
      <c r="J172" t="n">
        <v>0</v>
      </c>
      <c r="K172" t="n">
        <v>0</v>
      </c>
      <c r="L172" t="n">
        <v>0</v>
      </c>
      <c r="M172" t="n">
        <v>0</v>
      </c>
      <c r="N172" t="n">
        <v>0</v>
      </c>
      <c r="O172" t="n">
        <v>0</v>
      </c>
      <c r="P172" t="n">
        <v>0</v>
      </c>
      <c r="Q172" t="n">
        <v>0</v>
      </c>
      <c r="R172" s="2" t="inlineStr"/>
    </row>
    <row r="173" ht="15" customHeight="1">
      <c r="A173" t="inlineStr">
        <is>
          <t>A 18515-2021</t>
        </is>
      </c>
      <c r="B173" s="1" t="n">
        <v>44305</v>
      </c>
      <c r="C173" s="1" t="n">
        <v>45999</v>
      </c>
      <c r="D173" t="inlineStr">
        <is>
          <t>SKÅNE LÄN</t>
        </is>
      </c>
      <c r="E173" t="inlineStr">
        <is>
          <t>HÄSSLEHOLM</t>
        </is>
      </c>
      <c r="F173" t="inlineStr">
        <is>
          <t>Övriga Aktiebolag</t>
        </is>
      </c>
      <c r="G173" t="n">
        <v>0.5</v>
      </c>
      <c r="H173" t="n">
        <v>0</v>
      </c>
      <c r="I173" t="n">
        <v>0</v>
      </c>
      <c r="J173" t="n">
        <v>0</v>
      </c>
      <c r="K173" t="n">
        <v>0</v>
      </c>
      <c r="L173" t="n">
        <v>0</v>
      </c>
      <c r="M173" t="n">
        <v>0</v>
      </c>
      <c r="N173" t="n">
        <v>0</v>
      </c>
      <c r="O173" t="n">
        <v>0</v>
      </c>
      <c r="P173" t="n">
        <v>0</v>
      </c>
      <c r="Q173" t="n">
        <v>0</v>
      </c>
      <c r="R173" s="2" t="inlineStr"/>
    </row>
    <row r="174" ht="15" customHeight="1">
      <c r="A174" t="inlineStr">
        <is>
          <t>A 18523-2021</t>
        </is>
      </c>
      <c r="B174" s="1" t="n">
        <v>44305</v>
      </c>
      <c r="C174" s="1" t="n">
        <v>45999</v>
      </c>
      <c r="D174" t="inlineStr">
        <is>
          <t>SKÅNE LÄN</t>
        </is>
      </c>
      <c r="E174" t="inlineStr">
        <is>
          <t>HÄSSLEHOLM</t>
        </is>
      </c>
      <c r="F174" t="inlineStr">
        <is>
          <t>Övriga Aktiebolag</t>
        </is>
      </c>
      <c r="G174" t="n">
        <v>1.2</v>
      </c>
      <c r="H174" t="n">
        <v>0</v>
      </c>
      <c r="I174" t="n">
        <v>0</v>
      </c>
      <c r="J174" t="n">
        <v>0</v>
      </c>
      <c r="K174" t="n">
        <v>0</v>
      </c>
      <c r="L174" t="n">
        <v>0</v>
      </c>
      <c r="M174" t="n">
        <v>0</v>
      </c>
      <c r="N174" t="n">
        <v>0</v>
      </c>
      <c r="O174" t="n">
        <v>0</v>
      </c>
      <c r="P174" t="n">
        <v>0</v>
      </c>
      <c r="Q174" t="n">
        <v>0</v>
      </c>
      <c r="R174" s="2" t="inlineStr"/>
    </row>
    <row r="175" ht="15" customHeight="1">
      <c r="A175" t="inlineStr">
        <is>
          <t>A 12617-2021</t>
        </is>
      </c>
      <c r="B175" s="1" t="n">
        <v>44270.45030092593</v>
      </c>
      <c r="C175" s="1" t="n">
        <v>45999</v>
      </c>
      <c r="D175" t="inlineStr">
        <is>
          <t>SKÅNE LÄN</t>
        </is>
      </c>
      <c r="E175" t="inlineStr">
        <is>
          <t>HÄSSLEHOLM</t>
        </is>
      </c>
      <c r="G175" t="n">
        <v>1.2</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45999</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45999</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197-2021</t>
        </is>
      </c>
      <c r="B178" s="1" t="n">
        <v>44200</v>
      </c>
      <c r="C178" s="1" t="n">
        <v>45999</v>
      </c>
      <c r="D178" t="inlineStr">
        <is>
          <t>SKÅNE LÄN</t>
        </is>
      </c>
      <c r="E178" t="inlineStr">
        <is>
          <t>HÄSSLEHOLM</t>
        </is>
      </c>
      <c r="G178" t="n">
        <v>12.9</v>
      </c>
      <c r="H178" t="n">
        <v>0</v>
      </c>
      <c r="I178" t="n">
        <v>0</v>
      </c>
      <c r="J178" t="n">
        <v>0</v>
      </c>
      <c r="K178" t="n">
        <v>0</v>
      </c>
      <c r="L178" t="n">
        <v>0</v>
      </c>
      <c r="M178" t="n">
        <v>0</v>
      </c>
      <c r="N178" t="n">
        <v>0</v>
      </c>
      <c r="O178" t="n">
        <v>0</v>
      </c>
      <c r="P178" t="n">
        <v>0</v>
      </c>
      <c r="Q178" t="n">
        <v>0</v>
      </c>
      <c r="R178" s="2" t="inlineStr"/>
    </row>
    <row r="179" ht="15" customHeight="1">
      <c r="A179" t="inlineStr">
        <is>
          <t>A 2631-2022</t>
        </is>
      </c>
      <c r="B179" s="1" t="n">
        <v>44580</v>
      </c>
      <c r="C179" s="1" t="n">
        <v>45999</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4156-2022</t>
        </is>
      </c>
      <c r="B180" s="1" t="n">
        <v>44588</v>
      </c>
      <c r="C180" s="1" t="n">
        <v>45999</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45999</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15423-2022</t>
        </is>
      </c>
      <c r="B182" s="1" t="n">
        <v>44659</v>
      </c>
      <c r="C182" s="1" t="n">
        <v>45999</v>
      </c>
      <c r="D182" t="inlineStr">
        <is>
          <t>SKÅNE LÄN</t>
        </is>
      </c>
      <c r="E182" t="inlineStr">
        <is>
          <t>HÄSSLEHOLM</t>
        </is>
      </c>
      <c r="F182" t="inlineStr">
        <is>
          <t>Kyrkan</t>
        </is>
      </c>
      <c r="G182" t="n">
        <v>0.9</v>
      </c>
      <c r="H182" t="n">
        <v>0</v>
      </c>
      <c r="I182" t="n">
        <v>0</v>
      </c>
      <c r="J182" t="n">
        <v>0</v>
      </c>
      <c r="K182" t="n">
        <v>0</v>
      </c>
      <c r="L182" t="n">
        <v>0</v>
      </c>
      <c r="M182" t="n">
        <v>0</v>
      </c>
      <c r="N182" t="n">
        <v>0</v>
      </c>
      <c r="O182" t="n">
        <v>0</v>
      </c>
      <c r="P182" t="n">
        <v>0</v>
      </c>
      <c r="Q182" t="n">
        <v>0</v>
      </c>
      <c r="R182" s="2" t="inlineStr"/>
    </row>
    <row r="183" ht="15" customHeight="1">
      <c r="A183" t="inlineStr">
        <is>
          <t>A 51893-2021</t>
        </is>
      </c>
      <c r="B183" s="1" t="n">
        <v>44462</v>
      </c>
      <c r="C183" s="1" t="n">
        <v>45999</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55394-2022</t>
        </is>
      </c>
      <c r="B184" s="1" t="n">
        <v>44887.57112268519</v>
      </c>
      <c r="C184" s="1" t="n">
        <v>45999</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45999</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69505-2020</t>
        </is>
      </c>
      <c r="B186" s="1" t="n">
        <v>44194</v>
      </c>
      <c r="C186" s="1" t="n">
        <v>45999</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418-2022</t>
        </is>
      </c>
      <c r="B187" s="1" t="n">
        <v>44565.84958333334</v>
      </c>
      <c r="C187" s="1" t="n">
        <v>45999</v>
      </c>
      <c r="D187" t="inlineStr">
        <is>
          <t>SKÅNE LÄN</t>
        </is>
      </c>
      <c r="E187" t="inlineStr">
        <is>
          <t>HÄSSLEHOLM</t>
        </is>
      </c>
      <c r="G187" t="n">
        <v>0</v>
      </c>
      <c r="H187" t="n">
        <v>0</v>
      </c>
      <c r="I187" t="n">
        <v>0</v>
      </c>
      <c r="J187" t="n">
        <v>0</v>
      </c>
      <c r="K187" t="n">
        <v>0</v>
      </c>
      <c r="L187" t="n">
        <v>0</v>
      </c>
      <c r="M187" t="n">
        <v>0</v>
      </c>
      <c r="N187" t="n">
        <v>0</v>
      </c>
      <c r="O187" t="n">
        <v>0</v>
      </c>
      <c r="P187" t="n">
        <v>0</v>
      </c>
      <c r="Q187" t="n">
        <v>0</v>
      </c>
      <c r="R187" s="2" t="inlineStr"/>
    </row>
    <row r="188" ht="15" customHeight="1">
      <c r="A188" t="inlineStr">
        <is>
          <t>A 20510-2021</t>
        </is>
      </c>
      <c r="B188" s="1" t="n">
        <v>44315</v>
      </c>
      <c r="C188" s="1" t="n">
        <v>45999</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64826-2021</t>
        </is>
      </c>
      <c r="B189" s="1" t="n">
        <v>44512.55935185185</v>
      </c>
      <c r="C189" s="1" t="n">
        <v>45999</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7904-2022</t>
        </is>
      </c>
      <c r="B190" s="1" t="n">
        <v>44607</v>
      </c>
      <c r="C190" s="1" t="n">
        <v>45999</v>
      </c>
      <c r="D190" t="inlineStr">
        <is>
          <t>SKÅNE LÄN</t>
        </is>
      </c>
      <c r="E190" t="inlineStr">
        <is>
          <t>HÄSSLEHOLM</t>
        </is>
      </c>
      <c r="F190" t="inlineStr">
        <is>
          <t>Kyrkan</t>
        </is>
      </c>
      <c r="G190" t="n">
        <v>3.9</v>
      </c>
      <c r="H190" t="n">
        <v>0</v>
      </c>
      <c r="I190" t="n">
        <v>0</v>
      </c>
      <c r="J190" t="n">
        <v>0</v>
      </c>
      <c r="K190" t="n">
        <v>0</v>
      </c>
      <c r="L190" t="n">
        <v>0</v>
      </c>
      <c r="M190" t="n">
        <v>0</v>
      </c>
      <c r="N190" t="n">
        <v>0</v>
      </c>
      <c r="O190" t="n">
        <v>0</v>
      </c>
      <c r="P190" t="n">
        <v>0</v>
      </c>
      <c r="Q190" t="n">
        <v>0</v>
      </c>
      <c r="R190" s="2" t="inlineStr"/>
    </row>
    <row r="191" ht="15" customHeight="1">
      <c r="A191" t="inlineStr">
        <is>
          <t>A 66520-2020</t>
        </is>
      </c>
      <c r="B191" s="1" t="n">
        <v>44179</v>
      </c>
      <c r="C191" s="1" t="n">
        <v>45999</v>
      </c>
      <c r="D191" t="inlineStr">
        <is>
          <t>SKÅNE LÄN</t>
        </is>
      </c>
      <c r="E191" t="inlineStr">
        <is>
          <t>HÄSSLEHOLM</t>
        </is>
      </c>
      <c r="G191" t="n">
        <v>0.4</v>
      </c>
      <c r="H191" t="n">
        <v>0</v>
      </c>
      <c r="I191" t="n">
        <v>0</v>
      </c>
      <c r="J191" t="n">
        <v>0</v>
      </c>
      <c r="K191" t="n">
        <v>0</v>
      </c>
      <c r="L191" t="n">
        <v>0</v>
      </c>
      <c r="M191" t="n">
        <v>0</v>
      </c>
      <c r="N191" t="n">
        <v>0</v>
      </c>
      <c r="O191" t="n">
        <v>0</v>
      </c>
      <c r="P191" t="n">
        <v>0</v>
      </c>
      <c r="Q191" t="n">
        <v>0</v>
      </c>
      <c r="R191" s="2" t="inlineStr"/>
    </row>
    <row r="192" ht="15" customHeight="1">
      <c r="A192" t="inlineStr">
        <is>
          <t>A 23967-2022</t>
        </is>
      </c>
      <c r="B192" s="1" t="n">
        <v>44722.74079861111</v>
      </c>
      <c r="C192" s="1" t="n">
        <v>45999</v>
      </c>
      <c r="D192" t="inlineStr">
        <is>
          <t>SKÅNE LÄN</t>
        </is>
      </c>
      <c r="E192" t="inlineStr">
        <is>
          <t>HÄSSLEHOLM</t>
        </is>
      </c>
      <c r="F192" t="inlineStr">
        <is>
          <t>Kyrkan</t>
        </is>
      </c>
      <c r="G192" t="n">
        <v>12.4</v>
      </c>
      <c r="H192" t="n">
        <v>0</v>
      </c>
      <c r="I192" t="n">
        <v>0</v>
      </c>
      <c r="J192" t="n">
        <v>0</v>
      </c>
      <c r="K192" t="n">
        <v>0</v>
      </c>
      <c r="L192" t="n">
        <v>0</v>
      </c>
      <c r="M192" t="n">
        <v>0</v>
      </c>
      <c r="N192" t="n">
        <v>0</v>
      </c>
      <c r="O192" t="n">
        <v>0</v>
      </c>
      <c r="P192" t="n">
        <v>0</v>
      </c>
      <c r="Q192" t="n">
        <v>0</v>
      </c>
      <c r="R192" s="2" t="inlineStr"/>
    </row>
    <row r="193" ht="15" customHeight="1">
      <c r="A193" t="inlineStr">
        <is>
          <t>A 9453-2021</t>
        </is>
      </c>
      <c r="B193" s="1" t="n">
        <v>44251</v>
      </c>
      <c r="C193" s="1" t="n">
        <v>45999</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45999</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69504-2020</t>
        </is>
      </c>
      <c r="B195" s="1" t="n">
        <v>44194</v>
      </c>
      <c r="C195" s="1" t="n">
        <v>45999</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56989-2021</t>
        </is>
      </c>
      <c r="B196" s="1" t="n">
        <v>44482</v>
      </c>
      <c r="C196" s="1" t="n">
        <v>45999</v>
      </c>
      <c r="D196" t="inlineStr">
        <is>
          <t>SKÅNE LÄN</t>
        </is>
      </c>
      <c r="E196" t="inlineStr">
        <is>
          <t>HÄSSLEHOLM</t>
        </is>
      </c>
      <c r="G196" t="n">
        <v>1.1</v>
      </c>
      <c r="H196" t="n">
        <v>0</v>
      </c>
      <c r="I196" t="n">
        <v>0</v>
      </c>
      <c r="J196" t="n">
        <v>0</v>
      </c>
      <c r="K196" t="n">
        <v>0</v>
      </c>
      <c r="L196" t="n">
        <v>0</v>
      </c>
      <c r="M196" t="n">
        <v>0</v>
      </c>
      <c r="N196" t="n">
        <v>0</v>
      </c>
      <c r="O196" t="n">
        <v>0</v>
      </c>
      <c r="P196" t="n">
        <v>0</v>
      </c>
      <c r="Q196" t="n">
        <v>0</v>
      </c>
      <c r="R196" s="2" t="inlineStr"/>
    </row>
    <row r="197" ht="15" customHeight="1">
      <c r="A197" t="inlineStr">
        <is>
          <t>A 7250-2022</t>
        </is>
      </c>
      <c r="B197" s="1" t="n">
        <v>44606</v>
      </c>
      <c r="C197" s="1" t="n">
        <v>45999</v>
      </c>
      <c r="D197" t="inlineStr">
        <is>
          <t>SKÅNE LÄN</t>
        </is>
      </c>
      <c r="E197" t="inlineStr">
        <is>
          <t>HÄSSLEHOLM</t>
        </is>
      </c>
      <c r="F197" t="inlineStr">
        <is>
          <t>Övriga Aktiebolag</t>
        </is>
      </c>
      <c r="G197" t="n">
        <v>2.6</v>
      </c>
      <c r="H197" t="n">
        <v>0</v>
      </c>
      <c r="I197" t="n">
        <v>0</v>
      </c>
      <c r="J197" t="n">
        <v>0</v>
      </c>
      <c r="K197" t="n">
        <v>0</v>
      </c>
      <c r="L197" t="n">
        <v>0</v>
      </c>
      <c r="M197" t="n">
        <v>0</v>
      </c>
      <c r="N197" t="n">
        <v>0</v>
      </c>
      <c r="O197" t="n">
        <v>0</v>
      </c>
      <c r="P197" t="n">
        <v>0</v>
      </c>
      <c r="Q197" t="n">
        <v>0</v>
      </c>
      <c r="R197" s="2" t="inlineStr"/>
    </row>
    <row r="198" ht="15" customHeight="1">
      <c r="A198" t="inlineStr">
        <is>
          <t>A 51159-2021</t>
        </is>
      </c>
      <c r="B198" s="1" t="n">
        <v>44461</v>
      </c>
      <c r="C198" s="1" t="n">
        <v>45999</v>
      </c>
      <c r="D198" t="inlineStr">
        <is>
          <t>SKÅNE LÄN</t>
        </is>
      </c>
      <c r="E198" t="inlineStr">
        <is>
          <t>HÄSSLEHOLM</t>
        </is>
      </c>
      <c r="F198" t="inlineStr">
        <is>
          <t>Kommuner</t>
        </is>
      </c>
      <c r="G198" t="n">
        <v>0.8</v>
      </c>
      <c r="H198" t="n">
        <v>0</v>
      </c>
      <c r="I198" t="n">
        <v>0</v>
      </c>
      <c r="J198" t="n">
        <v>0</v>
      </c>
      <c r="K198" t="n">
        <v>0</v>
      </c>
      <c r="L198" t="n">
        <v>0</v>
      </c>
      <c r="M198" t="n">
        <v>0</v>
      </c>
      <c r="N198" t="n">
        <v>0</v>
      </c>
      <c r="O198" t="n">
        <v>0</v>
      </c>
      <c r="P198" t="n">
        <v>0</v>
      </c>
      <c r="Q198" t="n">
        <v>0</v>
      </c>
      <c r="R198" s="2" t="inlineStr"/>
    </row>
    <row r="199" ht="15" customHeight="1">
      <c r="A199" t="inlineStr">
        <is>
          <t>A 8177-2022</t>
        </is>
      </c>
      <c r="B199" s="1" t="n">
        <v>44607</v>
      </c>
      <c r="C199" s="1" t="n">
        <v>45999</v>
      </c>
      <c r="D199" t="inlineStr">
        <is>
          <t>SKÅNE LÄN</t>
        </is>
      </c>
      <c r="E199" t="inlineStr">
        <is>
          <t>HÄSSLEHOLM</t>
        </is>
      </c>
      <c r="F199" t="inlineStr">
        <is>
          <t>Kyrkan</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25464-2022</t>
        </is>
      </c>
      <c r="B200" s="1" t="n">
        <v>44729</v>
      </c>
      <c r="C200" s="1" t="n">
        <v>45999</v>
      </c>
      <c r="D200" t="inlineStr">
        <is>
          <t>SKÅNE LÄN</t>
        </is>
      </c>
      <c r="E200" t="inlineStr">
        <is>
          <t>HÄSSLEHOLM</t>
        </is>
      </c>
      <c r="G200" t="n">
        <v>21</v>
      </c>
      <c r="H200" t="n">
        <v>0</v>
      </c>
      <c r="I200" t="n">
        <v>0</v>
      </c>
      <c r="J200" t="n">
        <v>0</v>
      </c>
      <c r="K200" t="n">
        <v>0</v>
      </c>
      <c r="L200" t="n">
        <v>0</v>
      </c>
      <c r="M200" t="n">
        <v>0</v>
      </c>
      <c r="N200" t="n">
        <v>0</v>
      </c>
      <c r="O200" t="n">
        <v>0</v>
      </c>
      <c r="P200" t="n">
        <v>0</v>
      </c>
      <c r="Q200" t="n">
        <v>0</v>
      </c>
      <c r="R200" s="2" t="inlineStr"/>
    </row>
    <row r="201" ht="15" customHeight="1">
      <c r="A201" t="inlineStr">
        <is>
          <t>A 25383-2021</t>
        </is>
      </c>
      <c r="B201" s="1" t="n">
        <v>44342</v>
      </c>
      <c r="C201" s="1" t="n">
        <v>45999</v>
      </c>
      <c r="D201" t="inlineStr">
        <is>
          <t>SKÅNE LÄN</t>
        </is>
      </c>
      <c r="E201" t="inlineStr">
        <is>
          <t>HÄSSLEHOLM</t>
        </is>
      </c>
      <c r="G201" t="n">
        <v>0.7</v>
      </c>
      <c r="H201" t="n">
        <v>0</v>
      </c>
      <c r="I201" t="n">
        <v>0</v>
      </c>
      <c r="J201" t="n">
        <v>0</v>
      </c>
      <c r="K201" t="n">
        <v>0</v>
      </c>
      <c r="L201" t="n">
        <v>0</v>
      </c>
      <c r="M201" t="n">
        <v>0</v>
      </c>
      <c r="N201" t="n">
        <v>0</v>
      </c>
      <c r="O201" t="n">
        <v>0</v>
      </c>
      <c r="P201" t="n">
        <v>0</v>
      </c>
      <c r="Q201" t="n">
        <v>0</v>
      </c>
      <c r="R201" s="2" t="inlineStr"/>
    </row>
    <row r="202" ht="15" customHeight="1">
      <c r="A202" t="inlineStr">
        <is>
          <t>A 45989-2021</t>
        </is>
      </c>
      <c r="B202" s="1" t="n">
        <v>44441.74627314815</v>
      </c>
      <c r="C202" s="1" t="n">
        <v>45999</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45999</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7248-2021</t>
        </is>
      </c>
      <c r="B204" s="1" t="n">
        <v>44236</v>
      </c>
      <c r="C204" s="1" t="n">
        <v>45999</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6965-2021</t>
        </is>
      </c>
      <c r="B205" s="1" t="n">
        <v>44237</v>
      </c>
      <c r="C205" s="1" t="n">
        <v>45999</v>
      </c>
      <c r="D205" t="inlineStr">
        <is>
          <t>SKÅNE LÄN</t>
        </is>
      </c>
      <c r="E205" t="inlineStr">
        <is>
          <t>HÄSSLEHOLM</t>
        </is>
      </c>
      <c r="G205" t="n">
        <v>0.3</v>
      </c>
      <c r="H205" t="n">
        <v>0</v>
      </c>
      <c r="I205" t="n">
        <v>0</v>
      </c>
      <c r="J205" t="n">
        <v>0</v>
      </c>
      <c r="K205" t="n">
        <v>0</v>
      </c>
      <c r="L205" t="n">
        <v>0</v>
      </c>
      <c r="M205" t="n">
        <v>0</v>
      </c>
      <c r="N205" t="n">
        <v>0</v>
      </c>
      <c r="O205" t="n">
        <v>0</v>
      </c>
      <c r="P205" t="n">
        <v>0</v>
      </c>
      <c r="Q205" t="n">
        <v>0</v>
      </c>
      <c r="R205" s="2" t="inlineStr"/>
    </row>
    <row r="206" ht="15" customHeight="1">
      <c r="A206" t="inlineStr">
        <is>
          <t>A 219-2022</t>
        </is>
      </c>
      <c r="B206" s="1" t="n">
        <v>44564</v>
      </c>
      <c r="C206" s="1" t="n">
        <v>45999</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6048-2022</t>
        </is>
      </c>
      <c r="B207" s="1" t="n">
        <v>44599.5174537037</v>
      </c>
      <c r="C207" s="1" t="n">
        <v>45999</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30344-2022</t>
        </is>
      </c>
      <c r="B208" s="1" t="n">
        <v>44760.50783564815</v>
      </c>
      <c r="C208" s="1" t="n">
        <v>45999</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45999</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25788-2021</t>
        </is>
      </c>
      <c r="B210" s="1" t="n">
        <v>44343</v>
      </c>
      <c r="C210" s="1" t="n">
        <v>45999</v>
      </c>
      <c r="D210" t="inlineStr">
        <is>
          <t>SKÅNE LÄN</t>
        </is>
      </c>
      <c r="E210" t="inlineStr">
        <is>
          <t>HÄSSLEHOLM</t>
        </is>
      </c>
      <c r="G210" t="n">
        <v>4.8</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45999</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13811-2021</t>
        </is>
      </c>
      <c r="B212" s="1" t="n">
        <v>44276</v>
      </c>
      <c r="C212" s="1" t="n">
        <v>45999</v>
      </c>
      <c r="D212" t="inlineStr">
        <is>
          <t>SKÅNE LÄN</t>
        </is>
      </c>
      <c r="E212" t="inlineStr">
        <is>
          <t>HÄSSLEHOLM</t>
        </is>
      </c>
      <c r="G212" t="n">
        <v>8</v>
      </c>
      <c r="H212" t="n">
        <v>0</v>
      </c>
      <c r="I212" t="n">
        <v>0</v>
      </c>
      <c r="J212" t="n">
        <v>0</v>
      </c>
      <c r="K212" t="n">
        <v>0</v>
      </c>
      <c r="L212" t="n">
        <v>0</v>
      </c>
      <c r="M212" t="n">
        <v>0</v>
      </c>
      <c r="N212" t="n">
        <v>0</v>
      </c>
      <c r="O212" t="n">
        <v>0</v>
      </c>
      <c r="P212" t="n">
        <v>0</v>
      </c>
      <c r="Q212" t="n">
        <v>0</v>
      </c>
      <c r="R212" s="2" t="inlineStr"/>
    </row>
    <row r="213" ht="15" customHeight="1">
      <c r="A213" t="inlineStr">
        <is>
          <t>A 55412-2022</t>
        </is>
      </c>
      <c r="B213" s="1" t="n">
        <v>44882</v>
      </c>
      <c r="C213" s="1" t="n">
        <v>45999</v>
      </c>
      <c r="D213" t="inlineStr">
        <is>
          <t>SKÅNE LÄN</t>
        </is>
      </c>
      <c r="E213" t="inlineStr">
        <is>
          <t>HÄSSLEHOLM</t>
        </is>
      </c>
      <c r="F213" t="inlineStr">
        <is>
          <t>Övriga Aktiebolag</t>
        </is>
      </c>
      <c r="G213" t="n">
        <v>4</v>
      </c>
      <c r="H213" t="n">
        <v>0</v>
      </c>
      <c r="I213" t="n">
        <v>0</v>
      </c>
      <c r="J213" t="n">
        <v>0</v>
      </c>
      <c r="K213" t="n">
        <v>0</v>
      </c>
      <c r="L213" t="n">
        <v>0</v>
      </c>
      <c r="M213" t="n">
        <v>0</v>
      </c>
      <c r="N213" t="n">
        <v>0</v>
      </c>
      <c r="O213" t="n">
        <v>0</v>
      </c>
      <c r="P213" t="n">
        <v>0</v>
      </c>
      <c r="Q213" t="n">
        <v>0</v>
      </c>
      <c r="R213" s="2" t="inlineStr"/>
    </row>
    <row r="214" ht="15" customHeight="1">
      <c r="A214" t="inlineStr">
        <is>
          <t>A 3992-2022</t>
        </is>
      </c>
      <c r="B214" s="1" t="n">
        <v>44587</v>
      </c>
      <c r="C214" s="1" t="n">
        <v>45999</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53576-2022</t>
        </is>
      </c>
      <c r="B215" s="1" t="n">
        <v>44875</v>
      </c>
      <c r="C215" s="1" t="n">
        <v>45999</v>
      </c>
      <c r="D215" t="inlineStr">
        <is>
          <t>SKÅNE LÄN</t>
        </is>
      </c>
      <c r="E215" t="inlineStr">
        <is>
          <t>HÄSSLEHOLM</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6253-2022</t>
        </is>
      </c>
      <c r="B216" s="1" t="n">
        <v>44600</v>
      </c>
      <c r="C216" s="1" t="n">
        <v>45999</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25955-2022</t>
        </is>
      </c>
      <c r="B217" s="1" t="n">
        <v>44734</v>
      </c>
      <c r="C217" s="1" t="n">
        <v>45999</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20657-2022</t>
        </is>
      </c>
      <c r="B218" s="1" t="n">
        <v>44700</v>
      </c>
      <c r="C218" s="1" t="n">
        <v>45999</v>
      </c>
      <c r="D218" t="inlineStr">
        <is>
          <t>SKÅNE LÄN</t>
        </is>
      </c>
      <c r="E218" t="inlineStr">
        <is>
          <t>HÄSSLEHOLM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46288-2023</t>
        </is>
      </c>
      <c r="B219" s="1" t="n">
        <v>45197.30221064815</v>
      </c>
      <c r="C219" s="1" t="n">
        <v>45999</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57967-2023</t>
        </is>
      </c>
      <c r="B220" s="1" t="n">
        <v>45247.57984953704</v>
      </c>
      <c r="C220" s="1" t="n">
        <v>45999</v>
      </c>
      <c r="D220" t="inlineStr">
        <is>
          <t>SKÅNE LÄN</t>
        </is>
      </c>
      <c r="E220" t="inlineStr">
        <is>
          <t>HÄSSLEHOLM</t>
        </is>
      </c>
      <c r="G220" t="n">
        <v>8.6</v>
      </c>
      <c r="H220" t="n">
        <v>0</v>
      </c>
      <c r="I220" t="n">
        <v>0</v>
      </c>
      <c r="J220" t="n">
        <v>0</v>
      </c>
      <c r="K220" t="n">
        <v>0</v>
      </c>
      <c r="L220" t="n">
        <v>0</v>
      </c>
      <c r="M220" t="n">
        <v>0</v>
      </c>
      <c r="N220" t="n">
        <v>0</v>
      </c>
      <c r="O220" t="n">
        <v>0</v>
      </c>
      <c r="P220" t="n">
        <v>0</v>
      </c>
      <c r="Q220" t="n">
        <v>0</v>
      </c>
      <c r="R220" s="2" t="inlineStr"/>
    </row>
    <row r="221" ht="15" customHeight="1">
      <c r="A221" t="inlineStr">
        <is>
          <t>A 3930-2021</t>
        </is>
      </c>
      <c r="B221" s="1" t="n">
        <v>44222</v>
      </c>
      <c r="C221" s="1" t="n">
        <v>45999</v>
      </c>
      <c r="D221" t="inlineStr">
        <is>
          <t>SKÅNE LÄN</t>
        </is>
      </c>
      <c r="E221" t="inlineStr">
        <is>
          <t>HÄSSLEHOLM</t>
        </is>
      </c>
      <c r="G221" t="n">
        <v>3.4</v>
      </c>
      <c r="H221" t="n">
        <v>0</v>
      </c>
      <c r="I221" t="n">
        <v>0</v>
      </c>
      <c r="J221" t="n">
        <v>0</v>
      </c>
      <c r="K221" t="n">
        <v>0</v>
      </c>
      <c r="L221" t="n">
        <v>0</v>
      </c>
      <c r="M221" t="n">
        <v>0</v>
      </c>
      <c r="N221" t="n">
        <v>0</v>
      </c>
      <c r="O221" t="n">
        <v>0</v>
      </c>
      <c r="P221" t="n">
        <v>0</v>
      </c>
      <c r="Q221" t="n">
        <v>0</v>
      </c>
      <c r="R221" s="2" t="inlineStr"/>
    </row>
    <row r="222" ht="15" customHeight="1">
      <c r="A222" t="inlineStr">
        <is>
          <t>A 19744-2023</t>
        </is>
      </c>
      <c r="B222" s="1" t="n">
        <v>45051</v>
      </c>
      <c r="C222" s="1" t="n">
        <v>45999</v>
      </c>
      <c r="D222" t="inlineStr">
        <is>
          <t>SKÅNE LÄN</t>
        </is>
      </c>
      <c r="E222" t="inlineStr">
        <is>
          <t>HÄSSLEHOLM</t>
        </is>
      </c>
      <c r="G222" t="n">
        <v>0.4</v>
      </c>
      <c r="H222" t="n">
        <v>0</v>
      </c>
      <c r="I222" t="n">
        <v>0</v>
      </c>
      <c r="J222" t="n">
        <v>0</v>
      </c>
      <c r="K222" t="n">
        <v>0</v>
      </c>
      <c r="L222" t="n">
        <v>0</v>
      </c>
      <c r="M222" t="n">
        <v>0</v>
      </c>
      <c r="N222" t="n">
        <v>0</v>
      </c>
      <c r="O222" t="n">
        <v>0</v>
      </c>
      <c r="P222" t="n">
        <v>0</v>
      </c>
      <c r="Q222" t="n">
        <v>0</v>
      </c>
      <c r="R222" s="2" t="inlineStr"/>
    </row>
    <row r="223" ht="15" customHeight="1">
      <c r="A223" t="inlineStr">
        <is>
          <t>A 7306-2025</t>
        </is>
      </c>
      <c r="B223" s="1" t="n">
        <v>45702</v>
      </c>
      <c r="C223" s="1" t="n">
        <v>45999</v>
      </c>
      <c r="D223" t="inlineStr">
        <is>
          <t>SKÅNE LÄN</t>
        </is>
      </c>
      <c r="E223" t="inlineStr">
        <is>
          <t>HÄSSLEHOLM</t>
        </is>
      </c>
      <c r="F223" t="inlineStr">
        <is>
          <t>Övriga Aktiebolag</t>
        </is>
      </c>
      <c r="G223" t="n">
        <v>3.3</v>
      </c>
      <c r="H223" t="n">
        <v>0</v>
      </c>
      <c r="I223" t="n">
        <v>0</v>
      </c>
      <c r="J223" t="n">
        <v>0</v>
      </c>
      <c r="K223" t="n">
        <v>0</v>
      </c>
      <c r="L223" t="n">
        <v>0</v>
      </c>
      <c r="M223" t="n">
        <v>0</v>
      </c>
      <c r="N223" t="n">
        <v>0</v>
      </c>
      <c r="O223" t="n">
        <v>0</v>
      </c>
      <c r="P223" t="n">
        <v>0</v>
      </c>
      <c r="Q223" t="n">
        <v>0</v>
      </c>
      <c r="R223" s="2" t="inlineStr"/>
    </row>
    <row r="224" ht="15" customHeight="1">
      <c r="A224" t="inlineStr">
        <is>
          <t>A 7308-2025</t>
        </is>
      </c>
      <c r="B224" s="1" t="n">
        <v>45702</v>
      </c>
      <c r="C224" s="1" t="n">
        <v>45999</v>
      </c>
      <c r="D224" t="inlineStr">
        <is>
          <t>SKÅNE LÄN</t>
        </is>
      </c>
      <c r="E224" t="inlineStr">
        <is>
          <t>HÄSSLEHOLM</t>
        </is>
      </c>
      <c r="F224" t="inlineStr">
        <is>
          <t>Övriga Aktiebolag</t>
        </is>
      </c>
      <c r="G224" t="n">
        <v>4.8</v>
      </c>
      <c r="H224" t="n">
        <v>0</v>
      </c>
      <c r="I224" t="n">
        <v>0</v>
      </c>
      <c r="J224" t="n">
        <v>0</v>
      </c>
      <c r="K224" t="n">
        <v>0</v>
      </c>
      <c r="L224" t="n">
        <v>0</v>
      </c>
      <c r="M224" t="n">
        <v>0</v>
      </c>
      <c r="N224" t="n">
        <v>0</v>
      </c>
      <c r="O224" t="n">
        <v>0</v>
      </c>
      <c r="P224" t="n">
        <v>0</v>
      </c>
      <c r="Q224" t="n">
        <v>0</v>
      </c>
      <c r="R224" s="2" t="inlineStr"/>
    </row>
    <row r="225" ht="15" customHeight="1">
      <c r="A225" t="inlineStr">
        <is>
          <t>A 15990-2023</t>
        </is>
      </c>
      <c r="B225" s="1" t="n">
        <v>45023.39584490741</v>
      </c>
      <c r="C225" s="1" t="n">
        <v>45999</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47907-2021</t>
        </is>
      </c>
      <c r="B226" s="1" t="n">
        <v>44448</v>
      </c>
      <c r="C226" s="1" t="n">
        <v>45999</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26642-2023</t>
        </is>
      </c>
      <c r="B227" s="1" t="n">
        <v>45092.8975</v>
      </c>
      <c r="C227" s="1" t="n">
        <v>45999</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7513-2025</t>
        </is>
      </c>
      <c r="B228" s="1" t="n">
        <v>45702</v>
      </c>
      <c r="C228" s="1" t="n">
        <v>45999</v>
      </c>
      <c r="D228" t="inlineStr">
        <is>
          <t>SKÅNE LÄN</t>
        </is>
      </c>
      <c r="E228" t="inlineStr">
        <is>
          <t>HÄSSLEHOLM</t>
        </is>
      </c>
      <c r="F228" t="inlineStr">
        <is>
          <t>Övriga Aktiebolag</t>
        </is>
      </c>
      <c r="G228" t="n">
        <v>2.4</v>
      </c>
      <c r="H228" t="n">
        <v>0</v>
      </c>
      <c r="I228" t="n">
        <v>0</v>
      </c>
      <c r="J228" t="n">
        <v>0</v>
      </c>
      <c r="K228" t="n">
        <v>0</v>
      </c>
      <c r="L228" t="n">
        <v>0</v>
      </c>
      <c r="M228" t="n">
        <v>0</v>
      </c>
      <c r="N228" t="n">
        <v>0</v>
      </c>
      <c r="O228" t="n">
        <v>0</v>
      </c>
      <c r="P228" t="n">
        <v>0</v>
      </c>
      <c r="Q228" t="n">
        <v>0</v>
      </c>
      <c r="R228" s="2" t="inlineStr"/>
    </row>
    <row r="229" ht="15" customHeight="1">
      <c r="A229" t="inlineStr">
        <is>
          <t>A 45400-2022</t>
        </is>
      </c>
      <c r="B229" s="1" t="n">
        <v>44844.713125</v>
      </c>
      <c r="C229" s="1" t="n">
        <v>45999</v>
      </c>
      <c r="D229" t="inlineStr">
        <is>
          <t>SKÅNE LÄN</t>
        </is>
      </c>
      <c r="E229" t="inlineStr">
        <is>
          <t>HÄSSLEHOLM</t>
        </is>
      </c>
      <c r="G229" t="n">
        <v>1.6</v>
      </c>
      <c r="H229" t="n">
        <v>0</v>
      </c>
      <c r="I229" t="n">
        <v>0</v>
      </c>
      <c r="J229" t="n">
        <v>0</v>
      </c>
      <c r="K229" t="n">
        <v>0</v>
      </c>
      <c r="L229" t="n">
        <v>0</v>
      </c>
      <c r="M229" t="n">
        <v>0</v>
      </c>
      <c r="N229" t="n">
        <v>0</v>
      </c>
      <c r="O229" t="n">
        <v>0</v>
      </c>
      <c r="P229" t="n">
        <v>0</v>
      </c>
      <c r="Q229" t="n">
        <v>0</v>
      </c>
      <c r="R229" s="2" t="inlineStr"/>
    </row>
    <row r="230" ht="15" customHeight="1">
      <c r="A230" t="inlineStr">
        <is>
          <t>A 5016-2024</t>
        </is>
      </c>
      <c r="B230" s="1" t="n">
        <v>45329</v>
      </c>
      <c r="C230" s="1" t="n">
        <v>45999</v>
      </c>
      <c r="D230" t="inlineStr">
        <is>
          <t>SKÅNE LÄN</t>
        </is>
      </c>
      <c r="E230" t="inlineStr">
        <is>
          <t>HÄSSLEHOLM</t>
        </is>
      </c>
      <c r="G230" t="n">
        <v>3.2</v>
      </c>
      <c r="H230" t="n">
        <v>0</v>
      </c>
      <c r="I230" t="n">
        <v>0</v>
      </c>
      <c r="J230" t="n">
        <v>0</v>
      </c>
      <c r="K230" t="n">
        <v>0</v>
      </c>
      <c r="L230" t="n">
        <v>0</v>
      </c>
      <c r="M230" t="n">
        <v>0</v>
      </c>
      <c r="N230" t="n">
        <v>0</v>
      </c>
      <c r="O230" t="n">
        <v>0</v>
      </c>
      <c r="P230" t="n">
        <v>0</v>
      </c>
      <c r="Q230" t="n">
        <v>0</v>
      </c>
      <c r="R230" s="2" t="inlineStr"/>
    </row>
    <row r="231" ht="15" customHeight="1">
      <c r="A231" t="inlineStr">
        <is>
          <t>A 54874-2022</t>
        </is>
      </c>
      <c r="B231" s="1" t="n">
        <v>44881</v>
      </c>
      <c r="C231" s="1" t="n">
        <v>45999</v>
      </c>
      <c r="D231" t="inlineStr">
        <is>
          <t>SKÅNE LÄN</t>
        </is>
      </c>
      <c r="E231" t="inlineStr">
        <is>
          <t>HÄSSLEHOLM</t>
        </is>
      </c>
      <c r="G231" t="n">
        <v>8.1</v>
      </c>
      <c r="H231" t="n">
        <v>0</v>
      </c>
      <c r="I231" t="n">
        <v>0</v>
      </c>
      <c r="J231" t="n">
        <v>0</v>
      </c>
      <c r="K231" t="n">
        <v>0</v>
      </c>
      <c r="L231" t="n">
        <v>0</v>
      </c>
      <c r="M231" t="n">
        <v>0</v>
      </c>
      <c r="N231" t="n">
        <v>0</v>
      </c>
      <c r="O231" t="n">
        <v>0</v>
      </c>
      <c r="P231" t="n">
        <v>0</v>
      </c>
      <c r="Q231" t="n">
        <v>0</v>
      </c>
      <c r="R231" s="2" t="inlineStr"/>
    </row>
    <row r="232" ht="15" customHeight="1">
      <c r="A232" t="inlineStr">
        <is>
          <t>A 1706-2025</t>
        </is>
      </c>
      <c r="B232" s="1" t="n">
        <v>45670</v>
      </c>
      <c r="C232" s="1" t="n">
        <v>45999</v>
      </c>
      <c r="D232" t="inlineStr">
        <is>
          <t>SKÅNE LÄN</t>
        </is>
      </c>
      <c r="E232" t="inlineStr">
        <is>
          <t>HÄSSLEHOLM</t>
        </is>
      </c>
      <c r="G232" t="n">
        <v>5</v>
      </c>
      <c r="H232" t="n">
        <v>0</v>
      </c>
      <c r="I232" t="n">
        <v>0</v>
      </c>
      <c r="J232" t="n">
        <v>0</v>
      </c>
      <c r="K232" t="n">
        <v>0</v>
      </c>
      <c r="L232" t="n">
        <v>0</v>
      </c>
      <c r="M232" t="n">
        <v>0</v>
      </c>
      <c r="N232" t="n">
        <v>0</v>
      </c>
      <c r="O232" t="n">
        <v>0</v>
      </c>
      <c r="P232" t="n">
        <v>0</v>
      </c>
      <c r="Q232" t="n">
        <v>0</v>
      </c>
      <c r="R232" s="2" t="inlineStr"/>
    </row>
    <row r="233" ht="15" customHeight="1">
      <c r="A233" t="inlineStr">
        <is>
          <t>A 61625-2022</t>
        </is>
      </c>
      <c r="B233" s="1" t="n">
        <v>44916</v>
      </c>
      <c r="C233" s="1" t="n">
        <v>45999</v>
      </c>
      <c r="D233" t="inlineStr">
        <is>
          <t>SKÅNE LÄN</t>
        </is>
      </c>
      <c r="E233" t="inlineStr">
        <is>
          <t>HÄSSLEHOLM</t>
        </is>
      </c>
      <c r="G233" t="n">
        <v>2.4</v>
      </c>
      <c r="H233" t="n">
        <v>0</v>
      </c>
      <c r="I233" t="n">
        <v>0</v>
      </c>
      <c r="J233" t="n">
        <v>0</v>
      </c>
      <c r="K233" t="n">
        <v>0</v>
      </c>
      <c r="L233" t="n">
        <v>0</v>
      </c>
      <c r="M233" t="n">
        <v>0</v>
      </c>
      <c r="N233" t="n">
        <v>0</v>
      </c>
      <c r="O233" t="n">
        <v>0</v>
      </c>
      <c r="P233" t="n">
        <v>0</v>
      </c>
      <c r="Q233" t="n">
        <v>0</v>
      </c>
      <c r="R233" s="2" t="inlineStr"/>
    </row>
    <row r="234" ht="15" customHeight="1">
      <c r="A234" t="inlineStr">
        <is>
          <t>A 4512-2024</t>
        </is>
      </c>
      <c r="B234" s="1" t="n">
        <v>45327.6312962963</v>
      </c>
      <c r="C234" s="1" t="n">
        <v>45999</v>
      </c>
      <c r="D234" t="inlineStr">
        <is>
          <t>SKÅNE LÄN</t>
        </is>
      </c>
      <c r="E234" t="inlineStr">
        <is>
          <t>HÄSSLEHOLM</t>
        </is>
      </c>
      <c r="G234" t="n">
        <v>2</v>
      </c>
      <c r="H234" t="n">
        <v>0</v>
      </c>
      <c r="I234" t="n">
        <v>0</v>
      </c>
      <c r="J234" t="n">
        <v>0</v>
      </c>
      <c r="K234" t="n">
        <v>0</v>
      </c>
      <c r="L234" t="n">
        <v>0</v>
      </c>
      <c r="M234" t="n">
        <v>0</v>
      </c>
      <c r="N234" t="n">
        <v>0</v>
      </c>
      <c r="O234" t="n">
        <v>0</v>
      </c>
      <c r="P234" t="n">
        <v>0</v>
      </c>
      <c r="Q234" t="n">
        <v>0</v>
      </c>
      <c r="R234" s="2" t="inlineStr"/>
    </row>
    <row r="235" ht="15" customHeight="1">
      <c r="A235" t="inlineStr">
        <is>
          <t>A 4916-2024</t>
        </is>
      </c>
      <c r="B235" s="1" t="n">
        <v>45329</v>
      </c>
      <c r="C235" s="1" t="n">
        <v>45999</v>
      </c>
      <c r="D235" t="inlineStr">
        <is>
          <t>SKÅNE LÄN</t>
        </is>
      </c>
      <c r="E235" t="inlineStr">
        <is>
          <t>HÄSSLEHOLM</t>
        </is>
      </c>
      <c r="G235" t="n">
        <v>1.3</v>
      </c>
      <c r="H235" t="n">
        <v>0</v>
      </c>
      <c r="I235" t="n">
        <v>0</v>
      </c>
      <c r="J235" t="n">
        <v>0</v>
      </c>
      <c r="K235" t="n">
        <v>0</v>
      </c>
      <c r="L235" t="n">
        <v>0</v>
      </c>
      <c r="M235" t="n">
        <v>0</v>
      </c>
      <c r="N235" t="n">
        <v>0</v>
      </c>
      <c r="O235" t="n">
        <v>0</v>
      </c>
      <c r="P235" t="n">
        <v>0</v>
      </c>
      <c r="Q235" t="n">
        <v>0</v>
      </c>
      <c r="R235" s="2" t="inlineStr"/>
    </row>
    <row r="236" ht="15" customHeight="1">
      <c r="A236" t="inlineStr">
        <is>
          <t>A 28236-2022</t>
        </is>
      </c>
      <c r="B236" s="1" t="n">
        <v>44746</v>
      </c>
      <c r="C236" s="1" t="n">
        <v>45999</v>
      </c>
      <c r="D236" t="inlineStr">
        <is>
          <t>SKÅNE LÄN</t>
        </is>
      </c>
      <c r="E236" t="inlineStr">
        <is>
          <t>HÄSSLEHOLM</t>
        </is>
      </c>
      <c r="G236" t="n">
        <v>3.5</v>
      </c>
      <c r="H236" t="n">
        <v>0</v>
      </c>
      <c r="I236" t="n">
        <v>0</v>
      </c>
      <c r="J236" t="n">
        <v>0</v>
      </c>
      <c r="K236" t="n">
        <v>0</v>
      </c>
      <c r="L236" t="n">
        <v>0</v>
      </c>
      <c r="M236" t="n">
        <v>0</v>
      </c>
      <c r="N236" t="n">
        <v>0</v>
      </c>
      <c r="O236" t="n">
        <v>0</v>
      </c>
      <c r="P236" t="n">
        <v>0</v>
      </c>
      <c r="Q236" t="n">
        <v>0</v>
      </c>
      <c r="R236" s="2" t="inlineStr"/>
    </row>
    <row r="237" ht="15" customHeight="1">
      <c r="A237" t="inlineStr">
        <is>
          <t>A 31268-2024</t>
        </is>
      </c>
      <c r="B237" s="1" t="n">
        <v>45504</v>
      </c>
      <c r="C237" s="1" t="n">
        <v>45999</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13856-2025</t>
        </is>
      </c>
      <c r="B238" s="1" t="n">
        <v>45737.57289351852</v>
      </c>
      <c r="C238" s="1" t="n">
        <v>45999</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20279-2025</t>
        </is>
      </c>
      <c r="B239" s="1" t="n">
        <v>45774.38643518519</v>
      </c>
      <c r="C239" s="1" t="n">
        <v>45999</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36568-2024</t>
        </is>
      </c>
      <c r="B240" s="1" t="n">
        <v>45537</v>
      </c>
      <c r="C240" s="1" t="n">
        <v>45999</v>
      </c>
      <c r="D240" t="inlineStr">
        <is>
          <t>SKÅNE LÄN</t>
        </is>
      </c>
      <c r="E240" t="inlineStr">
        <is>
          <t>HÄSSLEHOLM</t>
        </is>
      </c>
      <c r="G240" t="n">
        <v>4.3</v>
      </c>
      <c r="H240" t="n">
        <v>0</v>
      </c>
      <c r="I240" t="n">
        <v>0</v>
      </c>
      <c r="J240" t="n">
        <v>0</v>
      </c>
      <c r="K240" t="n">
        <v>0</v>
      </c>
      <c r="L240" t="n">
        <v>0</v>
      </c>
      <c r="M240" t="n">
        <v>0</v>
      </c>
      <c r="N240" t="n">
        <v>0</v>
      </c>
      <c r="O240" t="n">
        <v>0</v>
      </c>
      <c r="P240" t="n">
        <v>0</v>
      </c>
      <c r="Q240" t="n">
        <v>0</v>
      </c>
      <c r="R240" s="2" t="inlineStr"/>
    </row>
    <row r="241" ht="15" customHeight="1">
      <c r="A241" t="inlineStr">
        <is>
          <t>A 32794-2021</t>
        </is>
      </c>
      <c r="B241" s="1" t="n">
        <v>44375</v>
      </c>
      <c r="C241" s="1" t="n">
        <v>45999</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62199-2022</t>
        </is>
      </c>
      <c r="B242" s="1" t="n">
        <v>44915</v>
      </c>
      <c r="C242" s="1" t="n">
        <v>45999</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14157-2021</t>
        </is>
      </c>
      <c r="B243" s="1" t="n">
        <v>44278.43246527778</v>
      </c>
      <c r="C243" s="1" t="n">
        <v>45999</v>
      </c>
      <c r="D243" t="inlineStr">
        <is>
          <t>SKÅNE LÄN</t>
        </is>
      </c>
      <c r="E243" t="inlineStr">
        <is>
          <t>HÄSSLEHOLM</t>
        </is>
      </c>
      <c r="G243" t="n">
        <v>10.5</v>
      </c>
      <c r="H243" t="n">
        <v>0</v>
      </c>
      <c r="I243" t="n">
        <v>0</v>
      </c>
      <c r="J243" t="n">
        <v>0</v>
      </c>
      <c r="K243" t="n">
        <v>0</v>
      </c>
      <c r="L243" t="n">
        <v>0</v>
      </c>
      <c r="M243" t="n">
        <v>0</v>
      </c>
      <c r="N243" t="n">
        <v>0</v>
      </c>
      <c r="O243" t="n">
        <v>0</v>
      </c>
      <c r="P243" t="n">
        <v>0</v>
      </c>
      <c r="Q243" t="n">
        <v>0</v>
      </c>
      <c r="R243" s="2" t="inlineStr"/>
    </row>
    <row r="244" ht="15" customHeight="1">
      <c r="A244" t="inlineStr">
        <is>
          <t>A 677-2024</t>
        </is>
      </c>
      <c r="B244" s="1" t="n">
        <v>45300</v>
      </c>
      <c r="C244" s="1" t="n">
        <v>45999</v>
      </c>
      <c r="D244" t="inlineStr">
        <is>
          <t>SKÅNE LÄN</t>
        </is>
      </c>
      <c r="E244" t="inlineStr">
        <is>
          <t>HÄSSLEHOLM</t>
        </is>
      </c>
      <c r="G244" t="n">
        <v>6.8</v>
      </c>
      <c r="H244" t="n">
        <v>0</v>
      </c>
      <c r="I244" t="n">
        <v>0</v>
      </c>
      <c r="J244" t="n">
        <v>0</v>
      </c>
      <c r="K244" t="n">
        <v>0</v>
      </c>
      <c r="L244" t="n">
        <v>0</v>
      </c>
      <c r="M244" t="n">
        <v>0</v>
      </c>
      <c r="N244" t="n">
        <v>0</v>
      </c>
      <c r="O244" t="n">
        <v>0</v>
      </c>
      <c r="P244" t="n">
        <v>0</v>
      </c>
      <c r="Q244" t="n">
        <v>0</v>
      </c>
      <c r="R244" s="2" t="inlineStr"/>
    </row>
    <row r="245" ht="15" customHeight="1">
      <c r="A245" t="inlineStr">
        <is>
          <t>A 13961-2023</t>
        </is>
      </c>
      <c r="B245" s="1" t="n">
        <v>45008</v>
      </c>
      <c r="C245" s="1" t="n">
        <v>45999</v>
      </c>
      <c r="D245" t="inlineStr">
        <is>
          <t>SKÅNE LÄN</t>
        </is>
      </c>
      <c r="E245" t="inlineStr">
        <is>
          <t>HÄSSLEHOLM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15562-2024</t>
        </is>
      </c>
      <c r="B246" s="1" t="n">
        <v>45401.64975694445</v>
      </c>
      <c r="C246" s="1" t="n">
        <v>45999</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9747-2024</t>
        </is>
      </c>
      <c r="B247" s="1" t="n">
        <v>45362</v>
      </c>
      <c r="C247" s="1" t="n">
        <v>45999</v>
      </c>
      <c r="D247" t="inlineStr">
        <is>
          <t>SKÅNE LÄN</t>
        </is>
      </c>
      <c r="E247" t="inlineStr">
        <is>
          <t>HÄSSLEHOLM</t>
        </is>
      </c>
      <c r="G247" t="n">
        <v>1.8</v>
      </c>
      <c r="H247" t="n">
        <v>0</v>
      </c>
      <c r="I247" t="n">
        <v>0</v>
      </c>
      <c r="J247" t="n">
        <v>0</v>
      </c>
      <c r="K247" t="n">
        <v>0</v>
      </c>
      <c r="L247" t="n">
        <v>0</v>
      </c>
      <c r="M247" t="n">
        <v>0</v>
      </c>
      <c r="N247" t="n">
        <v>0</v>
      </c>
      <c r="O247" t="n">
        <v>0</v>
      </c>
      <c r="P247" t="n">
        <v>0</v>
      </c>
      <c r="Q247" t="n">
        <v>0</v>
      </c>
      <c r="R247" s="2" t="inlineStr"/>
    </row>
    <row r="248" ht="15" customHeight="1">
      <c r="A248" t="inlineStr">
        <is>
          <t>A 18580-2023</t>
        </is>
      </c>
      <c r="B248" s="1" t="n">
        <v>45043.37037037037</v>
      </c>
      <c r="C248" s="1" t="n">
        <v>45999</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17335-2024</t>
        </is>
      </c>
      <c r="B249" s="1" t="n">
        <v>45414.5687962963</v>
      </c>
      <c r="C249" s="1" t="n">
        <v>45999</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50000-2023</t>
        </is>
      </c>
      <c r="B250" s="1" t="n">
        <v>45215.4434837963</v>
      </c>
      <c r="C250" s="1" t="n">
        <v>45999</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3855-2023</t>
        </is>
      </c>
      <c r="B251" s="1" t="n">
        <v>44951.69708333333</v>
      </c>
      <c r="C251" s="1" t="n">
        <v>45999</v>
      </c>
      <c r="D251" t="inlineStr">
        <is>
          <t>SKÅNE LÄN</t>
        </is>
      </c>
      <c r="E251" t="inlineStr">
        <is>
          <t>HÄSSLEHOLM</t>
        </is>
      </c>
      <c r="G251" t="n">
        <v>2.3</v>
      </c>
      <c r="H251" t="n">
        <v>0</v>
      </c>
      <c r="I251" t="n">
        <v>0</v>
      </c>
      <c r="J251" t="n">
        <v>0</v>
      </c>
      <c r="K251" t="n">
        <v>0</v>
      </c>
      <c r="L251" t="n">
        <v>0</v>
      </c>
      <c r="M251" t="n">
        <v>0</v>
      </c>
      <c r="N251" t="n">
        <v>0</v>
      </c>
      <c r="O251" t="n">
        <v>0</v>
      </c>
      <c r="P251" t="n">
        <v>0</v>
      </c>
      <c r="Q251" t="n">
        <v>0</v>
      </c>
      <c r="R251" s="2" t="inlineStr"/>
    </row>
    <row r="252" ht="15" customHeight="1">
      <c r="A252" t="inlineStr">
        <is>
          <t>A 50607-2023</t>
        </is>
      </c>
      <c r="B252" s="1" t="n">
        <v>45210</v>
      </c>
      <c r="C252" s="1" t="n">
        <v>45999</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50616-2023</t>
        </is>
      </c>
      <c r="B253" s="1" t="n">
        <v>45210</v>
      </c>
      <c r="C253" s="1" t="n">
        <v>45999</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9323-2025</t>
        </is>
      </c>
      <c r="B254" s="1" t="n">
        <v>45714.73532407408</v>
      </c>
      <c r="C254" s="1" t="n">
        <v>45999</v>
      </c>
      <c r="D254" t="inlineStr">
        <is>
          <t>SKÅNE LÄN</t>
        </is>
      </c>
      <c r="E254" t="inlineStr">
        <is>
          <t>HÄSSLEHOLM</t>
        </is>
      </c>
      <c r="G254" t="n">
        <v>5.2</v>
      </c>
      <c r="H254" t="n">
        <v>0</v>
      </c>
      <c r="I254" t="n">
        <v>0</v>
      </c>
      <c r="J254" t="n">
        <v>0</v>
      </c>
      <c r="K254" t="n">
        <v>0</v>
      </c>
      <c r="L254" t="n">
        <v>0</v>
      </c>
      <c r="M254" t="n">
        <v>0</v>
      </c>
      <c r="N254" t="n">
        <v>0</v>
      </c>
      <c r="O254" t="n">
        <v>0</v>
      </c>
      <c r="P254" t="n">
        <v>0</v>
      </c>
      <c r="Q254" t="n">
        <v>0</v>
      </c>
      <c r="R254" s="2" t="inlineStr"/>
    </row>
    <row r="255" ht="15" customHeight="1">
      <c r="A255" t="inlineStr">
        <is>
          <t>A 34301-2024</t>
        </is>
      </c>
      <c r="B255" s="1" t="n">
        <v>45524</v>
      </c>
      <c r="C255" s="1" t="n">
        <v>45999</v>
      </c>
      <c r="D255" t="inlineStr">
        <is>
          <t>SKÅNE LÄN</t>
        </is>
      </c>
      <c r="E255" t="inlineStr">
        <is>
          <t>HÄSSLEHOLM</t>
        </is>
      </c>
      <c r="G255" t="n">
        <v>0.4</v>
      </c>
      <c r="H255" t="n">
        <v>0</v>
      </c>
      <c r="I255" t="n">
        <v>0</v>
      </c>
      <c r="J255" t="n">
        <v>0</v>
      </c>
      <c r="K255" t="n">
        <v>0</v>
      </c>
      <c r="L255" t="n">
        <v>0</v>
      </c>
      <c r="M255" t="n">
        <v>0</v>
      </c>
      <c r="N255" t="n">
        <v>0</v>
      </c>
      <c r="O255" t="n">
        <v>0</v>
      </c>
      <c r="P255" t="n">
        <v>0</v>
      </c>
      <c r="Q255" t="n">
        <v>0</v>
      </c>
      <c r="R255" s="2" t="inlineStr"/>
    </row>
    <row r="256" ht="15" customHeight="1">
      <c r="A256" t="inlineStr">
        <is>
          <t>A 15060-2023</t>
        </is>
      </c>
      <c r="B256" s="1" t="n">
        <v>45015.69832175926</v>
      </c>
      <c r="C256" s="1" t="n">
        <v>45999</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54171-2021</t>
        </is>
      </c>
      <c r="B257" s="1" t="n">
        <v>44470</v>
      </c>
      <c r="C257" s="1" t="n">
        <v>45999</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23946-2023</t>
        </is>
      </c>
      <c r="B258" s="1" t="n">
        <v>45078.61601851852</v>
      </c>
      <c r="C258" s="1" t="n">
        <v>45999</v>
      </c>
      <c r="D258" t="inlineStr">
        <is>
          <t>SKÅNE LÄN</t>
        </is>
      </c>
      <c r="E258" t="inlineStr">
        <is>
          <t>HÄSSLEHOLM</t>
        </is>
      </c>
      <c r="G258" t="n">
        <v>0.2</v>
      </c>
      <c r="H258" t="n">
        <v>0</v>
      </c>
      <c r="I258" t="n">
        <v>0</v>
      </c>
      <c r="J258" t="n">
        <v>0</v>
      </c>
      <c r="K258" t="n">
        <v>0</v>
      </c>
      <c r="L258" t="n">
        <v>0</v>
      </c>
      <c r="M258" t="n">
        <v>0</v>
      </c>
      <c r="N258" t="n">
        <v>0</v>
      </c>
      <c r="O258" t="n">
        <v>0</v>
      </c>
      <c r="P258" t="n">
        <v>0</v>
      </c>
      <c r="Q258" t="n">
        <v>0</v>
      </c>
      <c r="R258" s="2" t="inlineStr"/>
    </row>
    <row r="259" ht="15" customHeight="1">
      <c r="A259" t="inlineStr">
        <is>
          <t>A 49250-2022</t>
        </is>
      </c>
      <c r="B259" s="1" t="n">
        <v>44858</v>
      </c>
      <c r="C259" s="1" t="n">
        <v>45999</v>
      </c>
      <c r="D259" t="inlineStr">
        <is>
          <t>SKÅNE LÄN</t>
        </is>
      </c>
      <c r="E259" t="inlineStr">
        <is>
          <t>HÄSSLEHOLM</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8759-2024</t>
        </is>
      </c>
      <c r="B260" s="1" t="n">
        <v>45356.52271990741</v>
      </c>
      <c r="C260" s="1" t="n">
        <v>45999</v>
      </c>
      <c r="D260" t="inlineStr">
        <is>
          <t>SKÅNE LÄN</t>
        </is>
      </c>
      <c r="E260" t="inlineStr">
        <is>
          <t>HÄSSLEHOLM</t>
        </is>
      </c>
      <c r="G260" t="n">
        <v>5.7</v>
      </c>
      <c r="H260" t="n">
        <v>0</v>
      </c>
      <c r="I260" t="n">
        <v>0</v>
      </c>
      <c r="J260" t="n">
        <v>0</v>
      </c>
      <c r="K260" t="n">
        <v>0</v>
      </c>
      <c r="L260" t="n">
        <v>0</v>
      </c>
      <c r="M260" t="n">
        <v>0</v>
      </c>
      <c r="N260" t="n">
        <v>0</v>
      </c>
      <c r="O260" t="n">
        <v>0</v>
      </c>
      <c r="P260" t="n">
        <v>0</v>
      </c>
      <c r="Q260" t="n">
        <v>0</v>
      </c>
      <c r="R260" s="2" t="inlineStr"/>
    </row>
    <row r="261" ht="15" customHeight="1">
      <c r="A261" t="inlineStr">
        <is>
          <t>A 10020-2024</t>
        </is>
      </c>
      <c r="B261" s="1" t="n">
        <v>45363.96944444445</v>
      </c>
      <c r="C261" s="1" t="n">
        <v>45999</v>
      </c>
      <c r="D261" t="inlineStr">
        <is>
          <t>SKÅNE LÄN</t>
        </is>
      </c>
      <c r="E261" t="inlineStr">
        <is>
          <t>HÄSSLEHOLM</t>
        </is>
      </c>
      <c r="G261" t="n">
        <v>5.3</v>
      </c>
      <c r="H261" t="n">
        <v>0</v>
      </c>
      <c r="I261" t="n">
        <v>0</v>
      </c>
      <c r="J261" t="n">
        <v>0</v>
      </c>
      <c r="K261" t="n">
        <v>0</v>
      </c>
      <c r="L261" t="n">
        <v>0</v>
      </c>
      <c r="M261" t="n">
        <v>0</v>
      </c>
      <c r="N261" t="n">
        <v>0</v>
      </c>
      <c r="O261" t="n">
        <v>0</v>
      </c>
      <c r="P261" t="n">
        <v>0</v>
      </c>
      <c r="Q261" t="n">
        <v>0</v>
      </c>
      <c r="R261" s="2" t="inlineStr"/>
    </row>
    <row r="262" ht="15" customHeight="1">
      <c r="A262" t="inlineStr">
        <is>
          <t>A 12936-2025</t>
        </is>
      </c>
      <c r="B262" s="1" t="n">
        <v>45734</v>
      </c>
      <c r="C262" s="1" t="n">
        <v>45999</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13347-2025</t>
        </is>
      </c>
      <c r="B263" s="1" t="n">
        <v>45735.63175925926</v>
      </c>
      <c r="C263" s="1" t="n">
        <v>45999</v>
      </c>
      <c r="D263" t="inlineStr">
        <is>
          <t>SKÅNE LÄN</t>
        </is>
      </c>
      <c r="E263" t="inlineStr">
        <is>
          <t>HÄSSLEHOLM</t>
        </is>
      </c>
      <c r="G263" t="n">
        <v>0.7</v>
      </c>
      <c r="H263" t="n">
        <v>0</v>
      </c>
      <c r="I263" t="n">
        <v>0</v>
      </c>
      <c r="J263" t="n">
        <v>0</v>
      </c>
      <c r="K263" t="n">
        <v>0</v>
      </c>
      <c r="L263" t="n">
        <v>0</v>
      </c>
      <c r="M263" t="n">
        <v>0</v>
      </c>
      <c r="N263" t="n">
        <v>0</v>
      </c>
      <c r="O263" t="n">
        <v>0</v>
      </c>
      <c r="P263" t="n">
        <v>0</v>
      </c>
      <c r="Q263" t="n">
        <v>0</v>
      </c>
      <c r="R263" s="2" t="inlineStr"/>
    </row>
    <row r="264" ht="15" customHeight="1">
      <c r="A264" t="inlineStr">
        <is>
          <t>A 8749-2024</t>
        </is>
      </c>
      <c r="B264" s="1" t="n">
        <v>45356.50387731481</v>
      </c>
      <c r="C264" s="1" t="n">
        <v>45999</v>
      </c>
      <c r="D264" t="inlineStr">
        <is>
          <t>SKÅNE LÄN</t>
        </is>
      </c>
      <c r="E264" t="inlineStr">
        <is>
          <t>HÄSSLEHOLM</t>
        </is>
      </c>
      <c r="G264" t="n">
        <v>2.9</v>
      </c>
      <c r="H264" t="n">
        <v>0</v>
      </c>
      <c r="I264" t="n">
        <v>0</v>
      </c>
      <c r="J264" t="n">
        <v>0</v>
      </c>
      <c r="K264" t="n">
        <v>0</v>
      </c>
      <c r="L264" t="n">
        <v>0</v>
      </c>
      <c r="M264" t="n">
        <v>0</v>
      </c>
      <c r="N264" t="n">
        <v>0</v>
      </c>
      <c r="O264" t="n">
        <v>0</v>
      </c>
      <c r="P264" t="n">
        <v>0</v>
      </c>
      <c r="Q264" t="n">
        <v>0</v>
      </c>
      <c r="R264" s="2" t="inlineStr"/>
    </row>
    <row r="265" ht="15" customHeight="1">
      <c r="A265" t="inlineStr">
        <is>
          <t>A 8752-2024</t>
        </is>
      </c>
      <c r="B265" s="1" t="n">
        <v>45356</v>
      </c>
      <c r="C265" s="1" t="n">
        <v>45999</v>
      </c>
      <c r="D265" t="inlineStr">
        <is>
          <t>SKÅNE LÄN</t>
        </is>
      </c>
      <c r="E265" t="inlineStr">
        <is>
          <t>HÄSSLEHOLM</t>
        </is>
      </c>
      <c r="G265" t="n">
        <v>3.4</v>
      </c>
      <c r="H265" t="n">
        <v>0</v>
      </c>
      <c r="I265" t="n">
        <v>0</v>
      </c>
      <c r="J265" t="n">
        <v>0</v>
      </c>
      <c r="K265" t="n">
        <v>0</v>
      </c>
      <c r="L265" t="n">
        <v>0</v>
      </c>
      <c r="M265" t="n">
        <v>0</v>
      </c>
      <c r="N265" t="n">
        <v>0</v>
      </c>
      <c r="O265" t="n">
        <v>0</v>
      </c>
      <c r="P265" t="n">
        <v>0</v>
      </c>
      <c r="Q265" t="n">
        <v>0</v>
      </c>
      <c r="R265" s="2" t="inlineStr"/>
    </row>
    <row r="266" ht="15" customHeight="1">
      <c r="A266" t="inlineStr">
        <is>
          <t>A 42906-2022</t>
        </is>
      </c>
      <c r="B266" s="1" t="n">
        <v>44833</v>
      </c>
      <c r="C266" s="1" t="n">
        <v>45999</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15036-2024</t>
        </is>
      </c>
      <c r="B267" s="1" t="n">
        <v>45399.48100694444</v>
      </c>
      <c r="C267" s="1" t="n">
        <v>45999</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11260-2021</t>
        </is>
      </c>
      <c r="B268" s="1" t="n">
        <v>44263</v>
      </c>
      <c r="C268" s="1" t="n">
        <v>45999</v>
      </c>
      <c r="D268" t="inlineStr">
        <is>
          <t>SKÅNE LÄN</t>
        </is>
      </c>
      <c r="E268" t="inlineStr">
        <is>
          <t>HÄSSLEHOLM</t>
        </is>
      </c>
      <c r="G268" t="n">
        <v>5.4</v>
      </c>
      <c r="H268" t="n">
        <v>0</v>
      </c>
      <c r="I268" t="n">
        <v>0</v>
      </c>
      <c r="J268" t="n">
        <v>0</v>
      </c>
      <c r="K268" t="n">
        <v>0</v>
      </c>
      <c r="L268" t="n">
        <v>0</v>
      </c>
      <c r="M268" t="n">
        <v>0</v>
      </c>
      <c r="N268" t="n">
        <v>0</v>
      </c>
      <c r="O268" t="n">
        <v>0</v>
      </c>
      <c r="P268" t="n">
        <v>0</v>
      </c>
      <c r="Q268" t="n">
        <v>0</v>
      </c>
      <c r="R268" s="2" t="inlineStr"/>
    </row>
    <row r="269" ht="15" customHeight="1">
      <c r="A269" t="inlineStr">
        <is>
          <t>A 13198-2025</t>
        </is>
      </c>
      <c r="B269" s="1" t="n">
        <v>45735</v>
      </c>
      <c r="C269" s="1" t="n">
        <v>45999</v>
      </c>
      <c r="D269" t="inlineStr">
        <is>
          <t>SKÅNE LÄN</t>
        </is>
      </c>
      <c r="E269" t="inlineStr">
        <is>
          <t>HÄSSLEHOLM</t>
        </is>
      </c>
      <c r="G269" t="n">
        <v>0.7</v>
      </c>
      <c r="H269" t="n">
        <v>0</v>
      </c>
      <c r="I269" t="n">
        <v>0</v>
      </c>
      <c r="J269" t="n">
        <v>0</v>
      </c>
      <c r="K269" t="n">
        <v>0</v>
      </c>
      <c r="L269" t="n">
        <v>0</v>
      </c>
      <c r="M269" t="n">
        <v>0</v>
      </c>
      <c r="N269" t="n">
        <v>0</v>
      </c>
      <c r="O269" t="n">
        <v>0</v>
      </c>
      <c r="P269" t="n">
        <v>0</v>
      </c>
      <c r="Q269" t="n">
        <v>0</v>
      </c>
      <c r="R269" s="2" t="inlineStr"/>
    </row>
    <row r="270" ht="15" customHeight="1">
      <c r="A270" t="inlineStr">
        <is>
          <t>A 58915-2023</t>
        </is>
      </c>
      <c r="B270" s="1" t="n">
        <v>45250</v>
      </c>
      <c r="C270" s="1" t="n">
        <v>45999</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3135-2023</t>
        </is>
      </c>
      <c r="B271" s="1" t="n">
        <v>44946.51672453704</v>
      </c>
      <c r="C271" s="1" t="n">
        <v>45999</v>
      </c>
      <c r="D271" t="inlineStr">
        <is>
          <t>SKÅNE LÄN</t>
        </is>
      </c>
      <c r="E271" t="inlineStr">
        <is>
          <t>HÄSSLEHOLM</t>
        </is>
      </c>
      <c r="G271" t="n">
        <v>7.2</v>
      </c>
      <c r="H271" t="n">
        <v>0</v>
      </c>
      <c r="I271" t="n">
        <v>0</v>
      </c>
      <c r="J271" t="n">
        <v>0</v>
      </c>
      <c r="K271" t="n">
        <v>0</v>
      </c>
      <c r="L271" t="n">
        <v>0</v>
      </c>
      <c r="M271" t="n">
        <v>0</v>
      </c>
      <c r="N271" t="n">
        <v>0</v>
      </c>
      <c r="O271" t="n">
        <v>0</v>
      </c>
      <c r="P271" t="n">
        <v>0</v>
      </c>
      <c r="Q271" t="n">
        <v>0</v>
      </c>
      <c r="R271" s="2" t="inlineStr"/>
    </row>
    <row r="272" ht="15" customHeight="1">
      <c r="A272" t="inlineStr">
        <is>
          <t>A 18648-2021</t>
        </is>
      </c>
      <c r="B272" s="1" t="n">
        <v>44306.70583333333</v>
      </c>
      <c r="C272" s="1" t="n">
        <v>45999</v>
      </c>
      <c r="D272" t="inlineStr">
        <is>
          <t>SKÅNE LÄN</t>
        </is>
      </c>
      <c r="E272" t="inlineStr">
        <is>
          <t>HÄSSLEHOLM</t>
        </is>
      </c>
      <c r="G272" t="n">
        <v>2.5</v>
      </c>
      <c r="H272" t="n">
        <v>0</v>
      </c>
      <c r="I272" t="n">
        <v>0</v>
      </c>
      <c r="J272" t="n">
        <v>0</v>
      </c>
      <c r="K272" t="n">
        <v>0</v>
      </c>
      <c r="L272" t="n">
        <v>0</v>
      </c>
      <c r="M272" t="n">
        <v>0</v>
      </c>
      <c r="N272" t="n">
        <v>0</v>
      </c>
      <c r="O272" t="n">
        <v>0</v>
      </c>
      <c r="P272" t="n">
        <v>0</v>
      </c>
      <c r="Q272" t="n">
        <v>0</v>
      </c>
      <c r="R272" s="2" t="inlineStr"/>
    </row>
    <row r="273" ht="15" customHeight="1">
      <c r="A273" t="inlineStr">
        <is>
          <t>A 40734-2024</t>
        </is>
      </c>
      <c r="B273" s="1" t="n">
        <v>45558</v>
      </c>
      <c r="C273" s="1" t="n">
        <v>45999</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40738-2024</t>
        </is>
      </c>
      <c r="B274" s="1" t="n">
        <v>45558</v>
      </c>
      <c r="C274" s="1" t="n">
        <v>45999</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20494-2024</t>
        </is>
      </c>
      <c r="B275" s="1" t="n">
        <v>45435</v>
      </c>
      <c r="C275" s="1" t="n">
        <v>45999</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57033-2022</t>
        </is>
      </c>
      <c r="B276" s="1" t="n">
        <v>44895.31270833333</v>
      </c>
      <c r="C276" s="1" t="n">
        <v>45999</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59429-2023</t>
        </is>
      </c>
      <c r="B277" s="1" t="n">
        <v>45254.2875</v>
      </c>
      <c r="C277" s="1" t="n">
        <v>45999</v>
      </c>
      <c r="D277" t="inlineStr">
        <is>
          <t>SKÅNE LÄN</t>
        </is>
      </c>
      <c r="E277" t="inlineStr">
        <is>
          <t>HÄSSLEHOLM</t>
        </is>
      </c>
      <c r="G277" t="n">
        <v>0</v>
      </c>
      <c r="H277" t="n">
        <v>0</v>
      </c>
      <c r="I277" t="n">
        <v>0</v>
      </c>
      <c r="J277" t="n">
        <v>0</v>
      </c>
      <c r="K277" t="n">
        <v>0</v>
      </c>
      <c r="L277" t="n">
        <v>0</v>
      </c>
      <c r="M277" t="n">
        <v>0</v>
      </c>
      <c r="N277" t="n">
        <v>0</v>
      </c>
      <c r="O277" t="n">
        <v>0</v>
      </c>
      <c r="P277" t="n">
        <v>0</v>
      </c>
      <c r="Q277" t="n">
        <v>0</v>
      </c>
      <c r="R277" s="2" t="inlineStr"/>
    </row>
    <row r="278" ht="15" customHeight="1">
      <c r="A278" t="inlineStr">
        <is>
          <t>A 40202-2022</t>
        </is>
      </c>
      <c r="B278" s="1" t="n">
        <v>44820.60614583334</v>
      </c>
      <c r="C278" s="1" t="n">
        <v>45999</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44697-2021</t>
        </is>
      </c>
      <c r="B279" s="1" t="n">
        <v>44438</v>
      </c>
      <c r="C279" s="1" t="n">
        <v>45999</v>
      </c>
      <c r="D279" t="inlineStr">
        <is>
          <t>SKÅNE LÄN</t>
        </is>
      </c>
      <c r="E279" t="inlineStr">
        <is>
          <t>HÄSSLEHOLM</t>
        </is>
      </c>
      <c r="G279" t="n">
        <v>4.8</v>
      </c>
      <c r="H279" t="n">
        <v>0</v>
      </c>
      <c r="I279" t="n">
        <v>0</v>
      </c>
      <c r="J279" t="n">
        <v>0</v>
      </c>
      <c r="K279" t="n">
        <v>0</v>
      </c>
      <c r="L279" t="n">
        <v>0</v>
      </c>
      <c r="M279" t="n">
        <v>0</v>
      </c>
      <c r="N279" t="n">
        <v>0</v>
      </c>
      <c r="O279" t="n">
        <v>0</v>
      </c>
      <c r="P279" t="n">
        <v>0</v>
      </c>
      <c r="Q279" t="n">
        <v>0</v>
      </c>
      <c r="R279" s="2" t="inlineStr"/>
    </row>
    <row r="280" ht="15" customHeight="1">
      <c r="A280" t="inlineStr">
        <is>
          <t>A 53067-2022</t>
        </is>
      </c>
      <c r="B280" s="1" t="n">
        <v>44873</v>
      </c>
      <c r="C280" s="1" t="n">
        <v>45999</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61929-2023</t>
        </is>
      </c>
      <c r="B281" s="1" t="n">
        <v>45266</v>
      </c>
      <c r="C281" s="1" t="n">
        <v>45999</v>
      </c>
      <c r="D281" t="inlineStr">
        <is>
          <t>SKÅNE LÄN</t>
        </is>
      </c>
      <c r="E281" t="inlineStr">
        <is>
          <t>HÄSSLEHOLM</t>
        </is>
      </c>
      <c r="G281" t="n">
        <v>1.9</v>
      </c>
      <c r="H281" t="n">
        <v>0</v>
      </c>
      <c r="I281" t="n">
        <v>0</v>
      </c>
      <c r="J281" t="n">
        <v>0</v>
      </c>
      <c r="K281" t="n">
        <v>0</v>
      </c>
      <c r="L281" t="n">
        <v>0</v>
      </c>
      <c r="M281" t="n">
        <v>0</v>
      </c>
      <c r="N281" t="n">
        <v>0</v>
      </c>
      <c r="O281" t="n">
        <v>0</v>
      </c>
      <c r="P281" t="n">
        <v>0</v>
      </c>
      <c r="Q281" t="n">
        <v>0</v>
      </c>
      <c r="R281" s="2" t="inlineStr"/>
    </row>
    <row r="282" ht="15" customHeight="1">
      <c r="A282" t="inlineStr">
        <is>
          <t>A 1120-2024</t>
        </is>
      </c>
      <c r="B282" s="1" t="n">
        <v>45302.4452662037</v>
      </c>
      <c r="C282" s="1" t="n">
        <v>45999</v>
      </c>
      <c r="D282" t="inlineStr">
        <is>
          <t>SKÅNE LÄN</t>
        </is>
      </c>
      <c r="E282" t="inlineStr">
        <is>
          <t>HÄSSLEHOLM</t>
        </is>
      </c>
      <c r="G282" t="n">
        <v>2.7</v>
      </c>
      <c r="H282" t="n">
        <v>0</v>
      </c>
      <c r="I282" t="n">
        <v>0</v>
      </c>
      <c r="J282" t="n">
        <v>0</v>
      </c>
      <c r="K282" t="n">
        <v>0</v>
      </c>
      <c r="L282" t="n">
        <v>0</v>
      </c>
      <c r="M282" t="n">
        <v>0</v>
      </c>
      <c r="N282" t="n">
        <v>0</v>
      </c>
      <c r="O282" t="n">
        <v>0</v>
      </c>
      <c r="P282" t="n">
        <v>0</v>
      </c>
      <c r="Q282" t="n">
        <v>0</v>
      </c>
      <c r="R282" s="2" t="inlineStr"/>
    </row>
    <row r="283" ht="15" customHeight="1">
      <c r="A283" t="inlineStr">
        <is>
          <t>A 27177-2024</t>
        </is>
      </c>
      <c r="B283" s="1" t="n">
        <v>45471.57201388889</v>
      </c>
      <c r="C283" s="1" t="n">
        <v>45999</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42428-2022</t>
        </is>
      </c>
      <c r="B284" s="1" t="n">
        <v>44831</v>
      </c>
      <c r="C284" s="1" t="n">
        <v>45999</v>
      </c>
      <c r="D284" t="inlineStr">
        <is>
          <t>SKÅNE LÄN</t>
        </is>
      </c>
      <c r="E284" t="inlineStr">
        <is>
          <t>HÄSSLEHOLM</t>
        </is>
      </c>
      <c r="G284" t="n">
        <v>2.8</v>
      </c>
      <c r="H284" t="n">
        <v>0</v>
      </c>
      <c r="I284" t="n">
        <v>0</v>
      </c>
      <c r="J284" t="n">
        <v>0</v>
      </c>
      <c r="K284" t="n">
        <v>0</v>
      </c>
      <c r="L284" t="n">
        <v>0</v>
      </c>
      <c r="M284" t="n">
        <v>0</v>
      </c>
      <c r="N284" t="n">
        <v>0</v>
      </c>
      <c r="O284" t="n">
        <v>0</v>
      </c>
      <c r="P284" t="n">
        <v>0</v>
      </c>
      <c r="Q284" t="n">
        <v>0</v>
      </c>
      <c r="R284" s="2" t="inlineStr"/>
    </row>
    <row r="285" ht="15" customHeight="1">
      <c r="A285" t="inlineStr">
        <is>
          <t>A 22595-2024</t>
        </is>
      </c>
      <c r="B285" s="1" t="n">
        <v>45447.61053240741</v>
      </c>
      <c r="C285" s="1" t="n">
        <v>45999</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54326-2022</t>
        </is>
      </c>
      <c r="B286" s="1" t="n">
        <v>44882.42965277778</v>
      </c>
      <c r="C286" s="1" t="n">
        <v>45999</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38148-2022</t>
        </is>
      </c>
      <c r="B287" s="1" t="n">
        <v>44811</v>
      </c>
      <c r="C287" s="1" t="n">
        <v>45999</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41998-2021</t>
        </is>
      </c>
      <c r="B288" s="1" t="n">
        <v>44425</v>
      </c>
      <c r="C288" s="1" t="n">
        <v>45999</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61186-2022</t>
        </is>
      </c>
      <c r="B289" s="1" t="n">
        <v>44915.50745370371</v>
      </c>
      <c r="C289" s="1" t="n">
        <v>45999</v>
      </c>
      <c r="D289" t="inlineStr">
        <is>
          <t>SKÅNE LÄN</t>
        </is>
      </c>
      <c r="E289" t="inlineStr">
        <is>
          <t>HÄSSLEHOLM</t>
        </is>
      </c>
      <c r="G289" t="n">
        <v>2.9</v>
      </c>
      <c r="H289" t="n">
        <v>0</v>
      </c>
      <c r="I289" t="n">
        <v>0</v>
      </c>
      <c r="J289" t="n">
        <v>0</v>
      </c>
      <c r="K289" t="n">
        <v>0</v>
      </c>
      <c r="L289" t="n">
        <v>0</v>
      </c>
      <c r="M289" t="n">
        <v>0</v>
      </c>
      <c r="N289" t="n">
        <v>0</v>
      </c>
      <c r="O289" t="n">
        <v>0</v>
      </c>
      <c r="P289" t="n">
        <v>0</v>
      </c>
      <c r="Q289" t="n">
        <v>0</v>
      </c>
      <c r="R289" s="2" t="inlineStr"/>
    </row>
    <row r="290" ht="15" customHeight="1">
      <c r="A290" t="inlineStr">
        <is>
          <t>A 13018-2024</t>
        </is>
      </c>
      <c r="B290" s="1" t="n">
        <v>45385.58274305556</v>
      </c>
      <c r="C290" s="1" t="n">
        <v>45999</v>
      </c>
      <c r="D290" t="inlineStr">
        <is>
          <t>SKÅNE LÄN</t>
        </is>
      </c>
      <c r="E290" t="inlineStr">
        <is>
          <t>HÄSSLEHOLM</t>
        </is>
      </c>
      <c r="G290" t="n">
        <v>4.8</v>
      </c>
      <c r="H290" t="n">
        <v>0</v>
      </c>
      <c r="I290" t="n">
        <v>0</v>
      </c>
      <c r="J290" t="n">
        <v>0</v>
      </c>
      <c r="K290" t="n">
        <v>0</v>
      </c>
      <c r="L290" t="n">
        <v>0</v>
      </c>
      <c r="M290" t="n">
        <v>0</v>
      </c>
      <c r="N290" t="n">
        <v>0</v>
      </c>
      <c r="O290" t="n">
        <v>0</v>
      </c>
      <c r="P290" t="n">
        <v>0</v>
      </c>
      <c r="Q290" t="n">
        <v>0</v>
      </c>
      <c r="R290" s="2" t="inlineStr"/>
    </row>
    <row r="291" ht="15" customHeight="1">
      <c r="A291" t="inlineStr">
        <is>
          <t>A 61524-2022</t>
        </is>
      </c>
      <c r="B291" s="1" t="n">
        <v>44910</v>
      </c>
      <c r="C291" s="1" t="n">
        <v>45999</v>
      </c>
      <c r="D291" t="inlineStr">
        <is>
          <t>SKÅNE LÄN</t>
        </is>
      </c>
      <c r="E291" t="inlineStr">
        <is>
          <t>HÄSSLEHOLM</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34342-2021</t>
        </is>
      </c>
      <c r="B292" s="1" t="n">
        <v>44379</v>
      </c>
      <c r="C292" s="1" t="n">
        <v>45999</v>
      </c>
      <c r="D292" t="inlineStr">
        <is>
          <t>SKÅNE LÄN</t>
        </is>
      </c>
      <c r="E292" t="inlineStr">
        <is>
          <t>HÄSSLEHOLM</t>
        </is>
      </c>
      <c r="G292" t="n">
        <v>7</v>
      </c>
      <c r="H292" t="n">
        <v>0</v>
      </c>
      <c r="I292" t="n">
        <v>0</v>
      </c>
      <c r="J292" t="n">
        <v>0</v>
      </c>
      <c r="K292" t="n">
        <v>0</v>
      </c>
      <c r="L292" t="n">
        <v>0</v>
      </c>
      <c r="M292" t="n">
        <v>0</v>
      </c>
      <c r="N292" t="n">
        <v>0</v>
      </c>
      <c r="O292" t="n">
        <v>0</v>
      </c>
      <c r="P292" t="n">
        <v>0</v>
      </c>
      <c r="Q292" t="n">
        <v>0</v>
      </c>
      <c r="R292" s="2" t="inlineStr"/>
    </row>
    <row r="293" ht="15" customHeight="1">
      <c r="A293" t="inlineStr">
        <is>
          <t>A 61533-2022</t>
        </is>
      </c>
      <c r="B293" s="1" t="n">
        <v>44910</v>
      </c>
      <c r="C293" s="1" t="n">
        <v>45999</v>
      </c>
      <c r="D293" t="inlineStr">
        <is>
          <t>SKÅNE LÄN</t>
        </is>
      </c>
      <c r="E293" t="inlineStr">
        <is>
          <t>HÄSSLEHOLM</t>
        </is>
      </c>
      <c r="F293" t="inlineStr">
        <is>
          <t>Kyrkan</t>
        </is>
      </c>
      <c r="G293" t="n">
        <v>1</v>
      </c>
      <c r="H293" t="n">
        <v>0</v>
      </c>
      <c r="I293" t="n">
        <v>0</v>
      </c>
      <c r="J293" t="n">
        <v>0</v>
      </c>
      <c r="K293" t="n">
        <v>0</v>
      </c>
      <c r="L293" t="n">
        <v>0</v>
      </c>
      <c r="M293" t="n">
        <v>0</v>
      </c>
      <c r="N293" t="n">
        <v>0</v>
      </c>
      <c r="O293" t="n">
        <v>0</v>
      </c>
      <c r="P293" t="n">
        <v>0</v>
      </c>
      <c r="Q293" t="n">
        <v>0</v>
      </c>
      <c r="R293" s="2" t="inlineStr"/>
    </row>
    <row r="294" ht="15" customHeight="1">
      <c r="A294" t="inlineStr">
        <is>
          <t>A 26857-2025</t>
        </is>
      </c>
      <c r="B294" s="1" t="n">
        <v>45810</v>
      </c>
      <c r="C294" s="1" t="n">
        <v>45999</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42776-2021</t>
        </is>
      </c>
      <c r="B295" s="1" t="n">
        <v>44428</v>
      </c>
      <c r="C295" s="1" t="n">
        <v>45999</v>
      </c>
      <c r="D295" t="inlineStr">
        <is>
          <t>SKÅNE LÄN</t>
        </is>
      </c>
      <c r="E295" t="inlineStr">
        <is>
          <t>HÄSSLEHOLM</t>
        </is>
      </c>
      <c r="G295" t="n">
        <v>3.2</v>
      </c>
      <c r="H295" t="n">
        <v>0</v>
      </c>
      <c r="I295" t="n">
        <v>0</v>
      </c>
      <c r="J295" t="n">
        <v>0</v>
      </c>
      <c r="K295" t="n">
        <v>0</v>
      </c>
      <c r="L295" t="n">
        <v>0</v>
      </c>
      <c r="M295" t="n">
        <v>0</v>
      </c>
      <c r="N295" t="n">
        <v>0</v>
      </c>
      <c r="O295" t="n">
        <v>0</v>
      </c>
      <c r="P295" t="n">
        <v>0</v>
      </c>
      <c r="Q295" t="n">
        <v>0</v>
      </c>
      <c r="R295" s="2" t="inlineStr"/>
    </row>
    <row r="296" ht="15" customHeight="1">
      <c r="A296" t="inlineStr">
        <is>
          <t>A 12780-2024</t>
        </is>
      </c>
      <c r="B296" s="1" t="n">
        <v>45384.59726851852</v>
      </c>
      <c r="C296" s="1" t="n">
        <v>45999</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28457-2024</t>
        </is>
      </c>
      <c r="B297" s="1" t="n">
        <v>45477.68884259259</v>
      </c>
      <c r="C297" s="1" t="n">
        <v>45999</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22594-2024</t>
        </is>
      </c>
      <c r="B298" s="1" t="n">
        <v>45447.60892361111</v>
      </c>
      <c r="C298" s="1" t="n">
        <v>45999</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8619-2023</t>
        </is>
      </c>
      <c r="B299" s="1" t="n">
        <v>44977.81979166667</v>
      </c>
      <c r="C299" s="1" t="n">
        <v>45999</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55056-2021</t>
        </is>
      </c>
      <c r="B300" s="1" t="n">
        <v>44474.62072916667</v>
      </c>
      <c r="C300" s="1" t="n">
        <v>45999</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4042-2023</t>
        </is>
      </c>
      <c r="B301" s="1" t="n">
        <v>44952.59950231481</v>
      </c>
      <c r="C301" s="1" t="n">
        <v>45999</v>
      </c>
      <c r="D301" t="inlineStr">
        <is>
          <t>SKÅNE LÄN</t>
        </is>
      </c>
      <c r="E301" t="inlineStr">
        <is>
          <t>HÄSSLEHOLM</t>
        </is>
      </c>
      <c r="G301" t="n">
        <v>2.7</v>
      </c>
      <c r="H301" t="n">
        <v>0</v>
      </c>
      <c r="I301" t="n">
        <v>0</v>
      </c>
      <c r="J301" t="n">
        <v>0</v>
      </c>
      <c r="K301" t="n">
        <v>0</v>
      </c>
      <c r="L301" t="n">
        <v>0</v>
      </c>
      <c r="M301" t="n">
        <v>0</v>
      </c>
      <c r="N301" t="n">
        <v>0</v>
      </c>
      <c r="O301" t="n">
        <v>0</v>
      </c>
      <c r="P301" t="n">
        <v>0</v>
      </c>
      <c r="Q301" t="n">
        <v>0</v>
      </c>
      <c r="R301" s="2" t="inlineStr"/>
    </row>
    <row r="302" ht="15" customHeight="1">
      <c r="A302" t="inlineStr">
        <is>
          <t>A 3123-2023</t>
        </is>
      </c>
      <c r="B302" s="1" t="n">
        <v>44946.4925</v>
      </c>
      <c r="C302" s="1" t="n">
        <v>45999</v>
      </c>
      <c r="D302" t="inlineStr">
        <is>
          <t>SKÅNE LÄN</t>
        </is>
      </c>
      <c r="E302" t="inlineStr">
        <is>
          <t>HÄSSLEHOLM</t>
        </is>
      </c>
      <c r="G302" t="n">
        <v>3.5</v>
      </c>
      <c r="H302" t="n">
        <v>0</v>
      </c>
      <c r="I302" t="n">
        <v>0</v>
      </c>
      <c r="J302" t="n">
        <v>0</v>
      </c>
      <c r="K302" t="n">
        <v>0</v>
      </c>
      <c r="L302" t="n">
        <v>0</v>
      </c>
      <c r="M302" t="n">
        <v>0</v>
      </c>
      <c r="N302" t="n">
        <v>0</v>
      </c>
      <c r="O302" t="n">
        <v>0</v>
      </c>
      <c r="P302" t="n">
        <v>0</v>
      </c>
      <c r="Q302" t="n">
        <v>0</v>
      </c>
      <c r="R302" s="2" t="inlineStr"/>
    </row>
    <row r="303" ht="15" customHeight="1">
      <c r="A303" t="inlineStr">
        <is>
          <t>A 3126-2023</t>
        </is>
      </c>
      <c r="B303" s="1" t="n">
        <v>44946.49570601852</v>
      </c>
      <c r="C303" s="1" t="n">
        <v>45999</v>
      </c>
      <c r="D303" t="inlineStr">
        <is>
          <t>SKÅNE LÄN</t>
        </is>
      </c>
      <c r="E303" t="inlineStr">
        <is>
          <t>HÄSSLEHOLM</t>
        </is>
      </c>
      <c r="G303" t="n">
        <v>2.2</v>
      </c>
      <c r="H303" t="n">
        <v>0</v>
      </c>
      <c r="I303" t="n">
        <v>0</v>
      </c>
      <c r="J303" t="n">
        <v>0</v>
      </c>
      <c r="K303" t="n">
        <v>0</v>
      </c>
      <c r="L303" t="n">
        <v>0</v>
      </c>
      <c r="M303" t="n">
        <v>0</v>
      </c>
      <c r="N303" t="n">
        <v>0</v>
      </c>
      <c r="O303" t="n">
        <v>0</v>
      </c>
      <c r="P303" t="n">
        <v>0</v>
      </c>
      <c r="Q303" t="n">
        <v>0</v>
      </c>
      <c r="R303" s="2" t="inlineStr"/>
    </row>
    <row r="304" ht="15" customHeight="1">
      <c r="A304" t="inlineStr">
        <is>
          <t>A 49219-2021</t>
        </is>
      </c>
      <c r="B304" s="1" t="n">
        <v>44454</v>
      </c>
      <c r="C304" s="1" t="n">
        <v>45999</v>
      </c>
      <c r="D304" t="inlineStr">
        <is>
          <t>SKÅNE LÄN</t>
        </is>
      </c>
      <c r="E304" t="inlineStr">
        <is>
          <t>HÄSSLEHOLM</t>
        </is>
      </c>
      <c r="G304" t="n">
        <v>7.8</v>
      </c>
      <c r="H304" t="n">
        <v>0</v>
      </c>
      <c r="I304" t="n">
        <v>0</v>
      </c>
      <c r="J304" t="n">
        <v>0</v>
      </c>
      <c r="K304" t="n">
        <v>0</v>
      </c>
      <c r="L304" t="n">
        <v>0</v>
      </c>
      <c r="M304" t="n">
        <v>0</v>
      </c>
      <c r="N304" t="n">
        <v>0</v>
      </c>
      <c r="O304" t="n">
        <v>0</v>
      </c>
      <c r="P304" t="n">
        <v>0</v>
      </c>
      <c r="Q304" t="n">
        <v>0</v>
      </c>
      <c r="R304" s="2" t="inlineStr"/>
    </row>
    <row r="305" ht="15" customHeight="1">
      <c r="A305" t="inlineStr">
        <is>
          <t>A 25213-2023</t>
        </is>
      </c>
      <c r="B305" s="1" t="n">
        <v>45086.60010416667</v>
      </c>
      <c r="C305" s="1" t="n">
        <v>45999</v>
      </c>
      <c r="D305" t="inlineStr">
        <is>
          <t>SKÅNE LÄN</t>
        </is>
      </c>
      <c r="E305" t="inlineStr">
        <is>
          <t>HÄSSLEHOLM</t>
        </is>
      </c>
      <c r="G305" t="n">
        <v>7.2</v>
      </c>
      <c r="H305" t="n">
        <v>0</v>
      </c>
      <c r="I305" t="n">
        <v>0</v>
      </c>
      <c r="J305" t="n">
        <v>0</v>
      </c>
      <c r="K305" t="n">
        <v>0</v>
      </c>
      <c r="L305" t="n">
        <v>0</v>
      </c>
      <c r="M305" t="n">
        <v>0</v>
      </c>
      <c r="N305" t="n">
        <v>0</v>
      </c>
      <c r="O305" t="n">
        <v>0</v>
      </c>
      <c r="P305" t="n">
        <v>0</v>
      </c>
      <c r="Q305" t="n">
        <v>0</v>
      </c>
      <c r="R305" s="2" t="inlineStr"/>
    </row>
    <row r="306" ht="15" customHeight="1">
      <c r="A306" t="inlineStr">
        <is>
          <t>A 51287-2022</t>
        </is>
      </c>
      <c r="B306" s="1" t="n">
        <v>44868.83146990741</v>
      </c>
      <c r="C306" s="1" t="n">
        <v>45999</v>
      </c>
      <c r="D306" t="inlineStr">
        <is>
          <t>SKÅNE LÄN</t>
        </is>
      </c>
      <c r="E306" t="inlineStr">
        <is>
          <t>HÄSSLEHOLM</t>
        </is>
      </c>
      <c r="G306" t="n">
        <v>2.2</v>
      </c>
      <c r="H306" t="n">
        <v>0</v>
      </c>
      <c r="I306" t="n">
        <v>0</v>
      </c>
      <c r="J306" t="n">
        <v>0</v>
      </c>
      <c r="K306" t="n">
        <v>0</v>
      </c>
      <c r="L306" t="n">
        <v>0</v>
      </c>
      <c r="M306" t="n">
        <v>0</v>
      </c>
      <c r="N306" t="n">
        <v>0</v>
      </c>
      <c r="O306" t="n">
        <v>0</v>
      </c>
      <c r="P306" t="n">
        <v>0</v>
      </c>
      <c r="Q306" t="n">
        <v>0</v>
      </c>
      <c r="R306" s="2" t="inlineStr"/>
    </row>
    <row r="307" ht="15" customHeight="1">
      <c r="A307" t="inlineStr">
        <is>
          <t>A 46000-2021</t>
        </is>
      </c>
      <c r="B307" s="1" t="n">
        <v>44441</v>
      </c>
      <c r="C307" s="1" t="n">
        <v>45999</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24865-2024</t>
        </is>
      </c>
      <c r="B308" s="1" t="n">
        <v>45461.48974537037</v>
      </c>
      <c r="C308" s="1" t="n">
        <v>45999</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62171-2022</t>
        </is>
      </c>
      <c r="B309" s="1" t="n">
        <v>44915</v>
      </c>
      <c r="C309" s="1" t="n">
        <v>45999</v>
      </c>
      <c r="D309" t="inlineStr">
        <is>
          <t>SKÅNE LÄN</t>
        </is>
      </c>
      <c r="E309" t="inlineStr">
        <is>
          <t>HÄSSLEHOLM</t>
        </is>
      </c>
      <c r="F309" t="inlineStr">
        <is>
          <t>Kyrkan</t>
        </is>
      </c>
      <c r="G309" t="n">
        <v>9</v>
      </c>
      <c r="H309" t="n">
        <v>0</v>
      </c>
      <c r="I309" t="n">
        <v>0</v>
      </c>
      <c r="J309" t="n">
        <v>0</v>
      </c>
      <c r="K309" t="n">
        <v>0</v>
      </c>
      <c r="L309" t="n">
        <v>0</v>
      </c>
      <c r="M309" t="n">
        <v>0</v>
      </c>
      <c r="N309" t="n">
        <v>0</v>
      </c>
      <c r="O309" t="n">
        <v>0</v>
      </c>
      <c r="P309" t="n">
        <v>0</v>
      </c>
      <c r="Q309" t="n">
        <v>0</v>
      </c>
      <c r="R309" s="2" t="inlineStr"/>
    </row>
    <row r="310" ht="15" customHeight="1">
      <c r="A310" t="inlineStr">
        <is>
          <t>A 32100-2024</t>
        </is>
      </c>
      <c r="B310" s="1" t="n">
        <v>45511.41451388889</v>
      </c>
      <c r="C310" s="1" t="n">
        <v>45999</v>
      </c>
      <c r="D310" t="inlineStr">
        <is>
          <t>SKÅNE LÄN</t>
        </is>
      </c>
      <c r="E310" t="inlineStr">
        <is>
          <t>HÄSSLEHOLM</t>
        </is>
      </c>
      <c r="G310" t="n">
        <v>0.8</v>
      </c>
      <c r="H310" t="n">
        <v>0</v>
      </c>
      <c r="I310" t="n">
        <v>0</v>
      </c>
      <c r="J310" t="n">
        <v>0</v>
      </c>
      <c r="K310" t="n">
        <v>0</v>
      </c>
      <c r="L310" t="n">
        <v>0</v>
      </c>
      <c r="M310" t="n">
        <v>0</v>
      </c>
      <c r="N310" t="n">
        <v>0</v>
      </c>
      <c r="O310" t="n">
        <v>0</v>
      </c>
      <c r="P310" t="n">
        <v>0</v>
      </c>
      <c r="Q310" t="n">
        <v>0</v>
      </c>
      <c r="R310" s="2" t="inlineStr"/>
    </row>
    <row r="311" ht="15" customHeight="1">
      <c r="A311" t="inlineStr">
        <is>
          <t>A 33481-2024</t>
        </is>
      </c>
      <c r="B311" s="1" t="n">
        <v>45519</v>
      </c>
      <c r="C311" s="1" t="n">
        <v>45999</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48807-2021</t>
        </is>
      </c>
      <c r="B312" s="1" t="n">
        <v>44452</v>
      </c>
      <c r="C312" s="1" t="n">
        <v>45999</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54176-2022</t>
        </is>
      </c>
      <c r="B313" s="1" t="n">
        <v>44881</v>
      </c>
      <c r="C313" s="1" t="n">
        <v>45999</v>
      </c>
      <c r="D313" t="inlineStr">
        <is>
          <t>SKÅNE LÄN</t>
        </is>
      </c>
      <c r="E313" t="inlineStr">
        <is>
          <t>HÄSSLEHOLM</t>
        </is>
      </c>
      <c r="G313" t="n">
        <v>1.1</v>
      </c>
      <c r="H313" t="n">
        <v>0</v>
      </c>
      <c r="I313" t="n">
        <v>0</v>
      </c>
      <c r="J313" t="n">
        <v>0</v>
      </c>
      <c r="K313" t="n">
        <v>0</v>
      </c>
      <c r="L313" t="n">
        <v>0</v>
      </c>
      <c r="M313" t="n">
        <v>0</v>
      </c>
      <c r="N313" t="n">
        <v>0</v>
      </c>
      <c r="O313" t="n">
        <v>0</v>
      </c>
      <c r="P313" t="n">
        <v>0</v>
      </c>
      <c r="Q313" t="n">
        <v>0</v>
      </c>
      <c r="R313" s="2" t="inlineStr"/>
    </row>
    <row r="314" ht="15" customHeight="1">
      <c r="A314" t="inlineStr">
        <is>
          <t>A 33927-2021</t>
        </is>
      </c>
      <c r="B314" s="1" t="n">
        <v>44378</v>
      </c>
      <c r="C314" s="1" t="n">
        <v>45999</v>
      </c>
      <c r="D314" t="inlineStr">
        <is>
          <t>SKÅNE LÄN</t>
        </is>
      </c>
      <c r="E314" t="inlineStr">
        <is>
          <t>HÄSSLEHOLM</t>
        </is>
      </c>
      <c r="G314" t="n">
        <v>16.7</v>
      </c>
      <c r="H314" t="n">
        <v>0</v>
      </c>
      <c r="I314" t="n">
        <v>0</v>
      </c>
      <c r="J314" t="n">
        <v>0</v>
      </c>
      <c r="K314" t="n">
        <v>0</v>
      </c>
      <c r="L314" t="n">
        <v>0</v>
      </c>
      <c r="M314" t="n">
        <v>0</v>
      </c>
      <c r="N314" t="n">
        <v>0</v>
      </c>
      <c r="O314" t="n">
        <v>0</v>
      </c>
      <c r="P314" t="n">
        <v>0</v>
      </c>
      <c r="Q314" t="n">
        <v>0</v>
      </c>
      <c r="R314" s="2" t="inlineStr"/>
    </row>
    <row r="315" ht="15" customHeight="1">
      <c r="A315" t="inlineStr">
        <is>
          <t>A 16614-2025</t>
        </is>
      </c>
      <c r="B315" s="1" t="n">
        <v>45754.283125</v>
      </c>
      <c r="C315" s="1" t="n">
        <v>45999</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25057-2024</t>
        </is>
      </c>
      <c r="B316" s="1" t="n">
        <v>45462</v>
      </c>
      <c r="C316" s="1" t="n">
        <v>45999</v>
      </c>
      <c r="D316" t="inlineStr">
        <is>
          <t>SKÅNE LÄN</t>
        </is>
      </c>
      <c r="E316" t="inlineStr">
        <is>
          <t>HÄSSLEHOLM</t>
        </is>
      </c>
      <c r="G316" t="n">
        <v>4.3</v>
      </c>
      <c r="H316" t="n">
        <v>0</v>
      </c>
      <c r="I316" t="n">
        <v>0</v>
      </c>
      <c r="J316" t="n">
        <v>0</v>
      </c>
      <c r="K316" t="n">
        <v>0</v>
      </c>
      <c r="L316" t="n">
        <v>0</v>
      </c>
      <c r="M316" t="n">
        <v>0</v>
      </c>
      <c r="N316" t="n">
        <v>0</v>
      </c>
      <c r="O316" t="n">
        <v>0</v>
      </c>
      <c r="P316" t="n">
        <v>0</v>
      </c>
      <c r="Q316" t="n">
        <v>0</v>
      </c>
      <c r="R316" s="2" t="inlineStr"/>
    </row>
    <row r="317" ht="15" customHeight="1">
      <c r="A317" t="inlineStr">
        <is>
          <t>A 23723-2023</t>
        </is>
      </c>
      <c r="B317" s="1" t="n">
        <v>45077</v>
      </c>
      <c r="C317" s="1" t="n">
        <v>45999</v>
      </c>
      <c r="D317" t="inlineStr">
        <is>
          <t>SKÅNE LÄN</t>
        </is>
      </c>
      <c r="E317" t="inlineStr">
        <is>
          <t>HÄSSLEHOLM</t>
        </is>
      </c>
      <c r="G317" t="n">
        <v>3.9</v>
      </c>
      <c r="H317" t="n">
        <v>0</v>
      </c>
      <c r="I317" t="n">
        <v>0</v>
      </c>
      <c r="J317" t="n">
        <v>0</v>
      </c>
      <c r="K317" t="n">
        <v>0</v>
      </c>
      <c r="L317" t="n">
        <v>0</v>
      </c>
      <c r="M317" t="n">
        <v>0</v>
      </c>
      <c r="N317" t="n">
        <v>0</v>
      </c>
      <c r="O317" t="n">
        <v>0</v>
      </c>
      <c r="P317" t="n">
        <v>0</v>
      </c>
      <c r="Q317" t="n">
        <v>0</v>
      </c>
      <c r="R317" s="2" t="inlineStr"/>
    </row>
    <row r="318" ht="15" customHeight="1">
      <c r="A318" t="inlineStr">
        <is>
          <t>A 10028-2024</t>
        </is>
      </c>
      <c r="B318" s="1" t="n">
        <v>45363.97292824074</v>
      </c>
      <c r="C318" s="1" t="n">
        <v>45999</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61158-2022</t>
        </is>
      </c>
      <c r="B319" s="1" t="n">
        <v>44915.47112268519</v>
      </c>
      <c r="C319" s="1" t="n">
        <v>45999</v>
      </c>
      <c r="D319" t="inlineStr">
        <is>
          <t>SKÅNE LÄN</t>
        </is>
      </c>
      <c r="E319" t="inlineStr">
        <is>
          <t>HÄSSLEHOLM</t>
        </is>
      </c>
      <c r="G319" t="n">
        <v>8.4</v>
      </c>
      <c r="H319" t="n">
        <v>0</v>
      </c>
      <c r="I319" t="n">
        <v>0</v>
      </c>
      <c r="J319" t="n">
        <v>0</v>
      </c>
      <c r="K319" t="n">
        <v>0</v>
      </c>
      <c r="L319" t="n">
        <v>0</v>
      </c>
      <c r="M319" t="n">
        <v>0</v>
      </c>
      <c r="N319" t="n">
        <v>0</v>
      </c>
      <c r="O319" t="n">
        <v>0</v>
      </c>
      <c r="P319" t="n">
        <v>0</v>
      </c>
      <c r="Q319" t="n">
        <v>0</v>
      </c>
      <c r="R319" s="2" t="inlineStr"/>
    </row>
    <row r="320" ht="15" customHeight="1">
      <c r="A320" t="inlineStr">
        <is>
          <t>A 12468-2024</t>
        </is>
      </c>
      <c r="B320" s="1" t="n">
        <v>45379</v>
      </c>
      <c r="C320" s="1" t="n">
        <v>45999</v>
      </c>
      <c r="D320" t="inlineStr">
        <is>
          <t>SKÅNE LÄN</t>
        </is>
      </c>
      <c r="E320" t="inlineStr">
        <is>
          <t>HÄSSLEHOLM</t>
        </is>
      </c>
      <c r="G320" t="n">
        <v>15.5</v>
      </c>
      <c r="H320" t="n">
        <v>0</v>
      </c>
      <c r="I320" t="n">
        <v>0</v>
      </c>
      <c r="J320" t="n">
        <v>0</v>
      </c>
      <c r="K320" t="n">
        <v>0</v>
      </c>
      <c r="L320" t="n">
        <v>0</v>
      </c>
      <c r="M320" t="n">
        <v>0</v>
      </c>
      <c r="N320" t="n">
        <v>0</v>
      </c>
      <c r="O320" t="n">
        <v>0</v>
      </c>
      <c r="P320" t="n">
        <v>0</v>
      </c>
      <c r="Q320" t="n">
        <v>0</v>
      </c>
      <c r="R320" s="2" t="inlineStr"/>
    </row>
    <row r="321" ht="15" customHeight="1">
      <c r="A321" t="inlineStr">
        <is>
          <t>A 4009-2024</t>
        </is>
      </c>
      <c r="B321" s="1" t="n">
        <v>45323</v>
      </c>
      <c r="C321" s="1" t="n">
        <v>45999</v>
      </c>
      <c r="D321" t="inlineStr">
        <is>
          <t>SKÅNE LÄN</t>
        </is>
      </c>
      <c r="E321" t="inlineStr">
        <is>
          <t>HÄSSLEHOLM</t>
        </is>
      </c>
      <c r="G321" t="n">
        <v>2.4</v>
      </c>
      <c r="H321" t="n">
        <v>0</v>
      </c>
      <c r="I321" t="n">
        <v>0</v>
      </c>
      <c r="J321" t="n">
        <v>0</v>
      </c>
      <c r="K321" t="n">
        <v>0</v>
      </c>
      <c r="L321" t="n">
        <v>0</v>
      </c>
      <c r="M321" t="n">
        <v>0</v>
      </c>
      <c r="N321" t="n">
        <v>0</v>
      </c>
      <c r="O321" t="n">
        <v>0</v>
      </c>
      <c r="P321" t="n">
        <v>0</v>
      </c>
      <c r="Q321" t="n">
        <v>0</v>
      </c>
      <c r="R321" s="2" t="inlineStr"/>
    </row>
    <row r="322" ht="15" customHeight="1">
      <c r="A322" t="inlineStr">
        <is>
          <t>A 60848-2022</t>
        </is>
      </c>
      <c r="B322" s="1" t="n">
        <v>44914</v>
      </c>
      <c r="C322" s="1" t="n">
        <v>45999</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4945-2022</t>
        </is>
      </c>
      <c r="B323" s="1" t="n">
        <v>44593</v>
      </c>
      <c r="C323" s="1" t="n">
        <v>45999</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57649-2022</t>
        </is>
      </c>
      <c r="B324" s="1" t="n">
        <v>44897.42755787037</v>
      </c>
      <c r="C324" s="1" t="n">
        <v>45999</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57665-2022</t>
        </is>
      </c>
      <c r="B325" s="1" t="n">
        <v>44897.4494212963</v>
      </c>
      <c r="C325" s="1" t="n">
        <v>45999</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57676-2022</t>
        </is>
      </c>
      <c r="B326" s="1" t="n">
        <v>44897</v>
      </c>
      <c r="C326" s="1" t="n">
        <v>45999</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47248-2023</t>
        </is>
      </c>
      <c r="B327" s="1" t="n">
        <v>45202</v>
      </c>
      <c r="C327" s="1" t="n">
        <v>45999</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38306-2022</t>
        </is>
      </c>
      <c r="B328" s="1" t="n">
        <v>44812.57515046297</v>
      </c>
      <c r="C328" s="1" t="n">
        <v>45999</v>
      </c>
      <c r="D328" t="inlineStr">
        <is>
          <t>SKÅNE LÄN</t>
        </is>
      </c>
      <c r="E328" t="inlineStr">
        <is>
          <t>HÄSSLEHOLM</t>
        </is>
      </c>
      <c r="G328" t="n">
        <v>2.2</v>
      </c>
      <c r="H328" t="n">
        <v>0</v>
      </c>
      <c r="I328" t="n">
        <v>0</v>
      </c>
      <c r="J328" t="n">
        <v>0</v>
      </c>
      <c r="K328" t="n">
        <v>0</v>
      </c>
      <c r="L328" t="n">
        <v>0</v>
      </c>
      <c r="M328" t="n">
        <v>0</v>
      </c>
      <c r="N328" t="n">
        <v>0</v>
      </c>
      <c r="O328" t="n">
        <v>0</v>
      </c>
      <c r="P328" t="n">
        <v>0</v>
      </c>
      <c r="Q328" t="n">
        <v>0</v>
      </c>
      <c r="R328" s="2" t="inlineStr"/>
    </row>
    <row r="329" ht="15" customHeight="1">
      <c r="A329" t="inlineStr">
        <is>
          <t>A 35845-2022</t>
        </is>
      </c>
      <c r="B329" s="1" t="n">
        <v>44802</v>
      </c>
      <c r="C329" s="1" t="n">
        <v>45999</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54671-2022</t>
        </is>
      </c>
      <c r="B330" s="1" t="n">
        <v>44883</v>
      </c>
      <c r="C330" s="1" t="n">
        <v>45999</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53887-2023</t>
        </is>
      </c>
      <c r="B331" s="1" t="n">
        <v>45231.52675925926</v>
      </c>
      <c r="C331" s="1" t="n">
        <v>45999</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49167-2022</t>
        </is>
      </c>
      <c r="B332" s="1" t="n">
        <v>44860</v>
      </c>
      <c r="C332" s="1" t="n">
        <v>45999</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28071-2023</t>
        </is>
      </c>
      <c r="B333" s="1" t="n">
        <v>45099.37755787037</v>
      </c>
      <c r="C333" s="1" t="n">
        <v>45999</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3507-2024</t>
        </is>
      </c>
      <c r="B334" s="1" t="n">
        <v>45320.4906712963</v>
      </c>
      <c r="C334" s="1" t="n">
        <v>45999</v>
      </c>
      <c r="D334" t="inlineStr">
        <is>
          <t>SKÅNE LÄN</t>
        </is>
      </c>
      <c r="E334" t="inlineStr">
        <is>
          <t>HÄSSLEHOLM</t>
        </is>
      </c>
      <c r="G334" t="n">
        <v>6.4</v>
      </c>
      <c r="H334" t="n">
        <v>0</v>
      </c>
      <c r="I334" t="n">
        <v>0</v>
      </c>
      <c r="J334" t="n">
        <v>0</v>
      </c>
      <c r="K334" t="n">
        <v>0</v>
      </c>
      <c r="L334" t="n">
        <v>0</v>
      </c>
      <c r="M334" t="n">
        <v>0</v>
      </c>
      <c r="N334" t="n">
        <v>0</v>
      </c>
      <c r="O334" t="n">
        <v>0</v>
      </c>
      <c r="P334" t="n">
        <v>0</v>
      </c>
      <c r="Q334" t="n">
        <v>0</v>
      </c>
      <c r="R334" s="2" t="inlineStr"/>
    </row>
    <row r="335" ht="15" customHeight="1">
      <c r="A335" t="inlineStr">
        <is>
          <t>A 4119-2024</t>
        </is>
      </c>
      <c r="B335" s="1" t="n">
        <v>45323.67920138889</v>
      </c>
      <c r="C335" s="1" t="n">
        <v>45999</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48877-2024</t>
        </is>
      </c>
      <c r="B336" s="1" t="n">
        <v>45594.31729166667</v>
      </c>
      <c r="C336" s="1" t="n">
        <v>45999</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47647-2024</t>
        </is>
      </c>
      <c r="B337" s="1" t="n">
        <v>45588</v>
      </c>
      <c r="C337" s="1" t="n">
        <v>45999</v>
      </c>
      <c r="D337" t="inlineStr">
        <is>
          <t>SKÅNE LÄN</t>
        </is>
      </c>
      <c r="E337" t="inlineStr">
        <is>
          <t>HÄSSLEHOLM</t>
        </is>
      </c>
      <c r="G337" t="n">
        <v>6.5</v>
      </c>
      <c r="H337" t="n">
        <v>0</v>
      </c>
      <c r="I337" t="n">
        <v>0</v>
      </c>
      <c r="J337" t="n">
        <v>0</v>
      </c>
      <c r="K337" t="n">
        <v>0</v>
      </c>
      <c r="L337" t="n">
        <v>0</v>
      </c>
      <c r="M337" t="n">
        <v>0</v>
      </c>
      <c r="N337" t="n">
        <v>0</v>
      </c>
      <c r="O337" t="n">
        <v>0</v>
      </c>
      <c r="P337" t="n">
        <v>0</v>
      </c>
      <c r="Q337" t="n">
        <v>0</v>
      </c>
      <c r="R337" s="2" t="inlineStr"/>
    </row>
    <row r="338" ht="15" customHeight="1">
      <c r="A338" t="inlineStr">
        <is>
          <t>A 1619-2022</t>
        </is>
      </c>
      <c r="B338" s="1" t="n">
        <v>44573</v>
      </c>
      <c r="C338" s="1" t="n">
        <v>45999</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12503-2022</t>
        </is>
      </c>
      <c r="B339" s="1" t="n">
        <v>44638</v>
      </c>
      <c r="C339" s="1" t="n">
        <v>45999</v>
      </c>
      <c r="D339" t="inlineStr">
        <is>
          <t>SKÅNE LÄN</t>
        </is>
      </c>
      <c r="E339" t="inlineStr">
        <is>
          <t>HÄSSLEHOLM</t>
        </is>
      </c>
      <c r="G339" t="n">
        <v>1.3</v>
      </c>
      <c r="H339" t="n">
        <v>0</v>
      </c>
      <c r="I339" t="n">
        <v>0</v>
      </c>
      <c r="J339" t="n">
        <v>0</v>
      </c>
      <c r="K339" t="n">
        <v>0</v>
      </c>
      <c r="L339" t="n">
        <v>0</v>
      </c>
      <c r="M339" t="n">
        <v>0</v>
      </c>
      <c r="N339" t="n">
        <v>0</v>
      </c>
      <c r="O339" t="n">
        <v>0</v>
      </c>
      <c r="P339" t="n">
        <v>0</v>
      </c>
      <c r="Q339" t="n">
        <v>0</v>
      </c>
      <c r="R339" s="2" t="inlineStr"/>
    </row>
    <row r="340" ht="15" customHeight="1">
      <c r="A340" t="inlineStr">
        <is>
          <t>A 23950-2023</t>
        </is>
      </c>
      <c r="B340" s="1" t="n">
        <v>45078.61771990741</v>
      </c>
      <c r="C340" s="1" t="n">
        <v>45999</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23952-2023</t>
        </is>
      </c>
      <c r="B341" s="1" t="n">
        <v>45078.62064814815</v>
      </c>
      <c r="C341" s="1" t="n">
        <v>45999</v>
      </c>
      <c r="D341" t="inlineStr">
        <is>
          <t>SKÅNE LÄN</t>
        </is>
      </c>
      <c r="E341" t="inlineStr">
        <is>
          <t>HÄSSLEHOLM</t>
        </is>
      </c>
      <c r="G341" t="n">
        <v>0.4</v>
      </c>
      <c r="H341" t="n">
        <v>0</v>
      </c>
      <c r="I341" t="n">
        <v>0</v>
      </c>
      <c r="J341" t="n">
        <v>0</v>
      </c>
      <c r="K341" t="n">
        <v>0</v>
      </c>
      <c r="L341" t="n">
        <v>0</v>
      </c>
      <c r="M341" t="n">
        <v>0</v>
      </c>
      <c r="N341" t="n">
        <v>0</v>
      </c>
      <c r="O341" t="n">
        <v>0</v>
      </c>
      <c r="P341" t="n">
        <v>0</v>
      </c>
      <c r="Q341" t="n">
        <v>0</v>
      </c>
      <c r="R341" s="2" t="inlineStr"/>
    </row>
    <row r="342" ht="15" customHeight="1">
      <c r="A342" t="inlineStr">
        <is>
          <t>A 22132-2024</t>
        </is>
      </c>
      <c r="B342" s="1" t="n">
        <v>45444.37234953704</v>
      </c>
      <c r="C342" s="1" t="n">
        <v>45999</v>
      </c>
      <c r="D342" t="inlineStr">
        <is>
          <t>SKÅNE LÄN</t>
        </is>
      </c>
      <c r="E342" t="inlineStr">
        <is>
          <t>HÄSSLEHOLM</t>
        </is>
      </c>
      <c r="G342" t="n">
        <v>3.1</v>
      </c>
      <c r="H342" t="n">
        <v>0</v>
      </c>
      <c r="I342" t="n">
        <v>0</v>
      </c>
      <c r="J342" t="n">
        <v>0</v>
      </c>
      <c r="K342" t="n">
        <v>0</v>
      </c>
      <c r="L342" t="n">
        <v>0</v>
      </c>
      <c r="M342" t="n">
        <v>0</v>
      </c>
      <c r="N342" t="n">
        <v>0</v>
      </c>
      <c r="O342" t="n">
        <v>0</v>
      </c>
      <c r="P342" t="n">
        <v>0</v>
      </c>
      <c r="Q342" t="n">
        <v>0</v>
      </c>
      <c r="R342" s="2" t="inlineStr"/>
    </row>
    <row r="343" ht="15" customHeight="1">
      <c r="A343" t="inlineStr">
        <is>
          <t>A 54171-2022</t>
        </is>
      </c>
      <c r="B343" s="1" t="n">
        <v>44881</v>
      </c>
      <c r="C343" s="1" t="n">
        <v>45999</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3245-2022</t>
        </is>
      </c>
      <c r="B344" s="1" t="n">
        <v>44583.39136574074</v>
      </c>
      <c r="C344" s="1" t="n">
        <v>45999</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2144-2023</t>
        </is>
      </c>
      <c r="B345" s="1" t="n">
        <v>44940.79054398148</v>
      </c>
      <c r="C345" s="1" t="n">
        <v>45999</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61680-2022</t>
        </is>
      </c>
      <c r="B346" s="1" t="n">
        <v>44917.36372685185</v>
      </c>
      <c r="C346" s="1" t="n">
        <v>45999</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16550-2025</t>
        </is>
      </c>
      <c r="B347" s="1" t="n">
        <v>45751.69412037037</v>
      </c>
      <c r="C347" s="1" t="n">
        <v>45999</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16285-2025</t>
        </is>
      </c>
      <c r="B348" s="1" t="n">
        <v>45751.30045138889</v>
      </c>
      <c r="C348" s="1" t="n">
        <v>45999</v>
      </c>
      <c r="D348" t="inlineStr">
        <is>
          <t>SKÅNE LÄN</t>
        </is>
      </c>
      <c r="E348" t="inlineStr">
        <is>
          <t>HÄSSLEHOLM</t>
        </is>
      </c>
      <c r="G348" t="n">
        <v>2</v>
      </c>
      <c r="H348" t="n">
        <v>0</v>
      </c>
      <c r="I348" t="n">
        <v>0</v>
      </c>
      <c r="J348" t="n">
        <v>0</v>
      </c>
      <c r="K348" t="n">
        <v>0</v>
      </c>
      <c r="L348" t="n">
        <v>0</v>
      </c>
      <c r="M348" t="n">
        <v>0</v>
      </c>
      <c r="N348" t="n">
        <v>0</v>
      </c>
      <c r="O348" t="n">
        <v>0</v>
      </c>
      <c r="P348" t="n">
        <v>0</v>
      </c>
      <c r="Q348" t="n">
        <v>0</v>
      </c>
      <c r="R348" s="2" t="inlineStr"/>
    </row>
    <row r="349" ht="15" customHeight="1">
      <c r="A349" t="inlineStr">
        <is>
          <t>A 31255-2024</t>
        </is>
      </c>
      <c r="B349" s="1" t="n">
        <v>45503.69114583333</v>
      </c>
      <c r="C349" s="1" t="n">
        <v>45999</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5780-2024</t>
        </is>
      </c>
      <c r="B350" s="1" t="n">
        <v>45335.41983796296</v>
      </c>
      <c r="C350" s="1" t="n">
        <v>45999</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4787-2023</t>
        </is>
      </c>
      <c r="B351" s="1" t="n">
        <v>44957.60079861111</v>
      </c>
      <c r="C351" s="1" t="n">
        <v>45999</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4788-2023</t>
        </is>
      </c>
      <c r="B352" s="1" t="n">
        <v>44957.60130787037</v>
      </c>
      <c r="C352" s="1" t="n">
        <v>45999</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32210-2024</t>
        </is>
      </c>
      <c r="B353" s="1" t="n">
        <v>45511.67777777778</v>
      </c>
      <c r="C353" s="1" t="n">
        <v>45999</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59431-2023</t>
        </is>
      </c>
      <c r="B354" s="1" t="n">
        <v>45254.29207175926</v>
      </c>
      <c r="C354" s="1" t="n">
        <v>45999</v>
      </c>
      <c r="D354" t="inlineStr">
        <is>
          <t>SKÅNE LÄN</t>
        </is>
      </c>
      <c r="E354" t="inlineStr">
        <is>
          <t>HÄSSLEHOLM</t>
        </is>
      </c>
      <c r="G354" t="n">
        <v>1.7</v>
      </c>
      <c r="H354" t="n">
        <v>0</v>
      </c>
      <c r="I354" t="n">
        <v>0</v>
      </c>
      <c r="J354" t="n">
        <v>0</v>
      </c>
      <c r="K354" t="n">
        <v>0</v>
      </c>
      <c r="L354" t="n">
        <v>0</v>
      </c>
      <c r="M354" t="n">
        <v>0</v>
      </c>
      <c r="N354" t="n">
        <v>0</v>
      </c>
      <c r="O354" t="n">
        <v>0</v>
      </c>
      <c r="P354" t="n">
        <v>0</v>
      </c>
      <c r="Q354" t="n">
        <v>0</v>
      </c>
      <c r="R354" s="2" t="inlineStr"/>
    </row>
    <row r="355" ht="15" customHeight="1">
      <c r="A355" t="inlineStr">
        <is>
          <t>A 59433-2023</t>
        </is>
      </c>
      <c r="B355" s="1" t="n">
        <v>45254.29768518519</v>
      </c>
      <c r="C355" s="1" t="n">
        <v>45999</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23864-2024</t>
        </is>
      </c>
      <c r="B356" s="1" t="n">
        <v>45455</v>
      </c>
      <c r="C356" s="1" t="n">
        <v>45999</v>
      </c>
      <c r="D356" t="inlineStr">
        <is>
          <t>SKÅNE LÄN</t>
        </is>
      </c>
      <c r="E356" t="inlineStr">
        <is>
          <t>HÄSSLEHOLM</t>
        </is>
      </c>
      <c r="G356" t="n">
        <v>6.2</v>
      </c>
      <c r="H356" t="n">
        <v>0</v>
      </c>
      <c r="I356" t="n">
        <v>0</v>
      </c>
      <c r="J356" t="n">
        <v>0</v>
      </c>
      <c r="K356" t="n">
        <v>0</v>
      </c>
      <c r="L356" t="n">
        <v>0</v>
      </c>
      <c r="M356" t="n">
        <v>0</v>
      </c>
      <c r="N356" t="n">
        <v>0</v>
      </c>
      <c r="O356" t="n">
        <v>0</v>
      </c>
      <c r="P356" t="n">
        <v>0</v>
      </c>
      <c r="Q356" t="n">
        <v>0</v>
      </c>
      <c r="R356" s="2" t="inlineStr"/>
    </row>
    <row r="357" ht="15" customHeight="1">
      <c r="A357" t="inlineStr">
        <is>
          <t>A 15897-2025</t>
        </is>
      </c>
      <c r="B357" s="1" t="n">
        <v>45749.41598379629</v>
      </c>
      <c r="C357" s="1" t="n">
        <v>45999</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61504-2022</t>
        </is>
      </c>
      <c r="B358" s="1" t="n">
        <v>44910</v>
      </c>
      <c r="C358" s="1" t="n">
        <v>45999</v>
      </c>
      <c r="D358" t="inlineStr">
        <is>
          <t>SKÅNE LÄN</t>
        </is>
      </c>
      <c r="E358" t="inlineStr">
        <is>
          <t>HÄSSLEHOLM</t>
        </is>
      </c>
      <c r="F358" t="inlineStr">
        <is>
          <t>Kyrkan</t>
        </is>
      </c>
      <c r="G358" t="n">
        <v>2.9</v>
      </c>
      <c r="H358" t="n">
        <v>0</v>
      </c>
      <c r="I358" t="n">
        <v>0</v>
      </c>
      <c r="J358" t="n">
        <v>0</v>
      </c>
      <c r="K358" t="n">
        <v>0</v>
      </c>
      <c r="L358" t="n">
        <v>0</v>
      </c>
      <c r="M358" t="n">
        <v>0</v>
      </c>
      <c r="N358" t="n">
        <v>0</v>
      </c>
      <c r="O358" t="n">
        <v>0</v>
      </c>
      <c r="P358" t="n">
        <v>0</v>
      </c>
      <c r="Q358" t="n">
        <v>0</v>
      </c>
      <c r="R358" s="2" t="inlineStr"/>
    </row>
    <row r="359" ht="15" customHeight="1">
      <c r="A359" t="inlineStr">
        <is>
          <t>A 54174-2022</t>
        </is>
      </c>
      <c r="B359" s="1" t="n">
        <v>44881</v>
      </c>
      <c r="C359" s="1" t="n">
        <v>45999</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52235-2021</t>
        </is>
      </c>
      <c r="B360" s="1" t="n">
        <v>44463.60085648148</v>
      </c>
      <c r="C360" s="1" t="n">
        <v>45999</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29275-2023</t>
        </is>
      </c>
      <c r="B361" s="1" t="n">
        <v>45105</v>
      </c>
      <c r="C361" s="1" t="n">
        <v>45999</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53302-2022</t>
        </is>
      </c>
      <c r="B362" s="1" t="n">
        <v>44877</v>
      </c>
      <c r="C362" s="1" t="n">
        <v>45999</v>
      </c>
      <c r="D362" t="inlineStr">
        <is>
          <t>SKÅNE LÄN</t>
        </is>
      </c>
      <c r="E362" t="inlineStr">
        <is>
          <t>HÄSSLEHOLM</t>
        </is>
      </c>
      <c r="G362" t="n">
        <v>0.1</v>
      </c>
      <c r="H362" t="n">
        <v>0</v>
      </c>
      <c r="I362" t="n">
        <v>0</v>
      </c>
      <c r="J362" t="n">
        <v>0</v>
      </c>
      <c r="K362" t="n">
        <v>0</v>
      </c>
      <c r="L362" t="n">
        <v>0</v>
      </c>
      <c r="M362" t="n">
        <v>0</v>
      </c>
      <c r="N362" t="n">
        <v>0</v>
      </c>
      <c r="O362" t="n">
        <v>0</v>
      </c>
      <c r="P362" t="n">
        <v>0</v>
      </c>
      <c r="Q362" t="n">
        <v>0</v>
      </c>
      <c r="R362" s="2" t="inlineStr"/>
    </row>
    <row r="363" ht="15" customHeight="1">
      <c r="A363" t="inlineStr">
        <is>
          <t>A 27502-2023</t>
        </is>
      </c>
      <c r="B363" s="1" t="n">
        <v>45092</v>
      </c>
      <c r="C363" s="1" t="n">
        <v>45999</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52642-2021</t>
        </is>
      </c>
      <c r="B364" s="1" t="n">
        <v>44466.64298611111</v>
      </c>
      <c r="C364" s="1" t="n">
        <v>45999</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29850-2024</t>
        </is>
      </c>
      <c r="B365" s="1" t="n">
        <v>45485.64620370371</v>
      </c>
      <c r="C365" s="1" t="n">
        <v>45999</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35711-2024</t>
        </is>
      </c>
      <c r="B366" s="1" t="n">
        <v>45532</v>
      </c>
      <c r="C366" s="1" t="n">
        <v>45999</v>
      </c>
      <c r="D366" t="inlineStr">
        <is>
          <t>SKÅNE LÄN</t>
        </is>
      </c>
      <c r="E366" t="inlineStr">
        <is>
          <t>HÄSSLEHOLM</t>
        </is>
      </c>
      <c r="G366" t="n">
        <v>1.4</v>
      </c>
      <c r="H366" t="n">
        <v>0</v>
      </c>
      <c r="I366" t="n">
        <v>0</v>
      </c>
      <c r="J366" t="n">
        <v>0</v>
      </c>
      <c r="K366" t="n">
        <v>0</v>
      </c>
      <c r="L366" t="n">
        <v>0</v>
      </c>
      <c r="M366" t="n">
        <v>0</v>
      </c>
      <c r="N366" t="n">
        <v>0</v>
      </c>
      <c r="O366" t="n">
        <v>0</v>
      </c>
      <c r="P366" t="n">
        <v>0</v>
      </c>
      <c r="Q366" t="n">
        <v>0</v>
      </c>
      <c r="R366" s="2" t="inlineStr"/>
    </row>
    <row r="367" ht="15" customHeight="1">
      <c r="A367" t="inlineStr">
        <is>
          <t>A 54473-2023</t>
        </is>
      </c>
      <c r="B367" s="1" t="n">
        <v>45233</v>
      </c>
      <c r="C367" s="1" t="n">
        <v>45999</v>
      </c>
      <c r="D367" t="inlineStr">
        <is>
          <t>SKÅNE LÄN</t>
        </is>
      </c>
      <c r="E367" t="inlineStr">
        <is>
          <t>HÄSSLEHOLM</t>
        </is>
      </c>
      <c r="G367" t="n">
        <v>24.5</v>
      </c>
      <c r="H367" t="n">
        <v>0</v>
      </c>
      <c r="I367" t="n">
        <v>0</v>
      </c>
      <c r="J367" t="n">
        <v>0</v>
      </c>
      <c r="K367" t="n">
        <v>0</v>
      </c>
      <c r="L367" t="n">
        <v>0</v>
      </c>
      <c r="M367" t="n">
        <v>0</v>
      </c>
      <c r="N367" t="n">
        <v>0</v>
      </c>
      <c r="O367" t="n">
        <v>0</v>
      </c>
      <c r="P367" t="n">
        <v>0</v>
      </c>
      <c r="Q367" t="n">
        <v>0</v>
      </c>
      <c r="R367" s="2" t="inlineStr"/>
    </row>
    <row r="368" ht="15" customHeight="1">
      <c r="A368" t="inlineStr">
        <is>
          <t>A 26641-2023</t>
        </is>
      </c>
      <c r="B368" s="1" t="n">
        <v>45092.89619212963</v>
      </c>
      <c r="C368" s="1" t="n">
        <v>45999</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62041-2022</t>
        </is>
      </c>
      <c r="B369" s="1" t="n">
        <v>44918.55743055556</v>
      </c>
      <c r="C369" s="1" t="n">
        <v>45999</v>
      </c>
      <c r="D369" t="inlineStr">
        <is>
          <t>SKÅNE LÄN</t>
        </is>
      </c>
      <c r="E369" t="inlineStr">
        <is>
          <t>HÄSSLEHOLM</t>
        </is>
      </c>
      <c r="G369" t="n">
        <v>2.8</v>
      </c>
      <c r="H369" t="n">
        <v>0</v>
      </c>
      <c r="I369" t="n">
        <v>0</v>
      </c>
      <c r="J369" t="n">
        <v>0</v>
      </c>
      <c r="K369" t="n">
        <v>0</v>
      </c>
      <c r="L369" t="n">
        <v>0</v>
      </c>
      <c r="M369" t="n">
        <v>0</v>
      </c>
      <c r="N369" t="n">
        <v>0</v>
      </c>
      <c r="O369" t="n">
        <v>0</v>
      </c>
      <c r="P369" t="n">
        <v>0</v>
      </c>
      <c r="Q369" t="n">
        <v>0</v>
      </c>
      <c r="R369" s="2" t="inlineStr"/>
    </row>
    <row r="370" ht="15" customHeight="1">
      <c r="A370" t="inlineStr">
        <is>
          <t>A 51752-2023</t>
        </is>
      </c>
      <c r="B370" s="1" t="n">
        <v>45222</v>
      </c>
      <c r="C370" s="1" t="n">
        <v>45999</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37141-2021</t>
        </is>
      </c>
      <c r="B371" s="1" t="n">
        <v>44396</v>
      </c>
      <c r="C371" s="1" t="n">
        <v>45999</v>
      </c>
      <c r="D371" t="inlineStr">
        <is>
          <t>SKÅNE LÄN</t>
        </is>
      </c>
      <c r="E371" t="inlineStr">
        <is>
          <t>HÄSSLEHOLM</t>
        </is>
      </c>
      <c r="G371" t="n">
        <v>12.8</v>
      </c>
      <c r="H371" t="n">
        <v>0</v>
      </c>
      <c r="I371" t="n">
        <v>0</v>
      </c>
      <c r="J371" t="n">
        <v>0</v>
      </c>
      <c r="K371" t="n">
        <v>0</v>
      </c>
      <c r="L371" t="n">
        <v>0</v>
      </c>
      <c r="M371" t="n">
        <v>0</v>
      </c>
      <c r="N371" t="n">
        <v>0</v>
      </c>
      <c r="O371" t="n">
        <v>0</v>
      </c>
      <c r="P371" t="n">
        <v>0</v>
      </c>
      <c r="Q371" t="n">
        <v>0</v>
      </c>
      <c r="R371" s="2" t="inlineStr"/>
    </row>
    <row r="372" ht="15" customHeight="1">
      <c r="A372" t="inlineStr">
        <is>
          <t>A 20800-2023</t>
        </is>
      </c>
      <c r="B372" s="1" t="n">
        <v>45058.61640046296</v>
      </c>
      <c r="C372" s="1" t="n">
        <v>45999</v>
      </c>
      <c r="D372" t="inlineStr">
        <is>
          <t>SKÅNE LÄN</t>
        </is>
      </c>
      <c r="E372" t="inlineStr">
        <is>
          <t>HÄSSLEHOLM</t>
        </is>
      </c>
      <c r="G372" t="n">
        <v>0.4</v>
      </c>
      <c r="H372" t="n">
        <v>0</v>
      </c>
      <c r="I372" t="n">
        <v>0</v>
      </c>
      <c r="J372" t="n">
        <v>0</v>
      </c>
      <c r="K372" t="n">
        <v>0</v>
      </c>
      <c r="L372" t="n">
        <v>0</v>
      </c>
      <c r="M372" t="n">
        <v>0</v>
      </c>
      <c r="N372" t="n">
        <v>0</v>
      </c>
      <c r="O372" t="n">
        <v>0</v>
      </c>
      <c r="P372" t="n">
        <v>0</v>
      </c>
      <c r="Q372" t="n">
        <v>0</v>
      </c>
      <c r="R372" s="2" t="inlineStr"/>
    </row>
    <row r="373" ht="15" customHeight="1">
      <c r="A373" t="inlineStr">
        <is>
          <t>A 55218-2023</t>
        </is>
      </c>
      <c r="B373" s="1" t="n">
        <v>45237</v>
      </c>
      <c r="C373" s="1" t="n">
        <v>45999</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49219-2024</t>
        </is>
      </c>
      <c r="B374" s="1" t="n">
        <v>45595.40923611111</v>
      </c>
      <c r="C374" s="1" t="n">
        <v>45999</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1119-2024</t>
        </is>
      </c>
      <c r="B375" s="1" t="n">
        <v>45302</v>
      </c>
      <c r="C375" s="1" t="n">
        <v>45999</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7152-2025</t>
        </is>
      </c>
      <c r="B376" s="1" t="n">
        <v>45702.3837037037</v>
      </c>
      <c r="C376" s="1" t="n">
        <v>45999</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7160-2025</t>
        </is>
      </c>
      <c r="B377" s="1" t="n">
        <v>45702.3875462963</v>
      </c>
      <c r="C377" s="1" t="n">
        <v>45999</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9393-2025</t>
        </is>
      </c>
      <c r="B378" s="1" t="n">
        <v>45715.36230324074</v>
      </c>
      <c r="C378" s="1" t="n">
        <v>45999</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14939-2023</t>
        </is>
      </c>
      <c r="B379" s="1" t="n">
        <v>45014</v>
      </c>
      <c r="C379" s="1" t="n">
        <v>45999</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11422-2025</t>
        </is>
      </c>
      <c r="B380" s="1" t="n">
        <v>45726</v>
      </c>
      <c r="C380" s="1" t="n">
        <v>45999</v>
      </c>
      <c r="D380" t="inlineStr">
        <is>
          <t>SKÅNE LÄN</t>
        </is>
      </c>
      <c r="E380" t="inlineStr">
        <is>
          <t>HÄSSLEHOLM</t>
        </is>
      </c>
      <c r="G380" t="n">
        <v>14.9</v>
      </c>
      <c r="H380" t="n">
        <v>0</v>
      </c>
      <c r="I380" t="n">
        <v>0</v>
      </c>
      <c r="J380" t="n">
        <v>0</v>
      </c>
      <c r="K380" t="n">
        <v>0</v>
      </c>
      <c r="L380" t="n">
        <v>0</v>
      </c>
      <c r="M380" t="n">
        <v>0</v>
      </c>
      <c r="N380" t="n">
        <v>0</v>
      </c>
      <c r="O380" t="n">
        <v>0</v>
      </c>
      <c r="P380" t="n">
        <v>0</v>
      </c>
      <c r="Q380" t="n">
        <v>0</v>
      </c>
      <c r="R380" s="2" t="inlineStr"/>
    </row>
    <row r="381" ht="15" customHeight="1">
      <c r="A381" t="inlineStr">
        <is>
          <t>A 15104-2023</t>
        </is>
      </c>
      <c r="B381" s="1" t="n">
        <v>45016.40576388889</v>
      </c>
      <c r="C381" s="1" t="n">
        <v>45999</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66321-2021</t>
        </is>
      </c>
      <c r="B382" s="1" t="n">
        <v>44518</v>
      </c>
      <c r="C382" s="1" t="n">
        <v>45999</v>
      </c>
      <c r="D382" t="inlineStr">
        <is>
          <t>SKÅNE LÄN</t>
        </is>
      </c>
      <c r="E382" t="inlineStr">
        <is>
          <t>HÄSSLEHOLM</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21494-2023</t>
        </is>
      </c>
      <c r="B383" s="1" t="n">
        <v>45063</v>
      </c>
      <c r="C383" s="1" t="n">
        <v>45999</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21495-2023</t>
        </is>
      </c>
      <c r="B384" s="1" t="n">
        <v>45063</v>
      </c>
      <c r="C384" s="1" t="n">
        <v>45999</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57277-2023</t>
        </is>
      </c>
      <c r="B385" s="1" t="n">
        <v>45245.59104166667</v>
      </c>
      <c r="C385" s="1" t="n">
        <v>45999</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40739-2024</t>
        </is>
      </c>
      <c r="B386" s="1" t="n">
        <v>45558</v>
      </c>
      <c r="C386" s="1" t="n">
        <v>45999</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9611-2025</t>
        </is>
      </c>
      <c r="B387" s="1" t="n">
        <v>45715</v>
      </c>
      <c r="C387" s="1" t="n">
        <v>45999</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5284-2023</t>
        </is>
      </c>
      <c r="B388" s="1" t="n">
        <v>44959.50608796296</v>
      </c>
      <c r="C388" s="1" t="n">
        <v>45999</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5285-2023</t>
        </is>
      </c>
      <c r="B389" s="1" t="n">
        <v>44959.50783564815</v>
      </c>
      <c r="C389" s="1" t="n">
        <v>45999</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57272-2023</t>
        </is>
      </c>
      <c r="B390" s="1" t="n">
        <v>45245</v>
      </c>
      <c r="C390" s="1" t="n">
        <v>45999</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64884-2023</t>
        </is>
      </c>
      <c r="B391" s="1" t="n">
        <v>45282.57809027778</v>
      </c>
      <c r="C391" s="1" t="n">
        <v>45999</v>
      </c>
      <c r="D391" t="inlineStr">
        <is>
          <t>SKÅNE LÄN</t>
        </is>
      </c>
      <c r="E391" t="inlineStr">
        <is>
          <t>HÄSSLEHOLM</t>
        </is>
      </c>
      <c r="G391" t="n">
        <v>4.6</v>
      </c>
      <c r="H391" t="n">
        <v>0</v>
      </c>
      <c r="I391" t="n">
        <v>0</v>
      </c>
      <c r="J391" t="n">
        <v>0</v>
      </c>
      <c r="K391" t="n">
        <v>0</v>
      </c>
      <c r="L391" t="n">
        <v>0</v>
      </c>
      <c r="M391" t="n">
        <v>0</v>
      </c>
      <c r="N391" t="n">
        <v>0</v>
      </c>
      <c r="O391" t="n">
        <v>0</v>
      </c>
      <c r="P391" t="n">
        <v>0</v>
      </c>
      <c r="Q391" t="n">
        <v>0</v>
      </c>
      <c r="R391" s="2" t="inlineStr"/>
    </row>
    <row r="392" ht="15" customHeight="1">
      <c r="A392" t="inlineStr">
        <is>
          <t>A 22140-2023</t>
        </is>
      </c>
      <c r="B392" s="1" t="n">
        <v>45065</v>
      </c>
      <c r="C392" s="1" t="n">
        <v>45999</v>
      </c>
      <c r="D392" t="inlineStr">
        <is>
          <t>SKÅNE LÄN</t>
        </is>
      </c>
      <c r="E392" t="inlineStr">
        <is>
          <t>HÄSSLEHOLM</t>
        </is>
      </c>
      <c r="G392" t="n">
        <v>6.7</v>
      </c>
      <c r="H392" t="n">
        <v>0</v>
      </c>
      <c r="I392" t="n">
        <v>0</v>
      </c>
      <c r="J392" t="n">
        <v>0</v>
      </c>
      <c r="K392" t="n">
        <v>0</v>
      </c>
      <c r="L392" t="n">
        <v>0</v>
      </c>
      <c r="M392" t="n">
        <v>0</v>
      </c>
      <c r="N392" t="n">
        <v>0</v>
      </c>
      <c r="O392" t="n">
        <v>0</v>
      </c>
      <c r="P392" t="n">
        <v>0</v>
      </c>
      <c r="Q392" t="n">
        <v>0</v>
      </c>
      <c r="R392" s="2" t="inlineStr"/>
    </row>
    <row r="393" ht="15" customHeight="1">
      <c r="A393" t="inlineStr">
        <is>
          <t>A 2479-2024</t>
        </is>
      </c>
      <c r="B393" s="1" t="n">
        <v>45313.40148148148</v>
      </c>
      <c r="C393" s="1" t="n">
        <v>45999</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31944-2023</t>
        </is>
      </c>
      <c r="B394" s="1" t="n">
        <v>45119.34895833334</v>
      </c>
      <c r="C394" s="1" t="n">
        <v>45999</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7890-2024</t>
        </is>
      </c>
      <c r="B395" s="1" t="n">
        <v>45350.40780092592</v>
      </c>
      <c r="C395" s="1" t="n">
        <v>45999</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31946-2023</t>
        </is>
      </c>
      <c r="B396" s="1" t="n">
        <v>45119.35158564815</v>
      </c>
      <c r="C396" s="1" t="n">
        <v>45999</v>
      </c>
      <c r="D396" t="inlineStr">
        <is>
          <t>SKÅNE LÄN</t>
        </is>
      </c>
      <c r="E396" t="inlineStr">
        <is>
          <t>HÄSSLEHOLM</t>
        </is>
      </c>
      <c r="G396" t="n">
        <v>0.3</v>
      </c>
      <c r="H396" t="n">
        <v>0</v>
      </c>
      <c r="I396" t="n">
        <v>0</v>
      </c>
      <c r="J396" t="n">
        <v>0</v>
      </c>
      <c r="K396" t="n">
        <v>0</v>
      </c>
      <c r="L396" t="n">
        <v>0</v>
      </c>
      <c r="M396" t="n">
        <v>0</v>
      </c>
      <c r="N396" t="n">
        <v>0</v>
      </c>
      <c r="O396" t="n">
        <v>0</v>
      </c>
      <c r="P396" t="n">
        <v>0</v>
      </c>
      <c r="Q396" t="n">
        <v>0</v>
      </c>
      <c r="R396" s="2" t="inlineStr"/>
    </row>
    <row r="397" ht="15" customHeight="1">
      <c r="A397" t="inlineStr">
        <is>
          <t>A 8755-2024</t>
        </is>
      </c>
      <c r="B397" s="1" t="n">
        <v>45356</v>
      </c>
      <c r="C397" s="1" t="n">
        <v>45999</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31160-2024</t>
        </is>
      </c>
      <c r="B398" s="1" t="n">
        <v>45503</v>
      </c>
      <c r="C398" s="1" t="n">
        <v>45999</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50664-2023</t>
        </is>
      </c>
      <c r="B399" s="1" t="n">
        <v>45217</v>
      </c>
      <c r="C399" s="1" t="n">
        <v>45999</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56490-2021</t>
        </is>
      </c>
      <c r="B400" s="1" t="n">
        <v>44480</v>
      </c>
      <c r="C400" s="1" t="n">
        <v>45999</v>
      </c>
      <c r="D400" t="inlineStr">
        <is>
          <t>SKÅNE LÄN</t>
        </is>
      </c>
      <c r="E400" t="inlineStr">
        <is>
          <t>HÄSSLEHOLM</t>
        </is>
      </c>
      <c r="F400" t="inlineStr">
        <is>
          <t>Kyrkan</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417-2022</t>
        </is>
      </c>
      <c r="B401" s="1" t="n">
        <v>44565.84615740741</v>
      </c>
      <c r="C401" s="1" t="n">
        <v>45999</v>
      </c>
      <c r="D401" t="inlineStr">
        <is>
          <t>SKÅNE LÄN</t>
        </is>
      </c>
      <c r="E401" t="inlineStr">
        <is>
          <t>HÄSSLEHOLM</t>
        </is>
      </c>
      <c r="G401" t="n">
        <v>0</v>
      </c>
      <c r="H401" t="n">
        <v>0</v>
      </c>
      <c r="I401" t="n">
        <v>0</v>
      </c>
      <c r="J401" t="n">
        <v>0</v>
      </c>
      <c r="K401" t="n">
        <v>0</v>
      </c>
      <c r="L401" t="n">
        <v>0</v>
      </c>
      <c r="M401" t="n">
        <v>0</v>
      </c>
      <c r="N401" t="n">
        <v>0</v>
      </c>
      <c r="O401" t="n">
        <v>0</v>
      </c>
      <c r="P401" t="n">
        <v>0</v>
      </c>
      <c r="Q401" t="n">
        <v>0</v>
      </c>
      <c r="R401" s="2" t="inlineStr"/>
    </row>
    <row r="402" ht="15" customHeight="1">
      <c r="A402" t="inlineStr">
        <is>
          <t>A 61934-2023</t>
        </is>
      </c>
      <c r="B402" s="1" t="n">
        <v>45266.54125</v>
      </c>
      <c r="C402" s="1" t="n">
        <v>45999</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41459-2022</t>
        </is>
      </c>
      <c r="B403" s="1" t="n">
        <v>44826.93372685185</v>
      </c>
      <c r="C403" s="1" t="n">
        <v>45999</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61178-2022</t>
        </is>
      </c>
      <c r="B404" s="1" t="n">
        <v>44915</v>
      </c>
      <c r="C404" s="1" t="n">
        <v>45999</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61185-2022</t>
        </is>
      </c>
      <c r="B405" s="1" t="n">
        <v>44915</v>
      </c>
      <c r="C405" s="1" t="n">
        <v>45999</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61691-2021</t>
        </is>
      </c>
      <c r="B406" s="1" t="n">
        <v>44501</v>
      </c>
      <c r="C406" s="1" t="n">
        <v>45999</v>
      </c>
      <c r="D406" t="inlineStr">
        <is>
          <t>SKÅNE LÄN</t>
        </is>
      </c>
      <c r="E406" t="inlineStr">
        <is>
          <t>HÄSSLEHOLM</t>
        </is>
      </c>
      <c r="G406" t="n">
        <v>0.9</v>
      </c>
      <c r="H406" t="n">
        <v>0</v>
      </c>
      <c r="I406" t="n">
        <v>0</v>
      </c>
      <c r="J406" t="n">
        <v>0</v>
      </c>
      <c r="K406" t="n">
        <v>0</v>
      </c>
      <c r="L406" t="n">
        <v>0</v>
      </c>
      <c r="M406" t="n">
        <v>0</v>
      </c>
      <c r="N406" t="n">
        <v>0</v>
      </c>
      <c r="O406" t="n">
        <v>0</v>
      </c>
      <c r="P406" t="n">
        <v>0</v>
      </c>
      <c r="Q406" t="n">
        <v>0</v>
      </c>
      <c r="R406" s="2" t="inlineStr"/>
    </row>
    <row r="407" ht="15" customHeight="1">
      <c r="A407" t="inlineStr">
        <is>
          <t>A 25221-2023</t>
        </is>
      </c>
      <c r="B407" s="1" t="n">
        <v>45086.60842592592</v>
      </c>
      <c r="C407" s="1" t="n">
        <v>45999</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59390-2021</t>
        </is>
      </c>
      <c r="B408" s="1" t="n">
        <v>44490</v>
      </c>
      <c r="C408" s="1" t="n">
        <v>45999</v>
      </c>
      <c r="D408" t="inlineStr">
        <is>
          <t>SKÅNE LÄN</t>
        </is>
      </c>
      <c r="E408" t="inlineStr">
        <is>
          <t>HÄSSLEHOLM</t>
        </is>
      </c>
      <c r="G408" t="n">
        <v>7.1</v>
      </c>
      <c r="H408" t="n">
        <v>0</v>
      </c>
      <c r="I408" t="n">
        <v>0</v>
      </c>
      <c r="J408" t="n">
        <v>0</v>
      </c>
      <c r="K408" t="n">
        <v>0</v>
      </c>
      <c r="L408" t="n">
        <v>0</v>
      </c>
      <c r="M408" t="n">
        <v>0</v>
      </c>
      <c r="N408" t="n">
        <v>0</v>
      </c>
      <c r="O408" t="n">
        <v>0</v>
      </c>
      <c r="P408" t="n">
        <v>0</v>
      </c>
      <c r="Q408" t="n">
        <v>0</v>
      </c>
      <c r="R408" s="2" t="inlineStr"/>
    </row>
    <row r="409" ht="15" customHeight="1">
      <c r="A409" t="inlineStr">
        <is>
          <t>A 19151-2023</t>
        </is>
      </c>
      <c r="B409" s="1" t="n">
        <v>45044</v>
      </c>
      <c r="C409" s="1" t="n">
        <v>45999</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54658-2023</t>
        </is>
      </c>
      <c r="B410" s="1" t="n">
        <v>45235</v>
      </c>
      <c r="C410" s="1" t="n">
        <v>45999</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50564-2023</t>
        </is>
      </c>
      <c r="B411" s="1" t="n">
        <v>45217.37957175926</v>
      </c>
      <c r="C411" s="1" t="n">
        <v>45999</v>
      </c>
      <c r="D411" t="inlineStr">
        <is>
          <t>SKÅNE LÄN</t>
        </is>
      </c>
      <c r="E411" t="inlineStr">
        <is>
          <t>HÄSSLEHOLM</t>
        </is>
      </c>
      <c r="G411" t="n">
        <v>1.2</v>
      </c>
      <c r="H411" t="n">
        <v>0</v>
      </c>
      <c r="I411" t="n">
        <v>0</v>
      </c>
      <c r="J411" t="n">
        <v>0</v>
      </c>
      <c r="K411" t="n">
        <v>0</v>
      </c>
      <c r="L411" t="n">
        <v>0</v>
      </c>
      <c r="M411" t="n">
        <v>0</v>
      </c>
      <c r="N411" t="n">
        <v>0</v>
      </c>
      <c r="O411" t="n">
        <v>0</v>
      </c>
      <c r="P411" t="n">
        <v>0</v>
      </c>
      <c r="Q411" t="n">
        <v>0</v>
      </c>
      <c r="R411" s="2" t="inlineStr"/>
    </row>
    <row r="412" ht="15" customHeight="1">
      <c r="A412" t="inlineStr">
        <is>
          <t>A 42370-2023</t>
        </is>
      </c>
      <c r="B412" s="1" t="n">
        <v>45180</v>
      </c>
      <c r="C412" s="1" t="n">
        <v>45999</v>
      </c>
      <c r="D412" t="inlineStr">
        <is>
          <t>SKÅNE LÄN</t>
        </is>
      </c>
      <c r="E412" t="inlineStr">
        <is>
          <t>HÄSSLEHOLM</t>
        </is>
      </c>
      <c r="G412" t="n">
        <v>2.6</v>
      </c>
      <c r="H412" t="n">
        <v>0</v>
      </c>
      <c r="I412" t="n">
        <v>0</v>
      </c>
      <c r="J412" t="n">
        <v>0</v>
      </c>
      <c r="K412" t="n">
        <v>0</v>
      </c>
      <c r="L412" t="n">
        <v>0</v>
      </c>
      <c r="M412" t="n">
        <v>0</v>
      </c>
      <c r="N412" t="n">
        <v>0</v>
      </c>
      <c r="O412" t="n">
        <v>0</v>
      </c>
      <c r="P412" t="n">
        <v>0</v>
      </c>
      <c r="Q412" t="n">
        <v>0</v>
      </c>
      <c r="R412" s="2" t="inlineStr"/>
    </row>
    <row r="413" ht="15" customHeight="1">
      <c r="A413" t="inlineStr">
        <is>
          <t>A 15133-2023</t>
        </is>
      </c>
      <c r="B413" s="1" t="n">
        <v>45016</v>
      </c>
      <c r="C413" s="1" t="n">
        <v>45999</v>
      </c>
      <c r="D413" t="inlineStr">
        <is>
          <t>SKÅNE LÄN</t>
        </is>
      </c>
      <c r="E413" t="inlineStr">
        <is>
          <t>HÄSSLEHOLM</t>
        </is>
      </c>
      <c r="G413" t="n">
        <v>7.8</v>
      </c>
      <c r="H413" t="n">
        <v>0</v>
      </c>
      <c r="I413" t="n">
        <v>0</v>
      </c>
      <c r="J413" t="n">
        <v>0</v>
      </c>
      <c r="K413" t="n">
        <v>0</v>
      </c>
      <c r="L413" t="n">
        <v>0</v>
      </c>
      <c r="M413" t="n">
        <v>0</v>
      </c>
      <c r="N413" t="n">
        <v>0</v>
      </c>
      <c r="O413" t="n">
        <v>0</v>
      </c>
      <c r="P413" t="n">
        <v>0</v>
      </c>
      <c r="Q413" t="n">
        <v>0</v>
      </c>
      <c r="R413" s="2" t="inlineStr"/>
    </row>
    <row r="414" ht="15" customHeight="1">
      <c r="A414" t="inlineStr">
        <is>
          <t>A 16951-2025</t>
        </is>
      </c>
      <c r="B414" s="1" t="n">
        <v>45755</v>
      </c>
      <c r="C414" s="1" t="n">
        <v>45999</v>
      </c>
      <c r="D414" t="inlineStr">
        <is>
          <t>SKÅNE LÄN</t>
        </is>
      </c>
      <c r="E414" t="inlineStr">
        <is>
          <t>HÄSSLEHOLM</t>
        </is>
      </c>
      <c r="G414" t="n">
        <v>0.6</v>
      </c>
      <c r="H414" t="n">
        <v>0</v>
      </c>
      <c r="I414" t="n">
        <v>0</v>
      </c>
      <c r="J414" t="n">
        <v>0</v>
      </c>
      <c r="K414" t="n">
        <v>0</v>
      </c>
      <c r="L414" t="n">
        <v>0</v>
      </c>
      <c r="M414" t="n">
        <v>0</v>
      </c>
      <c r="N414" t="n">
        <v>0</v>
      </c>
      <c r="O414" t="n">
        <v>0</v>
      </c>
      <c r="P414" t="n">
        <v>0</v>
      </c>
      <c r="Q414" t="n">
        <v>0</v>
      </c>
      <c r="R414" s="2" t="inlineStr"/>
    </row>
    <row r="415" ht="15" customHeight="1">
      <c r="A415" t="inlineStr">
        <is>
          <t>A 15053-2023</t>
        </is>
      </c>
      <c r="B415" s="1" t="n">
        <v>45015</v>
      </c>
      <c r="C415" s="1" t="n">
        <v>45999</v>
      </c>
      <c r="D415" t="inlineStr">
        <is>
          <t>SKÅNE LÄN</t>
        </is>
      </c>
      <c r="E415" t="inlineStr">
        <is>
          <t>HÄSSLEHOLM</t>
        </is>
      </c>
      <c r="G415" t="n">
        <v>1</v>
      </c>
      <c r="H415" t="n">
        <v>0</v>
      </c>
      <c r="I415" t="n">
        <v>0</v>
      </c>
      <c r="J415" t="n">
        <v>0</v>
      </c>
      <c r="K415" t="n">
        <v>0</v>
      </c>
      <c r="L415" t="n">
        <v>0</v>
      </c>
      <c r="M415" t="n">
        <v>0</v>
      </c>
      <c r="N415" t="n">
        <v>0</v>
      </c>
      <c r="O415" t="n">
        <v>0</v>
      </c>
      <c r="P415" t="n">
        <v>0</v>
      </c>
      <c r="Q415" t="n">
        <v>0</v>
      </c>
      <c r="R415" s="2" t="inlineStr"/>
    </row>
    <row r="416" ht="15" customHeight="1">
      <c r="A416" t="inlineStr">
        <is>
          <t>A 18063-2023</t>
        </is>
      </c>
      <c r="B416" s="1" t="n">
        <v>45040.62850694444</v>
      </c>
      <c r="C416" s="1" t="n">
        <v>45999</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23857-2024</t>
        </is>
      </c>
      <c r="B417" s="1" t="n">
        <v>45455</v>
      </c>
      <c r="C417" s="1" t="n">
        <v>45999</v>
      </c>
      <c r="D417" t="inlineStr">
        <is>
          <t>SKÅNE LÄN</t>
        </is>
      </c>
      <c r="E417" t="inlineStr">
        <is>
          <t>HÄSSLEHOLM</t>
        </is>
      </c>
      <c r="G417" t="n">
        <v>3</v>
      </c>
      <c r="H417" t="n">
        <v>0</v>
      </c>
      <c r="I417" t="n">
        <v>0</v>
      </c>
      <c r="J417" t="n">
        <v>0</v>
      </c>
      <c r="K417" t="n">
        <v>0</v>
      </c>
      <c r="L417" t="n">
        <v>0</v>
      </c>
      <c r="M417" t="n">
        <v>0</v>
      </c>
      <c r="N417" t="n">
        <v>0</v>
      </c>
      <c r="O417" t="n">
        <v>0</v>
      </c>
      <c r="P417" t="n">
        <v>0</v>
      </c>
      <c r="Q417" t="n">
        <v>0</v>
      </c>
      <c r="R417" s="2" t="inlineStr"/>
    </row>
    <row r="418" ht="15" customHeight="1">
      <c r="A418" t="inlineStr">
        <is>
          <t>A 35644-2023</t>
        </is>
      </c>
      <c r="B418" s="1" t="n">
        <v>45147</v>
      </c>
      <c r="C418" s="1" t="n">
        <v>45999</v>
      </c>
      <c r="D418" t="inlineStr">
        <is>
          <t>SKÅNE LÄN</t>
        </is>
      </c>
      <c r="E418" t="inlineStr">
        <is>
          <t>HÄSSLEHOLM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14674-2025</t>
        </is>
      </c>
      <c r="B419" s="1" t="n">
        <v>45742.55548611111</v>
      </c>
      <c r="C419" s="1" t="n">
        <v>45999</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46185-2022</t>
        </is>
      </c>
      <c r="B420" s="1" t="n">
        <v>44847</v>
      </c>
      <c r="C420" s="1" t="n">
        <v>45999</v>
      </c>
      <c r="D420" t="inlineStr">
        <is>
          <t>SKÅNE LÄN</t>
        </is>
      </c>
      <c r="E420" t="inlineStr">
        <is>
          <t>HÄSSLEHOLM</t>
        </is>
      </c>
      <c r="G420" t="n">
        <v>16.8</v>
      </c>
      <c r="H420" t="n">
        <v>0</v>
      </c>
      <c r="I420" t="n">
        <v>0</v>
      </c>
      <c r="J420" t="n">
        <v>0</v>
      </c>
      <c r="K420" t="n">
        <v>0</v>
      </c>
      <c r="L420" t="n">
        <v>0</v>
      </c>
      <c r="M420" t="n">
        <v>0</v>
      </c>
      <c r="N420" t="n">
        <v>0</v>
      </c>
      <c r="O420" t="n">
        <v>0</v>
      </c>
      <c r="P420" t="n">
        <v>0</v>
      </c>
      <c r="Q420" t="n">
        <v>0</v>
      </c>
      <c r="R420" s="2" t="inlineStr"/>
    </row>
    <row r="421" ht="15" customHeight="1">
      <c r="A421" t="inlineStr">
        <is>
          <t>A 8433-2024</t>
        </is>
      </c>
      <c r="B421" s="1" t="n">
        <v>45353.48434027778</v>
      </c>
      <c r="C421" s="1" t="n">
        <v>45999</v>
      </c>
      <c r="D421" t="inlineStr">
        <is>
          <t>SKÅNE LÄN</t>
        </is>
      </c>
      <c r="E421" t="inlineStr">
        <is>
          <t>HÄSSLEHOLM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54777-2022</t>
        </is>
      </c>
      <c r="B422" s="1" t="n">
        <v>44883</v>
      </c>
      <c r="C422" s="1" t="n">
        <v>45999</v>
      </c>
      <c r="D422" t="inlineStr">
        <is>
          <t>SKÅNE LÄN</t>
        </is>
      </c>
      <c r="E422" t="inlineStr">
        <is>
          <t>HÄSSLEHOLM</t>
        </is>
      </c>
      <c r="G422" t="n">
        <v>1.7</v>
      </c>
      <c r="H422" t="n">
        <v>0</v>
      </c>
      <c r="I422" t="n">
        <v>0</v>
      </c>
      <c r="J422" t="n">
        <v>0</v>
      </c>
      <c r="K422" t="n">
        <v>0</v>
      </c>
      <c r="L422" t="n">
        <v>0</v>
      </c>
      <c r="M422" t="n">
        <v>0</v>
      </c>
      <c r="N422" t="n">
        <v>0</v>
      </c>
      <c r="O422" t="n">
        <v>0</v>
      </c>
      <c r="P422" t="n">
        <v>0</v>
      </c>
      <c r="Q422" t="n">
        <v>0</v>
      </c>
      <c r="R422" s="2" t="inlineStr"/>
    </row>
    <row r="423" ht="15" customHeight="1">
      <c r="A423" t="inlineStr">
        <is>
          <t>A 62055-2023</t>
        </is>
      </c>
      <c r="B423" s="1" t="n">
        <v>45266.70287037037</v>
      </c>
      <c r="C423" s="1" t="n">
        <v>45999</v>
      </c>
      <c r="D423" t="inlineStr">
        <is>
          <t>SKÅNE LÄN</t>
        </is>
      </c>
      <c r="E423" t="inlineStr">
        <is>
          <t>HÄSSLEHOLM</t>
        </is>
      </c>
      <c r="G423" t="n">
        <v>5.2</v>
      </c>
      <c r="H423" t="n">
        <v>0</v>
      </c>
      <c r="I423" t="n">
        <v>0</v>
      </c>
      <c r="J423" t="n">
        <v>0</v>
      </c>
      <c r="K423" t="n">
        <v>0</v>
      </c>
      <c r="L423" t="n">
        <v>0</v>
      </c>
      <c r="M423" t="n">
        <v>0</v>
      </c>
      <c r="N423" t="n">
        <v>0</v>
      </c>
      <c r="O423" t="n">
        <v>0</v>
      </c>
      <c r="P423" t="n">
        <v>0</v>
      </c>
      <c r="Q423" t="n">
        <v>0</v>
      </c>
      <c r="R423" s="2" t="inlineStr"/>
    </row>
    <row r="424" ht="15" customHeight="1">
      <c r="A424" t="inlineStr">
        <is>
          <t>A 23683-2023</t>
        </is>
      </c>
      <c r="B424" s="1" t="n">
        <v>45077</v>
      </c>
      <c r="C424" s="1" t="n">
        <v>45999</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23955-2023</t>
        </is>
      </c>
      <c r="B425" s="1" t="n">
        <v>45078.62217592593</v>
      </c>
      <c r="C425" s="1" t="n">
        <v>45999</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13555-2025</t>
        </is>
      </c>
      <c r="B426" s="1" t="n">
        <v>45736</v>
      </c>
      <c r="C426" s="1" t="n">
        <v>45999</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28632-2024</t>
        </is>
      </c>
      <c r="B427" s="1" t="n">
        <v>45478</v>
      </c>
      <c r="C427" s="1" t="n">
        <v>45999</v>
      </c>
      <c r="D427" t="inlineStr">
        <is>
          <t>SKÅNE LÄN</t>
        </is>
      </c>
      <c r="E427" t="inlineStr">
        <is>
          <t>HÄSSLEHOLM</t>
        </is>
      </c>
      <c r="G427" t="n">
        <v>4</v>
      </c>
      <c r="H427" t="n">
        <v>0</v>
      </c>
      <c r="I427" t="n">
        <v>0</v>
      </c>
      <c r="J427" t="n">
        <v>0</v>
      </c>
      <c r="K427" t="n">
        <v>0</v>
      </c>
      <c r="L427" t="n">
        <v>0</v>
      </c>
      <c r="M427" t="n">
        <v>0</v>
      </c>
      <c r="N427" t="n">
        <v>0</v>
      </c>
      <c r="O427" t="n">
        <v>0</v>
      </c>
      <c r="P427" t="n">
        <v>0</v>
      </c>
      <c r="Q427" t="n">
        <v>0</v>
      </c>
      <c r="R427" s="2" t="inlineStr"/>
    </row>
    <row r="428" ht="15" customHeight="1">
      <c r="A428" t="inlineStr">
        <is>
          <t>A 23860-2024</t>
        </is>
      </c>
      <c r="B428" s="1" t="n">
        <v>45455</v>
      </c>
      <c r="C428" s="1" t="n">
        <v>45999</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524-2024</t>
        </is>
      </c>
      <c r="B429" s="1" t="n">
        <v>45299</v>
      </c>
      <c r="C429" s="1" t="n">
        <v>45999</v>
      </c>
      <c r="D429" t="inlineStr">
        <is>
          <t>SKÅNE LÄN</t>
        </is>
      </c>
      <c r="E429" t="inlineStr">
        <is>
          <t>HÄSSLEHOLM</t>
        </is>
      </c>
      <c r="G429" t="n">
        <v>29.4</v>
      </c>
      <c r="H429" t="n">
        <v>0</v>
      </c>
      <c r="I429" t="n">
        <v>0</v>
      </c>
      <c r="J429" t="n">
        <v>0</v>
      </c>
      <c r="K429" t="n">
        <v>0</v>
      </c>
      <c r="L429" t="n">
        <v>0</v>
      </c>
      <c r="M429" t="n">
        <v>0</v>
      </c>
      <c r="N429" t="n">
        <v>0</v>
      </c>
      <c r="O429" t="n">
        <v>0</v>
      </c>
      <c r="P429" t="n">
        <v>0</v>
      </c>
      <c r="Q429" t="n">
        <v>0</v>
      </c>
      <c r="R429" s="2" t="inlineStr"/>
    </row>
    <row r="430" ht="15" customHeight="1">
      <c r="A430" t="inlineStr">
        <is>
          <t>A 7262-2022</t>
        </is>
      </c>
      <c r="B430" s="1" t="n">
        <v>44606</v>
      </c>
      <c r="C430" s="1" t="n">
        <v>45999</v>
      </c>
      <c r="D430" t="inlineStr">
        <is>
          <t>SKÅNE LÄN</t>
        </is>
      </c>
      <c r="E430" t="inlineStr">
        <is>
          <t>HÄSSLEHOLM</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35712-2024</t>
        </is>
      </c>
      <c r="B431" s="1" t="n">
        <v>45532</v>
      </c>
      <c r="C431" s="1" t="n">
        <v>45999</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54518-2022</t>
        </is>
      </c>
      <c r="B432" s="1" t="n">
        <v>44882</v>
      </c>
      <c r="C432" s="1" t="n">
        <v>45999</v>
      </c>
      <c r="D432" t="inlineStr">
        <is>
          <t>SKÅNE LÄN</t>
        </is>
      </c>
      <c r="E432" t="inlineStr">
        <is>
          <t>HÄSSLEHOLM</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7094-2023</t>
        </is>
      </c>
      <c r="B433" s="1" t="n">
        <v>44970.36958333333</v>
      </c>
      <c r="C433" s="1" t="n">
        <v>45999</v>
      </c>
      <c r="D433" t="inlineStr">
        <is>
          <t>SKÅNE LÄN</t>
        </is>
      </c>
      <c r="E433" t="inlineStr">
        <is>
          <t>HÄSSLEHOLM</t>
        </is>
      </c>
      <c r="G433" t="n">
        <v>3.6</v>
      </c>
      <c r="H433" t="n">
        <v>0</v>
      </c>
      <c r="I433" t="n">
        <v>0</v>
      </c>
      <c r="J433" t="n">
        <v>0</v>
      </c>
      <c r="K433" t="n">
        <v>0</v>
      </c>
      <c r="L433" t="n">
        <v>0</v>
      </c>
      <c r="M433" t="n">
        <v>0</v>
      </c>
      <c r="N433" t="n">
        <v>0</v>
      </c>
      <c r="O433" t="n">
        <v>0</v>
      </c>
      <c r="P433" t="n">
        <v>0</v>
      </c>
      <c r="Q433" t="n">
        <v>0</v>
      </c>
      <c r="R433" s="2" t="inlineStr"/>
    </row>
    <row r="434" ht="15" customHeight="1">
      <c r="A434" t="inlineStr">
        <is>
          <t>A 45399-2022</t>
        </is>
      </c>
      <c r="B434" s="1" t="n">
        <v>44844.70513888889</v>
      </c>
      <c r="C434" s="1" t="n">
        <v>45999</v>
      </c>
      <c r="D434" t="inlineStr">
        <is>
          <t>SKÅNE LÄN</t>
        </is>
      </c>
      <c r="E434" t="inlineStr">
        <is>
          <t>HÄSSLEHOLM</t>
        </is>
      </c>
      <c r="G434" t="n">
        <v>0</v>
      </c>
      <c r="H434" t="n">
        <v>0</v>
      </c>
      <c r="I434" t="n">
        <v>0</v>
      </c>
      <c r="J434" t="n">
        <v>0</v>
      </c>
      <c r="K434" t="n">
        <v>0</v>
      </c>
      <c r="L434" t="n">
        <v>0</v>
      </c>
      <c r="M434" t="n">
        <v>0</v>
      </c>
      <c r="N434" t="n">
        <v>0</v>
      </c>
      <c r="O434" t="n">
        <v>0</v>
      </c>
      <c r="P434" t="n">
        <v>0</v>
      </c>
      <c r="Q434" t="n">
        <v>0</v>
      </c>
      <c r="R434" s="2" t="inlineStr"/>
    </row>
    <row r="435" ht="15" customHeight="1">
      <c r="A435" t="inlineStr">
        <is>
          <t>A 33466-2024</t>
        </is>
      </c>
      <c r="B435" s="1" t="n">
        <v>45519</v>
      </c>
      <c r="C435" s="1" t="n">
        <v>45999</v>
      </c>
      <c r="D435" t="inlineStr">
        <is>
          <t>SKÅNE LÄN</t>
        </is>
      </c>
      <c r="E435" t="inlineStr">
        <is>
          <t>HÄSSLEHOLM</t>
        </is>
      </c>
      <c r="G435" t="n">
        <v>0.4</v>
      </c>
      <c r="H435" t="n">
        <v>0</v>
      </c>
      <c r="I435" t="n">
        <v>0</v>
      </c>
      <c r="J435" t="n">
        <v>0</v>
      </c>
      <c r="K435" t="n">
        <v>0</v>
      </c>
      <c r="L435" t="n">
        <v>0</v>
      </c>
      <c r="M435" t="n">
        <v>0</v>
      </c>
      <c r="N435" t="n">
        <v>0</v>
      </c>
      <c r="O435" t="n">
        <v>0</v>
      </c>
      <c r="P435" t="n">
        <v>0</v>
      </c>
      <c r="Q435" t="n">
        <v>0</v>
      </c>
      <c r="R435" s="2" t="inlineStr"/>
    </row>
    <row r="436" ht="15" customHeight="1">
      <c r="A436" t="inlineStr">
        <is>
          <t>A 26397-2023</t>
        </is>
      </c>
      <c r="B436" s="1" t="n">
        <v>45087</v>
      </c>
      <c r="C436" s="1" t="n">
        <v>45999</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27175-2024</t>
        </is>
      </c>
      <c r="B437" s="1" t="n">
        <v>45471.57111111111</v>
      </c>
      <c r="C437" s="1" t="n">
        <v>45999</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3500-2024</t>
        </is>
      </c>
      <c r="B438" s="1" t="n">
        <v>45320</v>
      </c>
      <c r="C438" s="1" t="n">
        <v>45999</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1197-2024</t>
        </is>
      </c>
      <c r="B439" s="1" t="n">
        <v>45302</v>
      </c>
      <c r="C439" s="1" t="n">
        <v>45999</v>
      </c>
      <c r="D439" t="inlineStr">
        <is>
          <t>SKÅNE LÄN</t>
        </is>
      </c>
      <c r="E439" t="inlineStr">
        <is>
          <t>HÄSSLEHOLM</t>
        </is>
      </c>
      <c r="G439" t="n">
        <v>1.7</v>
      </c>
      <c r="H439" t="n">
        <v>0</v>
      </c>
      <c r="I439" t="n">
        <v>0</v>
      </c>
      <c r="J439" t="n">
        <v>0</v>
      </c>
      <c r="K439" t="n">
        <v>0</v>
      </c>
      <c r="L439" t="n">
        <v>0</v>
      </c>
      <c r="M439" t="n">
        <v>0</v>
      </c>
      <c r="N439" t="n">
        <v>0</v>
      </c>
      <c r="O439" t="n">
        <v>0</v>
      </c>
      <c r="P439" t="n">
        <v>0</v>
      </c>
      <c r="Q439" t="n">
        <v>0</v>
      </c>
      <c r="R439" s="2" t="inlineStr"/>
    </row>
    <row r="440" ht="15" customHeight="1">
      <c r="A440" t="inlineStr">
        <is>
          <t>A 48097-2024</t>
        </is>
      </c>
      <c r="B440" s="1" t="n">
        <v>45589.61413194444</v>
      </c>
      <c r="C440" s="1" t="n">
        <v>45999</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53077-2022</t>
        </is>
      </c>
      <c r="B441" s="1" t="n">
        <v>44873</v>
      </c>
      <c r="C441" s="1" t="n">
        <v>45999</v>
      </c>
      <c r="D441" t="inlineStr">
        <is>
          <t>SKÅNE LÄN</t>
        </is>
      </c>
      <c r="E441" t="inlineStr">
        <is>
          <t>HÄSSLEHOLM</t>
        </is>
      </c>
      <c r="G441" t="n">
        <v>3</v>
      </c>
      <c r="H441" t="n">
        <v>0</v>
      </c>
      <c r="I441" t="n">
        <v>0</v>
      </c>
      <c r="J441" t="n">
        <v>0</v>
      </c>
      <c r="K441" t="n">
        <v>0</v>
      </c>
      <c r="L441" t="n">
        <v>0</v>
      </c>
      <c r="M441" t="n">
        <v>0</v>
      </c>
      <c r="N441" t="n">
        <v>0</v>
      </c>
      <c r="O441" t="n">
        <v>0</v>
      </c>
      <c r="P441" t="n">
        <v>0</v>
      </c>
      <c r="Q441" t="n">
        <v>0</v>
      </c>
      <c r="R441" s="2" t="inlineStr"/>
    </row>
    <row r="442" ht="15" customHeight="1">
      <c r="A442" t="inlineStr">
        <is>
          <t>A 11266-2025</t>
        </is>
      </c>
      <c r="B442" s="1" t="n">
        <v>45726</v>
      </c>
      <c r="C442" s="1" t="n">
        <v>45999</v>
      </c>
      <c r="D442" t="inlineStr">
        <is>
          <t>SKÅNE LÄN</t>
        </is>
      </c>
      <c r="E442" t="inlineStr">
        <is>
          <t>HÄSSLEHOLM</t>
        </is>
      </c>
      <c r="G442" t="n">
        <v>0.3</v>
      </c>
      <c r="H442" t="n">
        <v>0</v>
      </c>
      <c r="I442" t="n">
        <v>0</v>
      </c>
      <c r="J442" t="n">
        <v>0</v>
      </c>
      <c r="K442" t="n">
        <v>0</v>
      </c>
      <c r="L442" t="n">
        <v>0</v>
      </c>
      <c r="M442" t="n">
        <v>0</v>
      </c>
      <c r="N442" t="n">
        <v>0</v>
      </c>
      <c r="O442" t="n">
        <v>0</v>
      </c>
      <c r="P442" t="n">
        <v>0</v>
      </c>
      <c r="Q442" t="n">
        <v>0</v>
      </c>
      <c r="R442" s="2" t="inlineStr"/>
    </row>
    <row r="443" ht="15" customHeight="1">
      <c r="A443" t="inlineStr">
        <is>
          <t>A 27991-2024</t>
        </is>
      </c>
      <c r="B443" s="1" t="n">
        <v>45476</v>
      </c>
      <c r="C443" s="1" t="n">
        <v>45999</v>
      </c>
      <c r="D443" t="inlineStr">
        <is>
          <t>SKÅNE LÄN</t>
        </is>
      </c>
      <c r="E443" t="inlineStr">
        <is>
          <t>HÄSSLEHOLM</t>
        </is>
      </c>
      <c r="G443" t="n">
        <v>5.8</v>
      </c>
      <c r="H443" t="n">
        <v>0</v>
      </c>
      <c r="I443" t="n">
        <v>0</v>
      </c>
      <c r="J443" t="n">
        <v>0</v>
      </c>
      <c r="K443" t="n">
        <v>0</v>
      </c>
      <c r="L443" t="n">
        <v>0</v>
      </c>
      <c r="M443" t="n">
        <v>0</v>
      </c>
      <c r="N443" t="n">
        <v>0</v>
      </c>
      <c r="O443" t="n">
        <v>0</v>
      </c>
      <c r="P443" t="n">
        <v>0</v>
      </c>
      <c r="Q443" t="n">
        <v>0</v>
      </c>
      <c r="R443" s="2" t="inlineStr"/>
    </row>
    <row r="444" ht="15" customHeight="1">
      <c r="A444" t="inlineStr">
        <is>
          <t>A 49950-2023</t>
        </is>
      </c>
      <c r="B444" s="1" t="n">
        <v>45215</v>
      </c>
      <c r="C444" s="1" t="n">
        <v>45999</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49379-2021</t>
        </is>
      </c>
      <c r="B445" s="1" t="n">
        <v>44454</v>
      </c>
      <c r="C445" s="1" t="n">
        <v>45999</v>
      </c>
      <c r="D445" t="inlineStr">
        <is>
          <t>SKÅNE LÄN</t>
        </is>
      </c>
      <c r="E445" t="inlineStr">
        <is>
          <t>HÄSSLEHOLM</t>
        </is>
      </c>
      <c r="G445" t="n">
        <v>1.4</v>
      </c>
      <c r="H445" t="n">
        <v>0</v>
      </c>
      <c r="I445" t="n">
        <v>0</v>
      </c>
      <c r="J445" t="n">
        <v>0</v>
      </c>
      <c r="K445" t="n">
        <v>0</v>
      </c>
      <c r="L445" t="n">
        <v>0</v>
      </c>
      <c r="M445" t="n">
        <v>0</v>
      </c>
      <c r="N445" t="n">
        <v>0</v>
      </c>
      <c r="O445" t="n">
        <v>0</v>
      </c>
      <c r="P445" t="n">
        <v>0</v>
      </c>
      <c r="Q445" t="n">
        <v>0</v>
      </c>
      <c r="R445" s="2" t="inlineStr"/>
    </row>
    <row r="446" ht="15" customHeight="1">
      <c r="A446" t="inlineStr">
        <is>
          <t>A 6612-2024</t>
        </is>
      </c>
      <c r="B446" s="1" t="n">
        <v>45341.58859953703</v>
      </c>
      <c r="C446" s="1" t="n">
        <v>45999</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32881-2024</t>
        </is>
      </c>
      <c r="B447" s="1" t="n">
        <v>45516</v>
      </c>
      <c r="C447" s="1" t="n">
        <v>45999</v>
      </c>
      <c r="D447" t="inlineStr">
        <is>
          <t>SKÅNE LÄN</t>
        </is>
      </c>
      <c r="E447" t="inlineStr">
        <is>
          <t>HÄSSLEHOLM</t>
        </is>
      </c>
      <c r="G447" t="n">
        <v>6.3</v>
      </c>
      <c r="H447" t="n">
        <v>0</v>
      </c>
      <c r="I447" t="n">
        <v>0</v>
      </c>
      <c r="J447" t="n">
        <v>0</v>
      </c>
      <c r="K447" t="n">
        <v>0</v>
      </c>
      <c r="L447" t="n">
        <v>0</v>
      </c>
      <c r="M447" t="n">
        <v>0</v>
      </c>
      <c r="N447" t="n">
        <v>0</v>
      </c>
      <c r="O447" t="n">
        <v>0</v>
      </c>
      <c r="P447" t="n">
        <v>0</v>
      </c>
      <c r="Q447" t="n">
        <v>0</v>
      </c>
      <c r="R447" s="2" t="inlineStr"/>
    </row>
    <row r="448" ht="15" customHeight="1">
      <c r="A448" t="inlineStr">
        <is>
          <t>A 2743-2023</t>
        </is>
      </c>
      <c r="B448" s="1" t="n">
        <v>44944</v>
      </c>
      <c r="C448" s="1" t="n">
        <v>45999</v>
      </c>
      <c r="D448" t="inlineStr">
        <is>
          <t>SKÅNE LÄN</t>
        </is>
      </c>
      <c r="E448" t="inlineStr">
        <is>
          <t>HÄSSLEHOLM</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5887-2025</t>
        </is>
      </c>
      <c r="B449" s="1" t="n">
        <v>45695.37925925926</v>
      </c>
      <c r="C449" s="1" t="n">
        <v>45999</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29853-2024</t>
        </is>
      </c>
      <c r="B450" s="1" t="n">
        <v>45485.65844907407</v>
      </c>
      <c r="C450" s="1" t="n">
        <v>45999</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19020-2024</t>
        </is>
      </c>
      <c r="B451" s="1" t="n">
        <v>45427.66167824074</v>
      </c>
      <c r="C451" s="1" t="n">
        <v>45999</v>
      </c>
      <c r="D451" t="inlineStr">
        <is>
          <t>SKÅNE LÄN</t>
        </is>
      </c>
      <c r="E451" t="inlineStr">
        <is>
          <t>HÄSSLEHOLM</t>
        </is>
      </c>
      <c r="G451" t="n">
        <v>2.3</v>
      </c>
      <c r="H451" t="n">
        <v>0</v>
      </c>
      <c r="I451" t="n">
        <v>0</v>
      </c>
      <c r="J451" t="n">
        <v>0</v>
      </c>
      <c r="K451" t="n">
        <v>0</v>
      </c>
      <c r="L451" t="n">
        <v>0</v>
      </c>
      <c r="M451" t="n">
        <v>0</v>
      </c>
      <c r="N451" t="n">
        <v>0</v>
      </c>
      <c r="O451" t="n">
        <v>0</v>
      </c>
      <c r="P451" t="n">
        <v>0</v>
      </c>
      <c r="Q451" t="n">
        <v>0</v>
      </c>
      <c r="R451" s="2" t="inlineStr"/>
    </row>
    <row r="452" ht="15" customHeight="1">
      <c r="A452" t="inlineStr">
        <is>
          <t>A 52912-2022</t>
        </is>
      </c>
      <c r="B452" s="1" t="n">
        <v>44872</v>
      </c>
      <c r="C452" s="1" t="n">
        <v>45999</v>
      </c>
      <c r="D452" t="inlineStr">
        <is>
          <t>SKÅNE LÄN</t>
        </is>
      </c>
      <c r="E452" t="inlineStr">
        <is>
          <t>HÄSSLEHOLM</t>
        </is>
      </c>
      <c r="G452" t="n">
        <v>4.7</v>
      </c>
      <c r="H452" t="n">
        <v>0</v>
      </c>
      <c r="I452" t="n">
        <v>0</v>
      </c>
      <c r="J452" t="n">
        <v>0</v>
      </c>
      <c r="K452" t="n">
        <v>0</v>
      </c>
      <c r="L452" t="n">
        <v>0</v>
      </c>
      <c r="M452" t="n">
        <v>0</v>
      </c>
      <c r="N452" t="n">
        <v>0</v>
      </c>
      <c r="O452" t="n">
        <v>0</v>
      </c>
      <c r="P452" t="n">
        <v>0</v>
      </c>
      <c r="Q452" t="n">
        <v>0</v>
      </c>
      <c r="R452" s="2" t="inlineStr"/>
    </row>
    <row r="453" ht="15" customHeight="1">
      <c r="A453" t="inlineStr">
        <is>
          <t>A 24640-2023</t>
        </is>
      </c>
      <c r="B453" s="1" t="n">
        <v>45084.43181712963</v>
      </c>
      <c r="C453" s="1" t="n">
        <v>45999</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57695-2023</t>
        </is>
      </c>
      <c r="B454" s="1" t="n">
        <v>45246</v>
      </c>
      <c r="C454" s="1" t="n">
        <v>45999</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22535-2024</t>
        </is>
      </c>
      <c r="B455" s="1" t="n">
        <v>45447</v>
      </c>
      <c r="C455" s="1" t="n">
        <v>45999</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30007-2023</t>
        </is>
      </c>
      <c r="B456" s="1" t="n">
        <v>45109.80349537037</v>
      </c>
      <c r="C456" s="1" t="n">
        <v>45999</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9615-2025</t>
        </is>
      </c>
      <c r="B457" s="1" t="n">
        <v>45715</v>
      </c>
      <c r="C457" s="1" t="n">
        <v>45999</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1289-2024</t>
        </is>
      </c>
      <c r="B458" s="1" t="n">
        <v>45303.32234953704</v>
      </c>
      <c r="C458" s="1" t="n">
        <v>45999</v>
      </c>
      <c r="D458" t="inlineStr">
        <is>
          <t>SKÅNE LÄN</t>
        </is>
      </c>
      <c r="E458" t="inlineStr">
        <is>
          <t>HÄSSLEHOLM</t>
        </is>
      </c>
      <c r="G458" t="n">
        <v>4.6</v>
      </c>
      <c r="H458" t="n">
        <v>0</v>
      </c>
      <c r="I458" t="n">
        <v>0</v>
      </c>
      <c r="J458" t="n">
        <v>0</v>
      </c>
      <c r="K458" t="n">
        <v>0</v>
      </c>
      <c r="L458" t="n">
        <v>0</v>
      </c>
      <c r="M458" t="n">
        <v>0</v>
      </c>
      <c r="N458" t="n">
        <v>0</v>
      </c>
      <c r="O458" t="n">
        <v>0</v>
      </c>
      <c r="P458" t="n">
        <v>0</v>
      </c>
      <c r="Q458" t="n">
        <v>0</v>
      </c>
      <c r="R458" s="2" t="inlineStr"/>
    </row>
    <row r="459" ht="15" customHeight="1">
      <c r="A459" t="inlineStr">
        <is>
          <t>A 11715-2023</t>
        </is>
      </c>
      <c r="B459" s="1" t="n">
        <v>44992</v>
      </c>
      <c r="C459" s="1" t="n">
        <v>45999</v>
      </c>
      <c r="D459" t="inlineStr">
        <is>
          <t>SKÅNE LÄN</t>
        </is>
      </c>
      <c r="E459" t="inlineStr">
        <is>
          <t>HÄSSLEHOLM</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25606-2024</t>
        </is>
      </c>
      <c r="B460" s="1" t="n">
        <v>45463.63179398148</v>
      </c>
      <c r="C460" s="1" t="n">
        <v>45999</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42232-2022</t>
        </is>
      </c>
      <c r="B461" s="1" t="n">
        <v>44830.77591435185</v>
      </c>
      <c r="C461" s="1" t="n">
        <v>45999</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1538-2024</t>
        </is>
      </c>
      <c r="B462" s="1" t="n">
        <v>45306</v>
      </c>
      <c r="C462" s="1" t="n">
        <v>45999</v>
      </c>
      <c r="D462" t="inlineStr">
        <is>
          <t>SKÅNE LÄN</t>
        </is>
      </c>
      <c r="E462" t="inlineStr">
        <is>
          <t>HÄSSLEHOLM</t>
        </is>
      </c>
      <c r="G462" t="n">
        <v>4.8</v>
      </c>
      <c r="H462" t="n">
        <v>0</v>
      </c>
      <c r="I462" t="n">
        <v>0</v>
      </c>
      <c r="J462" t="n">
        <v>0</v>
      </c>
      <c r="K462" t="n">
        <v>0</v>
      </c>
      <c r="L462" t="n">
        <v>0</v>
      </c>
      <c r="M462" t="n">
        <v>0</v>
      </c>
      <c r="N462" t="n">
        <v>0</v>
      </c>
      <c r="O462" t="n">
        <v>0</v>
      </c>
      <c r="P462" t="n">
        <v>0</v>
      </c>
      <c r="Q462" t="n">
        <v>0</v>
      </c>
      <c r="R462" s="2" t="inlineStr"/>
    </row>
    <row r="463" ht="15" customHeight="1">
      <c r="A463" t="inlineStr">
        <is>
          <t>A 25533-2024</t>
        </is>
      </c>
      <c r="B463" s="1" t="n">
        <v>45463</v>
      </c>
      <c r="C463" s="1" t="n">
        <v>45999</v>
      </c>
      <c r="D463" t="inlineStr">
        <is>
          <t>SKÅNE LÄN</t>
        </is>
      </c>
      <c r="E463" t="inlineStr">
        <is>
          <t>HÄSSLEHOLM</t>
        </is>
      </c>
      <c r="G463" t="n">
        <v>1.8</v>
      </c>
      <c r="H463" t="n">
        <v>0</v>
      </c>
      <c r="I463" t="n">
        <v>0</v>
      </c>
      <c r="J463" t="n">
        <v>0</v>
      </c>
      <c r="K463" t="n">
        <v>0</v>
      </c>
      <c r="L463" t="n">
        <v>0</v>
      </c>
      <c r="M463" t="n">
        <v>0</v>
      </c>
      <c r="N463" t="n">
        <v>0</v>
      </c>
      <c r="O463" t="n">
        <v>0</v>
      </c>
      <c r="P463" t="n">
        <v>0</v>
      </c>
      <c r="Q463" t="n">
        <v>0</v>
      </c>
      <c r="R463" s="2" t="inlineStr"/>
    </row>
    <row r="464" ht="15" customHeight="1">
      <c r="A464" t="inlineStr">
        <is>
          <t>A 38829-2024</t>
        </is>
      </c>
      <c r="B464" s="1" t="n">
        <v>45547.57247685185</v>
      </c>
      <c r="C464" s="1" t="n">
        <v>45999</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31934-2024</t>
        </is>
      </c>
      <c r="B465" s="1" t="n">
        <v>45510.41177083334</v>
      </c>
      <c r="C465" s="1" t="n">
        <v>45999</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29847-2024</t>
        </is>
      </c>
      <c r="B466" s="1" t="n">
        <v>45485.6278587963</v>
      </c>
      <c r="C466" s="1" t="n">
        <v>45999</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25542-2024</t>
        </is>
      </c>
      <c r="B467" s="1" t="n">
        <v>45463</v>
      </c>
      <c r="C467" s="1" t="n">
        <v>45999</v>
      </c>
      <c r="D467" t="inlineStr">
        <is>
          <t>SKÅNE LÄN</t>
        </is>
      </c>
      <c r="E467" t="inlineStr">
        <is>
          <t>HÄSSLEHOLM</t>
        </is>
      </c>
      <c r="G467" t="n">
        <v>6.9</v>
      </c>
      <c r="H467" t="n">
        <v>0</v>
      </c>
      <c r="I467" t="n">
        <v>0</v>
      </c>
      <c r="J467" t="n">
        <v>0</v>
      </c>
      <c r="K467" t="n">
        <v>0</v>
      </c>
      <c r="L467" t="n">
        <v>0</v>
      </c>
      <c r="M467" t="n">
        <v>0</v>
      </c>
      <c r="N467" t="n">
        <v>0</v>
      </c>
      <c r="O467" t="n">
        <v>0</v>
      </c>
      <c r="P467" t="n">
        <v>0</v>
      </c>
      <c r="Q467" t="n">
        <v>0</v>
      </c>
      <c r="R467" s="2" t="inlineStr"/>
    </row>
    <row r="468" ht="15" customHeight="1">
      <c r="A468" t="inlineStr">
        <is>
          <t>A 7653-2024</t>
        </is>
      </c>
      <c r="B468" s="1" t="n">
        <v>45348.69043981482</v>
      </c>
      <c r="C468" s="1" t="n">
        <v>45999</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55454-2021</t>
        </is>
      </c>
      <c r="B469" s="1" t="n">
        <v>44475</v>
      </c>
      <c r="C469" s="1" t="n">
        <v>45999</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12570-2023</t>
        </is>
      </c>
      <c r="B470" s="1" t="n">
        <v>44999</v>
      </c>
      <c r="C470" s="1" t="n">
        <v>45999</v>
      </c>
      <c r="D470" t="inlineStr">
        <is>
          <t>SKÅNE LÄN</t>
        </is>
      </c>
      <c r="E470" t="inlineStr">
        <is>
          <t>HÄSSLEHOLM</t>
        </is>
      </c>
      <c r="G470" t="n">
        <v>3.4</v>
      </c>
      <c r="H470" t="n">
        <v>0</v>
      </c>
      <c r="I470" t="n">
        <v>0</v>
      </c>
      <c r="J470" t="n">
        <v>0</v>
      </c>
      <c r="K470" t="n">
        <v>0</v>
      </c>
      <c r="L470" t="n">
        <v>0</v>
      </c>
      <c r="M470" t="n">
        <v>0</v>
      </c>
      <c r="N470" t="n">
        <v>0</v>
      </c>
      <c r="O470" t="n">
        <v>0</v>
      </c>
      <c r="P470" t="n">
        <v>0</v>
      </c>
      <c r="Q470" t="n">
        <v>0</v>
      </c>
      <c r="R470" s="2" t="inlineStr"/>
    </row>
    <row r="471" ht="15" customHeight="1">
      <c r="A471" t="inlineStr">
        <is>
          <t>A 14926-2024</t>
        </is>
      </c>
      <c r="B471" s="1" t="n">
        <v>45398</v>
      </c>
      <c r="C471" s="1" t="n">
        <v>45999</v>
      </c>
      <c r="D471" t="inlineStr">
        <is>
          <t>SKÅNE LÄN</t>
        </is>
      </c>
      <c r="E471" t="inlineStr">
        <is>
          <t>HÄSSLEHOLM</t>
        </is>
      </c>
      <c r="G471" t="n">
        <v>3.4</v>
      </c>
      <c r="H471" t="n">
        <v>0</v>
      </c>
      <c r="I471" t="n">
        <v>0</v>
      </c>
      <c r="J471" t="n">
        <v>0</v>
      </c>
      <c r="K471" t="n">
        <v>0</v>
      </c>
      <c r="L471" t="n">
        <v>0</v>
      </c>
      <c r="M471" t="n">
        <v>0</v>
      </c>
      <c r="N471" t="n">
        <v>0</v>
      </c>
      <c r="O471" t="n">
        <v>0</v>
      </c>
      <c r="P471" t="n">
        <v>0</v>
      </c>
      <c r="Q471" t="n">
        <v>0</v>
      </c>
      <c r="R471" s="2" t="inlineStr"/>
    </row>
    <row r="472" ht="15" customHeight="1">
      <c r="A472" t="inlineStr">
        <is>
          <t>A 2688-2024</t>
        </is>
      </c>
      <c r="B472" s="1" t="n">
        <v>45314</v>
      </c>
      <c r="C472" s="1" t="n">
        <v>45999</v>
      </c>
      <c r="D472" t="inlineStr">
        <is>
          <t>SKÅNE LÄN</t>
        </is>
      </c>
      <c r="E472" t="inlineStr">
        <is>
          <t>HÄSSLEHOLM</t>
        </is>
      </c>
      <c r="F472" t="inlineStr">
        <is>
          <t>Övriga Aktiebolag</t>
        </is>
      </c>
      <c r="G472" t="n">
        <v>2.8</v>
      </c>
      <c r="H472" t="n">
        <v>0</v>
      </c>
      <c r="I472" t="n">
        <v>0</v>
      </c>
      <c r="J472" t="n">
        <v>0</v>
      </c>
      <c r="K472" t="n">
        <v>0</v>
      </c>
      <c r="L472" t="n">
        <v>0</v>
      </c>
      <c r="M472" t="n">
        <v>0</v>
      </c>
      <c r="N472" t="n">
        <v>0</v>
      </c>
      <c r="O472" t="n">
        <v>0</v>
      </c>
      <c r="P472" t="n">
        <v>0</v>
      </c>
      <c r="Q472" t="n">
        <v>0</v>
      </c>
      <c r="R472" s="2" t="inlineStr"/>
    </row>
    <row r="473" ht="15" customHeight="1">
      <c r="A473" t="inlineStr">
        <is>
          <t>A 61489-2024</t>
        </is>
      </c>
      <c r="B473" s="1" t="n">
        <v>45646.54875</v>
      </c>
      <c r="C473" s="1" t="n">
        <v>45999</v>
      </c>
      <c r="D473" t="inlineStr">
        <is>
          <t>SKÅNE LÄN</t>
        </is>
      </c>
      <c r="E473" t="inlineStr">
        <is>
          <t>HÄSSLEHOLM</t>
        </is>
      </c>
      <c r="G473" t="n">
        <v>1.9</v>
      </c>
      <c r="H473" t="n">
        <v>0</v>
      </c>
      <c r="I473" t="n">
        <v>0</v>
      </c>
      <c r="J473" t="n">
        <v>0</v>
      </c>
      <c r="K473" t="n">
        <v>0</v>
      </c>
      <c r="L473" t="n">
        <v>0</v>
      </c>
      <c r="M473" t="n">
        <v>0</v>
      </c>
      <c r="N473" t="n">
        <v>0</v>
      </c>
      <c r="O473" t="n">
        <v>0</v>
      </c>
      <c r="P473" t="n">
        <v>0</v>
      </c>
      <c r="Q473" t="n">
        <v>0</v>
      </c>
      <c r="R473" s="2" t="inlineStr"/>
    </row>
    <row r="474" ht="15" customHeight="1">
      <c r="A474" t="inlineStr">
        <is>
          <t>A 36733-2023</t>
        </is>
      </c>
      <c r="B474" s="1" t="n">
        <v>45153.69989583334</v>
      </c>
      <c r="C474" s="1" t="n">
        <v>45999</v>
      </c>
      <c r="D474" t="inlineStr">
        <is>
          <t>SKÅNE LÄN</t>
        </is>
      </c>
      <c r="E474" t="inlineStr">
        <is>
          <t>HÄSSLEHOLM</t>
        </is>
      </c>
      <c r="G474" t="n">
        <v>4.8</v>
      </c>
      <c r="H474" t="n">
        <v>0</v>
      </c>
      <c r="I474" t="n">
        <v>0</v>
      </c>
      <c r="J474" t="n">
        <v>0</v>
      </c>
      <c r="K474" t="n">
        <v>0</v>
      </c>
      <c r="L474" t="n">
        <v>0</v>
      </c>
      <c r="M474" t="n">
        <v>0</v>
      </c>
      <c r="N474" t="n">
        <v>0</v>
      </c>
      <c r="O474" t="n">
        <v>0</v>
      </c>
      <c r="P474" t="n">
        <v>0</v>
      </c>
      <c r="Q474" t="n">
        <v>0</v>
      </c>
      <c r="R474" s="2" t="inlineStr"/>
    </row>
    <row r="475" ht="15" customHeight="1">
      <c r="A475" t="inlineStr">
        <is>
          <t>A 26879-2024</t>
        </is>
      </c>
      <c r="B475" s="1" t="n">
        <v>45470</v>
      </c>
      <c r="C475" s="1" t="n">
        <v>45999</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8244-2023</t>
        </is>
      </c>
      <c r="B476" s="1" t="n">
        <v>44974</v>
      </c>
      <c r="C476" s="1" t="n">
        <v>45999</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8246-2023</t>
        </is>
      </c>
      <c r="B477" s="1" t="n">
        <v>44974</v>
      </c>
      <c r="C477" s="1" t="n">
        <v>45999</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59728-2022</t>
        </is>
      </c>
      <c r="B478" s="1" t="n">
        <v>44900</v>
      </c>
      <c r="C478" s="1" t="n">
        <v>45999</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34834-2023</t>
        </is>
      </c>
      <c r="B479" s="1" t="n">
        <v>45141.7199537037</v>
      </c>
      <c r="C479" s="1" t="n">
        <v>45999</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24679-2023</t>
        </is>
      </c>
      <c r="B480" s="1" t="n">
        <v>45084</v>
      </c>
      <c r="C480" s="1" t="n">
        <v>45999</v>
      </c>
      <c r="D480" t="inlineStr">
        <is>
          <t>SKÅNE LÄN</t>
        </is>
      </c>
      <c r="E480" t="inlineStr">
        <is>
          <t>HÄSSLEHOLM</t>
        </is>
      </c>
      <c r="G480" t="n">
        <v>7.1</v>
      </c>
      <c r="H480" t="n">
        <v>0</v>
      </c>
      <c r="I480" t="n">
        <v>0</v>
      </c>
      <c r="J480" t="n">
        <v>0</v>
      </c>
      <c r="K480" t="n">
        <v>0</v>
      </c>
      <c r="L480" t="n">
        <v>0</v>
      </c>
      <c r="M480" t="n">
        <v>0</v>
      </c>
      <c r="N480" t="n">
        <v>0</v>
      </c>
      <c r="O480" t="n">
        <v>0</v>
      </c>
      <c r="P480" t="n">
        <v>0</v>
      </c>
      <c r="Q480" t="n">
        <v>0</v>
      </c>
      <c r="R480" s="2" t="inlineStr"/>
    </row>
    <row r="481" ht="15" customHeight="1">
      <c r="A481" t="inlineStr">
        <is>
          <t>A 3294-2025</t>
        </is>
      </c>
      <c r="B481" s="1" t="n">
        <v>45679.64125</v>
      </c>
      <c r="C481" s="1" t="n">
        <v>45999</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13897-2024</t>
        </is>
      </c>
      <c r="B482" s="1" t="n">
        <v>45391</v>
      </c>
      <c r="C482" s="1" t="n">
        <v>45999</v>
      </c>
      <c r="D482" t="inlineStr">
        <is>
          <t>SKÅNE LÄN</t>
        </is>
      </c>
      <c r="E482" t="inlineStr">
        <is>
          <t>HÄSSLEHOLM</t>
        </is>
      </c>
      <c r="F482" t="inlineStr">
        <is>
          <t>Kommuner</t>
        </is>
      </c>
      <c r="G482" t="n">
        <v>4</v>
      </c>
      <c r="H482" t="n">
        <v>0</v>
      </c>
      <c r="I482" t="n">
        <v>0</v>
      </c>
      <c r="J482" t="n">
        <v>0</v>
      </c>
      <c r="K482" t="n">
        <v>0</v>
      </c>
      <c r="L482" t="n">
        <v>0</v>
      </c>
      <c r="M482" t="n">
        <v>0</v>
      </c>
      <c r="N482" t="n">
        <v>0</v>
      </c>
      <c r="O482" t="n">
        <v>0</v>
      </c>
      <c r="P482" t="n">
        <v>0</v>
      </c>
      <c r="Q482" t="n">
        <v>0</v>
      </c>
      <c r="R482" s="2" t="inlineStr"/>
    </row>
    <row r="483" ht="15" customHeight="1">
      <c r="A483" t="inlineStr">
        <is>
          <t>A 69500-2020</t>
        </is>
      </c>
      <c r="B483" s="1" t="n">
        <v>44194</v>
      </c>
      <c r="C483" s="1" t="n">
        <v>45999</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7604-2024</t>
        </is>
      </c>
      <c r="B484" s="1" t="n">
        <v>45348</v>
      </c>
      <c r="C484" s="1" t="n">
        <v>45999</v>
      </c>
      <c r="D484" t="inlineStr">
        <is>
          <t>SKÅNE LÄN</t>
        </is>
      </c>
      <c r="E484" t="inlineStr">
        <is>
          <t>HÄSSLEHOLM</t>
        </is>
      </c>
      <c r="G484" t="n">
        <v>11.1</v>
      </c>
      <c r="H484" t="n">
        <v>0</v>
      </c>
      <c r="I484" t="n">
        <v>0</v>
      </c>
      <c r="J484" t="n">
        <v>0</v>
      </c>
      <c r="K484" t="n">
        <v>0</v>
      </c>
      <c r="L484" t="n">
        <v>0</v>
      </c>
      <c r="M484" t="n">
        <v>0</v>
      </c>
      <c r="N484" t="n">
        <v>0</v>
      </c>
      <c r="O484" t="n">
        <v>0</v>
      </c>
      <c r="P484" t="n">
        <v>0</v>
      </c>
      <c r="Q484" t="n">
        <v>0</v>
      </c>
      <c r="R484" s="2" t="inlineStr"/>
    </row>
    <row r="485" ht="15" customHeight="1">
      <c r="A485" t="inlineStr">
        <is>
          <t>A 32154-2024</t>
        </is>
      </c>
      <c r="B485" s="1" t="n">
        <v>45511</v>
      </c>
      <c r="C485" s="1" t="n">
        <v>45999</v>
      </c>
      <c r="D485" t="inlineStr">
        <is>
          <t>SKÅNE LÄN</t>
        </is>
      </c>
      <c r="E485" t="inlineStr">
        <is>
          <t>HÄSSLEHOLM</t>
        </is>
      </c>
      <c r="G485" t="n">
        <v>6.4</v>
      </c>
      <c r="H485" t="n">
        <v>0</v>
      </c>
      <c r="I485" t="n">
        <v>0</v>
      </c>
      <c r="J485" t="n">
        <v>0</v>
      </c>
      <c r="K485" t="n">
        <v>0</v>
      </c>
      <c r="L485" t="n">
        <v>0</v>
      </c>
      <c r="M485" t="n">
        <v>0</v>
      </c>
      <c r="N485" t="n">
        <v>0</v>
      </c>
      <c r="O485" t="n">
        <v>0</v>
      </c>
      <c r="P485" t="n">
        <v>0</v>
      </c>
      <c r="Q485" t="n">
        <v>0</v>
      </c>
      <c r="R485" s="2" t="inlineStr"/>
    </row>
    <row r="486" ht="15" customHeight="1">
      <c r="A486" t="inlineStr">
        <is>
          <t>A 15508-2023</t>
        </is>
      </c>
      <c r="B486" s="1" t="n">
        <v>45020.50045138889</v>
      </c>
      <c r="C486" s="1" t="n">
        <v>45999</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53055-2021</t>
        </is>
      </c>
      <c r="B487" s="1" t="n">
        <v>44467</v>
      </c>
      <c r="C487" s="1" t="n">
        <v>45999</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34187-2023</t>
        </is>
      </c>
      <c r="B488" s="1" t="n">
        <v>45138</v>
      </c>
      <c r="C488" s="1" t="n">
        <v>45999</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11019-2025</t>
        </is>
      </c>
      <c r="B489" s="1" t="n">
        <v>45723</v>
      </c>
      <c r="C489" s="1" t="n">
        <v>45999</v>
      </c>
      <c r="D489" t="inlineStr">
        <is>
          <t>SKÅNE LÄN</t>
        </is>
      </c>
      <c r="E489" t="inlineStr">
        <is>
          <t>HÄSSLEHOLM</t>
        </is>
      </c>
      <c r="G489" t="n">
        <v>3.2</v>
      </c>
      <c r="H489" t="n">
        <v>0</v>
      </c>
      <c r="I489" t="n">
        <v>0</v>
      </c>
      <c r="J489" t="n">
        <v>0</v>
      </c>
      <c r="K489" t="n">
        <v>0</v>
      </c>
      <c r="L489" t="n">
        <v>0</v>
      </c>
      <c r="M489" t="n">
        <v>0</v>
      </c>
      <c r="N489" t="n">
        <v>0</v>
      </c>
      <c r="O489" t="n">
        <v>0</v>
      </c>
      <c r="P489" t="n">
        <v>0</v>
      </c>
      <c r="Q489" t="n">
        <v>0</v>
      </c>
      <c r="R489" s="2" t="inlineStr"/>
    </row>
    <row r="490" ht="15" customHeight="1">
      <c r="A490" t="inlineStr">
        <is>
          <t>A 56062-2024</t>
        </is>
      </c>
      <c r="B490" s="1" t="n">
        <v>45624.37105324074</v>
      </c>
      <c r="C490" s="1" t="n">
        <v>45999</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45299-2024</t>
        </is>
      </c>
      <c r="B491" s="1" t="n">
        <v>45576.40599537037</v>
      </c>
      <c r="C491" s="1" t="n">
        <v>45999</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34369-2023</t>
        </is>
      </c>
      <c r="B492" s="1" t="n">
        <v>45139.47817129629</v>
      </c>
      <c r="C492" s="1" t="n">
        <v>45999</v>
      </c>
      <c r="D492" t="inlineStr">
        <is>
          <t>SKÅNE LÄN</t>
        </is>
      </c>
      <c r="E492" t="inlineStr">
        <is>
          <t>HÄSSLEHOLM</t>
        </is>
      </c>
      <c r="G492" t="n">
        <v>2</v>
      </c>
      <c r="H492" t="n">
        <v>0</v>
      </c>
      <c r="I492" t="n">
        <v>0</v>
      </c>
      <c r="J492" t="n">
        <v>0</v>
      </c>
      <c r="K492" t="n">
        <v>0</v>
      </c>
      <c r="L492" t="n">
        <v>0</v>
      </c>
      <c r="M492" t="n">
        <v>0</v>
      </c>
      <c r="N492" t="n">
        <v>0</v>
      </c>
      <c r="O492" t="n">
        <v>0</v>
      </c>
      <c r="P492" t="n">
        <v>0</v>
      </c>
      <c r="Q492" t="n">
        <v>0</v>
      </c>
      <c r="R492" s="2" t="inlineStr"/>
    </row>
    <row r="493" ht="15" customHeight="1">
      <c r="A493" t="inlineStr">
        <is>
          <t>A 27297-2023</t>
        </is>
      </c>
      <c r="B493" s="1" t="n">
        <v>45096</v>
      </c>
      <c r="C493" s="1" t="n">
        <v>45999</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36706-2022</t>
        </is>
      </c>
      <c r="B494" s="1" t="n">
        <v>44805.32891203704</v>
      </c>
      <c r="C494" s="1" t="n">
        <v>45999</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441-2022</t>
        </is>
      </c>
      <c r="B495" s="1" t="n">
        <v>44565.97125</v>
      </c>
      <c r="C495" s="1" t="n">
        <v>45999</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8760-2024</t>
        </is>
      </c>
      <c r="B496" s="1" t="n">
        <v>45356.53420138889</v>
      </c>
      <c r="C496" s="1" t="n">
        <v>45999</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3364-2023</t>
        </is>
      </c>
      <c r="B497" s="1" t="n">
        <v>44949</v>
      </c>
      <c r="C497" s="1" t="n">
        <v>45999</v>
      </c>
      <c r="D497" t="inlineStr">
        <is>
          <t>SKÅNE LÄN</t>
        </is>
      </c>
      <c r="E497" t="inlineStr">
        <is>
          <t>HÄSSLEHOLM</t>
        </is>
      </c>
      <c r="G497" t="n">
        <v>5.1</v>
      </c>
      <c r="H497" t="n">
        <v>0</v>
      </c>
      <c r="I497" t="n">
        <v>0</v>
      </c>
      <c r="J497" t="n">
        <v>0</v>
      </c>
      <c r="K497" t="n">
        <v>0</v>
      </c>
      <c r="L497" t="n">
        <v>0</v>
      </c>
      <c r="M497" t="n">
        <v>0</v>
      </c>
      <c r="N497" t="n">
        <v>0</v>
      </c>
      <c r="O497" t="n">
        <v>0</v>
      </c>
      <c r="P497" t="n">
        <v>0</v>
      </c>
      <c r="Q497" t="n">
        <v>0</v>
      </c>
      <c r="R497" s="2" t="inlineStr"/>
    </row>
    <row r="498" ht="15" customHeight="1">
      <c r="A498" t="inlineStr">
        <is>
          <t>A 8378-2023</t>
        </is>
      </c>
      <c r="B498" s="1" t="n">
        <v>44971</v>
      </c>
      <c r="C498" s="1" t="n">
        <v>45999</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60704-2023</t>
        </is>
      </c>
      <c r="B499" s="1" t="n">
        <v>45260.51340277777</v>
      </c>
      <c r="C499" s="1" t="n">
        <v>45999</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61569-2023</t>
        </is>
      </c>
      <c r="B500" s="1" t="n">
        <v>45265</v>
      </c>
      <c r="C500" s="1" t="n">
        <v>45999</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43629-2023</t>
        </is>
      </c>
      <c r="B501" s="1" t="n">
        <v>45184</v>
      </c>
      <c r="C501" s="1" t="n">
        <v>45999</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57656-2022</t>
        </is>
      </c>
      <c r="B502" s="1" t="n">
        <v>44897.4325925926</v>
      </c>
      <c r="C502" s="1" t="n">
        <v>45999</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315-2022</t>
        </is>
      </c>
      <c r="B503" s="1" t="n">
        <v>44565.55630787037</v>
      </c>
      <c r="C503" s="1" t="n">
        <v>45999</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8250-2023</t>
        </is>
      </c>
      <c r="B504" s="1" t="n">
        <v>44974</v>
      </c>
      <c r="C504" s="1" t="n">
        <v>45999</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31161-2024</t>
        </is>
      </c>
      <c r="B505" s="1" t="n">
        <v>45503</v>
      </c>
      <c r="C505" s="1" t="n">
        <v>45999</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6101-2022</t>
        </is>
      </c>
      <c r="B506" s="1" t="n">
        <v>44599.63016203704</v>
      </c>
      <c r="C506" s="1" t="n">
        <v>45999</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33067-2024</t>
        </is>
      </c>
      <c r="B507" s="1" t="n">
        <v>45517.6520949074</v>
      </c>
      <c r="C507" s="1" t="n">
        <v>45999</v>
      </c>
      <c r="D507" t="inlineStr">
        <is>
          <t>SKÅNE LÄN</t>
        </is>
      </c>
      <c r="E507" t="inlineStr">
        <is>
          <t>HÄSSLEHOLM</t>
        </is>
      </c>
      <c r="G507" t="n">
        <v>0.4</v>
      </c>
      <c r="H507" t="n">
        <v>0</v>
      </c>
      <c r="I507" t="n">
        <v>0</v>
      </c>
      <c r="J507" t="n">
        <v>0</v>
      </c>
      <c r="K507" t="n">
        <v>0</v>
      </c>
      <c r="L507" t="n">
        <v>0</v>
      </c>
      <c r="M507" t="n">
        <v>0</v>
      </c>
      <c r="N507" t="n">
        <v>0</v>
      </c>
      <c r="O507" t="n">
        <v>0</v>
      </c>
      <c r="P507" t="n">
        <v>0</v>
      </c>
      <c r="Q507" t="n">
        <v>0</v>
      </c>
      <c r="R507" s="2" t="inlineStr"/>
    </row>
    <row r="508" ht="15" customHeight="1">
      <c r="A508" t="inlineStr">
        <is>
          <t>A 6842-2023</t>
        </is>
      </c>
      <c r="B508" s="1" t="n">
        <v>44967</v>
      </c>
      <c r="C508" s="1" t="n">
        <v>45999</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7202-2022</t>
        </is>
      </c>
      <c r="B509" s="1" t="n">
        <v>44606</v>
      </c>
      <c r="C509" s="1" t="n">
        <v>45999</v>
      </c>
      <c r="D509" t="inlineStr">
        <is>
          <t>SKÅNE LÄN</t>
        </is>
      </c>
      <c r="E509" t="inlineStr">
        <is>
          <t>HÄSSLEHOLM</t>
        </is>
      </c>
      <c r="G509" t="n">
        <v>4.7</v>
      </c>
      <c r="H509" t="n">
        <v>0</v>
      </c>
      <c r="I509" t="n">
        <v>0</v>
      </c>
      <c r="J509" t="n">
        <v>0</v>
      </c>
      <c r="K509" t="n">
        <v>0</v>
      </c>
      <c r="L509" t="n">
        <v>0</v>
      </c>
      <c r="M509" t="n">
        <v>0</v>
      </c>
      <c r="N509" t="n">
        <v>0</v>
      </c>
      <c r="O509" t="n">
        <v>0</v>
      </c>
      <c r="P509" t="n">
        <v>0</v>
      </c>
      <c r="Q509" t="n">
        <v>0</v>
      </c>
      <c r="R509" s="2" t="inlineStr"/>
    </row>
    <row r="510" ht="15" customHeight="1">
      <c r="A510" t="inlineStr">
        <is>
          <t>A 38888-2023</t>
        </is>
      </c>
      <c r="B510" s="1" t="n">
        <v>45161</v>
      </c>
      <c r="C510" s="1" t="n">
        <v>45999</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5054-2022</t>
        </is>
      </c>
      <c r="B511" s="1" t="n">
        <v>44593.69065972222</v>
      </c>
      <c r="C511" s="1" t="n">
        <v>45999</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5992-2022</t>
        </is>
      </c>
      <c r="B512" s="1" t="n">
        <v>44599</v>
      </c>
      <c r="C512" s="1" t="n">
        <v>45999</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49181-2024</t>
        </is>
      </c>
      <c r="B513" s="1" t="n">
        <v>45595</v>
      </c>
      <c r="C513" s="1" t="n">
        <v>45999</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11240-2023</t>
        </is>
      </c>
      <c r="B514" s="1" t="n">
        <v>44992</v>
      </c>
      <c r="C514" s="1" t="n">
        <v>45999</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3349-2023</t>
        </is>
      </c>
      <c r="B515" s="1" t="n">
        <v>44949</v>
      </c>
      <c r="C515" s="1" t="n">
        <v>45999</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3248-2022</t>
        </is>
      </c>
      <c r="B516" s="1" t="n">
        <v>44583</v>
      </c>
      <c r="C516" s="1" t="n">
        <v>45999</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6310-2025</t>
        </is>
      </c>
      <c r="B517" s="1" t="n">
        <v>45698</v>
      </c>
      <c r="C517" s="1" t="n">
        <v>45999</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49384-2021</t>
        </is>
      </c>
      <c r="B518" s="1" t="n">
        <v>44454</v>
      </c>
      <c r="C518" s="1" t="n">
        <v>45999</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60959-2022</t>
        </is>
      </c>
      <c r="B519" s="1" t="n">
        <v>44914.64777777778</v>
      </c>
      <c r="C519" s="1" t="n">
        <v>45999</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16474-2025</t>
        </is>
      </c>
      <c r="B520" s="1" t="n">
        <v>45751.56834490741</v>
      </c>
      <c r="C520" s="1" t="n">
        <v>45999</v>
      </c>
      <c r="D520" t="inlineStr">
        <is>
          <t>SKÅNE LÄN</t>
        </is>
      </c>
      <c r="E520" t="inlineStr">
        <is>
          <t>HÄSSLEHOLM</t>
        </is>
      </c>
      <c r="G520" t="n">
        <v>5.9</v>
      </c>
      <c r="H520" t="n">
        <v>0</v>
      </c>
      <c r="I520" t="n">
        <v>0</v>
      </c>
      <c r="J520" t="n">
        <v>0</v>
      </c>
      <c r="K520" t="n">
        <v>0</v>
      </c>
      <c r="L520" t="n">
        <v>0</v>
      </c>
      <c r="M520" t="n">
        <v>0</v>
      </c>
      <c r="N520" t="n">
        <v>0</v>
      </c>
      <c r="O520" t="n">
        <v>0</v>
      </c>
      <c r="P520" t="n">
        <v>0</v>
      </c>
      <c r="Q520" t="n">
        <v>0</v>
      </c>
      <c r="R520" s="2" t="inlineStr"/>
    </row>
    <row r="521" ht="15" customHeight="1">
      <c r="A521" t="inlineStr">
        <is>
          <t>A 8524-2024</t>
        </is>
      </c>
      <c r="B521" s="1" t="n">
        <v>45355.48570601852</v>
      </c>
      <c r="C521" s="1" t="n">
        <v>45999</v>
      </c>
      <c r="D521" t="inlineStr">
        <is>
          <t>SKÅNE LÄN</t>
        </is>
      </c>
      <c r="E521" t="inlineStr">
        <is>
          <t>HÄSSLEHOLM</t>
        </is>
      </c>
      <c r="G521" t="n">
        <v>4</v>
      </c>
      <c r="H521" t="n">
        <v>0</v>
      </c>
      <c r="I521" t="n">
        <v>0</v>
      </c>
      <c r="J521" t="n">
        <v>0</v>
      </c>
      <c r="K521" t="n">
        <v>0</v>
      </c>
      <c r="L521" t="n">
        <v>0</v>
      </c>
      <c r="M521" t="n">
        <v>0</v>
      </c>
      <c r="N521" t="n">
        <v>0</v>
      </c>
      <c r="O521" t="n">
        <v>0</v>
      </c>
      <c r="P521" t="n">
        <v>0</v>
      </c>
      <c r="Q521" t="n">
        <v>0</v>
      </c>
      <c r="R521" s="2" t="inlineStr"/>
    </row>
    <row r="522" ht="15" customHeight="1">
      <c r="A522" t="inlineStr">
        <is>
          <t>A 22157-2024</t>
        </is>
      </c>
      <c r="B522" s="1" t="n">
        <v>45445.85290509259</v>
      </c>
      <c r="C522" s="1" t="n">
        <v>45999</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48889-2024</t>
        </is>
      </c>
      <c r="B523" s="1" t="n">
        <v>45594.33754629629</v>
      </c>
      <c r="C523" s="1" t="n">
        <v>45999</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3746-2024</t>
        </is>
      </c>
      <c r="B524" s="1" t="n">
        <v>45321.50745370371</v>
      </c>
      <c r="C524" s="1" t="n">
        <v>45999</v>
      </c>
      <c r="D524" t="inlineStr">
        <is>
          <t>SKÅNE LÄN</t>
        </is>
      </c>
      <c r="E524" t="inlineStr">
        <is>
          <t>HÄSSLEHOLM</t>
        </is>
      </c>
      <c r="G524" t="n">
        <v>3.4</v>
      </c>
      <c r="H524" t="n">
        <v>0</v>
      </c>
      <c r="I524" t="n">
        <v>0</v>
      </c>
      <c r="J524" t="n">
        <v>0</v>
      </c>
      <c r="K524" t="n">
        <v>0</v>
      </c>
      <c r="L524" t="n">
        <v>0</v>
      </c>
      <c r="M524" t="n">
        <v>0</v>
      </c>
      <c r="N524" t="n">
        <v>0</v>
      </c>
      <c r="O524" t="n">
        <v>0</v>
      </c>
      <c r="P524" t="n">
        <v>0</v>
      </c>
      <c r="Q524" t="n">
        <v>0</v>
      </c>
      <c r="R524" s="2" t="inlineStr"/>
    </row>
    <row r="525" ht="15" customHeight="1">
      <c r="A525" t="inlineStr">
        <is>
          <t>A 14145-2023</t>
        </is>
      </c>
      <c r="B525" s="1" t="n">
        <v>45009</v>
      </c>
      <c r="C525" s="1" t="n">
        <v>45999</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6638-2021</t>
        </is>
      </c>
      <c r="B526" s="1" t="n">
        <v>44235</v>
      </c>
      <c r="C526" s="1" t="n">
        <v>45999</v>
      </c>
      <c r="D526" t="inlineStr">
        <is>
          <t>SKÅNE LÄN</t>
        </is>
      </c>
      <c r="E526" t="inlineStr">
        <is>
          <t>HÄSSLEHOLM</t>
        </is>
      </c>
      <c r="G526" t="n">
        <v>112.4</v>
      </c>
      <c r="H526" t="n">
        <v>0</v>
      </c>
      <c r="I526" t="n">
        <v>0</v>
      </c>
      <c r="J526" t="n">
        <v>0</v>
      </c>
      <c r="K526" t="n">
        <v>0</v>
      </c>
      <c r="L526" t="n">
        <v>0</v>
      </c>
      <c r="M526" t="n">
        <v>0</v>
      </c>
      <c r="N526" t="n">
        <v>0</v>
      </c>
      <c r="O526" t="n">
        <v>0</v>
      </c>
      <c r="P526" t="n">
        <v>0</v>
      </c>
      <c r="Q526" t="n">
        <v>0</v>
      </c>
      <c r="R526" s="2" t="inlineStr"/>
    </row>
    <row r="527" ht="15" customHeight="1">
      <c r="A527" t="inlineStr">
        <is>
          <t>A 44262-2021</t>
        </is>
      </c>
      <c r="B527" s="1" t="n">
        <v>44434</v>
      </c>
      <c r="C527" s="1" t="n">
        <v>45999</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1553-2023</t>
        </is>
      </c>
      <c r="B528" s="1" t="n">
        <v>44937</v>
      </c>
      <c r="C528" s="1" t="n">
        <v>45999</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1562-2023</t>
        </is>
      </c>
      <c r="B529" s="1" t="n">
        <v>44937.60450231482</v>
      </c>
      <c r="C529" s="1" t="n">
        <v>45999</v>
      </c>
      <c r="D529" t="inlineStr">
        <is>
          <t>SKÅNE LÄN</t>
        </is>
      </c>
      <c r="E529" t="inlineStr">
        <is>
          <t>HÄSSLEHOLM</t>
        </is>
      </c>
      <c r="G529" t="n">
        <v>2.7</v>
      </c>
      <c r="H529" t="n">
        <v>0</v>
      </c>
      <c r="I529" t="n">
        <v>0</v>
      </c>
      <c r="J529" t="n">
        <v>0</v>
      </c>
      <c r="K529" t="n">
        <v>0</v>
      </c>
      <c r="L529" t="n">
        <v>0</v>
      </c>
      <c r="M529" t="n">
        <v>0</v>
      </c>
      <c r="N529" t="n">
        <v>0</v>
      </c>
      <c r="O529" t="n">
        <v>0</v>
      </c>
      <c r="P529" t="n">
        <v>0</v>
      </c>
      <c r="Q529" t="n">
        <v>0</v>
      </c>
      <c r="R529" s="2" t="inlineStr"/>
    </row>
    <row r="530" ht="15" customHeight="1">
      <c r="A530" t="inlineStr">
        <is>
          <t>A 3452-2023</t>
        </is>
      </c>
      <c r="B530" s="1" t="n">
        <v>44949</v>
      </c>
      <c r="C530" s="1" t="n">
        <v>45999</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12344-2023</t>
        </is>
      </c>
      <c r="B531" s="1" t="n">
        <v>44999</v>
      </c>
      <c r="C531" s="1" t="n">
        <v>45999</v>
      </c>
      <c r="D531" t="inlineStr">
        <is>
          <t>SKÅNE LÄN</t>
        </is>
      </c>
      <c r="E531" t="inlineStr">
        <is>
          <t>HÄSSLEHOLM</t>
        </is>
      </c>
      <c r="G531" t="n">
        <v>2.4</v>
      </c>
      <c r="H531" t="n">
        <v>0</v>
      </c>
      <c r="I531" t="n">
        <v>0</v>
      </c>
      <c r="J531" t="n">
        <v>0</v>
      </c>
      <c r="K531" t="n">
        <v>0</v>
      </c>
      <c r="L531" t="n">
        <v>0</v>
      </c>
      <c r="M531" t="n">
        <v>0</v>
      </c>
      <c r="N531" t="n">
        <v>0</v>
      </c>
      <c r="O531" t="n">
        <v>0</v>
      </c>
      <c r="P531" t="n">
        <v>0</v>
      </c>
      <c r="Q531" t="n">
        <v>0</v>
      </c>
      <c r="R531" s="2" t="inlineStr"/>
    </row>
    <row r="532" ht="15" customHeight="1">
      <c r="A532" t="inlineStr">
        <is>
          <t>A 58272-2024</t>
        </is>
      </c>
      <c r="B532" s="1" t="n">
        <v>45632.57025462963</v>
      </c>
      <c r="C532" s="1" t="n">
        <v>45999</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2596-2024</t>
        </is>
      </c>
      <c r="B533" s="1" t="n">
        <v>45313.69969907407</v>
      </c>
      <c r="C533" s="1" t="n">
        <v>45999</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2681-2024</t>
        </is>
      </c>
      <c r="B534" s="1" t="n">
        <v>45314</v>
      </c>
      <c r="C534" s="1" t="n">
        <v>45999</v>
      </c>
      <c r="D534" t="inlineStr">
        <is>
          <t>SKÅNE LÄN</t>
        </is>
      </c>
      <c r="E534" t="inlineStr">
        <is>
          <t>HÄSSLEHOLM</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4187-2023</t>
        </is>
      </c>
      <c r="B535" s="1" t="n">
        <v>44953</v>
      </c>
      <c r="C535" s="1" t="n">
        <v>45999</v>
      </c>
      <c r="D535" t="inlineStr">
        <is>
          <t>SKÅNE LÄN</t>
        </is>
      </c>
      <c r="E535" t="inlineStr">
        <is>
          <t>HÄSSLEHOLM</t>
        </is>
      </c>
      <c r="G535" t="n">
        <v>3.2</v>
      </c>
      <c r="H535" t="n">
        <v>0</v>
      </c>
      <c r="I535" t="n">
        <v>0</v>
      </c>
      <c r="J535" t="n">
        <v>0</v>
      </c>
      <c r="K535" t="n">
        <v>0</v>
      </c>
      <c r="L535" t="n">
        <v>0</v>
      </c>
      <c r="M535" t="n">
        <v>0</v>
      </c>
      <c r="N535" t="n">
        <v>0</v>
      </c>
      <c r="O535" t="n">
        <v>0</v>
      </c>
      <c r="P535" t="n">
        <v>0</v>
      </c>
      <c r="Q535" t="n">
        <v>0</v>
      </c>
      <c r="R535" s="2" t="inlineStr"/>
    </row>
    <row r="536" ht="15" customHeight="1">
      <c r="A536" t="inlineStr">
        <is>
          <t>A 4382-2023</t>
        </is>
      </c>
      <c r="B536" s="1" t="n">
        <v>44955.61152777778</v>
      </c>
      <c r="C536" s="1" t="n">
        <v>45999</v>
      </c>
      <c r="D536" t="inlineStr">
        <is>
          <t>SKÅNE LÄN</t>
        </is>
      </c>
      <c r="E536" t="inlineStr">
        <is>
          <t>HÄSSLEHOLM</t>
        </is>
      </c>
      <c r="G536" t="n">
        <v>0.3</v>
      </c>
      <c r="H536" t="n">
        <v>0</v>
      </c>
      <c r="I536" t="n">
        <v>0</v>
      </c>
      <c r="J536" t="n">
        <v>0</v>
      </c>
      <c r="K536" t="n">
        <v>0</v>
      </c>
      <c r="L536" t="n">
        <v>0</v>
      </c>
      <c r="M536" t="n">
        <v>0</v>
      </c>
      <c r="N536" t="n">
        <v>0</v>
      </c>
      <c r="O536" t="n">
        <v>0</v>
      </c>
      <c r="P536" t="n">
        <v>0</v>
      </c>
      <c r="Q536" t="n">
        <v>0</v>
      </c>
      <c r="R536" s="2" t="inlineStr"/>
    </row>
    <row r="537" ht="15" customHeight="1">
      <c r="A537" t="inlineStr">
        <is>
          <t>A 31391-2023</t>
        </is>
      </c>
      <c r="B537" s="1" t="n">
        <v>45114.56143518518</v>
      </c>
      <c r="C537" s="1" t="n">
        <v>45999</v>
      </c>
      <c r="D537" t="inlineStr">
        <is>
          <t>SKÅNE LÄN</t>
        </is>
      </c>
      <c r="E537" t="inlineStr">
        <is>
          <t>HÄSSLEHOLM</t>
        </is>
      </c>
      <c r="G537" t="n">
        <v>3.1</v>
      </c>
      <c r="H537" t="n">
        <v>0</v>
      </c>
      <c r="I537" t="n">
        <v>0</v>
      </c>
      <c r="J537" t="n">
        <v>0</v>
      </c>
      <c r="K537" t="n">
        <v>0</v>
      </c>
      <c r="L537" t="n">
        <v>0</v>
      </c>
      <c r="M537" t="n">
        <v>0</v>
      </c>
      <c r="N537" t="n">
        <v>0</v>
      </c>
      <c r="O537" t="n">
        <v>0</v>
      </c>
      <c r="P537" t="n">
        <v>0</v>
      </c>
      <c r="Q537" t="n">
        <v>0</v>
      </c>
      <c r="R537" s="2" t="inlineStr"/>
    </row>
    <row r="538" ht="15" customHeight="1">
      <c r="A538" t="inlineStr">
        <is>
          <t>A 45361-2023</t>
        </is>
      </c>
      <c r="B538" s="1" t="n">
        <v>45192.49068287037</v>
      </c>
      <c r="C538" s="1" t="n">
        <v>45999</v>
      </c>
      <c r="D538" t="inlineStr">
        <is>
          <t>SKÅNE LÄN</t>
        </is>
      </c>
      <c r="E538" t="inlineStr">
        <is>
          <t>HÄSSLEHOLM</t>
        </is>
      </c>
      <c r="G538" t="n">
        <v>1.9</v>
      </c>
      <c r="H538" t="n">
        <v>0</v>
      </c>
      <c r="I538" t="n">
        <v>0</v>
      </c>
      <c r="J538" t="n">
        <v>0</v>
      </c>
      <c r="K538" t="n">
        <v>0</v>
      </c>
      <c r="L538" t="n">
        <v>0</v>
      </c>
      <c r="M538" t="n">
        <v>0</v>
      </c>
      <c r="N538" t="n">
        <v>0</v>
      </c>
      <c r="O538" t="n">
        <v>0</v>
      </c>
      <c r="P538" t="n">
        <v>0</v>
      </c>
      <c r="Q538" t="n">
        <v>0</v>
      </c>
      <c r="R538" s="2" t="inlineStr"/>
    </row>
    <row r="539" ht="15" customHeight="1">
      <c r="A539" t="inlineStr">
        <is>
          <t>A 45220-2023</t>
        </is>
      </c>
      <c r="B539" s="1" t="n">
        <v>45191</v>
      </c>
      <c r="C539" s="1" t="n">
        <v>45999</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38712-2024</t>
        </is>
      </c>
      <c r="B540" s="1" t="n">
        <v>45547</v>
      </c>
      <c r="C540" s="1" t="n">
        <v>45999</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57647-2024</t>
        </is>
      </c>
      <c r="B541" s="1" t="n">
        <v>45630</v>
      </c>
      <c r="C541" s="1" t="n">
        <v>45999</v>
      </c>
      <c r="D541" t="inlineStr">
        <is>
          <t>SKÅNE LÄN</t>
        </is>
      </c>
      <c r="E541" t="inlineStr">
        <is>
          <t>HÄSSLEHOLM</t>
        </is>
      </c>
      <c r="G541" t="n">
        <v>2.9</v>
      </c>
      <c r="H541" t="n">
        <v>0</v>
      </c>
      <c r="I541" t="n">
        <v>0</v>
      </c>
      <c r="J541" t="n">
        <v>0</v>
      </c>
      <c r="K541" t="n">
        <v>0</v>
      </c>
      <c r="L541" t="n">
        <v>0</v>
      </c>
      <c r="M541" t="n">
        <v>0</v>
      </c>
      <c r="N541" t="n">
        <v>0</v>
      </c>
      <c r="O541" t="n">
        <v>0</v>
      </c>
      <c r="P541" t="n">
        <v>0</v>
      </c>
      <c r="Q541" t="n">
        <v>0</v>
      </c>
      <c r="R541" s="2" t="inlineStr"/>
    </row>
    <row r="542" ht="15" customHeight="1">
      <c r="A542" t="inlineStr">
        <is>
          <t>A 61182-2024</t>
        </is>
      </c>
      <c r="B542" s="1" t="n">
        <v>45645</v>
      </c>
      <c r="C542" s="1" t="n">
        <v>45999</v>
      </c>
      <c r="D542" t="inlineStr">
        <is>
          <t>SKÅNE LÄN</t>
        </is>
      </c>
      <c r="E542" t="inlineStr">
        <is>
          <t>HÄSSLEHOLM</t>
        </is>
      </c>
      <c r="G542" t="n">
        <v>3.2</v>
      </c>
      <c r="H542" t="n">
        <v>0</v>
      </c>
      <c r="I542" t="n">
        <v>0</v>
      </c>
      <c r="J542" t="n">
        <v>0</v>
      </c>
      <c r="K542" t="n">
        <v>0</v>
      </c>
      <c r="L542" t="n">
        <v>0</v>
      </c>
      <c r="M542" t="n">
        <v>0</v>
      </c>
      <c r="N542" t="n">
        <v>0</v>
      </c>
      <c r="O542" t="n">
        <v>0</v>
      </c>
      <c r="P542" t="n">
        <v>0</v>
      </c>
      <c r="Q542" t="n">
        <v>0</v>
      </c>
      <c r="R542" s="2" t="inlineStr"/>
    </row>
    <row r="543" ht="15" customHeight="1">
      <c r="A543" t="inlineStr">
        <is>
          <t>A 49107-2023</t>
        </is>
      </c>
      <c r="B543" s="1" t="n">
        <v>45210.44337962963</v>
      </c>
      <c r="C543" s="1" t="n">
        <v>45999</v>
      </c>
      <c r="D543" t="inlineStr">
        <is>
          <t>SKÅNE LÄN</t>
        </is>
      </c>
      <c r="E543" t="inlineStr">
        <is>
          <t>HÄSSLEHOLM</t>
        </is>
      </c>
      <c r="G543" t="n">
        <v>0.3</v>
      </c>
      <c r="H543" t="n">
        <v>0</v>
      </c>
      <c r="I543" t="n">
        <v>0</v>
      </c>
      <c r="J543" t="n">
        <v>0</v>
      </c>
      <c r="K543" t="n">
        <v>0</v>
      </c>
      <c r="L543" t="n">
        <v>0</v>
      </c>
      <c r="M543" t="n">
        <v>0</v>
      </c>
      <c r="N543" t="n">
        <v>0</v>
      </c>
      <c r="O543" t="n">
        <v>0</v>
      </c>
      <c r="P543" t="n">
        <v>0</v>
      </c>
      <c r="Q543" t="n">
        <v>0</v>
      </c>
      <c r="R543" s="2" t="inlineStr"/>
    </row>
    <row r="544" ht="15" customHeight="1">
      <c r="A544" t="inlineStr">
        <is>
          <t>A 5282-2023</t>
        </is>
      </c>
      <c r="B544" s="1" t="n">
        <v>44959.50471064815</v>
      </c>
      <c r="C544" s="1" t="n">
        <v>45999</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6180-2021</t>
        </is>
      </c>
      <c r="B545" s="1" t="n">
        <v>44232</v>
      </c>
      <c r="C545" s="1" t="n">
        <v>45999</v>
      </c>
      <c r="D545" t="inlineStr">
        <is>
          <t>SKÅNE LÄN</t>
        </is>
      </c>
      <c r="E545" t="inlineStr">
        <is>
          <t>HÄSSLEHOLM</t>
        </is>
      </c>
      <c r="F545" t="inlineStr">
        <is>
          <t>Kyrkan</t>
        </is>
      </c>
      <c r="G545" t="n">
        <v>1.1</v>
      </c>
      <c r="H545" t="n">
        <v>0</v>
      </c>
      <c r="I545" t="n">
        <v>0</v>
      </c>
      <c r="J545" t="n">
        <v>0</v>
      </c>
      <c r="K545" t="n">
        <v>0</v>
      </c>
      <c r="L545" t="n">
        <v>0</v>
      </c>
      <c r="M545" t="n">
        <v>0</v>
      </c>
      <c r="N545" t="n">
        <v>0</v>
      </c>
      <c r="O545" t="n">
        <v>0</v>
      </c>
      <c r="P545" t="n">
        <v>0</v>
      </c>
      <c r="Q545" t="n">
        <v>0</v>
      </c>
      <c r="R545" s="2" t="inlineStr"/>
    </row>
    <row r="546" ht="15" customHeight="1">
      <c r="A546" t="inlineStr">
        <is>
          <t>A 53897-2023</t>
        </is>
      </c>
      <c r="B546" s="1" t="n">
        <v>45231.53934027778</v>
      </c>
      <c r="C546" s="1" t="n">
        <v>45999</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13990-2022</t>
        </is>
      </c>
      <c r="B547" s="1" t="n">
        <v>44650</v>
      </c>
      <c r="C547" s="1" t="n">
        <v>45999</v>
      </c>
      <c r="D547" t="inlineStr">
        <is>
          <t>SKÅNE LÄN</t>
        </is>
      </c>
      <c r="E547" t="inlineStr">
        <is>
          <t>HÄSSLEHOLM</t>
        </is>
      </c>
      <c r="G547" t="n">
        <v>3.6</v>
      </c>
      <c r="H547" t="n">
        <v>0</v>
      </c>
      <c r="I547" t="n">
        <v>0</v>
      </c>
      <c r="J547" t="n">
        <v>0</v>
      </c>
      <c r="K547" t="n">
        <v>0</v>
      </c>
      <c r="L547" t="n">
        <v>0</v>
      </c>
      <c r="M547" t="n">
        <v>0</v>
      </c>
      <c r="N547" t="n">
        <v>0</v>
      </c>
      <c r="O547" t="n">
        <v>0</v>
      </c>
      <c r="P547" t="n">
        <v>0</v>
      </c>
      <c r="Q547" t="n">
        <v>0</v>
      </c>
      <c r="R547" s="2" t="inlineStr"/>
    </row>
    <row r="548" ht="15" customHeight="1">
      <c r="A548" t="inlineStr">
        <is>
          <t>A 20990-2023</t>
        </is>
      </c>
      <c r="B548" s="1" t="n">
        <v>45061.46186342592</v>
      </c>
      <c r="C548" s="1" t="n">
        <v>45999</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2567-2024</t>
        </is>
      </c>
      <c r="B549" s="1" t="n">
        <v>45313.62460648148</v>
      </c>
      <c r="C549" s="1" t="n">
        <v>45999</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25219-2023</t>
        </is>
      </c>
      <c r="B550" s="1" t="n">
        <v>45086.60541666667</v>
      </c>
      <c r="C550" s="1" t="n">
        <v>45999</v>
      </c>
      <c r="D550" t="inlineStr">
        <is>
          <t>SKÅNE LÄN</t>
        </is>
      </c>
      <c r="E550" t="inlineStr">
        <is>
          <t>HÄSSLEHOLM</t>
        </is>
      </c>
      <c r="G550" t="n">
        <v>6.9</v>
      </c>
      <c r="H550" t="n">
        <v>0</v>
      </c>
      <c r="I550" t="n">
        <v>0</v>
      </c>
      <c r="J550" t="n">
        <v>0</v>
      </c>
      <c r="K550" t="n">
        <v>0</v>
      </c>
      <c r="L550" t="n">
        <v>0</v>
      </c>
      <c r="M550" t="n">
        <v>0</v>
      </c>
      <c r="N550" t="n">
        <v>0</v>
      </c>
      <c r="O550" t="n">
        <v>0</v>
      </c>
      <c r="P550" t="n">
        <v>0</v>
      </c>
      <c r="Q550" t="n">
        <v>0</v>
      </c>
      <c r="R550" s="2" t="inlineStr"/>
    </row>
    <row r="551" ht="15" customHeight="1">
      <c r="A551" t="inlineStr">
        <is>
          <t>A 9302-2025</t>
        </is>
      </c>
      <c r="B551" s="1" t="n">
        <v>45714.67233796296</v>
      </c>
      <c r="C551" s="1" t="n">
        <v>45999</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9322-2025</t>
        </is>
      </c>
      <c r="B552" s="1" t="n">
        <v>45714.72241898148</v>
      </c>
      <c r="C552" s="1" t="n">
        <v>45999</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22696-2023</t>
        </is>
      </c>
      <c r="B553" s="1" t="n">
        <v>45071.69464120371</v>
      </c>
      <c r="C553" s="1" t="n">
        <v>45999</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33873-2021</t>
        </is>
      </c>
      <c r="B554" s="1" t="n">
        <v>44378</v>
      </c>
      <c r="C554" s="1" t="n">
        <v>45999</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37300-2023</t>
        </is>
      </c>
      <c r="B555" s="1" t="n">
        <v>45156</v>
      </c>
      <c r="C555" s="1" t="n">
        <v>45999</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34348-2022</t>
        </is>
      </c>
      <c r="B556" s="1" t="n">
        <v>44792</v>
      </c>
      <c r="C556" s="1" t="n">
        <v>45999</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6836-2023</t>
        </is>
      </c>
      <c r="B557" s="1" t="n">
        <v>44967</v>
      </c>
      <c r="C557" s="1" t="n">
        <v>45999</v>
      </c>
      <c r="D557" t="inlineStr">
        <is>
          <t>SKÅNE LÄN</t>
        </is>
      </c>
      <c r="E557" t="inlineStr">
        <is>
          <t>HÄSSLEHOLM</t>
        </is>
      </c>
      <c r="G557" t="n">
        <v>3.5</v>
      </c>
      <c r="H557" t="n">
        <v>0</v>
      </c>
      <c r="I557" t="n">
        <v>0</v>
      </c>
      <c r="J557" t="n">
        <v>0</v>
      </c>
      <c r="K557" t="n">
        <v>0</v>
      </c>
      <c r="L557" t="n">
        <v>0</v>
      </c>
      <c r="M557" t="n">
        <v>0</v>
      </c>
      <c r="N557" t="n">
        <v>0</v>
      </c>
      <c r="O557" t="n">
        <v>0</v>
      </c>
      <c r="P557" t="n">
        <v>0</v>
      </c>
      <c r="Q557" t="n">
        <v>0</v>
      </c>
      <c r="R557" s="2" t="inlineStr"/>
    </row>
    <row r="558" ht="15" customHeight="1">
      <c r="A558" t="inlineStr">
        <is>
          <t>A 31931-2024</t>
        </is>
      </c>
      <c r="B558" s="1" t="n">
        <v>45510.40878472223</v>
      </c>
      <c r="C558" s="1" t="n">
        <v>45999</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8803-2023</t>
        </is>
      </c>
      <c r="B559" s="1" t="n">
        <v>44978.61712962963</v>
      </c>
      <c r="C559" s="1" t="n">
        <v>45999</v>
      </c>
      <c r="D559" t="inlineStr">
        <is>
          <t>SKÅNE LÄN</t>
        </is>
      </c>
      <c r="E559" t="inlineStr">
        <is>
          <t>HÄSSLEHOLM</t>
        </is>
      </c>
      <c r="G559" t="n">
        <v>1.1</v>
      </c>
      <c r="H559" t="n">
        <v>0</v>
      </c>
      <c r="I559" t="n">
        <v>0</v>
      </c>
      <c r="J559" t="n">
        <v>0</v>
      </c>
      <c r="K559" t="n">
        <v>0</v>
      </c>
      <c r="L559" t="n">
        <v>0</v>
      </c>
      <c r="M559" t="n">
        <v>0</v>
      </c>
      <c r="N559" t="n">
        <v>0</v>
      </c>
      <c r="O559" t="n">
        <v>0</v>
      </c>
      <c r="P559" t="n">
        <v>0</v>
      </c>
      <c r="Q559" t="n">
        <v>0</v>
      </c>
      <c r="R559" s="2" t="inlineStr"/>
    </row>
    <row r="560" ht="15" customHeight="1">
      <c r="A560" t="inlineStr">
        <is>
          <t>A 11681-2023</t>
        </is>
      </c>
      <c r="B560" s="1" t="n">
        <v>44992</v>
      </c>
      <c r="C560" s="1" t="n">
        <v>45999</v>
      </c>
      <c r="D560" t="inlineStr">
        <is>
          <t>SKÅNE LÄN</t>
        </is>
      </c>
      <c r="E560" t="inlineStr">
        <is>
          <t>HÄSSLEHOLM</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46222-2022</t>
        </is>
      </c>
      <c r="B561" s="1" t="n">
        <v>44847.58725694445</v>
      </c>
      <c r="C561" s="1" t="n">
        <v>45999</v>
      </c>
      <c r="D561" t="inlineStr">
        <is>
          <t>SKÅNE LÄN</t>
        </is>
      </c>
      <c r="E561" t="inlineStr">
        <is>
          <t>HÄSSLEHOLM</t>
        </is>
      </c>
      <c r="G561" t="n">
        <v>6.3</v>
      </c>
      <c r="H561" t="n">
        <v>0</v>
      </c>
      <c r="I561" t="n">
        <v>0</v>
      </c>
      <c r="J561" t="n">
        <v>0</v>
      </c>
      <c r="K561" t="n">
        <v>0</v>
      </c>
      <c r="L561" t="n">
        <v>0</v>
      </c>
      <c r="M561" t="n">
        <v>0</v>
      </c>
      <c r="N561" t="n">
        <v>0</v>
      </c>
      <c r="O561" t="n">
        <v>0</v>
      </c>
      <c r="P561" t="n">
        <v>0</v>
      </c>
      <c r="Q561" t="n">
        <v>0</v>
      </c>
      <c r="R561" s="2" t="inlineStr"/>
    </row>
    <row r="562" ht="15" customHeight="1">
      <c r="A562" t="inlineStr">
        <is>
          <t>A 39915-2023</t>
        </is>
      </c>
      <c r="B562" s="1" t="n">
        <v>45168.4684375</v>
      </c>
      <c r="C562" s="1" t="n">
        <v>45999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50249-2024</t>
        </is>
      </c>
      <c r="B563" s="1" t="n">
        <v>45600.56866898148</v>
      </c>
      <c r="C563" s="1" t="n">
        <v>45999</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60843-2022</t>
        </is>
      </c>
      <c r="B564" s="1" t="n">
        <v>44914</v>
      </c>
      <c r="C564" s="1" t="n">
        <v>45999</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51040-2024</t>
        </is>
      </c>
      <c r="B565" s="1" t="n">
        <v>45603.43222222223</v>
      </c>
      <c r="C565" s="1" t="n">
        <v>45999</v>
      </c>
      <c r="D565" t="inlineStr">
        <is>
          <t>SKÅNE LÄN</t>
        </is>
      </c>
      <c r="E565" t="inlineStr">
        <is>
          <t>HÄSSLEHOLM</t>
        </is>
      </c>
      <c r="G565" t="n">
        <v>2.7</v>
      </c>
      <c r="H565" t="n">
        <v>0</v>
      </c>
      <c r="I565" t="n">
        <v>0</v>
      </c>
      <c r="J565" t="n">
        <v>0</v>
      </c>
      <c r="K565" t="n">
        <v>0</v>
      </c>
      <c r="L565" t="n">
        <v>0</v>
      </c>
      <c r="M565" t="n">
        <v>0</v>
      </c>
      <c r="N565" t="n">
        <v>0</v>
      </c>
      <c r="O565" t="n">
        <v>0</v>
      </c>
      <c r="P565" t="n">
        <v>0</v>
      </c>
      <c r="Q565" t="n">
        <v>0</v>
      </c>
      <c r="R565" s="2" t="inlineStr"/>
    </row>
    <row r="566" ht="15" customHeight="1">
      <c r="A566" t="inlineStr">
        <is>
          <t>A 56881-2021</t>
        </is>
      </c>
      <c r="B566" s="1" t="n">
        <v>44481</v>
      </c>
      <c r="C566" s="1" t="n">
        <v>45999</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29994-2023</t>
        </is>
      </c>
      <c r="B567" s="1" t="n">
        <v>45109.60038194444</v>
      </c>
      <c r="C567" s="1" t="n">
        <v>45999</v>
      </c>
      <c r="D567" t="inlineStr">
        <is>
          <t>SKÅNE LÄN</t>
        </is>
      </c>
      <c r="E567" t="inlineStr">
        <is>
          <t>HÄSSLEHOLM</t>
        </is>
      </c>
      <c r="G567" t="n">
        <v>2.8</v>
      </c>
      <c r="H567" t="n">
        <v>0</v>
      </c>
      <c r="I567" t="n">
        <v>0</v>
      </c>
      <c r="J567" t="n">
        <v>0</v>
      </c>
      <c r="K567" t="n">
        <v>0</v>
      </c>
      <c r="L567" t="n">
        <v>0</v>
      </c>
      <c r="M567" t="n">
        <v>0</v>
      </c>
      <c r="N567" t="n">
        <v>0</v>
      </c>
      <c r="O567" t="n">
        <v>0</v>
      </c>
      <c r="P567" t="n">
        <v>0</v>
      </c>
      <c r="Q567" t="n">
        <v>0</v>
      </c>
      <c r="R567" s="2" t="inlineStr"/>
    </row>
    <row r="568" ht="15" customHeight="1">
      <c r="A568" t="inlineStr">
        <is>
          <t>A 20872-2025</t>
        </is>
      </c>
      <c r="B568" s="1" t="n">
        <v>45777.34688657407</v>
      </c>
      <c r="C568" s="1" t="n">
        <v>45999</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62044-2022</t>
        </is>
      </c>
      <c r="B569" s="1" t="n">
        <v>44918.55976851852</v>
      </c>
      <c r="C569" s="1" t="n">
        <v>45999</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35890-2023</t>
        </is>
      </c>
      <c r="B570" s="1" t="n">
        <v>45148</v>
      </c>
      <c r="C570" s="1" t="n">
        <v>45999</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35895-2023</t>
        </is>
      </c>
      <c r="B571" s="1" t="n">
        <v>45148</v>
      </c>
      <c r="C571" s="1" t="n">
        <v>45999</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45653-2024</t>
        </is>
      </c>
      <c r="B572" s="1" t="n">
        <v>45579.48872685185</v>
      </c>
      <c r="C572" s="1" t="n">
        <v>45999</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56956-2024</t>
        </is>
      </c>
      <c r="B573" s="1" t="n">
        <v>45626</v>
      </c>
      <c r="C573" s="1" t="n">
        <v>45999</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6164-2023</t>
        </is>
      </c>
      <c r="B574" s="1" t="n">
        <v>44964.66871527778</v>
      </c>
      <c r="C574" s="1" t="n">
        <v>45999</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4750-2024</t>
        </is>
      </c>
      <c r="B575" s="1" t="n">
        <v>45328</v>
      </c>
      <c r="C575" s="1" t="n">
        <v>45999</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45392-2024</t>
        </is>
      </c>
      <c r="B576" s="1" t="n">
        <v>45576.55008101852</v>
      </c>
      <c r="C576" s="1" t="n">
        <v>45999</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20187-2023</t>
        </is>
      </c>
      <c r="B577" s="1" t="n">
        <v>45055.57027777778</v>
      </c>
      <c r="C577" s="1" t="n">
        <v>45999</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1543-2024</t>
        </is>
      </c>
      <c r="B578" s="1" t="n">
        <v>45306</v>
      </c>
      <c r="C578" s="1" t="n">
        <v>45999</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23956-2023</t>
        </is>
      </c>
      <c r="B579" s="1" t="n">
        <v>45078.62302083334</v>
      </c>
      <c r="C579" s="1" t="n">
        <v>45999</v>
      </c>
      <c r="D579" t="inlineStr">
        <is>
          <t>SKÅNE LÄN</t>
        </is>
      </c>
      <c r="E579" t="inlineStr">
        <is>
          <t>HÄSSLEHOLM</t>
        </is>
      </c>
      <c r="G579" t="n">
        <v>0.1</v>
      </c>
      <c r="H579" t="n">
        <v>0</v>
      </c>
      <c r="I579" t="n">
        <v>0</v>
      </c>
      <c r="J579" t="n">
        <v>0</v>
      </c>
      <c r="K579" t="n">
        <v>0</v>
      </c>
      <c r="L579" t="n">
        <v>0</v>
      </c>
      <c r="M579" t="n">
        <v>0</v>
      </c>
      <c r="N579" t="n">
        <v>0</v>
      </c>
      <c r="O579" t="n">
        <v>0</v>
      </c>
      <c r="P579" t="n">
        <v>0</v>
      </c>
      <c r="Q579" t="n">
        <v>0</v>
      </c>
      <c r="R579" s="2" t="inlineStr"/>
    </row>
    <row r="580" ht="15" customHeight="1">
      <c r="A580" t="inlineStr">
        <is>
          <t>A 37318-2024</t>
        </is>
      </c>
      <c r="B580" s="1" t="n">
        <v>45540</v>
      </c>
      <c r="C580" s="1" t="n">
        <v>45999</v>
      </c>
      <c r="D580" t="inlineStr">
        <is>
          <t>SKÅNE LÄN</t>
        </is>
      </c>
      <c r="E580" t="inlineStr">
        <is>
          <t>HÄSSLEHOLM</t>
        </is>
      </c>
      <c r="G580" t="n">
        <v>3.9</v>
      </c>
      <c r="H580" t="n">
        <v>0</v>
      </c>
      <c r="I580" t="n">
        <v>0</v>
      </c>
      <c r="J580" t="n">
        <v>0</v>
      </c>
      <c r="K580" t="n">
        <v>0</v>
      </c>
      <c r="L580" t="n">
        <v>0</v>
      </c>
      <c r="M580" t="n">
        <v>0</v>
      </c>
      <c r="N580" t="n">
        <v>0</v>
      </c>
      <c r="O580" t="n">
        <v>0</v>
      </c>
      <c r="P580" t="n">
        <v>0</v>
      </c>
      <c r="Q580" t="n">
        <v>0</v>
      </c>
      <c r="R580" s="2" t="inlineStr"/>
    </row>
    <row r="581" ht="15" customHeight="1">
      <c r="A581" t="inlineStr">
        <is>
          <t>A 58891-2022</t>
        </is>
      </c>
      <c r="B581" s="1" t="n">
        <v>44896</v>
      </c>
      <c r="C581" s="1" t="n">
        <v>45999</v>
      </c>
      <c r="D581" t="inlineStr">
        <is>
          <t>SKÅNE LÄN</t>
        </is>
      </c>
      <c r="E581" t="inlineStr">
        <is>
          <t>HÄSSLEHOLM</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37324-2024</t>
        </is>
      </c>
      <c r="B582" s="1" t="n">
        <v>45540.50104166667</v>
      </c>
      <c r="C582" s="1" t="n">
        <v>45999</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37038-2022</t>
        </is>
      </c>
      <c r="B583" s="1" t="n">
        <v>44806.44232638889</v>
      </c>
      <c r="C583" s="1" t="n">
        <v>45999</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25176-2024</t>
        </is>
      </c>
      <c r="B584" s="1" t="n">
        <v>45462.54582175926</v>
      </c>
      <c r="C584" s="1" t="n">
        <v>45999</v>
      </c>
      <c r="D584" t="inlineStr">
        <is>
          <t>SKÅNE LÄN</t>
        </is>
      </c>
      <c r="E584" t="inlineStr">
        <is>
          <t>HÄSSLEHOLM</t>
        </is>
      </c>
      <c r="G584" t="n">
        <v>3.8</v>
      </c>
      <c r="H584" t="n">
        <v>0</v>
      </c>
      <c r="I584" t="n">
        <v>0</v>
      </c>
      <c r="J584" t="n">
        <v>0</v>
      </c>
      <c r="K584" t="n">
        <v>0</v>
      </c>
      <c r="L584" t="n">
        <v>0</v>
      </c>
      <c r="M584" t="n">
        <v>0</v>
      </c>
      <c r="N584" t="n">
        <v>0</v>
      </c>
      <c r="O584" t="n">
        <v>0</v>
      </c>
      <c r="P584" t="n">
        <v>0</v>
      </c>
      <c r="Q584" t="n">
        <v>0</v>
      </c>
      <c r="R584" s="2" t="inlineStr"/>
    </row>
    <row r="585" ht="15" customHeight="1">
      <c r="A585" t="inlineStr">
        <is>
          <t>A 11708-2025</t>
        </is>
      </c>
      <c r="B585" s="1" t="n">
        <v>45727.58626157408</v>
      </c>
      <c r="C585" s="1" t="n">
        <v>45999</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16454-2023</t>
        </is>
      </c>
      <c r="B586" s="1" t="n">
        <v>45029.48425925926</v>
      </c>
      <c r="C586" s="1" t="n">
        <v>45999</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31572-2022</t>
        </is>
      </c>
      <c r="B587" s="1" t="n">
        <v>44775</v>
      </c>
      <c r="C587" s="1" t="n">
        <v>45999</v>
      </c>
      <c r="D587" t="inlineStr">
        <is>
          <t>SKÅNE LÄN</t>
        </is>
      </c>
      <c r="E587" t="inlineStr">
        <is>
          <t>HÄSSLEHOLM</t>
        </is>
      </c>
      <c r="F587" t="inlineStr">
        <is>
          <t>Kommuner</t>
        </is>
      </c>
      <c r="G587" t="n">
        <v>1.2</v>
      </c>
      <c r="H587" t="n">
        <v>0</v>
      </c>
      <c r="I587" t="n">
        <v>0</v>
      </c>
      <c r="J587" t="n">
        <v>0</v>
      </c>
      <c r="K587" t="n">
        <v>0</v>
      </c>
      <c r="L587" t="n">
        <v>0</v>
      </c>
      <c r="M587" t="n">
        <v>0</v>
      </c>
      <c r="N587" t="n">
        <v>0</v>
      </c>
      <c r="O587" t="n">
        <v>0</v>
      </c>
      <c r="P587" t="n">
        <v>0</v>
      </c>
      <c r="Q587" t="n">
        <v>0</v>
      </c>
      <c r="R587" s="2" t="inlineStr"/>
    </row>
    <row r="588" ht="15" customHeight="1">
      <c r="A588" t="inlineStr">
        <is>
          <t>A 70087-2021</t>
        </is>
      </c>
      <c r="B588" s="1" t="n">
        <v>44533</v>
      </c>
      <c r="C588" s="1" t="n">
        <v>45999</v>
      </c>
      <c r="D588" t="inlineStr">
        <is>
          <t>SKÅNE LÄN</t>
        </is>
      </c>
      <c r="E588" t="inlineStr">
        <is>
          <t>HÄSSLEHOLM</t>
        </is>
      </c>
      <c r="G588" t="n">
        <v>5</v>
      </c>
      <c r="H588" t="n">
        <v>0</v>
      </c>
      <c r="I588" t="n">
        <v>0</v>
      </c>
      <c r="J588" t="n">
        <v>0</v>
      </c>
      <c r="K588" t="n">
        <v>0</v>
      </c>
      <c r="L588" t="n">
        <v>0</v>
      </c>
      <c r="M588" t="n">
        <v>0</v>
      </c>
      <c r="N588" t="n">
        <v>0</v>
      </c>
      <c r="O588" t="n">
        <v>0</v>
      </c>
      <c r="P588" t="n">
        <v>0</v>
      </c>
      <c r="Q588" t="n">
        <v>0</v>
      </c>
      <c r="R588" s="2" t="inlineStr"/>
    </row>
    <row r="589" ht="15" customHeight="1">
      <c r="A589" t="inlineStr">
        <is>
          <t>A 48112-2024</t>
        </is>
      </c>
      <c r="B589" s="1" t="n">
        <v>45589.6295949074</v>
      </c>
      <c r="C589" s="1" t="n">
        <v>45999</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21091-2025</t>
        </is>
      </c>
      <c r="B590" s="1" t="n">
        <v>45777</v>
      </c>
      <c r="C590" s="1" t="n">
        <v>45999</v>
      </c>
      <c r="D590" t="inlineStr">
        <is>
          <t>SKÅNE LÄN</t>
        </is>
      </c>
      <c r="E590" t="inlineStr">
        <is>
          <t>HÄSSLEHOLM</t>
        </is>
      </c>
      <c r="G590" t="n">
        <v>3.4</v>
      </c>
      <c r="H590" t="n">
        <v>0</v>
      </c>
      <c r="I590" t="n">
        <v>0</v>
      </c>
      <c r="J590" t="n">
        <v>0</v>
      </c>
      <c r="K590" t="n">
        <v>0</v>
      </c>
      <c r="L590" t="n">
        <v>0</v>
      </c>
      <c r="M590" t="n">
        <v>0</v>
      </c>
      <c r="N590" t="n">
        <v>0</v>
      </c>
      <c r="O590" t="n">
        <v>0</v>
      </c>
      <c r="P590" t="n">
        <v>0</v>
      </c>
      <c r="Q590" t="n">
        <v>0</v>
      </c>
      <c r="R590" s="2" t="inlineStr"/>
    </row>
    <row r="591" ht="15" customHeight="1">
      <c r="A591" t="inlineStr">
        <is>
          <t>A 9375-2023</t>
        </is>
      </c>
      <c r="B591" s="1" t="n">
        <v>44981</v>
      </c>
      <c r="C591" s="1" t="n">
        <v>45999</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21206-2025</t>
        </is>
      </c>
      <c r="B592" s="1" t="n">
        <v>45779.48318287037</v>
      </c>
      <c r="C592" s="1" t="n">
        <v>45999</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29287-2023</t>
        </is>
      </c>
      <c r="B593" s="1" t="n">
        <v>45098</v>
      </c>
      <c r="C593" s="1" t="n">
        <v>45999</v>
      </c>
      <c r="D593" t="inlineStr">
        <is>
          <t>SKÅNE LÄN</t>
        </is>
      </c>
      <c r="E593" t="inlineStr">
        <is>
          <t>HÄSSLEHOLM</t>
        </is>
      </c>
      <c r="G593" t="n">
        <v>5.7</v>
      </c>
      <c r="H593" t="n">
        <v>0</v>
      </c>
      <c r="I593" t="n">
        <v>0</v>
      </c>
      <c r="J593" t="n">
        <v>0</v>
      </c>
      <c r="K593" t="n">
        <v>0</v>
      </c>
      <c r="L593" t="n">
        <v>0</v>
      </c>
      <c r="M593" t="n">
        <v>0</v>
      </c>
      <c r="N593" t="n">
        <v>0</v>
      </c>
      <c r="O593" t="n">
        <v>0</v>
      </c>
      <c r="P593" t="n">
        <v>0</v>
      </c>
      <c r="Q593" t="n">
        <v>0</v>
      </c>
      <c r="R593" s="2" t="inlineStr"/>
    </row>
    <row r="594" ht="15" customHeight="1">
      <c r="A594" t="inlineStr">
        <is>
          <t>A 24246-2023</t>
        </is>
      </c>
      <c r="B594" s="1" t="n">
        <v>45079</v>
      </c>
      <c r="C594" s="1" t="n">
        <v>45999</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24249-2023</t>
        </is>
      </c>
      <c r="B595" s="1" t="n">
        <v>45079.62466435185</v>
      </c>
      <c r="C595" s="1" t="n">
        <v>45999</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52548-2023</t>
        </is>
      </c>
      <c r="B596" s="1" t="n">
        <v>45218</v>
      </c>
      <c r="C596" s="1" t="n">
        <v>45999</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29845-2024</t>
        </is>
      </c>
      <c r="B597" s="1" t="n">
        <v>45485.6212037037</v>
      </c>
      <c r="C597" s="1" t="n">
        <v>45999</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20006-2025</t>
        </is>
      </c>
      <c r="B598" s="1" t="n">
        <v>45772.05032407407</v>
      </c>
      <c r="C598" s="1" t="n">
        <v>45999</v>
      </c>
      <c r="D598" t="inlineStr">
        <is>
          <t>SKÅNE LÄN</t>
        </is>
      </c>
      <c r="E598" t="inlineStr">
        <is>
          <t>HÄSSLEHOLM</t>
        </is>
      </c>
      <c r="G598" t="n">
        <v>3.9</v>
      </c>
      <c r="H598" t="n">
        <v>0</v>
      </c>
      <c r="I598" t="n">
        <v>0</v>
      </c>
      <c r="J598" t="n">
        <v>0</v>
      </c>
      <c r="K598" t="n">
        <v>0</v>
      </c>
      <c r="L598" t="n">
        <v>0</v>
      </c>
      <c r="M598" t="n">
        <v>0</v>
      </c>
      <c r="N598" t="n">
        <v>0</v>
      </c>
      <c r="O598" t="n">
        <v>0</v>
      </c>
      <c r="P598" t="n">
        <v>0</v>
      </c>
      <c r="Q598" t="n">
        <v>0</v>
      </c>
      <c r="R598" s="2" t="inlineStr"/>
    </row>
    <row r="599" ht="15" customHeight="1">
      <c r="A599" t="inlineStr">
        <is>
          <t>A 61533-2024</t>
        </is>
      </c>
      <c r="B599" s="1" t="n">
        <v>45646</v>
      </c>
      <c r="C599" s="1" t="n">
        <v>45999</v>
      </c>
      <c r="D599" t="inlineStr">
        <is>
          <t>SKÅNE LÄN</t>
        </is>
      </c>
      <c r="E599" t="inlineStr">
        <is>
          <t>HÄSSLEHOLM</t>
        </is>
      </c>
      <c r="G599" t="n">
        <v>4.5</v>
      </c>
      <c r="H599" t="n">
        <v>0</v>
      </c>
      <c r="I599" t="n">
        <v>0</v>
      </c>
      <c r="J599" t="n">
        <v>0</v>
      </c>
      <c r="K599" t="n">
        <v>0</v>
      </c>
      <c r="L599" t="n">
        <v>0</v>
      </c>
      <c r="M599" t="n">
        <v>0</v>
      </c>
      <c r="N599" t="n">
        <v>0</v>
      </c>
      <c r="O599" t="n">
        <v>0</v>
      </c>
      <c r="P599" t="n">
        <v>0</v>
      </c>
      <c r="Q599" t="n">
        <v>0</v>
      </c>
      <c r="R599" s="2" t="inlineStr"/>
    </row>
    <row r="600" ht="15" customHeight="1">
      <c r="A600" t="inlineStr">
        <is>
          <t>A 61537-2024</t>
        </is>
      </c>
      <c r="B600" s="1" t="n">
        <v>45646</v>
      </c>
      <c r="C600" s="1" t="n">
        <v>45999</v>
      </c>
      <c r="D600" t="inlineStr">
        <is>
          <t>SKÅNE LÄN</t>
        </is>
      </c>
      <c r="E600" t="inlineStr">
        <is>
          <t>HÄSSLEHOLM</t>
        </is>
      </c>
      <c r="G600" t="n">
        <v>3.7</v>
      </c>
      <c r="H600" t="n">
        <v>0</v>
      </c>
      <c r="I600" t="n">
        <v>0</v>
      </c>
      <c r="J600" t="n">
        <v>0</v>
      </c>
      <c r="K600" t="n">
        <v>0</v>
      </c>
      <c r="L600" t="n">
        <v>0</v>
      </c>
      <c r="M600" t="n">
        <v>0</v>
      </c>
      <c r="N600" t="n">
        <v>0</v>
      </c>
      <c r="O600" t="n">
        <v>0</v>
      </c>
      <c r="P600" t="n">
        <v>0</v>
      </c>
      <c r="Q600" t="n">
        <v>0</v>
      </c>
      <c r="R600" s="2" t="inlineStr"/>
    </row>
    <row r="601" ht="15" customHeight="1">
      <c r="A601" t="inlineStr">
        <is>
          <t>A 3726-2024</t>
        </is>
      </c>
      <c r="B601" s="1" t="n">
        <v>45321</v>
      </c>
      <c r="C601" s="1" t="n">
        <v>45999</v>
      </c>
      <c r="D601" t="inlineStr">
        <is>
          <t>SKÅNE LÄN</t>
        </is>
      </c>
      <c r="E601" t="inlineStr">
        <is>
          <t>HÄSSLEHOLM</t>
        </is>
      </c>
      <c r="G601" t="n">
        <v>0.3</v>
      </c>
      <c r="H601" t="n">
        <v>0</v>
      </c>
      <c r="I601" t="n">
        <v>0</v>
      </c>
      <c r="J601" t="n">
        <v>0</v>
      </c>
      <c r="K601" t="n">
        <v>0</v>
      </c>
      <c r="L601" t="n">
        <v>0</v>
      </c>
      <c r="M601" t="n">
        <v>0</v>
      </c>
      <c r="N601" t="n">
        <v>0</v>
      </c>
      <c r="O601" t="n">
        <v>0</v>
      </c>
      <c r="P601" t="n">
        <v>0</v>
      </c>
      <c r="Q601" t="n">
        <v>0</v>
      </c>
      <c r="R601" s="2" t="inlineStr"/>
    </row>
    <row r="602" ht="15" customHeight="1">
      <c r="A602" t="inlineStr">
        <is>
          <t>A 21638-2025</t>
        </is>
      </c>
      <c r="B602" s="1" t="n">
        <v>45783.43087962963</v>
      </c>
      <c r="C602" s="1" t="n">
        <v>45999</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55416-2021</t>
        </is>
      </c>
      <c r="B603" s="1" t="n">
        <v>44475</v>
      </c>
      <c r="C603" s="1" t="n">
        <v>45999</v>
      </c>
      <c r="D603" t="inlineStr">
        <is>
          <t>SKÅNE LÄN</t>
        </is>
      </c>
      <c r="E603" t="inlineStr">
        <is>
          <t>HÄSSLEHOLM</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60509-2023</t>
        </is>
      </c>
      <c r="B604" s="1" t="n">
        <v>45259</v>
      </c>
      <c r="C604" s="1" t="n">
        <v>45999</v>
      </c>
      <c r="D604" t="inlineStr">
        <is>
          <t>SKÅNE LÄN</t>
        </is>
      </c>
      <c r="E604" t="inlineStr">
        <is>
          <t>HÄSSLEHOLM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7818-2024</t>
        </is>
      </c>
      <c r="B605" s="1" t="n">
        <v>45349.68872685185</v>
      </c>
      <c r="C605" s="1" t="n">
        <v>45999</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39044-2024</t>
        </is>
      </c>
      <c r="B606" s="1" t="n">
        <v>45548.47707175926</v>
      </c>
      <c r="C606" s="1" t="n">
        <v>45999</v>
      </c>
      <c r="D606" t="inlineStr">
        <is>
          <t>SKÅNE LÄN</t>
        </is>
      </c>
      <c r="E606" t="inlineStr">
        <is>
          <t>HÄSSLEHOLM</t>
        </is>
      </c>
      <c r="G606" t="n">
        <v>2.8</v>
      </c>
      <c r="H606" t="n">
        <v>0</v>
      </c>
      <c r="I606" t="n">
        <v>0</v>
      </c>
      <c r="J606" t="n">
        <v>0</v>
      </c>
      <c r="K606" t="n">
        <v>0</v>
      </c>
      <c r="L606" t="n">
        <v>0</v>
      </c>
      <c r="M606" t="n">
        <v>0</v>
      </c>
      <c r="N606" t="n">
        <v>0</v>
      </c>
      <c r="O606" t="n">
        <v>0</v>
      </c>
      <c r="P606" t="n">
        <v>0</v>
      </c>
      <c r="Q606" t="n">
        <v>0</v>
      </c>
      <c r="R606" s="2" t="inlineStr"/>
    </row>
    <row r="607" ht="15" customHeight="1">
      <c r="A607" t="inlineStr">
        <is>
          <t>A 21310-2022</t>
        </is>
      </c>
      <c r="B607" s="1" t="n">
        <v>44705</v>
      </c>
      <c r="C607" s="1" t="n">
        <v>45999</v>
      </c>
      <c r="D607" t="inlineStr">
        <is>
          <t>SKÅNE LÄN</t>
        </is>
      </c>
      <c r="E607" t="inlineStr">
        <is>
          <t>HÄSSLEHOLM</t>
        </is>
      </c>
      <c r="G607" t="n">
        <v>1</v>
      </c>
      <c r="H607" t="n">
        <v>0</v>
      </c>
      <c r="I607" t="n">
        <v>0</v>
      </c>
      <c r="J607" t="n">
        <v>0</v>
      </c>
      <c r="K607" t="n">
        <v>0</v>
      </c>
      <c r="L607" t="n">
        <v>0</v>
      </c>
      <c r="M607" t="n">
        <v>0</v>
      </c>
      <c r="N607" t="n">
        <v>0</v>
      </c>
      <c r="O607" t="n">
        <v>0</v>
      </c>
      <c r="P607" t="n">
        <v>0</v>
      </c>
      <c r="Q607" t="n">
        <v>0</v>
      </c>
      <c r="R607" s="2" t="inlineStr"/>
    </row>
    <row r="608" ht="15" customHeight="1">
      <c r="A608" t="inlineStr">
        <is>
          <t>A 8160-2024</t>
        </is>
      </c>
      <c r="B608" s="1" t="n">
        <v>45351</v>
      </c>
      <c r="C608" s="1" t="n">
        <v>45999</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9485-2023</t>
        </is>
      </c>
      <c r="B609" s="1" t="n">
        <v>44981.60901620371</v>
      </c>
      <c r="C609" s="1" t="n">
        <v>45999</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9502-2023</t>
        </is>
      </c>
      <c r="B610" s="1" t="n">
        <v>44981.63278935185</v>
      </c>
      <c r="C610" s="1" t="n">
        <v>45999</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43696-2024</t>
        </is>
      </c>
      <c r="B611" s="1" t="n">
        <v>45569.58855324074</v>
      </c>
      <c r="C611" s="1" t="n">
        <v>45999</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12182-2025</t>
        </is>
      </c>
      <c r="B612" s="1" t="n">
        <v>45729</v>
      </c>
      <c r="C612" s="1" t="n">
        <v>45999</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10928-2024</t>
        </is>
      </c>
      <c r="B613" s="1" t="n">
        <v>45370</v>
      </c>
      <c r="C613" s="1" t="n">
        <v>45999</v>
      </c>
      <c r="D613" t="inlineStr">
        <is>
          <t>SKÅNE LÄN</t>
        </is>
      </c>
      <c r="E613" t="inlineStr">
        <is>
          <t>HÄSSLEHOLM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5890-2023</t>
        </is>
      </c>
      <c r="B614" s="1" t="n">
        <v>44963.64527777778</v>
      </c>
      <c r="C614" s="1" t="n">
        <v>45999</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5894-2023</t>
        </is>
      </c>
      <c r="B615" s="1" t="n">
        <v>44963.65148148148</v>
      </c>
      <c r="C615" s="1" t="n">
        <v>45999</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12843-2023</t>
        </is>
      </c>
      <c r="B616" s="1" t="n">
        <v>45001.48423611111</v>
      </c>
      <c r="C616" s="1" t="n">
        <v>45999</v>
      </c>
      <c r="D616" t="inlineStr">
        <is>
          <t>SKÅNE LÄN</t>
        </is>
      </c>
      <c r="E616" t="inlineStr">
        <is>
          <t>HÄSSLEHOLM</t>
        </is>
      </c>
      <c r="G616" t="n">
        <v>3.9</v>
      </c>
      <c r="H616" t="n">
        <v>0</v>
      </c>
      <c r="I616" t="n">
        <v>0</v>
      </c>
      <c r="J616" t="n">
        <v>0</v>
      </c>
      <c r="K616" t="n">
        <v>0</v>
      </c>
      <c r="L616" t="n">
        <v>0</v>
      </c>
      <c r="M616" t="n">
        <v>0</v>
      </c>
      <c r="N616" t="n">
        <v>0</v>
      </c>
      <c r="O616" t="n">
        <v>0</v>
      </c>
      <c r="P616" t="n">
        <v>0</v>
      </c>
      <c r="Q616" t="n">
        <v>0</v>
      </c>
      <c r="R616" s="2" t="inlineStr"/>
    </row>
    <row r="617" ht="15" customHeight="1">
      <c r="A617" t="inlineStr">
        <is>
          <t>A 10944-2024</t>
        </is>
      </c>
      <c r="B617" s="1" t="n">
        <v>45370</v>
      </c>
      <c r="C617" s="1" t="n">
        <v>45999</v>
      </c>
      <c r="D617" t="inlineStr">
        <is>
          <t>SKÅNE LÄN</t>
        </is>
      </c>
      <c r="E617" t="inlineStr">
        <is>
          <t>HÄSSLEHOLM</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20185-2023</t>
        </is>
      </c>
      <c r="B618" s="1" t="n">
        <v>45055.56795138889</v>
      </c>
      <c r="C618" s="1" t="n">
        <v>45999</v>
      </c>
      <c r="D618" t="inlineStr">
        <is>
          <t>SKÅNE LÄN</t>
        </is>
      </c>
      <c r="E618" t="inlineStr">
        <is>
          <t>HÄSSLEHOLM</t>
        </is>
      </c>
      <c r="G618" t="n">
        <v>3.5</v>
      </c>
      <c r="H618" t="n">
        <v>0</v>
      </c>
      <c r="I618" t="n">
        <v>0</v>
      </c>
      <c r="J618" t="n">
        <v>0</v>
      </c>
      <c r="K618" t="n">
        <v>0</v>
      </c>
      <c r="L618" t="n">
        <v>0</v>
      </c>
      <c r="M618" t="n">
        <v>0</v>
      </c>
      <c r="N618" t="n">
        <v>0</v>
      </c>
      <c r="O618" t="n">
        <v>0</v>
      </c>
      <c r="P618" t="n">
        <v>0</v>
      </c>
      <c r="Q618" t="n">
        <v>0</v>
      </c>
      <c r="R618" s="2" t="inlineStr"/>
    </row>
    <row r="619" ht="15" customHeight="1">
      <c r="A619" t="inlineStr">
        <is>
          <t>A 13309-2025</t>
        </is>
      </c>
      <c r="B619" s="1" t="n">
        <v>45735.58512731481</v>
      </c>
      <c r="C619" s="1" t="n">
        <v>45999</v>
      </c>
      <c r="D619" t="inlineStr">
        <is>
          <t>SKÅNE LÄN</t>
        </is>
      </c>
      <c r="E619" t="inlineStr">
        <is>
          <t>HÄSSLEHOLM</t>
        </is>
      </c>
      <c r="G619" t="n">
        <v>1.2</v>
      </c>
      <c r="H619" t="n">
        <v>0</v>
      </c>
      <c r="I619" t="n">
        <v>0</v>
      </c>
      <c r="J619" t="n">
        <v>0</v>
      </c>
      <c r="K619" t="n">
        <v>0</v>
      </c>
      <c r="L619" t="n">
        <v>0</v>
      </c>
      <c r="M619" t="n">
        <v>0</v>
      </c>
      <c r="N619" t="n">
        <v>0</v>
      </c>
      <c r="O619" t="n">
        <v>0</v>
      </c>
      <c r="P619" t="n">
        <v>0</v>
      </c>
      <c r="Q619" t="n">
        <v>0</v>
      </c>
      <c r="R619" s="2" t="inlineStr"/>
    </row>
    <row r="620" ht="15" customHeight="1">
      <c r="A620" t="inlineStr">
        <is>
          <t>A 5980-2024</t>
        </is>
      </c>
      <c r="B620" s="1" t="n">
        <v>45335</v>
      </c>
      <c r="C620" s="1" t="n">
        <v>45999</v>
      </c>
      <c r="D620" t="inlineStr">
        <is>
          <t>SKÅNE LÄN</t>
        </is>
      </c>
      <c r="E620" t="inlineStr">
        <is>
          <t>HÄSSLEHOLM</t>
        </is>
      </c>
      <c r="G620" t="n">
        <v>1.2</v>
      </c>
      <c r="H620" t="n">
        <v>0</v>
      </c>
      <c r="I620" t="n">
        <v>0</v>
      </c>
      <c r="J620" t="n">
        <v>0</v>
      </c>
      <c r="K620" t="n">
        <v>0</v>
      </c>
      <c r="L620" t="n">
        <v>0</v>
      </c>
      <c r="M620" t="n">
        <v>0</v>
      </c>
      <c r="N620" t="n">
        <v>0</v>
      </c>
      <c r="O620" t="n">
        <v>0</v>
      </c>
      <c r="P620" t="n">
        <v>0</v>
      </c>
      <c r="Q620" t="n">
        <v>0</v>
      </c>
      <c r="R620" s="2" t="inlineStr"/>
    </row>
    <row r="621" ht="15" customHeight="1">
      <c r="A621" t="inlineStr">
        <is>
          <t>A 38376-2022</t>
        </is>
      </c>
      <c r="B621" s="1" t="n">
        <v>44812</v>
      </c>
      <c r="C621" s="1" t="n">
        <v>45999</v>
      </c>
      <c r="D621" t="inlineStr">
        <is>
          <t>SKÅNE LÄN</t>
        </is>
      </c>
      <c r="E621" t="inlineStr">
        <is>
          <t>HÄSSLEHOLM</t>
        </is>
      </c>
      <c r="G621" t="n">
        <v>1.9</v>
      </c>
      <c r="H621" t="n">
        <v>0</v>
      </c>
      <c r="I621" t="n">
        <v>0</v>
      </c>
      <c r="J621" t="n">
        <v>0</v>
      </c>
      <c r="K621" t="n">
        <v>0</v>
      </c>
      <c r="L621" t="n">
        <v>0</v>
      </c>
      <c r="M621" t="n">
        <v>0</v>
      </c>
      <c r="N621" t="n">
        <v>0</v>
      </c>
      <c r="O621" t="n">
        <v>0</v>
      </c>
      <c r="P621" t="n">
        <v>0</v>
      </c>
      <c r="Q621" t="n">
        <v>0</v>
      </c>
      <c r="R621" s="2" t="inlineStr"/>
    </row>
    <row r="622" ht="15" customHeight="1">
      <c r="A622" t="inlineStr">
        <is>
          <t>A 42372-2024</t>
        </is>
      </c>
      <c r="B622" s="1" t="n">
        <v>45564.5127199074</v>
      </c>
      <c r="C622" s="1" t="n">
        <v>45999</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18908-2023</t>
        </is>
      </c>
      <c r="B623" s="1" t="n">
        <v>45044</v>
      </c>
      <c r="C623" s="1" t="n">
        <v>45999</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61436-2024</t>
        </is>
      </c>
      <c r="B624" s="1" t="n">
        <v>45646.46329861111</v>
      </c>
      <c r="C624" s="1" t="n">
        <v>45999</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17699-2024</t>
        </is>
      </c>
      <c r="B625" s="1" t="n">
        <v>45418.46094907408</v>
      </c>
      <c r="C625" s="1" t="n">
        <v>45999</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17702-2024</t>
        </is>
      </c>
      <c r="B626" s="1" t="n">
        <v>45418.46534722222</v>
      </c>
      <c r="C626" s="1" t="n">
        <v>45999</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20566-2023</t>
        </is>
      </c>
      <c r="B627" s="1" t="n">
        <v>45057</v>
      </c>
      <c r="C627" s="1" t="n">
        <v>45999</v>
      </c>
      <c r="D627" t="inlineStr">
        <is>
          <t>SKÅNE LÄN</t>
        </is>
      </c>
      <c r="E627" t="inlineStr">
        <is>
          <t>HÄSSLEHOLM</t>
        </is>
      </c>
      <c r="G627" t="n">
        <v>5.2</v>
      </c>
      <c r="H627" t="n">
        <v>0</v>
      </c>
      <c r="I627" t="n">
        <v>0</v>
      </c>
      <c r="J627" t="n">
        <v>0</v>
      </c>
      <c r="K627" t="n">
        <v>0</v>
      </c>
      <c r="L627" t="n">
        <v>0</v>
      </c>
      <c r="M627" t="n">
        <v>0</v>
      </c>
      <c r="N627" t="n">
        <v>0</v>
      </c>
      <c r="O627" t="n">
        <v>0</v>
      </c>
      <c r="P627" t="n">
        <v>0</v>
      </c>
      <c r="Q627" t="n">
        <v>0</v>
      </c>
      <c r="R627" s="2" t="inlineStr"/>
    </row>
    <row r="628" ht="15" customHeight="1">
      <c r="A628" t="inlineStr">
        <is>
          <t>A 32967-2023</t>
        </is>
      </c>
      <c r="B628" s="1" t="n">
        <v>45125</v>
      </c>
      <c r="C628" s="1" t="n">
        <v>45999</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32968-2023</t>
        </is>
      </c>
      <c r="B629" s="1" t="n">
        <v>45125</v>
      </c>
      <c r="C629" s="1" t="n">
        <v>45999</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42231-2022</t>
        </is>
      </c>
      <c r="B630" s="1" t="n">
        <v>44830.77003472222</v>
      </c>
      <c r="C630" s="1" t="n">
        <v>45999</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54982-2024</t>
        </is>
      </c>
      <c r="B631" s="1" t="n">
        <v>45620.7580787037</v>
      </c>
      <c r="C631" s="1" t="n">
        <v>45999</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36795-2023</t>
        </is>
      </c>
      <c r="B632" s="1" t="n">
        <v>45154.38245370371</v>
      </c>
      <c r="C632" s="1" t="n">
        <v>45999</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15698-2023</t>
        </is>
      </c>
      <c r="B633" s="1" t="n">
        <v>45021</v>
      </c>
      <c r="C633" s="1" t="n">
        <v>45999</v>
      </c>
      <c r="D633" t="inlineStr">
        <is>
          <t>SKÅNE LÄN</t>
        </is>
      </c>
      <c r="E633" t="inlineStr">
        <is>
          <t>HÄSSLEHOLM</t>
        </is>
      </c>
      <c r="F633" t="inlineStr">
        <is>
          <t>Kommuner</t>
        </is>
      </c>
      <c r="G633" t="n">
        <v>5.5</v>
      </c>
      <c r="H633" t="n">
        <v>0</v>
      </c>
      <c r="I633" t="n">
        <v>0</v>
      </c>
      <c r="J633" t="n">
        <v>0</v>
      </c>
      <c r="K633" t="n">
        <v>0</v>
      </c>
      <c r="L633" t="n">
        <v>0</v>
      </c>
      <c r="M633" t="n">
        <v>0</v>
      </c>
      <c r="N633" t="n">
        <v>0</v>
      </c>
      <c r="O633" t="n">
        <v>0</v>
      </c>
      <c r="P633" t="n">
        <v>0</v>
      </c>
      <c r="Q633" t="n">
        <v>0</v>
      </c>
      <c r="R633" s="2" t="inlineStr"/>
    </row>
    <row r="634" ht="15" customHeight="1">
      <c r="A634" t="inlineStr">
        <is>
          <t>A 12584-2025</t>
        </is>
      </c>
      <c r="B634" s="1" t="n">
        <v>45732</v>
      </c>
      <c r="C634" s="1" t="n">
        <v>45999</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54435-2024</t>
        </is>
      </c>
      <c r="B635" s="1" t="n">
        <v>45617.49494212963</v>
      </c>
      <c r="C635" s="1" t="n">
        <v>45999</v>
      </c>
      <c r="D635" t="inlineStr">
        <is>
          <t>SKÅNE LÄN</t>
        </is>
      </c>
      <c r="E635" t="inlineStr">
        <is>
          <t>HÄSSLEHOLM</t>
        </is>
      </c>
      <c r="G635" t="n">
        <v>2.3</v>
      </c>
      <c r="H635" t="n">
        <v>0</v>
      </c>
      <c r="I635" t="n">
        <v>0</v>
      </c>
      <c r="J635" t="n">
        <v>0</v>
      </c>
      <c r="K635" t="n">
        <v>0</v>
      </c>
      <c r="L635" t="n">
        <v>0</v>
      </c>
      <c r="M635" t="n">
        <v>0</v>
      </c>
      <c r="N635" t="n">
        <v>0</v>
      </c>
      <c r="O635" t="n">
        <v>0</v>
      </c>
      <c r="P635" t="n">
        <v>0</v>
      </c>
      <c r="Q635" t="n">
        <v>0</v>
      </c>
      <c r="R635" s="2" t="inlineStr"/>
    </row>
    <row r="636" ht="15" customHeight="1">
      <c r="A636" t="inlineStr">
        <is>
          <t>A 31998-2023</t>
        </is>
      </c>
      <c r="B636" s="1" t="n">
        <v>45119</v>
      </c>
      <c r="C636" s="1" t="n">
        <v>45999</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720-2025</t>
        </is>
      </c>
      <c r="B637" s="1" t="n">
        <v>45665.3744212963</v>
      </c>
      <c r="C637" s="1" t="n">
        <v>45999</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31581-2023</t>
        </is>
      </c>
      <c r="B638" s="1" t="n">
        <v>45117.45165509259</v>
      </c>
      <c r="C638" s="1" t="n">
        <v>45999</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14255-2024</t>
        </is>
      </c>
      <c r="B639" s="1" t="n">
        <v>45393</v>
      </c>
      <c r="C639" s="1" t="n">
        <v>45999</v>
      </c>
      <c r="D639" t="inlineStr">
        <is>
          <t>SKÅNE LÄN</t>
        </is>
      </c>
      <c r="E639" t="inlineStr">
        <is>
          <t>HÄSSLEHOLM</t>
        </is>
      </c>
      <c r="G639" t="n">
        <v>11.9</v>
      </c>
      <c r="H639" t="n">
        <v>0</v>
      </c>
      <c r="I639" t="n">
        <v>0</v>
      </c>
      <c r="J639" t="n">
        <v>0</v>
      </c>
      <c r="K639" t="n">
        <v>0</v>
      </c>
      <c r="L639" t="n">
        <v>0</v>
      </c>
      <c r="M639" t="n">
        <v>0</v>
      </c>
      <c r="N639" t="n">
        <v>0</v>
      </c>
      <c r="O639" t="n">
        <v>0</v>
      </c>
      <c r="P639" t="n">
        <v>0</v>
      </c>
      <c r="Q639" t="n">
        <v>0</v>
      </c>
      <c r="R639" s="2" t="inlineStr"/>
    </row>
    <row r="640" ht="15" customHeight="1">
      <c r="A640" t="inlineStr">
        <is>
          <t>A 4140-2023</t>
        </is>
      </c>
      <c r="B640" s="1" t="n">
        <v>44953</v>
      </c>
      <c r="C640" s="1" t="n">
        <v>45999</v>
      </c>
      <c r="D640" t="inlineStr">
        <is>
          <t>SKÅNE LÄN</t>
        </is>
      </c>
      <c r="E640" t="inlineStr">
        <is>
          <t>HÄSSLEHOLM</t>
        </is>
      </c>
      <c r="G640" t="n">
        <v>10.6</v>
      </c>
      <c r="H640" t="n">
        <v>0</v>
      </c>
      <c r="I640" t="n">
        <v>0</v>
      </c>
      <c r="J640" t="n">
        <v>0</v>
      </c>
      <c r="K640" t="n">
        <v>0</v>
      </c>
      <c r="L640" t="n">
        <v>0</v>
      </c>
      <c r="M640" t="n">
        <v>0</v>
      </c>
      <c r="N640" t="n">
        <v>0</v>
      </c>
      <c r="O640" t="n">
        <v>0</v>
      </c>
      <c r="P640" t="n">
        <v>0</v>
      </c>
      <c r="Q640" t="n">
        <v>0</v>
      </c>
      <c r="R640" s="2" t="inlineStr"/>
    </row>
    <row r="641" ht="15" customHeight="1">
      <c r="A641" t="inlineStr">
        <is>
          <t>A 25077-2024</t>
        </is>
      </c>
      <c r="B641" s="1" t="n">
        <v>45462</v>
      </c>
      <c r="C641" s="1" t="n">
        <v>45999</v>
      </c>
      <c r="D641" t="inlineStr">
        <is>
          <t>SKÅNE LÄN</t>
        </is>
      </c>
      <c r="E641" t="inlineStr">
        <is>
          <t>HÄSSLEHOLM</t>
        </is>
      </c>
      <c r="G641" t="n">
        <v>1.6</v>
      </c>
      <c r="H641" t="n">
        <v>0</v>
      </c>
      <c r="I641" t="n">
        <v>0</v>
      </c>
      <c r="J641" t="n">
        <v>0</v>
      </c>
      <c r="K641" t="n">
        <v>0</v>
      </c>
      <c r="L641" t="n">
        <v>0</v>
      </c>
      <c r="M641" t="n">
        <v>0</v>
      </c>
      <c r="N641" t="n">
        <v>0</v>
      </c>
      <c r="O641" t="n">
        <v>0</v>
      </c>
      <c r="P641" t="n">
        <v>0</v>
      </c>
      <c r="Q641" t="n">
        <v>0</v>
      </c>
      <c r="R641" s="2" t="inlineStr"/>
    </row>
    <row r="642" ht="15" customHeight="1">
      <c r="A642" t="inlineStr">
        <is>
          <t>A 33597-2023</t>
        </is>
      </c>
      <c r="B642" s="1" t="n">
        <v>45132</v>
      </c>
      <c r="C642" s="1" t="n">
        <v>45999</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33599-2023</t>
        </is>
      </c>
      <c r="B643" s="1" t="n">
        <v>45132</v>
      </c>
      <c r="C643" s="1" t="n">
        <v>45999</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39111-2023</t>
        </is>
      </c>
      <c r="B644" s="1" t="n">
        <v>45164.87140046297</v>
      </c>
      <c r="C644" s="1" t="n">
        <v>45999</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60851-2024</t>
        </is>
      </c>
      <c r="B645" s="1" t="n">
        <v>45644.66182870371</v>
      </c>
      <c r="C645" s="1" t="n">
        <v>45999</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317-2025</t>
        </is>
      </c>
      <c r="B646" s="1" t="n">
        <v>45660</v>
      </c>
      <c r="C646" s="1" t="n">
        <v>45999</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20058-2023</t>
        </is>
      </c>
      <c r="B647" s="1" t="n">
        <v>45054.68476851852</v>
      </c>
      <c r="C647" s="1" t="n">
        <v>45999</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21625-2025</t>
        </is>
      </c>
      <c r="B648" s="1" t="n">
        <v>45783.41252314814</v>
      </c>
      <c r="C648" s="1" t="n">
        <v>45999</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33938-2023</t>
        </is>
      </c>
      <c r="B649" s="1" t="n">
        <v>45124</v>
      </c>
      <c r="C649" s="1" t="n">
        <v>45999</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10897-2023</t>
        </is>
      </c>
      <c r="B650" s="1" t="n">
        <v>44985</v>
      </c>
      <c r="C650" s="1" t="n">
        <v>45999</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46942-2024</t>
        </is>
      </c>
      <c r="B651" s="1" t="n">
        <v>45585.6684375</v>
      </c>
      <c r="C651" s="1" t="n">
        <v>45999</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22693-2022</t>
        </is>
      </c>
      <c r="B652" s="1" t="n">
        <v>44714.54729166667</v>
      </c>
      <c r="C652" s="1" t="n">
        <v>45999</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35889-2023</t>
        </is>
      </c>
      <c r="B653" s="1" t="n">
        <v>45148</v>
      </c>
      <c r="C653" s="1" t="n">
        <v>45999</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35894-2023</t>
        </is>
      </c>
      <c r="B654" s="1" t="n">
        <v>45148</v>
      </c>
      <c r="C654" s="1" t="n">
        <v>45999</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33257-2024</t>
        </is>
      </c>
      <c r="B655" s="1" t="n">
        <v>45518</v>
      </c>
      <c r="C655" s="1" t="n">
        <v>45999</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35974-2022</t>
        </is>
      </c>
      <c r="B656" s="1" t="n">
        <v>44802</v>
      </c>
      <c r="C656" s="1" t="n">
        <v>45999</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17492-2025</t>
        </is>
      </c>
      <c r="B657" s="1" t="n">
        <v>45747</v>
      </c>
      <c r="C657" s="1" t="n">
        <v>45999</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24906-2022</t>
        </is>
      </c>
      <c r="B658" s="1" t="n">
        <v>44728</v>
      </c>
      <c r="C658" s="1" t="n">
        <v>45999</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51618-2024</t>
        </is>
      </c>
      <c r="B659" s="1" t="n">
        <v>45604.82615740741</v>
      </c>
      <c r="C659" s="1" t="n">
        <v>45999</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10409-2024</t>
        </is>
      </c>
      <c r="B660" s="1" t="n">
        <v>45365.6978125</v>
      </c>
      <c r="C660" s="1" t="n">
        <v>45999</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7150-2025</t>
        </is>
      </c>
      <c r="B661" s="1" t="n">
        <v>45702.38239583333</v>
      </c>
      <c r="C661" s="1" t="n">
        <v>45999</v>
      </c>
      <c r="D661" t="inlineStr">
        <is>
          <t>SKÅNE LÄN</t>
        </is>
      </c>
      <c r="E661" t="inlineStr">
        <is>
          <t>HÄSSLEHOLM</t>
        </is>
      </c>
      <c r="G661" t="n">
        <v>2.3</v>
      </c>
      <c r="H661" t="n">
        <v>0</v>
      </c>
      <c r="I661" t="n">
        <v>0</v>
      </c>
      <c r="J661" t="n">
        <v>0</v>
      </c>
      <c r="K661" t="n">
        <v>0</v>
      </c>
      <c r="L661" t="n">
        <v>0</v>
      </c>
      <c r="M661" t="n">
        <v>0</v>
      </c>
      <c r="N661" t="n">
        <v>0</v>
      </c>
      <c r="O661" t="n">
        <v>0</v>
      </c>
      <c r="P661" t="n">
        <v>0</v>
      </c>
      <c r="Q661" t="n">
        <v>0</v>
      </c>
      <c r="R661" s="2" t="inlineStr"/>
    </row>
    <row r="662" ht="15" customHeight="1">
      <c r="A662" t="inlineStr">
        <is>
          <t>A 31995-2023</t>
        </is>
      </c>
      <c r="B662" s="1" t="n">
        <v>45107</v>
      </c>
      <c r="C662" s="1" t="n">
        <v>45999</v>
      </c>
      <c r="D662" t="inlineStr">
        <is>
          <t>SKÅNE LÄN</t>
        </is>
      </c>
      <c r="E662" t="inlineStr">
        <is>
          <t>HÄSSLEHOLM</t>
        </is>
      </c>
      <c r="G662" t="n">
        <v>7.3</v>
      </c>
      <c r="H662" t="n">
        <v>0</v>
      </c>
      <c r="I662" t="n">
        <v>0</v>
      </c>
      <c r="J662" t="n">
        <v>0</v>
      </c>
      <c r="K662" t="n">
        <v>0</v>
      </c>
      <c r="L662" t="n">
        <v>0</v>
      </c>
      <c r="M662" t="n">
        <v>0</v>
      </c>
      <c r="N662" t="n">
        <v>0</v>
      </c>
      <c r="O662" t="n">
        <v>0</v>
      </c>
      <c r="P662" t="n">
        <v>0</v>
      </c>
      <c r="Q662" t="n">
        <v>0</v>
      </c>
      <c r="R662" s="2" t="inlineStr"/>
    </row>
    <row r="663" ht="15" customHeight="1">
      <c r="A663" t="inlineStr">
        <is>
          <t>A 4356-2024</t>
        </is>
      </c>
      <c r="B663" s="1" t="n">
        <v>45325.36195601852</v>
      </c>
      <c r="C663" s="1" t="n">
        <v>45999</v>
      </c>
      <c r="D663" t="inlineStr">
        <is>
          <t>SKÅNE LÄN</t>
        </is>
      </c>
      <c r="E663" t="inlineStr">
        <is>
          <t>HÄSSLEHOLM</t>
        </is>
      </c>
      <c r="G663" t="n">
        <v>3.2</v>
      </c>
      <c r="H663" t="n">
        <v>0</v>
      </c>
      <c r="I663" t="n">
        <v>0</v>
      </c>
      <c r="J663" t="n">
        <v>0</v>
      </c>
      <c r="K663" t="n">
        <v>0</v>
      </c>
      <c r="L663" t="n">
        <v>0</v>
      </c>
      <c r="M663" t="n">
        <v>0</v>
      </c>
      <c r="N663" t="n">
        <v>0</v>
      </c>
      <c r="O663" t="n">
        <v>0</v>
      </c>
      <c r="P663" t="n">
        <v>0</v>
      </c>
      <c r="Q663" t="n">
        <v>0</v>
      </c>
      <c r="R663" s="2" t="inlineStr"/>
    </row>
    <row r="664" ht="15" customHeight="1">
      <c r="A664" t="inlineStr">
        <is>
          <t>A 47840-2023</t>
        </is>
      </c>
      <c r="B664" s="1" t="n">
        <v>45204</v>
      </c>
      <c r="C664" s="1" t="n">
        <v>45999</v>
      </c>
      <c r="D664" t="inlineStr">
        <is>
          <t>SKÅNE LÄN</t>
        </is>
      </c>
      <c r="E664" t="inlineStr">
        <is>
          <t>HÄSSLEHOLM</t>
        </is>
      </c>
      <c r="G664" t="n">
        <v>2.4</v>
      </c>
      <c r="H664" t="n">
        <v>0</v>
      </c>
      <c r="I664" t="n">
        <v>0</v>
      </c>
      <c r="J664" t="n">
        <v>0</v>
      </c>
      <c r="K664" t="n">
        <v>0</v>
      </c>
      <c r="L664" t="n">
        <v>0</v>
      </c>
      <c r="M664" t="n">
        <v>0</v>
      </c>
      <c r="N664" t="n">
        <v>0</v>
      </c>
      <c r="O664" t="n">
        <v>0</v>
      </c>
      <c r="P664" t="n">
        <v>0</v>
      </c>
      <c r="Q664" t="n">
        <v>0</v>
      </c>
      <c r="R664" s="2" t="inlineStr"/>
    </row>
    <row r="665" ht="15" customHeight="1">
      <c r="A665" t="inlineStr">
        <is>
          <t>A 55303-2024</t>
        </is>
      </c>
      <c r="B665" s="1" t="n">
        <v>45621.6434837963</v>
      </c>
      <c r="C665" s="1" t="n">
        <v>45999</v>
      </c>
      <c r="D665" t="inlineStr">
        <is>
          <t>SKÅNE LÄN</t>
        </is>
      </c>
      <c r="E665" t="inlineStr">
        <is>
          <t>HÄSSLEHOLM</t>
        </is>
      </c>
      <c r="G665" t="n">
        <v>3.3</v>
      </c>
      <c r="H665" t="n">
        <v>0</v>
      </c>
      <c r="I665" t="n">
        <v>0</v>
      </c>
      <c r="J665" t="n">
        <v>0</v>
      </c>
      <c r="K665" t="n">
        <v>0</v>
      </c>
      <c r="L665" t="n">
        <v>0</v>
      </c>
      <c r="M665" t="n">
        <v>0</v>
      </c>
      <c r="N665" t="n">
        <v>0</v>
      </c>
      <c r="O665" t="n">
        <v>0</v>
      </c>
      <c r="P665" t="n">
        <v>0</v>
      </c>
      <c r="Q665" t="n">
        <v>0</v>
      </c>
      <c r="R665" s="2" t="inlineStr"/>
    </row>
    <row r="666" ht="15" customHeight="1">
      <c r="A666" t="inlineStr">
        <is>
          <t>A 34888-2023</t>
        </is>
      </c>
      <c r="B666" s="1" t="n">
        <v>45142.388125</v>
      </c>
      <c r="C666" s="1" t="n">
        <v>45999</v>
      </c>
      <c r="D666" t="inlineStr">
        <is>
          <t>SKÅNE LÄN</t>
        </is>
      </c>
      <c r="E666" t="inlineStr">
        <is>
          <t>HÄSSLEHOLM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16397-2022</t>
        </is>
      </c>
      <c r="B667" s="1" t="n">
        <v>44671</v>
      </c>
      <c r="C667" s="1" t="n">
        <v>45999</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16398-2022</t>
        </is>
      </c>
      <c r="B668" s="1" t="n">
        <v>44671</v>
      </c>
      <c r="C668" s="1" t="n">
        <v>45999</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20435-2021</t>
        </is>
      </c>
      <c r="B669" s="1" t="n">
        <v>44315.5793287037</v>
      </c>
      <c r="C669" s="1" t="n">
        <v>45999</v>
      </c>
      <c r="D669" t="inlineStr">
        <is>
          <t>SKÅNE LÄN</t>
        </is>
      </c>
      <c r="E669" t="inlineStr">
        <is>
          <t>HÄSSLEHOLM</t>
        </is>
      </c>
      <c r="G669" t="n">
        <v>4.8</v>
      </c>
      <c r="H669" t="n">
        <v>0</v>
      </c>
      <c r="I669" t="n">
        <v>0</v>
      </c>
      <c r="J669" t="n">
        <v>0</v>
      </c>
      <c r="K669" t="n">
        <v>0</v>
      </c>
      <c r="L669" t="n">
        <v>0</v>
      </c>
      <c r="M669" t="n">
        <v>0</v>
      </c>
      <c r="N669" t="n">
        <v>0</v>
      </c>
      <c r="O669" t="n">
        <v>0</v>
      </c>
      <c r="P669" t="n">
        <v>0</v>
      </c>
      <c r="Q669" t="n">
        <v>0</v>
      </c>
      <c r="R669" s="2" t="inlineStr"/>
    </row>
    <row r="670" ht="15" customHeight="1">
      <c r="A670" t="inlineStr">
        <is>
          <t>A 53085-2022</t>
        </is>
      </c>
      <c r="B670" s="1" t="n">
        <v>44873</v>
      </c>
      <c r="C670" s="1" t="n">
        <v>45999</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59434-2023</t>
        </is>
      </c>
      <c r="B671" s="1" t="n">
        <v>45254.30440972222</v>
      </c>
      <c r="C671" s="1" t="n">
        <v>45999</v>
      </c>
      <c r="D671" t="inlineStr">
        <is>
          <t>SKÅNE LÄN</t>
        </is>
      </c>
      <c r="E671" t="inlineStr">
        <is>
          <t>HÄSSLEHOLM</t>
        </is>
      </c>
      <c r="G671" t="n">
        <v>3.6</v>
      </c>
      <c r="H671" t="n">
        <v>0</v>
      </c>
      <c r="I671" t="n">
        <v>0</v>
      </c>
      <c r="J671" t="n">
        <v>0</v>
      </c>
      <c r="K671" t="n">
        <v>0</v>
      </c>
      <c r="L671" t="n">
        <v>0</v>
      </c>
      <c r="M671" t="n">
        <v>0</v>
      </c>
      <c r="N671" t="n">
        <v>0</v>
      </c>
      <c r="O671" t="n">
        <v>0</v>
      </c>
      <c r="P671" t="n">
        <v>0</v>
      </c>
      <c r="Q671" t="n">
        <v>0</v>
      </c>
      <c r="R671" s="2" t="inlineStr"/>
    </row>
    <row r="672" ht="15" customHeight="1">
      <c r="A672" t="inlineStr">
        <is>
          <t>A 16388-2025</t>
        </is>
      </c>
      <c r="B672" s="1" t="n">
        <v>45751.42787037037</v>
      </c>
      <c r="C672" s="1" t="n">
        <v>45999</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16668-2025</t>
        </is>
      </c>
      <c r="B673" s="1" t="n">
        <v>45754.43009259259</v>
      </c>
      <c r="C673" s="1" t="n">
        <v>45999</v>
      </c>
      <c r="D673" t="inlineStr">
        <is>
          <t>SKÅNE LÄN</t>
        </is>
      </c>
      <c r="E673" t="inlineStr">
        <is>
          <t>HÄSSLEHOLM</t>
        </is>
      </c>
      <c r="G673" t="n">
        <v>4</v>
      </c>
      <c r="H673" t="n">
        <v>0</v>
      </c>
      <c r="I673" t="n">
        <v>0</v>
      </c>
      <c r="J673" t="n">
        <v>0</v>
      </c>
      <c r="K673" t="n">
        <v>0</v>
      </c>
      <c r="L673" t="n">
        <v>0</v>
      </c>
      <c r="M673" t="n">
        <v>0</v>
      </c>
      <c r="N673" t="n">
        <v>0</v>
      </c>
      <c r="O673" t="n">
        <v>0</v>
      </c>
      <c r="P673" t="n">
        <v>0</v>
      </c>
      <c r="Q673" t="n">
        <v>0</v>
      </c>
      <c r="R673" s="2" t="inlineStr"/>
    </row>
    <row r="674" ht="15" customHeight="1">
      <c r="A674" t="inlineStr">
        <is>
          <t>A 9709-2023</t>
        </is>
      </c>
      <c r="B674" s="1" t="n">
        <v>44984.48376157408</v>
      </c>
      <c r="C674" s="1" t="n">
        <v>45999</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13646-2024</t>
        </is>
      </c>
      <c r="B675" s="1" t="n">
        <v>45387</v>
      </c>
      <c r="C675" s="1" t="n">
        <v>45999</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21867-2023</t>
        </is>
      </c>
      <c r="B676" s="1" t="n">
        <v>45063</v>
      </c>
      <c r="C676" s="1" t="n">
        <v>45999</v>
      </c>
      <c r="D676" t="inlineStr">
        <is>
          <t>SKÅNE LÄN</t>
        </is>
      </c>
      <c r="E676" t="inlineStr">
        <is>
          <t>HÄSSLEHOLM</t>
        </is>
      </c>
      <c r="G676" t="n">
        <v>7.6</v>
      </c>
      <c r="H676" t="n">
        <v>0</v>
      </c>
      <c r="I676" t="n">
        <v>0</v>
      </c>
      <c r="J676" t="n">
        <v>0</v>
      </c>
      <c r="K676" t="n">
        <v>0</v>
      </c>
      <c r="L676" t="n">
        <v>0</v>
      </c>
      <c r="M676" t="n">
        <v>0</v>
      </c>
      <c r="N676" t="n">
        <v>0</v>
      </c>
      <c r="O676" t="n">
        <v>0</v>
      </c>
      <c r="P676" t="n">
        <v>0</v>
      </c>
      <c r="Q676" t="n">
        <v>0</v>
      </c>
      <c r="R676" s="2" t="inlineStr"/>
    </row>
    <row r="677" ht="15" customHeight="1">
      <c r="A677" t="inlineStr">
        <is>
          <t>A 13087-2023</t>
        </is>
      </c>
      <c r="B677" s="1" t="n">
        <v>45001</v>
      </c>
      <c r="C677" s="1" t="n">
        <v>45999</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55284-2023</t>
        </is>
      </c>
      <c r="B678" s="1" t="n">
        <v>45237.74259259259</v>
      </c>
      <c r="C678" s="1" t="n">
        <v>45999</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22384-2024</t>
        </is>
      </c>
      <c r="B679" s="1" t="n">
        <v>45446.65592592592</v>
      </c>
      <c r="C679" s="1" t="n">
        <v>45999</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52968-2022</t>
        </is>
      </c>
      <c r="B680" s="1" t="n">
        <v>44875</v>
      </c>
      <c r="C680" s="1" t="n">
        <v>45999</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62167-2022</t>
        </is>
      </c>
      <c r="B681" s="1" t="n">
        <v>44915</v>
      </c>
      <c r="C681" s="1" t="n">
        <v>45999</v>
      </c>
      <c r="D681" t="inlineStr">
        <is>
          <t>SKÅNE LÄN</t>
        </is>
      </c>
      <c r="E681" t="inlineStr">
        <is>
          <t>HÄSSLEHOLM</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62234-2022</t>
        </is>
      </c>
      <c r="B682" s="1" t="n">
        <v>44922</v>
      </c>
      <c r="C682" s="1" t="n">
        <v>45999</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44741-2023</t>
        </is>
      </c>
      <c r="B683" s="1" t="n">
        <v>45190.38804398148</v>
      </c>
      <c r="C683" s="1" t="n">
        <v>45999</v>
      </c>
      <c r="D683" t="inlineStr">
        <is>
          <t>SKÅNE LÄN</t>
        </is>
      </c>
      <c r="E683" t="inlineStr">
        <is>
          <t>HÄSSLEHOLM</t>
        </is>
      </c>
      <c r="G683" t="n">
        <v>0.6</v>
      </c>
      <c r="H683" t="n">
        <v>0</v>
      </c>
      <c r="I683" t="n">
        <v>0</v>
      </c>
      <c r="J683" t="n">
        <v>0</v>
      </c>
      <c r="K683" t="n">
        <v>0</v>
      </c>
      <c r="L683" t="n">
        <v>0</v>
      </c>
      <c r="M683" t="n">
        <v>0</v>
      </c>
      <c r="N683" t="n">
        <v>0</v>
      </c>
      <c r="O683" t="n">
        <v>0</v>
      </c>
      <c r="P683" t="n">
        <v>0</v>
      </c>
      <c r="Q683" t="n">
        <v>0</v>
      </c>
      <c r="R683" s="2" t="inlineStr"/>
    </row>
    <row r="684" ht="15" customHeight="1">
      <c r="A684" t="inlineStr">
        <is>
          <t>A 9397-2025</t>
        </is>
      </c>
      <c r="B684" s="1" t="n">
        <v>45715.37361111111</v>
      </c>
      <c r="C684" s="1" t="n">
        <v>45999</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60920-2024</t>
        </is>
      </c>
      <c r="B685" s="1" t="n">
        <v>45645.34442129629</v>
      </c>
      <c r="C685" s="1" t="n">
        <v>45999</v>
      </c>
      <c r="D685" t="inlineStr">
        <is>
          <t>SKÅNE LÄN</t>
        </is>
      </c>
      <c r="E685" t="inlineStr">
        <is>
          <t>HÄSSLEHOLM</t>
        </is>
      </c>
      <c r="G685" t="n">
        <v>2.6</v>
      </c>
      <c r="H685" t="n">
        <v>0</v>
      </c>
      <c r="I685" t="n">
        <v>0</v>
      </c>
      <c r="J685" t="n">
        <v>0</v>
      </c>
      <c r="K685" t="n">
        <v>0</v>
      </c>
      <c r="L685" t="n">
        <v>0</v>
      </c>
      <c r="M685" t="n">
        <v>0</v>
      </c>
      <c r="N685" t="n">
        <v>0</v>
      </c>
      <c r="O685" t="n">
        <v>0</v>
      </c>
      <c r="P685" t="n">
        <v>0</v>
      </c>
      <c r="Q685" t="n">
        <v>0</v>
      </c>
      <c r="R685" s="2" t="inlineStr"/>
    </row>
    <row r="686" ht="15" customHeight="1">
      <c r="A686" t="inlineStr">
        <is>
          <t>A 1703-2025</t>
        </is>
      </c>
      <c r="B686" s="1" t="n">
        <v>45670.80732638889</v>
      </c>
      <c r="C686" s="1" t="n">
        <v>45999</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6583-2021</t>
        </is>
      </c>
      <c r="B687" s="1" t="n">
        <v>44236</v>
      </c>
      <c r="C687" s="1" t="n">
        <v>45999</v>
      </c>
      <c r="D687" t="inlineStr">
        <is>
          <t>SKÅNE LÄN</t>
        </is>
      </c>
      <c r="E687" t="inlineStr">
        <is>
          <t>HÄSSLEHOLM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46641-2023</t>
        </is>
      </c>
      <c r="B688" s="1" t="n">
        <v>45198.44523148148</v>
      </c>
      <c r="C688" s="1" t="n">
        <v>45999</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46645-2023</t>
        </is>
      </c>
      <c r="B689" s="1" t="n">
        <v>45198.44686342592</v>
      </c>
      <c r="C689" s="1" t="n">
        <v>45999</v>
      </c>
      <c r="D689" t="inlineStr">
        <is>
          <t>SKÅNE LÄN</t>
        </is>
      </c>
      <c r="E689" t="inlineStr">
        <is>
          <t>HÄSSLEHOLM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50899-2024</t>
        </is>
      </c>
      <c r="B690" s="1" t="n">
        <v>45602.68584490741</v>
      </c>
      <c r="C690" s="1" t="n">
        <v>45999</v>
      </c>
      <c r="D690" t="inlineStr">
        <is>
          <t>SKÅNE LÄN</t>
        </is>
      </c>
      <c r="E690" t="inlineStr">
        <is>
          <t>HÄSSLEHOLM</t>
        </is>
      </c>
      <c r="G690" t="n">
        <v>1.7</v>
      </c>
      <c r="H690" t="n">
        <v>0</v>
      </c>
      <c r="I690" t="n">
        <v>0</v>
      </c>
      <c r="J690" t="n">
        <v>0</v>
      </c>
      <c r="K690" t="n">
        <v>0</v>
      </c>
      <c r="L690" t="n">
        <v>0</v>
      </c>
      <c r="M690" t="n">
        <v>0</v>
      </c>
      <c r="N690" t="n">
        <v>0</v>
      </c>
      <c r="O690" t="n">
        <v>0</v>
      </c>
      <c r="P690" t="n">
        <v>0</v>
      </c>
      <c r="Q690" t="n">
        <v>0</v>
      </c>
      <c r="R690" s="2" t="inlineStr"/>
    </row>
    <row r="691" ht="15" customHeight="1">
      <c r="A691" t="inlineStr">
        <is>
          <t>A 22024-2025</t>
        </is>
      </c>
      <c r="B691" s="1" t="n">
        <v>45784.85322916666</v>
      </c>
      <c r="C691" s="1" t="n">
        <v>45999</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67974-2020</t>
        </is>
      </c>
      <c r="B692" s="1" t="n">
        <v>44182</v>
      </c>
      <c r="C692" s="1" t="n">
        <v>45999</v>
      </c>
      <c r="D692" t="inlineStr">
        <is>
          <t>SKÅNE LÄN</t>
        </is>
      </c>
      <c r="E692" t="inlineStr">
        <is>
          <t>HÄSSLEHOLM</t>
        </is>
      </c>
      <c r="G692" t="n">
        <v>9</v>
      </c>
      <c r="H692" t="n">
        <v>0</v>
      </c>
      <c r="I692" t="n">
        <v>0</v>
      </c>
      <c r="J692" t="n">
        <v>0</v>
      </c>
      <c r="K692" t="n">
        <v>0</v>
      </c>
      <c r="L692" t="n">
        <v>0</v>
      </c>
      <c r="M692" t="n">
        <v>0</v>
      </c>
      <c r="N692" t="n">
        <v>0</v>
      </c>
      <c r="O692" t="n">
        <v>0</v>
      </c>
      <c r="P692" t="n">
        <v>0</v>
      </c>
      <c r="Q692" t="n">
        <v>0</v>
      </c>
      <c r="R692" s="2" t="inlineStr"/>
    </row>
    <row r="693" ht="15" customHeight="1">
      <c r="A693" t="inlineStr">
        <is>
          <t>A 48624-2021</t>
        </is>
      </c>
      <c r="B693" s="1" t="n">
        <v>44452</v>
      </c>
      <c r="C693" s="1" t="n">
        <v>45999</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29274-2023</t>
        </is>
      </c>
      <c r="B694" s="1" t="n">
        <v>45105</v>
      </c>
      <c r="C694" s="1" t="n">
        <v>45999</v>
      </c>
      <c r="D694" t="inlineStr">
        <is>
          <t>SKÅNE LÄN</t>
        </is>
      </c>
      <c r="E694" t="inlineStr">
        <is>
          <t>HÄSSLEHOLM</t>
        </is>
      </c>
      <c r="G694" t="n">
        <v>3.4</v>
      </c>
      <c r="H694" t="n">
        <v>0</v>
      </c>
      <c r="I694" t="n">
        <v>0</v>
      </c>
      <c r="J694" t="n">
        <v>0</v>
      </c>
      <c r="K694" t="n">
        <v>0</v>
      </c>
      <c r="L694" t="n">
        <v>0</v>
      </c>
      <c r="M694" t="n">
        <v>0</v>
      </c>
      <c r="N694" t="n">
        <v>0</v>
      </c>
      <c r="O694" t="n">
        <v>0</v>
      </c>
      <c r="P694" t="n">
        <v>0</v>
      </c>
      <c r="Q694" t="n">
        <v>0</v>
      </c>
      <c r="R694" s="2" t="inlineStr"/>
    </row>
    <row r="695" ht="15" customHeight="1">
      <c r="A695" t="inlineStr">
        <is>
          <t>A 34890-2023</t>
        </is>
      </c>
      <c r="B695" s="1" t="n">
        <v>45142.39475694444</v>
      </c>
      <c r="C695" s="1" t="n">
        <v>45999</v>
      </c>
      <c r="D695" t="inlineStr">
        <is>
          <t>SKÅNE LÄN</t>
        </is>
      </c>
      <c r="E695" t="inlineStr">
        <is>
          <t>HÄSSLEHOLM</t>
        </is>
      </c>
      <c r="G695" t="n">
        <v>4</v>
      </c>
      <c r="H695" t="n">
        <v>0</v>
      </c>
      <c r="I695" t="n">
        <v>0</v>
      </c>
      <c r="J695" t="n">
        <v>0</v>
      </c>
      <c r="K695" t="n">
        <v>0</v>
      </c>
      <c r="L695" t="n">
        <v>0</v>
      </c>
      <c r="M695" t="n">
        <v>0</v>
      </c>
      <c r="N695" t="n">
        <v>0</v>
      </c>
      <c r="O695" t="n">
        <v>0</v>
      </c>
      <c r="P695" t="n">
        <v>0</v>
      </c>
      <c r="Q695" t="n">
        <v>0</v>
      </c>
      <c r="R695" s="2" t="inlineStr"/>
    </row>
    <row r="696" ht="15" customHeight="1">
      <c r="A696" t="inlineStr">
        <is>
          <t>A 3886-2024</t>
        </is>
      </c>
      <c r="B696" s="1" t="n">
        <v>45322.44539351852</v>
      </c>
      <c r="C696" s="1" t="n">
        <v>45999</v>
      </c>
      <c r="D696" t="inlineStr">
        <is>
          <t>SKÅNE LÄN</t>
        </is>
      </c>
      <c r="E696" t="inlineStr">
        <is>
          <t>HÄSSLEHOLM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61932-2023</t>
        </is>
      </c>
      <c r="B697" s="1" t="n">
        <v>45266.53761574074</v>
      </c>
      <c r="C697" s="1" t="n">
        <v>45999</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59556-2023</t>
        </is>
      </c>
      <c r="B698" s="1" t="n">
        <v>45254.56313657408</v>
      </c>
      <c r="C698" s="1" t="n">
        <v>45999</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13149-2024</t>
        </is>
      </c>
      <c r="B699" s="1" t="n">
        <v>45386</v>
      </c>
      <c r="C699" s="1" t="n">
        <v>45999</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53466-2024</t>
        </is>
      </c>
      <c r="B700" s="1" t="n">
        <v>45614.55304398148</v>
      </c>
      <c r="C700" s="1" t="n">
        <v>45999</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10802-2024</t>
        </is>
      </c>
      <c r="B701" s="1" t="n">
        <v>45369</v>
      </c>
      <c r="C701" s="1" t="n">
        <v>45999</v>
      </c>
      <c r="D701" t="inlineStr">
        <is>
          <t>SKÅNE LÄN</t>
        </is>
      </c>
      <c r="E701" t="inlineStr">
        <is>
          <t>HÄSSLEHOLM</t>
        </is>
      </c>
      <c r="G701" t="n">
        <v>3.4</v>
      </c>
      <c r="H701" t="n">
        <v>0</v>
      </c>
      <c r="I701" t="n">
        <v>0</v>
      </c>
      <c r="J701" t="n">
        <v>0</v>
      </c>
      <c r="K701" t="n">
        <v>0</v>
      </c>
      <c r="L701" t="n">
        <v>0</v>
      </c>
      <c r="M701" t="n">
        <v>0</v>
      </c>
      <c r="N701" t="n">
        <v>0</v>
      </c>
      <c r="O701" t="n">
        <v>0</v>
      </c>
      <c r="P701" t="n">
        <v>0</v>
      </c>
      <c r="Q701" t="n">
        <v>0</v>
      </c>
      <c r="R701" s="2" t="inlineStr"/>
    </row>
    <row r="702" ht="15" customHeight="1">
      <c r="A702" t="inlineStr">
        <is>
          <t>A 10230-2025</t>
        </is>
      </c>
      <c r="B702" s="1" t="n">
        <v>45720</v>
      </c>
      <c r="C702" s="1" t="n">
        <v>45999</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9543-2025</t>
        </is>
      </c>
      <c r="B703" s="1" t="n">
        <v>45715</v>
      </c>
      <c r="C703" s="1" t="n">
        <v>45999</v>
      </c>
      <c r="D703" t="inlineStr">
        <is>
          <t>SKÅNE LÄN</t>
        </is>
      </c>
      <c r="E703" t="inlineStr">
        <is>
          <t>HÄSSLEHOLM</t>
        </is>
      </c>
      <c r="G703" t="n">
        <v>2.6</v>
      </c>
      <c r="H703" t="n">
        <v>0</v>
      </c>
      <c r="I703" t="n">
        <v>0</v>
      </c>
      <c r="J703" t="n">
        <v>0</v>
      </c>
      <c r="K703" t="n">
        <v>0</v>
      </c>
      <c r="L703" t="n">
        <v>0</v>
      </c>
      <c r="M703" t="n">
        <v>0</v>
      </c>
      <c r="N703" t="n">
        <v>0</v>
      </c>
      <c r="O703" t="n">
        <v>0</v>
      </c>
      <c r="P703" t="n">
        <v>0</v>
      </c>
      <c r="Q703" t="n">
        <v>0</v>
      </c>
      <c r="R703" s="2" t="inlineStr"/>
    </row>
    <row r="704" ht="15" customHeight="1">
      <c r="A704" t="inlineStr">
        <is>
          <t>A 19735-2023</t>
        </is>
      </c>
      <c r="B704" s="1" t="n">
        <v>45051.52199074074</v>
      </c>
      <c r="C704" s="1" t="n">
        <v>45999</v>
      </c>
      <c r="D704" t="inlineStr">
        <is>
          <t>SKÅNE LÄN</t>
        </is>
      </c>
      <c r="E704" t="inlineStr">
        <is>
          <t>HÄSSLEHOLM</t>
        </is>
      </c>
      <c r="G704" t="n">
        <v>4</v>
      </c>
      <c r="H704" t="n">
        <v>0</v>
      </c>
      <c r="I704" t="n">
        <v>0</v>
      </c>
      <c r="J704" t="n">
        <v>0</v>
      </c>
      <c r="K704" t="n">
        <v>0</v>
      </c>
      <c r="L704" t="n">
        <v>0</v>
      </c>
      <c r="M704" t="n">
        <v>0</v>
      </c>
      <c r="N704" t="n">
        <v>0</v>
      </c>
      <c r="O704" t="n">
        <v>0</v>
      </c>
      <c r="P704" t="n">
        <v>0</v>
      </c>
      <c r="Q704" t="n">
        <v>0</v>
      </c>
      <c r="R704" s="2" t="inlineStr"/>
    </row>
    <row r="705" ht="15" customHeight="1">
      <c r="A705" t="inlineStr">
        <is>
          <t>A 48797-2023</t>
        </is>
      </c>
      <c r="B705" s="1" t="n">
        <v>45209.24986111111</v>
      </c>
      <c r="C705" s="1" t="n">
        <v>45999</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5532-2025</t>
        </is>
      </c>
      <c r="B706" s="1" t="n">
        <v>45693</v>
      </c>
      <c r="C706" s="1" t="n">
        <v>45999</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55662-2022</t>
        </is>
      </c>
      <c r="B707" s="1" t="n">
        <v>44883</v>
      </c>
      <c r="C707" s="1" t="n">
        <v>45999</v>
      </c>
      <c r="D707" t="inlineStr">
        <is>
          <t>SKÅNE LÄN</t>
        </is>
      </c>
      <c r="E707" t="inlineStr">
        <is>
          <t>HÄSSLEHOLM</t>
        </is>
      </c>
      <c r="F707" t="inlineStr">
        <is>
          <t>Övriga Aktiebolag</t>
        </is>
      </c>
      <c r="G707" t="n">
        <v>2.6</v>
      </c>
      <c r="H707" t="n">
        <v>0</v>
      </c>
      <c r="I707" t="n">
        <v>0</v>
      </c>
      <c r="J707" t="n">
        <v>0</v>
      </c>
      <c r="K707" t="n">
        <v>0</v>
      </c>
      <c r="L707" t="n">
        <v>0</v>
      </c>
      <c r="M707" t="n">
        <v>0</v>
      </c>
      <c r="N707" t="n">
        <v>0</v>
      </c>
      <c r="O707" t="n">
        <v>0</v>
      </c>
      <c r="P707" t="n">
        <v>0</v>
      </c>
      <c r="Q707" t="n">
        <v>0</v>
      </c>
      <c r="R707" s="2" t="inlineStr"/>
    </row>
    <row r="708" ht="15" customHeight="1">
      <c r="A708" t="inlineStr">
        <is>
          <t>A 48046-2023</t>
        </is>
      </c>
      <c r="B708" s="1" t="n">
        <v>45204.85201388889</v>
      </c>
      <c r="C708" s="1" t="n">
        <v>45999</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11607-2025</t>
        </is>
      </c>
      <c r="B709" s="1" t="n">
        <v>45727</v>
      </c>
      <c r="C709" s="1" t="n">
        <v>45999</v>
      </c>
      <c r="D709" t="inlineStr">
        <is>
          <t>SKÅNE LÄN</t>
        </is>
      </c>
      <c r="E709" t="inlineStr">
        <is>
          <t>HÄSSLEHOLM</t>
        </is>
      </c>
      <c r="G709" t="n">
        <v>4.1</v>
      </c>
      <c r="H709" t="n">
        <v>0</v>
      </c>
      <c r="I709" t="n">
        <v>0</v>
      </c>
      <c r="J709" t="n">
        <v>0</v>
      </c>
      <c r="K709" t="n">
        <v>0</v>
      </c>
      <c r="L709" t="n">
        <v>0</v>
      </c>
      <c r="M709" t="n">
        <v>0</v>
      </c>
      <c r="N709" t="n">
        <v>0</v>
      </c>
      <c r="O709" t="n">
        <v>0</v>
      </c>
      <c r="P709" t="n">
        <v>0</v>
      </c>
      <c r="Q709" t="n">
        <v>0</v>
      </c>
      <c r="R709" s="2" t="inlineStr"/>
    </row>
    <row r="710" ht="15" customHeight="1">
      <c r="A710" t="inlineStr">
        <is>
          <t>A 51571-2023</t>
        </is>
      </c>
      <c r="B710" s="1" t="n">
        <v>45222</v>
      </c>
      <c r="C710" s="1" t="n">
        <v>45999</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13808-2021</t>
        </is>
      </c>
      <c r="B711" s="1" t="n">
        <v>44276</v>
      </c>
      <c r="C711" s="1" t="n">
        <v>45999</v>
      </c>
      <c r="D711" t="inlineStr">
        <is>
          <t>SKÅNE LÄN</t>
        </is>
      </c>
      <c r="E711" t="inlineStr">
        <is>
          <t>HÄSSLEHOLM</t>
        </is>
      </c>
      <c r="G711" t="n">
        <v>10.3</v>
      </c>
      <c r="H711" t="n">
        <v>0</v>
      </c>
      <c r="I711" t="n">
        <v>0</v>
      </c>
      <c r="J711" t="n">
        <v>0</v>
      </c>
      <c r="K711" t="n">
        <v>0</v>
      </c>
      <c r="L711" t="n">
        <v>0</v>
      </c>
      <c r="M711" t="n">
        <v>0</v>
      </c>
      <c r="N711" t="n">
        <v>0</v>
      </c>
      <c r="O711" t="n">
        <v>0</v>
      </c>
      <c r="P711" t="n">
        <v>0</v>
      </c>
      <c r="Q711" t="n">
        <v>0</v>
      </c>
      <c r="R711" s="2" t="inlineStr"/>
    </row>
    <row r="712" ht="15" customHeight="1">
      <c r="A712" t="inlineStr">
        <is>
          <t>A 49106-2023</t>
        </is>
      </c>
      <c r="B712" s="1" t="n">
        <v>45210</v>
      </c>
      <c r="C712" s="1" t="n">
        <v>45999</v>
      </c>
      <c r="D712" t="inlineStr">
        <is>
          <t>SKÅNE LÄN</t>
        </is>
      </c>
      <c r="E712" t="inlineStr">
        <is>
          <t>HÄSSLEHOLM</t>
        </is>
      </c>
      <c r="G712" t="n">
        <v>0.3</v>
      </c>
      <c r="H712" t="n">
        <v>0</v>
      </c>
      <c r="I712" t="n">
        <v>0</v>
      </c>
      <c r="J712" t="n">
        <v>0</v>
      </c>
      <c r="K712" t="n">
        <v>0</v>
      </c>
      <c r="L712" t="n">
        <v>0</v>
      </c>
      <c r="M712" t="n">
        <v>0</v>
      </c>
      <c r="N712" t="n">
        <v>0</v>
      </c>
      <c r="O712" t="n">
        <v>0</v>
      </c>
      <c r="P712" t="n">
        <v>0</v>
      </c>
      <c r="Q712" t="n">
        <v>0</v>
      </c>
      <c r="R712" s="2" t="inlineStr"/>
    </row>
    <row r="713" ht="15" customHeight="1">
      <c r="A713" t="inlineStr">
        <is>
          <t>A 58815-2023</t>
        </is>
      </c>
      <c r="B713" s="1" t="n">
        <v>45247</v>
      </c>
      <c r="C713" s="1" t="n">
        <v>45999</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27291-2023</t>
        </is>
      </c>
      <c r="B714" s="1" t="n">
        <v>45096</v>
      </c>
      <c r="C714" s="1" t="n">
        <v>45999</v>
      </c>
      <c r="D714" t="inlineStr">
        <is>
          <t>SKÅNE LÄN</t>
        </is>
      </c>
      <c r="E714" t="inlineStr">
        <is>
          <t>HÄSSLEHOLM</t>
        </is>
      </c>
      <c r="G714" t="n">
        <v>3.5</v>
      </c>
      <c r="H714" t="n">
        <v>0</v>
      </c>
      <c r="I714" t="n">
        <v>0</v>
      </c>
      <c r="J714" t="n">
        <v>0</v>
      </c>
      <c r="K714" t="n">
        <v>0</v>
      </c>
      <c r="L714" t="n">
        <v>0</v>
      </c>
      <c r="M714" t="n">
        <v>0</v>
      </c>
      <c r="N714" t="n">
        <v>0</v>
      </c>
      <c r="O714" t="n">
        <v>0</v>
      </c>
      <c r="P714" t="n">
        <v>0</v>
      </c>
      <c r="Q714" t="n">
        <v>0</v>
      </c>
      <c r="R714" s="2" t="inlineStr"/>
    </row>
    <row r="715" ht="15" customHeight="1">
      <c r="A715" t="inlineStr">
        <is>
          <t>A 9697-2023</t>
        </is>
      </c>
      <c r="B715" s="1" t="n">
        <v>44984</v>
      </c>
      <c r="C715" s="1" t="n">
        <v>45999</v>
      </c>
      <c r="D715" t="inlineStr">
        <is>
          <t>SKÅNE LÄN</t>
        </is>
      </c>
      <c r="E715" t="inlineStr">
        <is>
          <t>HÄSSLEHOLM</t>
        </is>
      </c>
      <c r="G715" t="n">
        <v>0.3</v>
      </c>
      <c r="H715" t="n">
        <v>0</v>
      </c>
      <c r="I715" t="n">
        <v>0</v>
      </c>
      <c r="J715" t="n">
        <v>0</v>
      </c>
      <c r="K715" t="n">
        <v>0</v>
      </c>
      <c r="L715" t="n">
        <v>0</v>
      </c>
      <c r="M715" t="n">
        <v>0</v>
      </c>
      <c r="N715" t="n">
        <v>0</v>
      </c>
      <c r="O715" t="n">
        <v>0</v>
      </c>
      <c r="P715" t="n">
        <v>0</v>
      </c>
      <c r="Q715" t="n">
        <v>0</v>
      </c>
      <c r="R715" s="2" t="inlineStr"/>
    </row>
    <row r="716" ht="15" customHeight="1">
      <c r="A716" t="inlineStr">
        <is>
          <t>A 27478-2023</t>
        </is>
      </c>
      <c r="B716" s="1" t="n">
        <v>45092</v>
      </c>
      <c r="C716" s="1" t="n">
        <v>45999</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1170-2025</t>
        </is>
      </c>
      <c r="B717" s="1" t="n">
        <v>45667.29226851852</v>
      </c>
      <c r="C717" s="1" t="n">
        <v>45999</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57749-2023</t>
        </is>
      </c>
      <c r="B718" s="1" t="n">
        <v>45246</v>
      </c>
      <c r="C718" s="1" t="n">
        <v>45999</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44940-2023</t>
        </is>
      </c>
      <c r="B719" s="1" t="n">
        <v>45190.68653935185</v>
      </c>
      <c r="C719" s="1" t="n">
        <v>45999</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18800-2023</t>
        </is>
      </c>
      <c r="B720" s="1" t="n">
        <v>45044</v>
      </c>
      <c r="C720" s="1" t="n">
        <v>45999</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16108-2025</t>
        </is>
      </c>
      <c r="B721" s="1" t="n">
        <v>45750.34667824074</v>
      </c>
      <c r="C721" s="1" t="n">
        <v>45999</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25206-2023</t>
        </is>
      </c>
      <c r="B722" s="1" t="n">
        <v>45086.59318287037</v>
      </c>
      <c r="C722" s="1" t="n">
        <v>45999</v>
      </c>
      <c r="D722" t="inlineStr">
        <is>
          <t>SKÅNE LÄN</t>
        </is>
      </c>
      <c r="E722" t="inlineStr">
        <is>
          <t>HÄSSLEHOLM</t>
        </is>
      </c>
      <c r="G722" t="n">
        <v>2.9</v>
      </c>
      <c r="H722" t="n">
        <v>0</v>
      </c>
      <c r="I722" t="n">
        <v>0</v>
      </c>
      <c r="J722" t="n">
        <v>0</v>
      </c>
      <c r="K722" t="n">
        <v>0</v>
      </c>
      <c r="L722" t="n">
        <v>0</v>
      </c>
      <c r="M722" t="n">
        <v>0</v>
      </c>
      <c r="N722" t="n">
        <v>0</v>
      </c>
      <c r="O722" t="n">
        <v>0</v>
      </c>
      <c r="P722" t="n">
        <v>0</v>
      </c>
      <c r="Q722" t="n">
        <v>0</v>
      </c>
      <c r="R722" s="2" t="inlineStr"/>
    </row>
    <row r="723" ht="15" customHeight="1">
      <c r="A723" t="inlineStr">
        <is>
          <t>A 5116-2023</t>
        </is>
      </c>
      <c r="B723" s="1" t="n">
        <v>44958.67546296296</v>
      </c>
      <c r="C723" s="1" t="n">
        <v>45999</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48798-2023</t>
        </is>
      </c>
      <c r="B724" s="1" t="n">
        <v>45209.25318287037</v>
      </c>
      <c r="C724" s="1" t="n">
        <v>45999</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10220-2023</t>
        </is>
      </c>
      <c r="B725" s="1" t="n">
        <v>44986.60916666667</v>
      </c>
      <c r="C725" s="1" t="n">
        <v>45999</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48627-2023</t>
        </is>
      </c>
      <c r="B726" s="1" t="n">
        <v>45208.57371527778</v>
      </c>
      <c r="C726" s="1" t="n">
        <v>45999</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25611-2024</t>
        </is>
      </c>
      <c r="B727" s="1" t="n">
        <v>45463</v>
      </c>
      <c r="C727" s="1" t="n">
        <v>45999</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17152-2025</t>
        </is>
      </c>
      <c r="B728" s="1" t="n">
        <v>45756.33318287037</v>
      </c>
      <c r="C728" s="1" t="n">
        <v>45999</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48326-2023</t>
        </is>
      </c>
      <c r="B729" s="1" t="n">
        <v>45205</v>
      </c>
      <c r="C729" s="1" t="n">
        <v>45999</v>
      </c>
      <c r="D729" t="inlineStr">
        <is>
          <t>SKÅNE LÄN</t>
        </is>
      </c>
      <c r="E729" t="inlineStr">
        <is>
          <t>HÄSSLEHOLM</t>
        </is>
      </c>
      <c r="G729" t="n">
        <v>12.7</v>
      </c>
      <c r="H729" t="n">
        <v>0</v>
      </c>
      <c r="I729" t="n">
        <v>0</v>
      </c>
      <c r="J729" t="n">
        <v>0</v>
      </c>
      <c r="K729" t="n">
        <v>0</v>
      </c>
      <c r="L729" t="n">
        <v>0</v>
      </c>
      <c r="M729" t="n">
        <v>0</v>
      </c>
      <c r="N729" t="n">
        <v>0</v>
      </c>
      <c r="O729" t="n">
        <v>0</v>
      </c>
      <c r="P729" t="n">
        <v>0</v>
      </c>
      <c r="Q729" t="n">
        <v>0</v>
      </c>
      <c r="R729" s="2" t="inlineStr"/>
    </row>
    <row r="730" ht="15" customHeight="1">
      <c r="A730" t="inlineStr">
        <is>
          <t>A 10752-2025</t>
        </is>
      </c>
      <c r="B730" s="1" t="n">
        <v>45722</v>
      </c>
      <c r="C730" s="1" t="n">
        <v>45999</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26536-2022</t>
        </is>
      </c>
      <c r="B731" s="1" t="n">
        <v>44739.45496527778</v>
      </c>
      <c r="C731" s="1" t="n">
        <v>45999</v>
      </c>
      <c r="D731" t="inlineStr">
        <is>
          <t>SKÅNE LÄN</t>
        </is>
      </c>
      <c r="E731" t="inlineStr">
        <is>
          <t>HÄSSLEHOLM</t>
        </is>
      </c>
      <c r="G731" t="n">
        <v>3.1</v>
      </c>
      <c r="H731" t="n">
        <v>0</v>
      </c>
      <c r="I731" t="n">
        <v>0</v>
      </c>
      <c r="J731" t="n">
        <v>0</v>
      </c>
      <c r="K731" t="n">
        <v>0</v>
      </c>
      <c r="L731" t="n">
        <v>0</v>
      </c>
      <c r="M731" t="n">
        <v>0</v>
      </c>
      <c r="N731" t="n">
        <v>0</v>
      </c>
      <c r="O731" t="n">
        <v>0</v>
      </c>
      <c r="P731" t="n">
        <v>0</v>
      </c>
      <c r="Q731" t="n">
        <v>0</v>
      </c>
      <c r="R731" s="2" t="inlineStr"/>
    </row>
    <row r="732" ht="15" customHeight="1">
      <c r="A732" t="inlineStr">
        <is>
          <t>A 16334-2024</t>
        </is>
      </c>
      <c r="B732" s="1" t="n">
        <v>45407.54856481482</v>
      </c>
      <c r="C732" s="1" t="n">
        <v>45999</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54462-2022</t>
        </is>
      </c>
      <c r="B733" s="1" t="n">
        <v>44882</v>
      </c>
      <c r="C733" s="1" t="n">
        <v>45999</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3890-2024</t>
        </is>
      </c>
      <c r="B734" s="1" t="n">
        <v>45322.45366898148</v>
      </c>
      <c r="C734" s="1" t="n">
        <v>45999</v>
      </c>
      <c r="D734" t="inlineStr">
        <is>
          <t>SKÅNE LÄN</t>
        </is>
      </c>
      <c r="E734" t="inlineStr">
        <is>
          <t>HÄSSLEHOLM</t>
        </is>
      </c>
      <c r="G734" t="n">
        <v>3</v>
      </c>
      <c r="H734" t="n">
        <v>0</v>
      </c>
      <c r="I734" t="n">
        <v>0</v>
      </c>
      <c r="J734" t="n">
        <v>0</v>
      </c>
      <c r="K734" t="n">
        <v>0</v>
      </c>
      <c r="L734" t="n">
        <v>0</v>
      </c>
      <c r="M734" t="n">
        <v>0</v>
      </c>
      <c r="N734" t="n">
        <v>0</v>
      </c>
      <c r="O734" t="n">
        <v>0</v>
      </c>
      <c r="P734" t="n">
        <v>0</v>
      </c>
      <c r="Q734" t="n">
        <v>0</v>
      </c>
      <c r="R734" s="2" t="inlineStr"/>
    </row>
    <row r="735" ht="15" customHeight="1">
      <c r="A735" t="inlineStr">
        <is>
          <t>A 41873-2023</t>
        </is>
      </c>
      <c r="B735" s="1" t="n">
        <v>45176</v>
      </c>
      <c r="C735" s="1" t="n">
        <v>45999</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54471-2023</t>
        </is>
      </c>
      <c r="B736" s="1" t="n">
        <v>45233.4640162037</v>
      </c>
      <c r="C736" s="1" t="n">
        <v>45999</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60973-2024</t>
        </is>
      </c>
      <c r="B737" s="1" t="n">
        <v>45644</v>
      </c>
      <c r="C737" s="1" t="n">
        <v>45999</v>
      </c>
      <c r="D737" t="inlineStr">
        <is>
          <t>SKÅNE LÄN</t>
        </is>
      </c>
      <c r="E737" t="inlineStr">
        <is>
          <t>HÄSSLEHOLM</t>
        </is>
      </c>
      <c r="G737" t="n">
        <v>3.6</v>
      </c>
      <c r="H737" t="n">
        <v>0</v>
      </c>
      <c r="I737" t="n">
        <v>0</v>
      </c>
      <c r="J737" t="n">
        <v>0</v>
      </c>
      <c r="K737" t="n">
        <v>0</v>
      </c>
      <c r="L737" t="n">
        <v>0</v>
      </c>
      <c r="M737" t="n">
        <v>0</v>
      </c>
      <c r="N737" t="n">
        <v>0</v>
      </c>
      <c r="O737" t="n">
        <v>0</v>
      </c>
      <c r="P737" t="n">
        <v>0</v>
      </c>
      <c r="Q737" t="n">
        <v>0</v>
      </c>
      <c r="R737" s="2" t="inlineStr"/>
    </row>
    <row r="738" ht="15" customHeight="1">
      <c r="A738" t="inlineStr">
        <is>
          <t>A 57963-2023</t>
        </is>
      </c>
      <c r="B738" s="1" t="n">
        <v>45247.57732638889</v>
      </c>
      <c r="C738" s="1" t="n">
        <v>45999</v>
      </c>
      <c r="D738" t="inlineStr">
        <is>
          <t>SKÅNE LÄN</t>
        </is>
      </c>
      <c r="E738" t="inlineStr">
        <is>
          <t>HÄSSLEHOLM</t>
        </is>
      </c>
      <c r="G738" t="n">
        <v>4.6</v>
      </c>
      <c r="H738" t="n">
        <v>0</v>
      </c>
      <c r="I738" t="n">
        <v>0</v>
      </c>
      <c r="J738" t="n">
        <v>0</v>
      </c>
      <c r="K738" t="n">
        <v>0</v>
      </c>
      <c r="L738" t="n">
        <v>0</v>
      </c>
      <c r="M738" t="n">
        <v>0</v>
      </c>
      <c r="N738" t="n">
        <v>0</v>
      </c>
      <c r="O738" t="n">
        <v>0</v>
      </c>
      <c r="P738" t="n">
        <v>0</v>
      </c>
      <c r="Q738" t="n">
        <v>0</v>
      </c>
      <c r="R738" s="2" t="inlineStr"/>
    </row>
    <row r="739" ht="15" customHeight="1">
      <c r="A739" t="inlineStr">
        <is>
          <t>A 59028-2023</t>
        </is>
      </c>
      <c r="B739" s="1" t="n">
        <v>45252.67900462963</v>
      </c>
      <c r="C739" s="1" t="n">
        <v>45999</v>
      </c>
      <c r="D739" t="inlineStr">
        <is>
          <t>SKÅNE LÄN</t>
        </is>
      </c>
      <c r="E739" t="inlineStr">
        <is>
          <t>HÄSSLEHOLM</t>
        </is>
      </c>
      <c r="G739" t="n">
        <v>2.5</v>
      </c>
      <c r="H739" t="n">
        <v>0</v>
      </c>
      <c r="I739" t="n">
        <v>0</v>
      </c>
      <c r="J739" t="n">
        <v>0</v>
      </c>
      <c r="K739" t="n">
        <v>0</v>
      </c>
      <c r="L739" t="n">
        <v>0</v>
      </c>
      <c r="M739" t="n">
        <v>0</v>
      </c>
      <c r="N739" t="n">
        <v>0</v>
      </c>
      <c r="O739" t="n">
        <v>0</v>
      </c>
      <c r="P739" t="n">
        <v>0</v>
      </c>
      <c r="Q739" t="n">
        <v>0</v>
      </c>
      <c r="R739" s="2" t="inlineStr"/>
    </row>
    <row r="740" ht="15" customHeight="1">
      <c r="A740" t="inlineStr">
        <is>
          <t>A 29844-2024</t>
        </is>
      </c>
      <c r="B740" s="1" t="n">
        <v>45485</v>
      </c>
      <c r="C740" s="1" t="n">
        <v>45999</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38228-2021</t>
        </is>
      </c>
      <c r="B741" s="1" t="n">
        <v>44405</v>
      </c>
      <c r="C741" s="1" t="n">
        <v>45999</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13544-2025</t>
        </is>
      </c>
      <c r="B742" s="1" t="n">
        <v>45736</v>
      </c>
      <c r="C742" s="1" t="n">
        <v>45999</v>
      </c>
      <c r="D742" t="inlineStr">
        <is>
          <t>SKÅNE LÄN</t>
        </is>
      </c>
      <c r="E742" t="inlineStr">
        <is>
          <t>HÄSSLEHOLM</t>
        </is>
      </c>
      <c r="G742" t="n">
        <v>2.5</v>
      </c>
      <c r="H742" t="n">
        <v>0</v>
      </c>
      <c r="I742" t="n">
        <v>0</v>
      </c>
      <c r="J742" t="n">
        <v>0</v>
      </c>
      <c r="K742" t="n">
        <v>0</v>
      </c>
      <c r="L742" t="n">
        <v>0</v>
      </c>
      <c r="M742" t="n">
        <v>0</v>
      </c>
      <c r="N742" t="n">
        <v>0</v>
      </c>
      <c r="O742" t="n">
        <v>0</v>
      </c>
      <c r="P742" t="n">
        <v>0</v>
      </c>
      <c r="Q742" t="n">
        <v>0</v>
      </c>
      <c r="R742" s="2" t="inlineStr"/>
    </row>
    <row r="743" ht="15" customHeight="1">
      <c r="A743" t="inlineStr">
        <is>
          <t>A 14655-2025</t>
        </is>
      </c>
      <c r="B743" s="1" t="n">
        <v>45742.5072337963</v>
      </c>
      <c r="C743" s="1" t="n">
        <v>45999</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59763-2022</t>
        </is>
      </c>
      <c r="B744" s="1" t="n">
        <v>44900</v>
      </c>
      <c r="C744" s="1" t="n">
        <v>45999</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40536-2024</t>
        </is>
      </c>
      <c r="B745" s="1" t="n">
        <v>45555.61314814815</v>
      </c>
      <c r="C745" s="1" t="n">
        <v>45999</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2712-2024</t>
        </is>
      </c>
      <c r="B746" s="1" t="n">
        <v>45314</v>
      </c>
      <c r="C746" s="1" t="n">
        <v>45999</v>
      </c>
      <c r="D746" t="inlineStr">
        <is>
          <t>SKÅNE LÄN</t>
        </is>
      </c>
      <c r="E746" t="inlineStr">
        <is>
          <t>HÄSSLEHOLM</t>
        </is>
      </c>
      <c r="G746" t="n">
        <v>11.3</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45999</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21328-2023</t>
        </is>
      </c>
      <c r="B748" s="1" t="n">
        <v>45062</v>
      </c>
      <c r="C748" s="1" t="n">
        <v>45999</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10277-2023</t>
        </is>
      </c>
      <c r="B749" s="1" t="n">
        <v>44986</v>
      </c>
      <c r="C749" s="1" t="n">
        <v>45999</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10290-2023</t>
        </is>
      </c>
      <c r="B750" s="1" t="n">
        <v>44986</v>
      </c>
      <c r="C750" s="1" t="n">
        <v>45999</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260-2024</t>
        </is>
      </c>
      <c r="B751" s="1" t="n">
        <v>45294</v>
      </c>
      <c r="C751" s="1" t="n">
        <v>45999</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8263-2025</t>
        </is>
      </c>
      <c r="B752" s="1" t="n">
        <v>45708.50398148148</v>
      </c>
      <c r="C752" s="1" t="n">
        <v>45999</v>
      </c>
      <c r="D752" t="inlineStr">
        <is>
          <t>SKÅNE LÄN</t>
        </is>
      </c>
      <c r="E752" t="inlineStr">
        <is>
          <t>HÄSSLEHOLM</t>
        </is>
      </c>
      <c r="G752" t="n">
        <v>2.9</v>
      </c>
      <c r="H752" t="n">
        <v>0</v>
      </c>
      <c r="I752" t="n">
        <v>0</v>
      </c>
      <c r="J752" t="n">
        <v>0</v>
      </c>
      <c r="K752" t="n">
        <v>0</v>
      </c>
      <c r="L752" t="n">
        <v>0</v>
      </c>
      <c r="M752" t="n">
        <v>0</v>
      </c>
      <c r="N752" t="n">
        <v>0</v>
      </c>
      <c r="O752" t="n">
        <v>0</v>
      </c>
      <c r="P752" t="n">
        <v>0</v>
      </c>
      <c r="Q752" t="n">
        <v>0</v>
      </c>
      <c r="R752" s="2" t="inlineStr"/>
    </row>
    <row r="753" ht="15" customHeight="1">
      <c r="A753" t="inlineStr">
        <is>
          <t>A 6619-2024</t>
        </is>
      </c>
      <c r="B753" s="1" t="n">
        <v>45341.6021412037</v>
      </c>
      <c r="C753" s="1" t="n">
        <v>45999</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20666-2023</t>
        </is>
      </c>
      <c r="B754" s="1" t="n">
        <v>45058.35664351852</v>
      </c>
      <c r="C754" s="1" t="n">
        <v>45999</v>
      </c>
      <c r="D754" t="inlineStr">
        <is>
          <t>SKÅNE LÄN</t>
        </is>
      </c>
      <c r="E754" t="inlineStr">
        <is>
          <t>HÄSSLEHOLM</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19593-2023</t>
        </is>
      </c>
      <c r="B755" s="1" t="n">
        <v>45050.75895833333</v>
      </c>
      <c r="C755" s="1" t="n">
        <v>45999</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30006-2023</t>
        </is>
      </c>
      <c r="B756" s="1" t="n">
        <v>45109.79962962963</v>
      </c>
      <c r="C756" s="1" t="n">
        <v>45999</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7494-2023</t>
        </is>
      </c>
      <c r="B757" s="1" t="n">
        <v>44971.70835648148</v>
      </c>
      <c r="C757" s="1" t="n">
        <v>45999</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6087-2025</t>
        </is>
      </c>
      <c r="B758" s="1" t="n">
        <v>45697.69782407407</v>
      </c>
      <c r="C758" s="1" t="n">
        <v>45999</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42364-2023</t>
        </is>
      </c>
      <c r="B759" s="1" t="n">
        <v>45180.54754629629</v>
      </c>
      <c r="C759" s="1" t="n">
        <v>45999</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61578-2023</t>
        </is>
      </c>
      <c r="B760" s="1" t="n">
        <v>45265.47399305556</v>
      </c>
      <c r="C760" s="1" t="n">
        <v>45999</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50571-2023</t>
        </is>
      </c>
      <c r="B761" s="1" t="n">
        <v>45217.38359953704</v>
      </c>
      <c r="C761" s="1" t="n">
        <v>45999</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18041-2023</t>
        </is>
      </c>
      <c r="B762" s="1" t="n">
        <v>45040</v>
      </c>
      <c r="C762" s="1" t="n">
        <v>45999</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2597-2024</t>
        </is>
      </c>
      <c r="B763" s="1" t="n">
        <v>45313</v>
      </c>
      <c r="C763" s="1" t="n">
        <v>45999</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16950-2025</t>
        </is>
      </c>
      <c r="B764" s="1" t="n">
        <v>45755</v>
      </c>
      <c r="C764" s="1" t="n">
        <v>45999</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58618-2024</t>
        </is>
      </c>
      <c r="B765" s="1" t="n">
        <v>45635.56150462963</v>
      </c>
      <c r="C765" s="1" t="n">
        <v>45999</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52337-2023</t>
        </is>
      </c>
      <c r="B766" s="1" t="n">
        <v>45224.66359953704</v>
      </c>
      <c r="C766" s="1" t="n">
        <v>45999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13084-2025</t>
        </is>
      </c>
      <c r="B767" s="1" t="n">
        <v>45734</v>
      </c>
      <c r="C767" s="1" t="n">
        <v>45999</v>
      </c>
      <c r="D767" t="inlineStr">
        <is>
          <t>SKÅNE LÄN</t>
        </is>
      </c>
      <c r="E767" t="inlineStr">
        <is>
          <t>HÄSSLEHOLM</t>
        </is>
      </c>
      <c r="G767" t="n">
        <v>2.3</v>
      </c>
      <c r="H767" t="n">
        <v>0</v>
      </c>
      <c r="I767" t="n">
        <v>0</v>
      </c>
      <c r="J767" t="n">
        <v>0</v>
      </c>
      <c r="K767" t="n">
        <v>0</v>
      </c>
      <c r="L767" t="n">
        <v>0</v>
      </c>
      <c r="M767" t="n">
        <v>0</v>
      </c>
      <c r="N767" t="n">
        <v>0</v>
      </c>
      <c r="O767" t="n">
        <v>0</v>
      </c>
      <c r="P767" t="n">
        <v>0</v>
      </c>
      <c r="Q767" t="n">
        <v>0</v>
      </c>
      <c r="R767" s="2" t="inlineStr"/>
    </row>
    <row r="768" ht="15" customHeight="1">
      <c r="A768" t="inlineStr">
        <is>
          <t>A 33266-2024</t>
        </is>
      </c>
      <c r="B768" s="1" t="n">
        <v>45518</v>
      </c>
      <c r="C768" s="1" t="n">
        <v>45999</v>
      </c>
      <c r="D768" t="inlineStr">
        <is>
          <t>SKÅNE LÄN</t>
        </is>
      </c>
      <c r="E768" t="inlineStr">
        <is>
          <t>HÄSSLEHOLM</t>
        </is>
      </c>
      <c r="G768" t="n">
        <v>3.2</v>
      </c>
      <c r="H768" t="n">
        <v>0</v>
      </c>
      <c r="I768" t="n">
        <v>0</v>
      </c>
      <c r="J768" t="n">
        <v>0</v>
      </c>
      <c r="K768" t="n">
        <v>0</v>
      </c>
      <c r="L768" t="n">
        <v>0</v>
      </c>
      <c r="M768" t="n">
        <v>0</v>
      </c>
      <c r="N768" t="n">
        <v>0</v>
      </c>
      <c r="O768" t="n">
        <v>0</v>
      </c>
      <c r="P768" t="n">
        <v>0</v>
      </c>
      <c r="Q768" t="n">
        <v>0</v>
      </c>
      <c r="R768" s="2" t="inlineStr"/>
    </row>
    <row r="769" ht="15" customHeight="1">
      <c r="A769" t="inlineStr">
        <is>
          <t>A 62277-2023</t>
        </is>
      </c>
      <c r="B769" s="1" t="n">
        <v>45266</v>
      </c>
      <c r="C769" s="1" t="n">
        <v>45999</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3888-2024</t>
        </is>
      </c>
      <c r="B770" s="1" t="n">
        <v>45322.45089120371</v>
      </c>
      <c r="C770" s="1" t="n">
        <v>45999</v>
      </c>
      <c r="D770" t="inlineStr">
        <is>
          <t>SKÅNE LÄN</t>
        </is>
      </c>
      <c r="E770" t="inlineStr">
        <is>
          <t>HÄSSLEHOLM</t>
        </is>
      </c>
      <c r="G770" t="n">
        <v>2.4</v>
      </c>
      <c r="H770" t="n">
        <v>0</v>
      </c>
      <c r="I770" t="n">
        <v>0</v>
      </c>
      <c r="J770" t="n">
        <v>0</v>
      </c>
      <c r="K770" t="n">
        <v>0</v>
      </c>
      <c r="L770" t="n">
        <v>0</v>
      </c>
      <c r="M770" t="n">
        <v>0</v>
      </c>
      <c r="N770" t="n">
        <v>0</v>
      </c>
      <c r="O770" t="n">
        <v>0</v>
      </c>
      <c r="P770" t="n">
        <v>0</v>
      </c>
      <c r="Q770" t="n">
        <v>0</v>
      </c>
      <c r="R770" s="2" t="inlineStr"/>
    </row>
    <row r="771" ht="15" customHeight="1">
      <c r="A771" t="inlineStr">
        <is>
          <t>A 3889-2024</t>
        </is>
      </c>
      <c r="B771" s="1" t="n">
        <v>45322.45234953704</v>
      </c>
      <c r="C771" s="1" t="n">
        <v>45999</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41680-2024</t>
        </is>
      </c>
      <c r="B772" s="1" t="n">
        <v>45560</v>
      </c>
      <c r="C772" s="1" t="n">
        <v>45999</v>
      </c>
      <c r="D772" t="inlineStr">
        <is>
          <t>SKÅNE LÄN</t>
        </is>
      </c>
      <c r="E772" t="inlineStr">
        <is>
          <t>HÄSSLEHOLM</t>
        </is>
      </c>
      <c r="G772" t="n">
        <v>0.2</v>
      </c>
      <c r="H772" t="n">
        <v>0</v>
      </c>
      <c r="I772" t="n">
        <v>0</v>
      </c>
      <c r="J772" t="n">
        <v>0</v>
      </c>
      <c r="K772" t="n">
        <v>0</v>
      </c>
      <c r="L772" t="n">
        <v>0</v>
      </c>
      <c r="M772" t="n">
        <v>0</v>
      </c>
      <c r="N772" t="n">
        <v>0</v>
      </c>
      <c r="O772" t="n">
        <v>0</v>
      </c>
      <c r="P772" t="n">
        <v>0</v>
      </c>
      <c r="Q772" t="n">
        <v>0</v>
      </c>
      <c r="R772" s="2" t="inlineStr"/>
    </row>
    <row r="773" ht="15" customHeight="1">
      <c r="A773" t="inlineStr">
        <is>
          <t>A 8249-2023</t>
        </is>
      </c>
      <c r="B773" s="1" t="n">
        <v>44974</v>
      </c>
      <c r="C773" s="1" t="n">
        <v>45999</v>
      </c>
      <c r="D773" t="inlineStr">
        <is>
          <t>SKÅNE LÄN</t>
        </is>
      </c>
      <c r="E773" t="inlineStr">
        <is>
          <t>HÄSSLEHOLM</t>
        </is>
      </c>
      <c r="G773" t="n">
        <v>5.8</v>
      </c>
      <c r="H773" t="n">
        <v>0</v>
      </c>
      <c r="I773" t="n">
        <v>0</v>
      </c>
      <c r="J773" t="n">
        <v>0</v>
      </c>
      <c r="K773" t="n">
        <v>0</v>
      </c>
      <c r="L773" t="n">
        <v>0</v>
      </c>
      <c r="M773" t="n">
        <v>0</v>
      </c>
      <c r="N773" t="n">
        <v>0</v>
      </c>
      <c r="O773" t="n">
        <v>0</v>
      </c>
      <c r="P773" t="n">
        <v>0</v>
      </c>
      <c r="Q773" t="n">
        <v>0</v>
      </c>
      <c r="R773" s="2" t="inlineStr"/>
    </row>
    <row r="774" ht="15" customHeight="1">
      <c r="A774" t="inlineStr">
        <is>
          <t>A 3480-2024</t>
        </is>
      </c>
      <c r="B774" s="1" t="n">
        <v>45320.43998842593</v>
      </c>
      <c r="C774" s="1" t="n">
        <v>45999</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1557-2023</t>
        </is>
      </c>
      <c r="B775" s="1" t="n">
        <v>44937</v>
      </c>
      <c r="C775" s="1" t="n">
        <v>45999</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36085-2025</t>
        </is>
      </c>
      <c r="B776" s="1" t="n">
        <v>45866.46190972222</v>
      </c>
      <c r="C776" s="1" t="n">
        <v>45999</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36130-2025</t>
        </is>
      </c>
      <c r="B777" s="1" t="n">
        <v>45866.62273148148</v>
      </c>
      <c r="C777" s="1" t="n">
        <v>45999</v>
      </c>
      <c r="D777" t="inlineStr">
        <is>
          <t>SKÅNE LÄN</t>
        </is>
      </c>
      <c r="E777" t="inlineStr">
        <is>
          <t>HÄSSLEHOLM</t>
        </is>
      </c>
      <c r="G777" t="n">
        <v>4.7</v>
      </c>
      <c r="H777" t="n">
        <v>0</v>
      </c>
      <c r="I777" t="n">
        <v>0</v>
      </c>
      <c r="J777" t="n">
        <v>0</v>
      </c>
      <c r="K777" t="n">
        <v>0</v>
      </c>
      <c r="L777" t="n">
        <v>0</v>
      </c>
      <c r="M777" t="n">
        <v>0</v>
      </c>
      <c r="N777" t="n">
        <v>0</v>
      </c>
      <c r="O777" t="n">
        <v>0</v>
      </c>
      <c r="P777" t="n">
        <v>0</v>
      </c>
      <c r="Q777" t="n">
        <v>0</v>
      </c>
      <c r="R777" s="2" t="inlineStr"/>
    </row>
    <row r="778" ht="15" customHeight="1">
      <c r="A778" t="inlineStr">
        <is>
          <t>A 19666-2025</t>
        </is>
      </c>
      <c r="B778" s="1" t="n">
        <v>45770.69326388889</v>
      </c>
      <c r="C778" s="1" t="n">
        <v>45999</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36361-2025</t>
        </is>
      </c>
      <c r="B779" s="1" t="n">
        <v>45867</v>
      </c>
      <c r="C779" s="1" t="n">
        <v>45999</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36358-2025</t>
        </is>
      </c>
      <c r="B780" s="1" t="n">
        <v>45867</v>
      </c>
      <c r="C780" s="1" t="n">
        <v>45999</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36359-2025</t>
        </is>
      </c>
      <c r="B781" s="1" t="n">
        <v>45867</v>
      </c>
      <c r="C781" s="1" t="n">
        <v>45999</v>
      </c>
      <c r="D781" t="inlineStr">
        <is>
          <t>SKÅNE LÄN</t>
        </is>
      </c>
      <c r="E781" t="inlineStr">
        <is>
          <t>HÄSSLEHOLM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36259-2025</t>
        </is>
      </c>
      <c r="B782" s="1" t="n">
        <v>45867.59799768519</v>
      </c>
      <c r="C782" s="1" t="n">
        <v>45999</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8209-2025</t>
        </is>
      </c>
      <c r="B783" s="1" t="n">
        <v>45708.44244212963</v>
      </c>
      <c r="C783" s="1" t="n">
        <v>45999</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36938-2025</t>
        </is>
      </c>
      <c r="B784" s="1" t="n">
        <v>45874.58476851852</v>
      </c>
      <c r="C784" s="1" t="n">
        <v>45999</v>
      </c>
      <c r="D784" t="inlineStr">
        <is>
          <t>SKÅNE LÄN</t>
        </is>
      </c>
      <c r="E784" t="inlineStr">
        <is>
          <t>HÄSSLEHOLM</t>
        </is>
      </c>
      <c r="G784" t="n">
        <v>3.7</v>
      </c>
      <c r="H784" t="n">
        <v>0</v>
      </c>
      <c r="I784" t="n">
        <v>0</v>
      </c>
      <c r="J784" t="n">
        <v>0</v>
      </c>
      <c r="K784" t="n">
        <v>0</v>
      </c>
      <c r="L784" t="n">
        <v>0</v>
      </c>
      <c r="M784" t="n">
        <v>0</v>
      </c>
      <c r="N784" t="n">
        <v>0</v>
      </c>
      <c r="O784" t="n">
        <v>0</v>
      </c>
      <c r="P784" t="n">
        <v>0</v>
      </c>
      <c r="Q784" t="n">
        <v>0</v>
      </c>
      <c r="R784" s="2" t="inlineStr"/>
    </row>
    <row r="785" ht="15" customHeight="1">
      <c r="A785" t="inlineStr">
        <is>
          <t>A 56386-2023</t>
        </is>
      </c>
      <c r="B785" s="1" t="n">
        <v>45243</v>
      </c>
      <c r="C785" s="1" t="n">
        <v>45999</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6791-2021</t>
        </is>
      </c>
      <c r="B786" s="1" t="n">
        <v>44236</v>
      </c>
      <c r="C786" s="1" t="n">
        <v>45999</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2490-2024</t>
        </is>
      </c>
      <c r="B787" s="1" t="n">
        <v>45313.43649305555</v>
      </c>
      <c r="C787" s="1" t="n">
        <v>45999</v>
      </c>
      <c r="D787" t="inlineStr">
        <is>
          <t>SKÅNE LÄN</t>
        </is>
      </c>
      <c r="E787" t="inlineStr">
        <is>
          <t>HÄSSLEHOLM</t>
        </is>
      </c>
      <c r="G787" t="n">
        <v>4</v>
      </c>
      <c r="H787" t="n">
        <v>0</v>
      </c>
      <c r="I787" t="n">
        <v>0</v>
      </c>
      <c r="J787" t="n">
        <v>0</v>
      </c>
      <c r="K787" t="n">
        <v>0</v>
      </c>
      <c r="L787" t="n">
        <v>0</v>
      </c>
      <c r="M787" t="n">
        <v>0</v>
      </c>
      <c r="N787" t="n">
        <v>0</v>
      </c>
      <c r="O787" t="n">
        <v>0</v>
      </c>
      <c r="P787" t="n">
        <v>0</v>
      </c>
      <c r="Q787" t="n">
        <v>0</v>
      </c>
      <c r="R787" s="2" t="inlineStr"/>
    </row>
    <row r="788" ht="15" customHeight="1">
      <c r="A788" t="inlineStr">
        <is>
          <t>A 50244-2024</t>
        </is>
      </c>
      <c r="B788" s="1" t="n">
        <v>45600.56502314815</v>
      </c>
      <c r="C788" s="1" t="n">
        <v>45999</v>
      </c>
      <c r="D788" t="inlineStr">
        <is>
          <t>SKÅNE LÄN</t>
        </is>
      </c>
      <c r="E788" t="inlineStr">
        <is>
          <t>HÄSSLEHOLM</t>
        </is>
      </c>
      <c r="G788" t="n">
        <v>1.9</v>
      </c>
      <c r="H788" t="n">
        <v>0</v>
      </c>
      <c r="I788" t="n">
        <v>0</v>
      </c>
      <c r="J788" t="n">
        <v>0</v>
      </c>
      <c r="K788" t="n">
        <v>0</v>
      </c>
      <c r="L788" t="n">
        <v>0</v>
      </c>
      <c r="M788" t="n">
        <v>0</v>
      </c>
      <c r="N788" t="n">
        <v>0</v>
      </c>
      <c r="O788" t="n">
        <v>0</v>
      </c>
      <c r="P788" t="n">
        <v>0</v>
      </c>
      <c r="Q788" t="n">
        <v>0</v>
      </c>
      <c r="R788" s="2" t="inlineStr"/>
    </row>
    <row r="789" ht="15" customHeight="1">
      <c r="A789" t="inlineStr">
        <is>
          <t>A 56986-2024</t>
        </is>
      </c>
      <c r="B789" s="1" t="n">
        <v>45626</v>
      </c>
      <c r="C789" s="1" t="n">
        <v>45999</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9924-2025</t>
        </is>
      </c>
      <c r="B790" s="1" t="n">
        <v>45717.72505787037</v>
      </c>
      <c r="C790" s="1" t="n">
        <v>45999</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49111-2023</t>
        </is>
      </c>
      <c r="B791" s="1" t="n">
        <v>45210.44464120371</v>
      </c>
      <c r="C791" s="1" t="n">
        <v>45999</v>
      </c>
      <c r="D791" t="inlineStr">
        <is>
          <t>SKÅNE LÄN</t>
        </is>
      </c>
      <c r="E791" t="inlineStr">
        <is>
          <t>HÄSSLEHOLM</t>
        </is>
      </c>
      <c r="G791" t="n">
        <v>0.2</v>
      </c>
      <c r="H791" t="n">
        <v>0</v>
      </c>
      <c r="I791" t="n">
        <v>0</v>
      </c>
      <c r="J791" t="n">
        <v>0</v>
      </c>
      <c r="K791" t="n">
        <v>0</v>
      </c>
      <c r="L791" t="n">
        <v>0</v>
      </c>
      <c r="M791" t="n">
        <v>0</v>
      </c>
      <c r="N791" t="n">
        <v>0</v>
      </c>
      <c r="O791" t="n">
        <v>0</v>
      </c>
      <c r="P791" t="n">
        <v>0</v>
      </c>
      <c r="Q791" t="n">
        <v>0</v>
      </c>
      <c r="R791" s="2" t="inlineStr"/>
    </row>
    <row r="792" ht="15" customHeight="1">
      <c r="A792" t="inlineStr">
        <is>
          <t>A 13007-2024</t>
        </is>
      </c>
      <c r="B792" s="1" t="n">
        <v>45385.57092592592</v>
      </c>
      <c r="C792" s="1" t="n">
        <v>45999</v>
      </c>
      <c r="D792" t="inlineStr">
        <is>
          <t>SKÅNE LÄN</t>
        </is>
      </c>
      <c r="E792" t="inlineStr">
        <is>
          <t>HÄSSLEHOLM</t>
        </is>
      </c>
      <c r="G792" t="n">
        <v>1.4</v>
      </c>
      <c r="H792" t="n">
        <v>0</v>
      </c>
      <c r="I792" t="n">
        <v>0</v>
      </c>
      <c r="J792" t="n">
        <v>0</v>
      </c>
      <c r="K792" t="n">
        <v>0</v>
      </c>
      <c r="L792" t="n">
        <v>0</v>
      </c>
      <c r="M792" t="n">
        <v>0</v>
      </c>
      <c r="N792" t="n">
        <v>0</v>
      </c>
      <c r="O792" t="n">
        <v>0</v>
      </c>
      <c r="P792" t="n">
        <v>0</v>
      </c>
      <c r="Q792" t="n">
        <v>0</v>
      </c>
      <c r="R792" s="2" t="inlineStr"/>
    </row>
    <row r="793" ht="15" customHeight="1">
      <c r="A793" t="inlineStr">
        <is>
          <t>A 1560-2023</t>
        </is>
      </c>
      <c r="B793" s="1" t="n">
        <v>44937</v>
      </c>
      <c r="C793" s="1" t="n">
        <v>45999</v>
      </c>
      <c r="D793" t="inlineStr">
        <is>
          <t>SKÅNE LÄN</t>
        </is>
      </c>
      <c r="E793" t="inlineStr">
        <is>
          <t>HÄSSLEHOLM</t>
        </is>
      </c>
      <c r="G793" t="n">
        <v>6.8</v>
      </c>
      <c r="H793" t="n">
        <v>0</v>
      </c>
      <c r="I793" t="n">
        <v>0</v>
      </c>
      <c r="J793" t="n">
        <v>0</v>
      </c>
      <c r="K793" t="n">
        <v>0</v>
      </c>
      <c r="L793" t="n">
        <v>0</v>
      </c>
      <c r="M793" t="n">
        <v>0</v>
      </c>
      <c r="N793" t="n">
        <v>0</v>
      </c>
      <c r="O793" t="n">
        <v>0</v>
      </c>
      <c r="P793" t="n">
        <v>0</v>
      </c>
      <c r="Q793" t="n">
        <v>0</v>
      </c>
      <c r="R793" s="2" t="inlineStr"/>
    </row>
    <row r="794" ht="15" customHeight="1">
      <c r="A794" t="inlineStr">
        <is>
          <t>A 23007-2025</t>
        </is>
      </c>
      <c r="B794" s="1" t="n">
        <v>45790</v>
      </c>
      <c r="C794" s="1" t="n">
        <v>45999</v>
      </c>
      <c r="D794" t="inlineStr">
        <is>
          <t>SKÅNE LÄN</t>
        </is>
      </c>
      <c r="E794" t="inlineStr">
        <is>
          <t>HÄSSLEHOLM</t>
        </is>
      </c>
      <c r="G794" t="n">
        <v>0.4</v>
      </c>
      <c r="H794" t="n">
        <v>0</v>
      </c>
      <c r="I794" t="n">
        <v>0</v>
      </c>
      <c r="J794" t="n">
        <v>0</v>
      </c>
      <c r="K794" t="n">
        <v>0</v>
      </c>
      <c r="L794" t="n">
        <v>0</v>
      </c>
      <c r="M794" t="n">
        <v>0</v>
      </c>
      <c r="N794" t="n">
        <v>0</v>
      </c>
      <c r="O794" t="n">
        <v>0</v>
      </c>
      <c r="P794" t="n">
        <v>0</v>
      </c>
      <c r="Q794" t="n">
        <v>0</v>
      </c>
      <c r="R794" s="2" t="inlineStr"/>
    </row>
    <row r="795" ht="15" customHeight="1">
      <c r="A795" t="inlineStr">
        <is>
          <t>A 7221-2025</t>
        </is>
      </c>
      <c r="B795" s="1" t="n">
        <v>45701</v>
      </c>
      <c r="C795" s="1" t="n">
        <v>45999</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74030-2021</t>
        </is>
      </c>
      <c r="B796" s="1" t="n">
        <v>44553</v>
      </c>
      <c r="C796" s="1" t="n">
        <v>45999</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27606-2024</t>
        </is>
      </c>
      <c r="B797" s="1" t="n">
        <v>45474</v>
      </c>
      <c r="C797" s="1" t="n">
        <v>45999</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34342-2021</t>
        </is>
      </c>
      <c r="B798" s="1" t="n">
        <v>44379</v>
      </c>
      <c r="C798" s="1" t="n">
        <v>45999</v>
      </c>
      <c r="D798" t="inlineStr">
        <is>
          <t>SKÅNE LÄN</t>
        </is>
      </c>
      <c r="E798" t="inlineStr">
        <is>
          <t>HÄSSLEHOLM</t>
        </is>
      </c>
      <c r="G798" t="n">
        <v>7</v>
      </c>
      <c r="H798" t="n">
        <v>0</v>
      </c>
      <c r="I798" t="n">
        <v>0</v>
      </c>
      <c r="J798" t="n">
        <v>0</v>
      </c>
      <c r="K798" t="n">
        <v>0</v>
      </c>
      <c r="L798" t="n">
        <v>0</v>
      </c>
      <c r="M798" t="n">
        <v>0</v>
      </c>
      <c r="N798" t="n">
        <v>0</v>
      </c>
      <c r="O798" t="n">
        <v>0</v>
      </c>
      <c r="P798" t="n">
        <v>0</v>
      </c>
      <c r="Q798" t="n">
        <v>0</v>
      </c>
      <c r="R798" s="2" t="inlineStr"/>
    </row>
    <row r="799" ht="15" customHeight="1">
      <c r="A799" t="inlineStr">
        <is>
          <t>A 56735-2024</t>
        </is>
      </c>
      <c r="B799" s="1" t="n">
        <v>45628.36234953703</v>
      </c>
      <c r="C799" s="1" t="n">
        <v>45999</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2621-2025</t>
        </is>
      </c>
      <c r="B800" s="1" t="n">
        <v>45675.60765046296</v>
      </c>
      <c r="C800" s="1" t="n">
        <v>45999</v>
      </c>
      <c r="D800" t="inlineStr">
        <is>
          <t>SKÅNE LÄN</t>
        </is>
      </c>
      <c r="E800" t="inlineStr">
        <is>
          <t>HÄSSLEHOLM</t>
        </is>
      </c>
      <c r="F800" t="inlineStr">
        <is>
          <t>Kommuner</t>
        </is>
      </c>
      <c r="G800" t="n">
        <v>3</v>
      </c>
      <c r="H800" t="n">
        <v>0</v>
      </c>
      <c r="I800" t="n">
        <v>0</v>
      </c>
      <c r="J800" t="n">
        <v>0</v>
      </c>
      <c r="K800" t="n">
        <v>0</v>
      </c>
      <c r="L800" t="n">
        <v>0</v>
      </c>
      <c r="M800" t="n">
        <v>0</v>
      </c>
      <c r="N800" t="n">
        <v>0</v>
      </c>
      <c r="O800" t="n">
        <v>0</v>
      </c>
      <c r="P800" t="n">
        <v>0</v>
      </c>
      <c r="Q800" t="n">
        <v>0</v>
      </c>
      <c r="R800" s="2" t="inlineStr"/>
    </row>
    <row r="801" ht="15" customHeight="1">
      <c r="A801" t="inlineStr">
        <is>
          <t>A 69109-2020</t>
        </is>
      </c>
      <c r="B801" s="1" t="n">
        <v>44188</v>
      </c>
      <c r="C801" s="1" t="n">
        <v>45999</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34299-2024</t>
        </is>
      </c>
      <c r="B802" s="1" t="n">
        <v>45524</v>
      </c>
      <c r="C802" s="1" t="n">
        <v>45999</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23005-2025</t>
        </is>
      </c>
      <c r="B803" s="1" t="n">
        <v>45790</v>
      </c>
      <c r="C803" s="1" t="n">
        <v>45999</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8737-2025</t>
        </is>
      </c>
      <c r="B804" s="1" t="n">
        <v>45712.54578703704</v>
      </c>
      <c r="C804" s="1" t="n">
        <v>45999</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22587-2025</t>
        </is>
      </c>
      <c r="B805" s="1" t="n">
        <v>45789.39974537037</v>
      </c>
      <c r="C805" s="1" t="n">
        <v>45999</v>
      </c>
      <c r="D805" t="inlineStr">
        <is>
          <t>SKÅNE LÄN</t>
        </is>
      </c>
      <c r="E805" t="inlineStr">
        <is>
          <t>HÄSSLEHOLM</t>
        </is>
      </c>
      <c r="G805" t="n">
        <v>5.7</v>
      </c>
      <c r="H805" t="n">
        <v>0</v>
      </c>
      <c r="I805" t="n">
        <v>0</v>
      </c>
      <c r="J805" t="n">
        <v>0</v>
      </c>
      <c r="K805" t="n">
        <v>0</v>
      </c>
      <c r="L805" t="n">
        <v>0</v>
      </c>
      <c r="M805" t="n">
        <v>0</v>
      </c>
      <c r="N805" t="n">
        <v>0</v>
      </c>
      <c r="O805" t="n">
        <v>0</v>
      </c>
      <c r="P805" t="n">
        <v>0</v>
      </c>
      <c r="Q805" t="n">
        <v>0</v>
      </c>
      <c r="R805" s="2" t="inlineStr"/>
    </row>
    <row r="806" ht="15" customHeight="1">
      <c r="A806" t="inlineStr">
        <is>
          <t>A 22592-2025</t>
        </is>
      </c>
      <c r="B806" s="1" t="n">
        <v>45789.40502314815</v>
      </c>
      <c r="C806" s="1" t="n">
        <v>45999</v>
      </c>
      <c r="D806" t="inlineStr">
        <is>
          <t>SKÅNE LÄN</t>
        </is>
      </c>
      <c r="E806" t="inlineStr">
        <is>
          <t>HÄSSLEHOLM</t>
        </is>
      </c>
      <c r="G806" t="n">
        <v>7.1</v>
      </c>
      <c r="H806" t="n">
        <v>0</v>
      </c>
      <c r="I806" t="n">
        <v>0</v>
      </c>
      <c r="J806" t="n">
        <v>0</v>
      </c>
      <c r="K806" t="n">
        <v>0</v>
      </c>
      <c r="L806" t="n">
        <v>0</v>
      </c>
      <c r="M806" t="n">
        <v>0</v>
      </c>
      <c r="N806" t="n">
        <v>0</v>
      </c>
      <c r="O806" t="n">
        <v>0</v>
      </c>
      <c r="P806" t="n">
        <v>0</v>
      </c>
      <c r="Q806" t="n">
        <v>0</v>
      </c>
      <c r="R806" s="2" t="inlineStr"/>
    </row>
    <row r="807" ht="15" customHeight="1">
      <c r="A807" t="inlineStr">
        <is>
          <t>A 60846-2022</t>
        </is>
      </c>
      <c r="B807" s="1" t="n">
        <v>44914</v>
      </c>
      <c r="C807" s="1" t="n">
        <v>45999</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54408-2024</t>
        </is>
      </c>
      <c r="B808" s="1" t="n">
        <v>45617.47263888889</v>
      </c>
      <c r="C808" s="1" t="n">
        <v>45999</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17171-2025</t>
        </is>
      </c>
      <c r="B809" s="1" t="n">
        <v>45755</v>
      </c>
      <c r="C809" s="1" t="n">
        <v>45999</v>
      </c>
      <c r="D809" t="inlineStr">
        <is>
          <t>SKÅNE LÄN</t>
        </is>
      </c>
      <c r="E809" t="inlineStr">
        <is>
          <t>HÄSSLEHOLM</t>
        </is>
      </c>
      <c r="G809" t="n">
        <v>1.5</v>
      </c>
      <c r="H809" t="n">
        <v>0</v>
      </c>
      <c r="I809" t="n">
        <v>0</v>
      </c>
      <c r="J809" t="n">
        <v>0</v>
      </c>
      <c r="K809" t="n">
        <v>0</v>
      </c>
      <c r="L809" t="n">
        <v>0</v>
      </c>
      <c r="M809" t="n">
        <v>0</v>
      </c>
      <c r="N809" t="n">
        <v>0</v>
      </c>
      <c r="O809" t="n">
        <v>0</v>
      </c>
      <c r="P809" t="n">
        <v>0</v>
      </c>
      <c r="Q809" t="n">
        <v>0</v>
      </c>
      <c r="R809" s="2" t="inlineStr"/>
    </row>
    <row r="810" ht="15" customHeight="1">
      <c r="A810" t="inlineStr">
        <is>
          <t>A 37286-2025</t>
        </is>
      </c>
      <c r="B810" s="1" t="n">
        <v>45876.50116898148</v>
      </c>
      <c r="C810" s="1" t="n">
        <v>45999</v>
      </c>
      <c r="D810" t="inlineStr">
        <is>
          <t>SKÅNE LÄN</t>
        </is>
      </c>
      <c r="E810" t="inlineStr">
        <is>
          <t>HÄSSLEHOLM</t>
        </is>
      </c>
      <c r="G810" t="n">
        <v>2.9</v>
      </c>
      <c r="H810" t="n">
        <v>0</v>
      </c>
      <c r="I810" t="n">
        <v>0</v>
      </c>
      <c r="J810" t="n">
        <v>0</v>
      </c>
      <c r="K810" t="n">
        <v>0</v>
      </c>
      <c r="L810" t="n">
        <v>0</v>
      </c>
      <c r="M810" t="n">
        <v>0</v>
      </c>
      <c r="N810" t="n">
        <v>0</v>
      </c>
      <c r="O810" t="n">
        <v>0</v>
      </c>
      <c r="P810" t="n">
        <v>0</v>
      </c>
      <c r="Q810" t="n">
        <v>0</v>
      </c>
      <c r="R810" s="2" t="inlineStr"/>
    </row>
    <row r="811" ht="15" customHeight="1">
      <c r="A811" t="inlineStr">
        <is>
          <t>A 37271-2025</t>
        </is>
      </c>
      <c r="B811" s="1" t="n">
        <v>45876.47828703704</v>
      </c>
      <c r="C811" s="1" t="n">
        <v>45999</v>
      </c>
      <c r="D811" t="inlineStr">
        <is>
          <t>SKÅNE LÄN</t>
        </is>
      </c>
      <c r="E811" t="inlineStr">
        <is>
          <t>HÄSSLEHOLM</t>
        </is>
      </c>
      <c r="G811" t="n">
        <v>4.1</v>
      </c>
      <c r="H811" t="n">
        <v>0</v>
      </c>
      <c r="I811" t="n">
        <v>0</v>
      </c>
      <c r="J811" t="n">
        <v>0</v>
      </c>
      <c r="K811" t="n">
        <v>0</v>
      </c>
      <c r="L811" t="n">
        <v>0</v>
      </c>
      <c r="M811" t="n">
        <v>0</v>
      </c>
      <c r="N811" t="n">
        <v>0</v>
      </c>
      <c r="O811" t="n">
        <v>0</v>
      </c>
      <c r="P811" t="n">
        <v>0</v>
      </c>
      <c r="Q811" t="n">
        <v>0</v>
      </c>
      <c r="R811" s="2" t="inlineStr"/>
    </row>
    <row r="812" ht="15" customHeight="1">
      <c r="A812" t="inlineStr">
        <is>
          <t>A 14008-2023</t>
        </is>
      </c>
      <c r="B812" s="1" t="n">
        <v>45008.56725694444</v>
      </c>
      <c r="C812" s="1" t="n">
        <v>45999</v>
      </c>
      <c r="D812" t="inlineStr">
        <is>
          <t>SKÅNE LÄN</t>
        </is>
      </c>
      <c r="E812" t="inlineStr">
        <is>
          <t>HÄSSLEHOLM</t>
        </is>
      </c>
      <c r="G812" t="n">
        <v>3.3</v>
      </c>
      <c r="H812" t="n">
        <v>0</v>
      </c>
      <c r="I812" t="n">
        <v>0</v>
      </c>
      <c r="J812" t="n">
        <v>0</v>
      </c>
      <c r="K812" t="n">
        <v>0</v>
      </c>
      <c r="L812" t="n">
        <v>0</v>
      </c>
      <c r="M812" t="n">
        <v>0</v>
      </c>
      <c r="N812" t="n">
        <v>0</v>
      </c>
      <c r="O812" t="n">
        <v>0</v>
      </c>
      <c r="P812" t="n">
        <v>0</v>
      </c>
      <c r="Q812" t="n">
        <v>0</v>
      </c>
      <c r="R812" s="2" t="inlineStr"/>
    </row>
    <row r="813" ht="15" customHeight="1">
      <c r="A813" t="inlineStr">
        <is>
          <t>A 20493-2024</t>
        </is>
      </c>
      <c r="B813" s="1" t="n">
        <v>45435</v>
      </c>
      <c r="C813" s="1" t="n">
        <v>45999</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13851-2025</t>
        </is>
      </c>
      <c r="B814" s="1" t="n">
        <v>45737.56777777777</v>
      </c>
      <c r="C814" s="1" t="n">
        <v>45999</v>
      </c>
      <c r="D814" t="inlineStr">
        <is>
          <t>SKÅNE LÄN</t>
        </is>
      </c>
      <c r="E814" t="inlineStr">
        <is>
          <t>HÄSSLEHOLM</t>
        </is>
      </c>
      <c r="G814" t="n">
        <v>3</v>
      </c>
      <c r="H814" t="n">
        <v>0</v>
      </c>
      <c r="I814" t="n">
        <v>0</v>
      </c>
      <c r="J814" t="n">
        <v>0</v>
      </c>
      <c r="K814" t="n">
        <v>0</v>
      </c>
      <c r="L814" t="n">
        <v>0</v>
      </c>
      <c r="M814" t="n">
        <v>0</v>
      </c>
      <c r="N814" t="n">
        <v>0</v>
      </c>
      <c r="O814" t="n">
        <v>0</v>
      </c>
      <c r="P814" t="n">
        <v>0</v>
      </c>
      <c r="Q814" t="n">
        <v>0</v>
      </c>
      <c r="R814" s="2" t="inlineStr"/>
    </row>
    <row r="815" ht="15" customHeight="1">
      <c r="A815" t="inlineStr">
        <is>
          <t>A 13954-2023</t>
        </is>
      </c>
      <c r="B815" s="1" t="n">
        <v>45008</v>
      </c>
      <c r="C815" s="1" t="n">
        <v>45999</v>
      </c>
      <c r="D815" t="inlineStr">
        <is>
          <t>SKÅNE LÄN</t>
        </is>
      </c>
      <c r="E815" t="inlineStr">
        <is>
          <t>HÄSSLEHOLM</t>
        </is>
      </c>
      <c r="G815" t="n">
        <v>1.9</v>
      </c>
      <c r="H815" t="n">
        <v>0</v>
      </c>
      <c r="I815" t="n">
        <v>0</v>
      </c>
      <c r="J815" t="n">
        <v>0</v>
      </c>
      <c r="K815" t="n">
        <v>0</v>
      </c>
      <c r="L815" t="n">
        <v>0</v>
      </c>
      <c r="M815" t="n">
        <v>0</v>
      </c>
      <c r="N815" t="n">
        <v>0</v>
      </c>
      <c r="O815" t="n">
        <v>0</v>
      </c>
      <c r="P815" t="n">
        <v>0</v>
      </c>
      <c r="Q815" t="n">
        <v>0</v>
      </c>
      <c r="R815" s="2" t="inlineStr"/>
    </row>
    <row r="816" ht="15" customHeight="1">
      <c r="A816" t="inlineStr">
        <is>
          <t>A 51018-2023</t>
        </is>
      </c>
      <c r="B816" s="1" t="n">
        <v>45218</v>
      </c>
      <c r="C816" s="1" t="n">
        <v>45999</v>
      </c>
      <c r="D816" t="inlineStr">
        <is>
          <t>SKÅNE LÄN</t>
        </is>
      </c>
      <c r="E816" t="inlineStr">
        <is>
          <t>HÄSSLEHOLM</t>
        </is>
      </c>
      <c r="G816" t="n">
        <v>3.1</v>
      </c>
      <c r="H816" t="n">
        <v>0</v>
      </c>
      <c r="I816" t="n">
        <v>0</v>
      </c>
      <c r="J816" t="n">
        <v>0</v>
      </c>
      <c r="K816" t="n">
        <v>0</v>
      </c>
      <c r="L816" t="n">
        <v>0</v>
      </c>
      <c r="M816" t="n">
        <v>0</v>
      </c>
      <c r="N816" t="n">
        <v>0</v>
      </c>
      <c r="O816" t="n">
        <v>0</v>
      </c>
      <c r="P816" t="n">
        <v>0</v>
      </c>
      <c r="Q816" t="n">
        <v>0</v>
      </c>
      <c r="R816" s="2" t="inlineStr"/>
    </row>
    <row r="817" ht="15" customHeight="1">
      <c r="A817" t="inlineStr">
        <is>
          <t>A 40152-2024</t>
        </is>
      </c>
      <c r="B817" s="1" t="n">
        <v>45554</v>
      </c>
      <c r="C817" s="1" t="n">
        <v>45999</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31254-2024</t>
        </is>
      </c>
      <c r="B818" s="1" t="n">
        <v>45503</v>
      </c>
      <c r="C818" s="1" t="n">
        <v>45999</v>
      </c>
      <c r="D818" t="inlineStr">
        <is>
          <t>SKÅNE LÄN</t>
        </is>
      </c>
      <c r="E818" t="inlineStr">
        <is>
          <t>HÄSSLEHOLM</t>
        </is>
      </c>
      <c r="G818" t="n">
        <v>2.2</v>
      </c>
      <c r="H818" t="n">
        <v>0</v>
      </c>
      <c r="I818" t="n">
        <v>0</v>
      </c>
      <c r="J818" t="n">
        <v>0</v>
      </c>
      <c r="K818" t="n">
        <v>0</v>
      </c>
      <c r="L818" t="n">
        <v>0</v>
      </c>
      <c r="M818" t="n">
        <v>0</v>
      </c>
      <c r="N818" t="n">
        <v>0</v>
      </c>
      <c r="O818" t="n">
        <v>0</v>
      </c>
      <c r="P818" t="n">
        <v>0</v>
      </c>
      <c r="Q818" t="n">
        <v>0</v>
      </c>
      <c r="R818" s="2" t="inlineStr"/>
    </row>
    <row r="819" ht="15" customHeight="1">
      <c r="A819" t="inlineStr">
        <is>
          <t>A 27825-2024</t>
        </is>
      </c>
      <c r="B819" s="1" t="n">
        <v>45475</v>
      </c>
      <c r="C819" s="1" t="n">
        <v>45999</v>
      </c>
      <c r="D819" t="inlineStr">
        <is>
          <t>SKÅNE LÄN</t>
        </is>
      </c>
      <c r="E819" t="inlineStr">
        <is>
          <t>HÄSSLEHOLM</t>
        </is>
      </c>
      <c r="F819" t="inlineStr">
        <is>
          <t>Kommuner</t>
        </is>
      </c>
      <c r="G819" t="n">
        <v>1.1</v>
      </c>
      <c r="H819" t="n">
        <v>0</v>
      </c>
      <c r="I819" t="n">
        <v>0</v>
      </c>
      <c r="J819" t="n">
        <v>0</v>
      </c>
      <c r="K819" t="n">
        <v>0</v>
      </c>
      <c r="L819" t="n">
        <v>0</v>
      </c>
      <c r="M819" t="n">
        <v>0</v>
      </c>
      <c r="N819" t="n">
        <v>0</v>
      </c>
      <c r="O819" t="n">
        <v>0</v>
      </c>
      <c r="P819" t="n">
        <v>0</v>
      </c>
      <c r="Q819" t="n">
        <v>0</v>
      </c>
      <c r="R819" s="2" t="inlineStr"/>
    </row>
    <row r="820" ht="15" customHeight="1">
      <c r="A820" t="inlineStr">
        <is>
          <t>A 41874-2024</t>
        </is>
      </c>
      <c r="B820" s="1" t="n">
        <v>45561</v>
      </c>
      <c r="C820" s="1" t="n">
        <v>45999</v>
      </c>
      <c r="D820" t="inlineStr">
        <is>
          <t>SKÅNE LÄN</t>
        </is>
      </c>
      <c r="E820" t="inlineStr">
        <is>
          <t>HÄSSLEHOLM</t>
        </is>
      </c>
      <c r="G820" t="n">
        <v>1</v>
      </c>
      <c r="H820" t="n">
        <v>0</v>
      </c>
      <c r="I820" t="n">
        <v>0</v>
      </c>
      <c r="J820" t="n">
        <v>0</v>
      </c>
      <c r="K820" t="n">
        <v>0</v>
      </c>
      <c r="L820" t="n">
        <v>0</v>
      </c>
      <c r="M820" t="n">
        <v>0</v>
      </c>
      <c r="N820" t="n">
        <v>0</v>
      </c>
      <c r="O820" t="n">
        <v>0</v>
      </c>
      <c r="P820" t="n">
        <v>0</v>
      </c>
      <c r="Q820" t="n">
        <v>0</v>
      </c>
      <c r="R820" s="2" t="inlineStr"/>
    </row>
    <row r="821" ht="15" customHeight="1">
      <c r="A821" t="inlineStr">
        <is>
          <t>A 11753-2025</t>
        </is>
      </c>
      <c r="B821" s="1" t="n">
        <v>45727</v>
      </c>
      <c r="C821" s="1" t="n">
        <v>45999</v>
      </c>
      <c r="D821" t="inlineStr">
        <is>
          <t>SKÅNE LÄN</t>
        </is>
      </c>
      <c r="E821" t="inlineStr">
        <is>
          <t>HÄSSLEHOLM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37764-2022</t>
        </is>
      </c>
      <c r="B822" s="1" t="n">
        <v>44810</v>
      </c>
      <c r="C822" s="1" t="n">
        <v>45999</v>
      </c>
      <c r="D822" t="inlineStr">
        <is>
          <t>SKÅNE LÄN</t>
        </is>
      </c>
      <c r="E822" t="inlineStr">
        <is>
          <t>HÄSSLEHOLM</t>
        </is>
      </c>
      <c r="F822" t="inlineStr">
        <is>
          <t>Kyrkan</t>
        </is>
      </c>
      <c r="G822" t="n">
        <v>9.4</v>
      </c>
      <c r="H822" t="n">
        <v>0</v>
      </c>
      <c r="I822" t="n">
        <v>0</v>
      </c>
      <c r="J822" t="n">
        <v>0</v>
      </c>
      <c r="K822" t="n">
        <v>0</v>
      </c>
      <c r="L822" t="n">
        <v>0</v>
      </c>
      <c r="M822" t="n">
        <v>0</v>
      </c>
      <c r="N822" t="n">
        <v>0</v>
      </c>
      <c r="O822" t="n">
        <v>0</v>
      </c>
      <c r="P822" t="n">
        <v>0</v>
      </c>
      <c r="Q822" t="n">
        <v>0</v>
      </c>
      <c r="R822" s="2" t="inlineStr"/>
    </row>
    <row r="823" ht="15" customHeight="1">
      <c r="A823" t="inlineStr">
        <is>
          <t>A 1445-2021</t>
        </is>
      </c>
      <c r="B823" s="1" t="n">
        <v>44208</v>
      </c>
      <c r="C823" s="1" t="n">
        <v>45999</v>
      </c>
      <c r="D823" t="inlineStr">
        <is>
          <t>SKÅNE LÄN</t>
        </is>
      </c>
      <c r="E823" t="inlineStr">
        <is>
          <t>HÄSSLEHOLM</t>
        </is>
      </c>
      <c r="G823" t="n">
        <v>4.6</v>
      </c>
      <c r="H823" t="n">
        <v>0</v>
      </c>
      <c r="I823" t="n">
        <v>0</v>
      </c>
      <c r="J823" t="n">
        <v>0</v>
      </c>
      <c r="K823" t="n">
        <v>0</v>
      </c>
      <c r="L823" t="n">
        <v>0</v>
      </c>
      <c r="M823" t="n">
        <v>0</v>
      </c>
      <c r="N823" t="n">
        <v>0</v>
      </c>
      <c r="O823" t="n">
        <v>0</v>
      </c>
      <c r="P823" t="n">
        <v>0</v>
      </c>
      <c r="Q823" t="n">
        <v>0</v>
      </c>
      <c r="R823" s="2" t="inlineStr"/>
    </row>
    <row r="824" ht="15" customHeight="1">
      <c r="A824" t="inlineStr">
        <is>
          <t>A 32981-2025</t>
        </is>
      </c>
      <c r="B824" s="1" t="n">
        <v>45839.86820601852</v>
      </c>
      <c r="C824" s="1" t="n">
        <v>45999</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11798-2022</t>
        </is>
      </c>
      <c r="B825" s="1" t="n">
        <v>44634.64900462963</v>
      </c>
      <c r="C825" s="1" t="n">
        <v>45999</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18109-2025</t>
        </is>
      </c>
      <c r="B826" s="1" t="n">
        <v>45761</v>
      </c>
      <c r="C826" s="1" t="n">
        <v>45999</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16862-2025</t>
        </is>
      </c>
      <c r="B827" s="1" t="n">
        <v>45751</v>
      </c>
      <c r="C827" s="1" t="n">
        <v>45999</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4734-2025</t>
        </is>
      </c>
      <c r="B828" s="1" t="n">
        <v>45688.44030092593</v>
      </c>
      <c r="C828" s="1" t="n">
        <v>45999</v>
      </c>
      <c r="D828" t="inlineStr">
        <is>
          <t>SKÅNE LÄN</t>
        </is>
      </c>
      <c r="E828" t="inlineStr">
        <is>
          <t>HÄSSLEHOLM</t>
        </is>
      </c>
      <c r="G828" t="n">
        <v>19.6</v>
      </c>
      <c r="H828" t="n">
        <v>0</v>
      </c>
      <c r="I828" t="n">
        <v>0</v>
      </c>
      <c r="J828" t="n">
        <v>0</v>
      </c>
      <c r="K828" t="n">
        <v>0</v>
      </c>
      <c r="L828" t="n">
        <v>0</v>
      </c>
      <c r="M828" t="n">
        <v>0</v>
      </c>
      <c r="N828" t="n">
        <v>0</v>
      </c>
      <c r="O828" t="n">
        <v>0</v>
      </c>
      <c r="P828" t="n">
        <v>0</v>
      </c>
      <c r="Q828" t="n">
        <v>0</v>
      </c>
      <c r="R828" s="2" t="inlineStr"/>
    </row>
    <row r="829" ht="15" customHeight="1">
      <c r="A829" t="inlineStr">
        <is>
          <t>A 26403-2024</t>
        </is>
      </c>
      <c r="B829" s="1" t="n">
        <v>45469.44505787037</v>
      </c>
      <c r="C829" s="1" t="n">
        <v>45999</v>
      </c>
      <c r="D829" t="inlineStr">
        <is>
          <t>SKÅNE LÄN</t>
        </is>
      </c>
      <c r="E829" t="inlineStr">
        <is>
          <t>HÄSSLEHOLM</t>
        </is>
      </c>
      <c r="G829" t="n">
        <v>2.6</v>
      </c>
      <c r="H829" t="n">
        <v>0</v>
      </c>
      <c r="I829" t="n">
        <v>0</v>
      </c>
      <c r="J829" t="n">
        <v>0</v>
      </c>
      <c r="K829" t="n">
        <v>0</v>
      </c>
      <c r="L829" t="n">
        <v>0</v>
      </c>
      <c r="M829" t="n">
        <v>0</v>
      </c>
      <c r="N829" t="n">
        <v>0</v>
      </c>
      <c r="O829" t="n">
        <v>0</v>
      </c>
      <c r="P829" t="n">
        <v>0</v>
      </c>
      <c r="Q829" t="n">
        <v>0</v>
      </c>
      <c r="R829" s="2" t="inlineStr"/>
    </row>
    <row r="830" ht="15" customHeight="1">
      <c r="A830" t="inlineStr">
        <is>
          <t>A 26403-2024</t>
        </is>
      </c>
      <c r="B830" s="1" t="n">
        <v>45469.44505787037</v>
      </c>
      <c r="C830" s="1" t="n">
        <v>45999</v>
      </c>
      <c r="D830" t="inlineStr">
        <is>
          <t>SKÅNE LÄN</t>
        </is>
      </c>
      <c r="E830" t="inlineStr">
        <is>
          <t>HÄSSLEHOLM</t>
        </is>
      </c>
      <c r="G830" t="n">
        <v>2.6</v>
      </c>
      <c r="H830" t="n">
        <v>0</v>
      </c>
      <c r="I830" t="n">
        <v>0</v>
      </c>
      <c r="J830" t="n">
        <v>0</v>
      </c>
      <c r="K830" t="n">
        <v>0</v>
      </c>
      <c r="L830" t="n">
        <v>0</v>
      </c>
      <c r="M830" t="n">
        <v>0</v>
      </c>
      <c r="N830" t="n">
        <v>0</v>
      </c>
      <c r="O830" t="n">
        <v>0</v>
      </c>
      <c r="P830" t="n">
        <v>0</v>
      </c>
      <c r="Q830" t="n">
        <v>0</v>
      </c>
      <c r="R830" s="2" t="inlineStr"/>
    </row>
    <row r="831" ht="15" customHeight="1">
      <c r="A831" t="inlineStr">
        <is>
          <t>A 24776-2025</t>
        </is>
      </c>
      <c r="B831" s="1" t="n">
        <v>45799.40640046296</v>
      </c>
      <c r="C831" s="1" t="n">
        <v>45999</v>
      </c>
      <c r="D831" t="inlineStr">
        <is>
          <t>SKÅNE LÄN</t>
        </is>
      </c>
      <c r="E831" t="inlineStr">
        <is>
          <t>HÄSSLEHOLM</t>
        </is>
      </c>
      <c r="G831" t="n">
        <v>5.4</v>
      </c>
      <c r="H831" t="n">
        <v>0</v>
      </c>
      <c r="I831" t="n">
        <v>0</v>
      </c>
      <c r="J831" t="n">
        <v>0</v>
      </c>
      <c r="K831" t="n">
        <v>0</v>
      </c>
      <c r="L831" t="n">
        <v>0</v>
      </c>
      <c r="M831" t="n">
        <v>0</v>
      </c>
      <c r="N831" t="n">
        <v>0</v>
      </c>
      <c r="O831" t="n">
        <v>0</v>
      </c>
      <c r="P831" t="n">
        <v>0</v>
      </c>
      <c r="Q831" t="n">
        <v>0</v>
      </c>
      <c r="R831" s="2" t="inlineStr"/>
    </row>
    <row r="832" ht="15" customHeight="1">
      <c r="A832" t="inlineStr">
        <is>
          <t>A 9239-2025</t>
        </is>
      </c>
      <c r="B832" s="1" t="n">
        <v>45714</v>
      </c>
      <c r="C832" s="1" t="n">
        <v>45999</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16121-2025</t>
        </is>
      </c>
      <c r="B833" s="1" t="n">
        <v>45750.40384259259</v>
      </c>
      <c r="C833" s="1" t="n">
        <v>45999</v>
      </c>
      <c r="D833" t="inlineStr">
        <is>
          <t>SKÅNE LÄN</t>
        </is>
      </c>
      <c r="E833" t="inlineStr">
        <is>
          <t>HÄSSLEHOLM</t>
        </is>
      </c>
      <c r="G833" t="n">
        <v>1.6</v>
      </c>
      <c r="H833" t="n">
        <v>0</v>
      </c>
      <c r="I833" t="n">
        <v>0</v>
      </c>
      <c r="J833" t="n">
        <v>0</v>
      </c>
      <c r="K833" t="n">
        <v>0</v>
      </c>
      <c r="L833" t="n">
        <v>0</v>
      </c>
      <c r="M833" t="n">
        <v>0</v>
      </c>
      <c r="N833" t="n">
        <v>0</v>
      </c>
      <c r="O833" t="n">
        <v>0</v>
      </c>
      <c r="P833" t="n">
        <v>0</v>
      </c>
      <c r="Q833" t="n">
        <v>0</v>
      </c>
      <c r="R833" s="2" t="inlineStr"/>
    </row>
    <row r="834" ht="15" customHeight="1">
      <c r="A834" t="inlineStr">
        <is>
          <t>A 28599-2024</t>
        </is>
      </c>
      <c r="B834" s="1" t="n">
        <v>45478.4247800926</v>
      </c>
      <c r="C834" s="1" t="n">
        <v>45999</v>
      </c>
      <c r="D834" t="inlineStr">
        <is>
          <t>SKÅNE LÄN</t>
        </is>
      </c>
      <c r="E834" t="inlineStr">
        <is>
          <t>HÄSSLEHOLM</t>
        </is>
      </c>
      <c r="G834" t="n">
        <v>8.6</v>
      </c>
      <c r="H834" t="n">
        <v>0</v>
      </c>
      <c r="I834" t="n">
        <v>0</v>
      </c>
      <c r="J834" t="n">
        <v>0</v>
      </c>
      <c r="K834" t="n">
        <v>0</v>
      </c>
      <c r="L834" t="n">
        <v>0</v>
      </c>
      <c r="M834" t="n">
        <v>0</v>
      </c>
      <c r="N834" t="n">
        <v>0</v>
      </c>
      <c r="O834" t="n">
        <v>0</v>
      </c>
      <c r="P834" t="n">
        <v>0</v>
      </c>
      <c r="Q834" t="n">
        <v>0</v>
      </c>
      <c r="R834" s="2" t="inlineStr"/>
    </row>
    <row r="835" ht="15" customHeight="1">
      <c r="A835" t="inlineStr">
        <is>
          <t>A 1616-2025</t>
        </is>
      </c>
      <c r="B835" s="1" t="n">
        <v>45670</v>
      </c>
      <c r="C835" s="1" t="n">
        <v>45999</v>
      </c>
      <c r="D835" t="inlineStr">
        <is>
          <t>SKÅNE LÄN</t>
        </is>
      </c>
      <c r="E835" t="inlineStr">
        <is>
          <t>HÄSSLEHOLM</t>
        </is>
      </c>
      <c r="G835" t="n">
        <v>3.6</v>
      </c>
      <c r="H835" t="n">
        <v>0</v>
      </c>
      <c r="I835" t="n">
        <v>0</v>
      </c>
      <c r="J835" t="n">
        <v>0</v>
      </c>
      <c r="K835" t="n">
        <v>0</v>
      </c>
      <c r="L835" t="n">
        <v>0</v>
      </c>
      <c r="M835" t="n">
        <v>0</v>
      </c>
      <c r="N835" t="n">
        <v>0</v>
      </c>
      <c r="O835" t="n">
        <v>0</v>
      </c>
      <c r="P835" t="n">
        <v>0</v>
      </c>
      <c r="Q835" t="n">
        <v>0</v>
      </c>
      <c r="R835" s="2" t="inlineStr"/>
    </row>
    <row r="836" ht="15" customHeight="1">
      <c r="A836" t="inlineStr">
        <is>
          <t>A 11446-2025</t>
        </is>
      </c>
      <c r="B836" s="1" t="n">
        <v>45726</v>
      </c>
      <c r="C836" s="1" t="n">
        <v>45999</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16860-2025</t>
        </is>
      </c>
      <c r="B837" s="1" t="n">
        <v>45751</v>
      </c>
      <c r="C837" s="1" t="n">
        <v>45999</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9556-2025</t>
        </is>
      </c>
      <c r="B838" s="1" t="n">
        <v>45714</v>
      </c>
      <c r="C838" s="1" t="n">
        <v>45999</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55549-2025</t>
        </is>
      </c>
      <c r="B839" s="1" t="n">
        <v>45971.63805555556</v>
      </c>
      <c r="C839" s="1" t="n">
        <v>45999</v>
      </c>
      <c r="D839" t="inlineStr">
        <is>
          <t>SKÅNE LÄN</t>
        </is>
      </c>
      <c r="E839" t="inlineStr">
        <is>
          <t>HÄSSLEHOLM</t>
        </is>
      </c>
      <c r="G839" t="n">
        <v>2.6</v>
      </c>
      <c r="H839" t="n">
        <v>0</v>
      </c>
      <c r="I839" t="n">
        <v>0</v>
      </c>
      <c r="J839" t="n">
        <v>0</v>
      </c>
      <c r="K839" t="n">
        <v>0</v>
      </c>
      <c r="L839" t="n">
        <v>0</v>
      </c>
      <c r="M839" t="n">
        <v>0</v>
      </c>
      <c r="N839" t="n">
        <v>0</v>
      </c>
      <c r="O839" t="n">
        <v>0</v>
      </c>
      <c r="P839" t="n">
        <v>0</v>
      </c>
      <c r="Q839" t="n">
        <v>0</v>
      </c>
      <c r="R839" s="2" t="inlineStr"/>
    </row>
    <row r="840" ht="15" customHeight="1">
      <c r="A840" t="inlineStr">
        <is>
          <t>A 55455-2025</t>
        </is>
      </c>
      <c r="B840" s="1" t="n">
        <v>45971</v>
      </c>
      <c r="C840" s="1" t="n">
        <v>45999</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47259-2025</t>
        </is>
      </c>
      <c r="B841" s="1" t="n">
        <v>45930</v>
      </c>
      <c r="C841" s="1" t="n">
        <v>45999</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39453-2025</t>
        </is>
      </c>
      <c r="B842" s="1" t="n">
        <v>45889</v>
      </c>
      <c r="C842" s="1" t="n">
        <v>45999</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47432-2025</t>
        </is>
      </c>
      <c r="B843" s="1" t="n">
        <v>45930</v>
      </c>
      <c r="C843" s="1" t="n">
        <v>45999</v>
      </c>
      <c r="D843" t="inlineStr">
        <is>
          <t>SKÅNE LÄN</t>
        </is>
      </c>
      <c r="E843" t="inlineStr">
        <is>
          <t>HÄSSLEHOLM</t>
        </is>
      </c>
      <c r="G843" t="n">
        <v>3.1</v>
      </c>
      <c r="H843" t="n">
        <v>0</v>
      </c>
      <c r="I843" t="n">
        <v>0</v>
      </c>
      <c r="J843" t="n">
        <v>0</v>
      </c>
      <c r="K843" t="n">
        <v>0</v>
      </c>
      <c r="L843" t="n">
        <v>0</v>
      </c>
      <c r="M843" t="n">
        <v>0</v>
      </c>
      <c r="N843" t="n">
        <v>0</v>
      </c>
      <c r="O843" t="n">
        <v>0</v>
      </c>
      <c r="P843" t="n">
        <v>0</v>
      </c>
      <c r="Q843" t="n">
        <v>0</v>
      </c>
      <c r="R843" s="2" t="inlineStr"/>
    </row>
    <row r="844" ht="15" customHeight="1">
      <c r="A844" t="inlineStr">
        <is>
          <t>A 39457-2025</t>
        </is>
      </c>
      <c r="B844" s="1" t="n">
        <v>45889.76887731482</v>
      </c>
      <c r="C844" s="1" t="n">
        <v>45999</v>
      </c>
      <c r="D844" t="inlineStr">
        <is>
          <t>SKÅNE LÄN</t>
        </is>
      </c>
      <c r="E844" t="inlineStr">
        <is>
          <t>HÄSSLEHOLM</t>
        </is>
      </c>
      <c r="G844" t="n">
        <v>6.6</v>
      </c>
      <c r="H844" t="n">
        <v>0</v>
      </c>
      <c r="I844" t="n">
        <v>0</v>
      </c>
      <c r="J844" t="n">
        <v>0</v>
      </c>
      <c r="K844" t="n">
        <v>0</v>
      </c>
      <c r="L844" t="n">
        <v>0</v>
      </c>
      <c r="M844" t="n">
        <v>0</v>
      </c>
      <c r="N844" t="n">
        <v>0</v>
      </c>
      <c r="O844" t="n">
        <v>0</v>
      </c>
      <c r="P844" t="n">
        <v>0</v>
      </c>
      <c r="Q844" t="n">
        <v>0</v>
      </c>
      <c r="R844" s="2" t="inlineStr"/>
    </row>
    <row r="845" ht="15" customHeight="1">
      <c r="A845" t="inlineStr">
        <is>
          <t>A 47394-2025</t>
        </is>
      </c>
      <c r="B845" s="1" t="n">
        <v>45930</v>
      </c>
      <c r="C845" s="1" t="n">
        <v>45999</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47422-2025</t>
        </is>
      </c>
      <c r="B846" s="1" t="n">
        <v>45930</v>
      </c>
      <c r="C846" s="1" t="n">
        <v>45999</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47450-2025</t>
        </is>
      </c>
      <c r="B847" s="1" t="n">
        <v>45930</v>
      </c>
      <c r="C847" s="1" t="n">
        <v>45999</v>
      </c>
      <c r="D847" t="inlineStr">
        <is>
          <t>SKÅNE LÄN</t>
        </is>
      </c>
      <c r="E847" t="inlineStr">
        <is>
          <t>HÄSSLEHOLM</t>
        </is>
      </c>
      <c r="G847" t="n">
        <v>3.2</v>
      </c>
      <c r="H847" t="n">
        <v>0</v>
      </c>
      <c r="I847" t="n">
        <v>0</v>
      </c>
      <c r="J847" t="n">
        <v>0</v>
      </c>
      <c r="K847" t="n">
        <v>0</v>
      </c>
      <c r="L847" t="n">
        <v>0</v>
      </c>
      <c r="M847" t="n">
        <v>0</v>
      </c>
      <c r="N847" t="n">
        <v>0</v>
      </c>
      <c r="O847" t="n">
        <v>0</v>
      </c>
      <c r="P847" t="n">
        <v>0</v>
      </c>
      <c r="Q847" t="n">
        <v>0</v>
      </c>
      <c r="R847" s="2" t="inlineStr"/>
    </row>
    <row r="848" ht="15" customHeight="1">
      <c r="A848" t="inlineStr">
        <is>
          <t>A 39366-2025</t>
        </is>
      </c>
      <c r="B848" s="1" t="n">
        <v>45889</v>
      </c>
      <c r="C848" s="1" t="n">
        <v>45999</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47352-2025</t>
        </is>
      </c>
      <c r="B849" s="1" t="n">
        <v>45930</v>
      </c>
      <c r="C849" s="1" t="n">
        <v>45999</v>
      </c>
      <c r="D849" t="inlineStr">
        <is>
          <t>SKÅNE LÄN</t>
        </is>
      </c>
      <c r="E849" t="inlineStr">
        <is>
          <t>HÄSSLEHOLM</t>
        </is>
      </c>
      <c r="G849" t="n">
        <v>16.6</v>
      </c>
      <c r="H849" t="n">
        <v>0</v>
      </c>
      <c r="I849" t="n">
        <v>0</v>
      </c>
      <c r="J849" t="n">
        <v>0</v>
      </c>
      <c r="K849" t="n">
        <v>0</v>
      </c>
      <c r="L849" t="n">
        <v>0</v>
      </c>
      <c r="M849" t="n">
        <v>0</v>
      </c>
      <c r="N849" t="n">
        <v>0</v>
      </c>
      <c r="O849" t="n">
        <v>0</v>
      </c>
      <c r="P849" t="n">
        <v>0</v>
      </c>
      <c r="Q849" t="n">
        <v>0</v>
      </c>
      <c r="R849" s="2" t="inlineStr"/>
    </row>
    <row r="850" ht="15" customHeight="1">
      <c r="A850" t="inlineStr">
        <is>
          <t>A 47473-2025</t>
        </is>
      </c>
      <c r="B850" s="1" t="n">
        <v>45930.67763888889</v>
      </c>
      <c r="C850" s="1" t="n">
        <v>45999</v>
      </c>
      <c r="D850" t="inlineStr">
        <is>
          <t>SKÅNE LÄN</t>
        </is>
      </c>
      <c r="E850" t="inlineStr">
        <is>
          <t>HÄSSLEHOLM</t>
        </is>
      </c>
      <c r="G850" t="n">
        <v>4.7</v>
      </c>
      <c r="H850" t="n">
        <v>0</v>
      </c>
      <c r="I850" t="n">
        <v>0</v>
      </c>
      <c r="J850" t="n">
        <v>0</v>
      </c>
      <c r="K850" t="n">
        <v>0</v>
      </c>
      <c r="L850" t="n">
        <v>0</v>
      </c>
      <c r="M850" t="n">
        <v>0</v>
      </c>
      <c r="N850" t="n">
        <v>0</v>
      </c>
      <c r="O850" t="n">
        <v>0</v>
      </c>
      <c r="P850" t="n">
        <v>0</v>
      </c>
      <c r="Q850" t="n">
        <v>0</v>
      </c>
      <c r="R850" s="2" t="inlineStr"/>
    </row>
    <row r="851" ht="15" customHeight="1">
      <c r="A851" t="inlineStr">
        <is>
          <t>A 46855-2025</t>
        </is>
      </c>
      <c r="B851" s="1" t="n">
        <v>45928.88497685185</v>
      </c>
      <c r="C851" s="1" t="n">
        <v>45999</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47466-2025</t>
        </is>
      </c>
      <c r="B852" s="1" t="n">
        <v>45930.66677083333</v>
      </c>
      <c r="C852" s="1" t="n">
        <v>45999</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39934-2025</t>
        </is>
      </c>
      <c r="B853" s="1" t="n">
        <v>45891.71465277778</v>
      </c>
      <c r="C853" s="1" t="n">
        <v>45999</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39937-2025</t>
        </is>
      </c>
      <c r="B854" s="1" t="n">
        <v>45891.73162037037</v>
      </c>
      <c r="C854" s="1" t="n">
        <v>45999</v>
      </c>
      <c r="D854" t="inlineStr">
        <is>
          <t>SKÅNE LÄN</t>
        </is>
      </c>
      <c r="E854" t="inlineStr">
        <is>
          <t>HÄSSLEHOLM</t>
        </is>
      </c>
      <c r="G854" t="n">
        <v>4.5</v>
      </c>
      <c r="H854" t="n">
        <v>0</v>
      </c>
      <c r="I854" t="n">
        <v>0</v>
      </c>
      <c r="J854" t="n">
        <v>0</v>
      </c>
      <c r="K854" t="n">
        <v>0</v>
      </c>
      <c r="L854" t="n">
        <v>0</v>
      </c>
      <c r="M854" t="n">
        <v>0</v>
      </c>
      <c r="N854" t="n">
        <v>0</v>
      </c>
      <c r="O854" t="n">
        <v>0</v>
      </c>
      <c r="P854" t="n">
        <v>0</v>
      </c>
      <c r="Q854" t="n">
        <v>0</v>
      </c>
      <c r="R854" s="2" t="inlineStr"/>
    </row>
    <row r="855" ht="15" customHeight="1">
      <c r="A855" t="inlineStr">
        <is>
          <t>A 9555-2025</t>
        </is>
      </c>
      <c r="B855" s="1" t="n">
        <v>45714</v>
      </c>
      <c r="C855" s="1" t="n">
        <v>45999</v>
      </c>
      <c r="D855" t="inlineStr">
        <is>
          <t>SKÅNE LÄN</t>
        </is>
      </c>
      <c r="E855" t="inlineStr">
        <is>
          <t>HÄSSLEHOLM</t>
        </is>
      </c>
      <c r="G855" t="n">
        <v>5.4</v>
      </c>
      <c r="H855" t="n">
        <v>0</v>
      </c>
      <c r="I855" t="n">
        <v>0</v>
      </c>
      <c r="J855" t="n">
        <v>0</v>
      </c>
      <c r="K855" t="n">
        <v>0</v>
      </c>
      <c r="L855" t="n">
        <v>0</v>
      </c>
      <c r="M855" t="n">
        <v>0</v>
      </c>
      <c r="N855" t="n">
        <v>0</v>
      </c>
      <c r="O855" t="n">
        <v>0</v>
      </c>
      <c r="P855" t="n">
        <v>0</v>
      </c>
      <c r="Q855" t="n">
        <v>0</v>
      </c>
      <c r="R855" s="2" t="inlineStr"/>
    </row>
    <row r="856" ht="15" customHeight="1">
      <c r="A856" t="inlineStr">
        <is>
          <t>A 47126-2025</t>
        </is>
      </c>
      <c r="B856" s="1" t="n">
        <v>45929.685625</v>
      </c>
      <c r="C856" s="1" t="n">
        <v>45999</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47127-2025</t>
        </is>
      </c>
      <c r="B857" s="1" t="n">
        <v>45929.6893287037</v>
      </c>
      <c r="C857" s="1" t="n">
        <v>45999</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40241-2025</t>
        </is>
      </c>
      <c r="B858" s="1" t="n">
        <v>45894.87251157407</v>
      </c>
      <c r="C858" s="1" t="n">
        <v>45999</v>
      </c>
      <c r="D858" t="inlineStr">
        <is>
          <t>SKÅNE LÄN</t>
        </is>
      </c>
      <c r="E858" t="inlineStr">
        <is>
          <t>HÄSSLEHOLM</t>
        </is>
      </c>
      <c r="G858" t="n">
        <v>3.8</v>
      </c>
      <c r="H858" t="n">
        <v>0</v>
      </c>
      <c r="I858" t="n">
        <v>0</v>
      </c>
      <c r="J858" t="n">
        <v>0</v>
      </c>
      <c r="K858" t="n">
        <v>0</v>
      </c>
      <c r="L858" t="n">
        <v>0</v>
      </c>
      <c r="M858" t="n">
        <v>0</v>
      </c>
      <c r="N858" t="n">
        <v>0</v>
      </c>
      <c r="O858" t="n">
        <v>0</v>
      </c>
      <c r="P858" t="n">
        <v>0</v>
      </c>
      <c r="Q858" t="n">
        <v>0</v>
      </c>
      <c r="R858" s="2" t="inlineStr"/>
    </row>
    <row r="859" ht="15" customHeight="1">
      <c r="A859" t="inlineStr">
        <is>
          <t>A 55458-2025</t>
        </is>
      </c>
      <c r="B859" s="1" t="n">
        <v>45971</v>
      </c>
      <c r="C859" s="1" t="n">
        <v>45999</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13890-2024</t>
        </is>
      </c>
      <c r="B860" s="1" t="n">
        <v>45391</v>
      </c>
      <c r="C860" s="1" t="n">
        <v>45999</v>
      </c>
      <c r="D860" t="inlineStr">
        <is>
          <t>SKÅNE LÄN</t>
        </is>
      </c>
      <c r="E860" t="inlineStr">
        <is>
          <t>HÄSSLEHOLM</t>
        </is>
      </c>
      <c r="F860" t="inlineStr">
        <is>
          <t>Kommuner</t>
        </is>
      </c>
      <c r="G860" t="n">
        <v>1.4</v>
      </c>
      <c r="H860" t="n">
        <v>0</v>
      </c>
      <c r="I860" t="n">
        <v>0</v>
      </c>
      <c r="J860" t="n">
        <v>0</v>
      </c>
      <c r="K860" t="n">
        <v>0</v>
      </c>
      <c r="L860" t="n">
        <v>0</v>
      </c>
      <c r="M860" t="n">
        <v>0</v>
      </c>
      <c r="N860" t="n">
        <v>0</v>
      </c>
      <c r="O860" t="n">
        <v>0</v>
      </c>
      <c r="P860" t="n">
        <v>0</v>
      </c>
      <c r="Q860" t="n">
        <v>0</v>
      </c>
      <c r="R860" s="2" t="inlineStr"/>
    </row>
    <row r="861" ht="15" customHeight="1">
      <c r="A861" t="inlineStr">
        <is>
          <t>A 39223-2024</t>
        </is>
      </c>
      <c r="B861" s="1" t="n">
        <v>45550</v>
      </c>
      <c r="C861" s="1" t="n">
        <v>45999</v>
      </c>
      <c r="D861" t="inlineStr">
        <is>
          <t>SKÅNE LÄN</t>
        </is>
      </c>
      <c r="E861" t="inlineStr">
        <is>
          <t>HÄSSLEHOLM</t>
        </is>
      </c>
      <c r="G861" t="n">
        <v>3.1</v>
      </c>
      <c r="H861" t="n">
        <v>0</v>
      </c>
      <c r="I861" t="n">
        <v>0</v>
      </c>
      <c r="J861" t="n">
        <v>0</v>
      </c>
      <c r="K861" t="n">
        <v>0</v>
      </c>
      <c r="L861" t="n">
        <v>0</v>
      </c>
      <c r="M861" t="n">
        <v>0</v>
      </c>
      <c r="N861" t="n">
        <v>0</v>
      </c>
      <c r="O861" t="n">
        <v>0</v>
      </c>
      <c r="P861" t="n">
        <v>0</v>
      </c>
      <c r="Q861" t="n">
        <v>0</v>
      </c>
      <c r="R861" s="2" t="inlineStr"/>
    </row>
    <row r="862" ht="15" customHeight="1">
      <c r="A862" t="inlineStr">
        <is>
          <t>A 46813-2024</t>
        </is>
      </c>
      <c r="B862" s="1" t="n">
        <v>45583</v>
      </c>
      <c r="C862" s="1" t="n">
        <v>45999</v>
      </c>
      <c r="D862" t="inlineStr">
        <is>
          <t>SKÅNE LÄN</t>
        </is>
      </c>
      <c r="E862" t="inlineStr">
        <is>
          <t>HÄSSLEHOLM</t>
        </is>
      </c>
      <c r="G862" t="n">
        <v>14.9</v>
      </c>
      <c r="H862" t="n">
        <v>0</v>
      </c>
      <c r="I862" t="n">
        <v>0</v>
      </c>
      <c r="J862" t="n">
        <v>0</v>
      </c>
      <c r="K862" t="n">
        <v>0</v>
      </c>
      <c r="L862" t="n">
        <v>0</v>
      </c>
      <c r="M862" t="n">
        <v>0</v>
      </c>
      <c r="N862" t="n">
        <v>0</v>
      </c>
      <c r="O862" t="n">
        <v>0</v>
      </c>
      <c r="P862" t="n">
        <v>0</v>
      </c>
      <c r="Q862" t="n">
        <v>0</v>
      </c>
      <c r="R862" s="2" t="inlineStr"/>
    </row>
    <row r="863" ht="15" customHeight="1">
      <c r="A863" t="inlineStr">
        <is>
          <t>A 25726-2025</t>
        </is>
      </c>
      <c r="B863" s="1" t="n">
        <v>45803</v>
      </c>
      <c r="C863" s="1" t="n">
        <v>45999</v>
      </c>
      <c r="D863" t="inlineStr">
        <is>
          <t>SKÅNE LÄN</t>
        </is>
      </c>
      <c r="E863" t="inlineStr">
        <is>
          <t>HÄSSLEHOLM</t>
        </is>
      </c>
      <c r="G863" t="n">
        <v>5.5</v>
      </c>
      <c r="H863" t="n">
        <v>0</v>
      </c>
      <c r="I863" t="n">
        <v>0</v>
      </c>
      <c r="J863" t="n">
        <v>0</v>
      </c>
      <c r="K863" t="n">
        <v>0</v>
      </c>
      <c r="L863" t="n">
        <v>0</v>
      </c>
      <c r="M863" t="n">
        <v>0</v>
      </c>
      <c r="N863" t="n">
        <v>0</v>
      </c>
      <c r="O863" t="n">
        <v>0</v>
      </c>
      <c r="P863" t="n">
        <v>0</v>
      </c>
      <c r="Q863" t="n">
        <v>0</v>
      </c>
      <c r="R863" s="2" t="inlineStr"/>
    </row>
    <row r="864" ht="15" customHeight="1">
      <c r="A864" t="inlineStr">
        <is>
          <t>A 41400-2025</t>
        </is>
      </c>
      <c r="B864" s="1" t="n">
        <v>45901</v>
      </c>
      <c r="C864" s="1" t="n">
        <v>45999</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56065-2025</t>
        </is>
      </c>
      <c r="B865" s="1" t="n">
        <v>45973</v>
      </c>
      <c r="C865" s="1" t="n">
        <v>45999</v>
      </c>
      <c r="D865" t="inlineStr">
        <is>
          <t>SKÅNE LÄN</t>
        </is>
      </c>
      <c r="E865" t="inlineStr">
        <is>
          <t>HÄSSLEHOLM</t>
        </is>
      </c>
      <c r="G865" t="n">
        <v>2</v>
      </c>
      <c r="H865" t="n">
        <v>0</v>
      </c>
      <c r="I865" t="n">
        <v>0</v>
      </c>
      <c r="J865" t="n">
        <v>0</v>
      </c>
      <c r="K865" t="n">
        <v>0</v>
      </c>
      <c r="L865" t="n">
        <v>0</v>
      </c>
      <c r="M865" t="n">
        <v>0</v>
      </c>
      <c r="N865" t="n">
        <v>0</v>
      </c>
      <c r="O865" t="n">
        <v>0</v>
      </c>
      <c r="P865" t="n">
        <v>0</v>
      </c>
      <c r="Q865" t="n">
        <v>0</v>
      </c>
      <c r="R865" s="2" t="inlineStr"/>
    </row>
    <row r="866" ht="15" customHeight="1">
      <c r="A866" t="inlineStr">
        <is>
          <t>A 6122-2021</t>
        </is>
      </c>
      <c r="B866" s="1" t="n">
        <v>44232.55091435185</v>
      </c>
      <c r="C866" s="1" t="n">
        <v>45999</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41401-2025</t>
        </is>
      </c>
      <c r="B867" s="1" t="n">
        <v>45901</v>
      </c>
      <c r="C867" s="1" t="n">
        <v>45999</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37486-2024</t>
        </is>
      </c>
      <c r="B868" s="1" t="n">
        <v>45541</v>
      </c>
      <c r="C868" s="1" t="n">
        <v>45999</v>
      </c>
      <c r="D868" t="inlineStr">
        <is>
          <t>SKÅNE LÄN</t>
        </is>
      </c>
      <c r="E868" t="inlineStr">
        <is>
          <t>HÄSSLEHOLM</t>
        </is>
      </c>
      <c r="G868" t="n">
        <v>8.5</v>
      </c>
      <c r="H868" t="n">
        <v>0</v>
      </c>
      <c r="I868" t="n">
        <v>0</v>
      </c>
      <c r="J868" t="n">
        <v>0</v>
      </c>
      <c r="K868" t="n">
        <v>0</v>
      </c>
      <c r="L868" t="n">
        <v>0</v>
      </c>
      <c r="M868" t="n">
        <v>0</v>
      </c>
      <c r="N868" t="n">
        <v>0</v>
      </c>
      <c r="O868" t="n">
        <v>0</v>
      </c>
      <c r="P868" t="n">
        <v>0</v>
      </c>
      <c r="Q868" t="n">
        <v>0</v>
      </c>
      <c r="R868" s="2" t="inlineStr"/>
    </row>
    <row r="869" ht="15" customHeight="1">
      <c r="A869" t="inlineStr">
        <is>
          <t>A 44838-2023</t>
        </is>
      </c>
      <c r="B869" s="1" t="n">
        <v>45190</v>
      </c>
      <c r="C869" s="1" t="n">
        <v>45999</v>
      </c>
      <c r="D869" t="inlineStr">
        <is>
          <t>SKÅNE LÄN</t>
        </is>
      </c>
      <c r="E869" t="inlineStr">
        <is>
          <t>HÄSSLEHOLM</t>
        </is>
      </c>
      <c r="F869" t="inlineStr">
        <is>
          <t>Kommuner</t>
        </is>
      </c>
      <c r="G869" t="n">
        <v>2</v>
      </c>
      <c r="H869" t="n">
        <v>0</v>
      </c>
      <c r="I869" t="n">
        <v>0</v>
      </c>
      <c r="J869" t="n">
        <v>0</v>
      </c>
      <c r="K869" t="n">
        <v>0</v>
      </c>
      <c r="L869" t="n">
        <v>0</v>
      </c>
      <c r="M869" t="n">
        <v>0</v>
      </c>
      <c r="N869" t="n">
        <v>0</v>
      </c>
      <c r="O869" t="n">
        <v>0</v>
      </c>
      <c r="P869" t="n">
        <v>0</v>
      </c>
      <c r="Q869" t="n">
        <v>0</v>
      </c>
      <c r="R869" s="2" t="inlineStr"/>
    </row>
    <row r="870" ht="15" customHeight="1">
      <c r="A870" t="inlineStr">
        <is>
          <t>A 56767-2025</t>
        </is>
      </c>
      <c r="B870" s="1" t="n">
        <v>45978.38178240741</v>
      </c>
      <c r="C870" s="1" t="n">
        <v>45999</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56797-2025</t>
        </is>
      </c>
      <c r="B871" s="1" t="n">
        <v>45978.43273148148</v>
      </c>
      <c r="C871" s="1" t="n">
        <v>45999</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56798-2025</t>
        </is>
      </c>
      <c r="B872" s="1" t="n">
        <v>45978.43378472222</v>
      </c>
      <c r="C872" s="1" t="n">
        <v>45999</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48184-2025</t>
        </is>
      </c>
      <c r="B873" s="1" t="n">
        <v>45933.46131944445</v>
      </c>
      <c r="C873" s="1" t="n">
        <v>45999</v>
      </c>
      <c r="D873" t="inlineStr">
        <is>
          <t>SKÅNE LÄN</t>
        </is>
      </c>
      <c r="E873" t="inlineStr">
        <is>
          <t>HÄSSLEHOLM</t>
        </is>
      </c>
      <c r="G873" t="n">
        <v>3</v>
      </c>
      <c r="H873" t="n">
        <v>0</v>
      </c>
      <c r="I873" t="n">
        <v>0</v>
      </c>
      <c r="J873" t="n">
        <v>0</v>
      </c>
      <c r="K873" t="n">
        <v>0</v>
      </c>
      <c r="L873" t="n">
        <v>0</v>
      </c>
      <c r="M873" t="n">
        <v>0</v>
      </c>
      <c r="N873" t="n">
        <v>0</v>
      </c>
      <c r="O873" t="n">
        <v>0</v>
      </c>
      <c r="P873" t="n">
        <v>0</v>
      </c>
      <c r="Q873" t="n">
        <v>0</v>
      </c>
      <c r="R873" s="2" t="inlineStr"/>
    </row>
    <row r="874" ht="15" customHeight="1">
      <c r="A874" t="inlineStr">
        <is>
          <t>A 48185-2025</t>
        </is>
      </c>
      <c r="B874" s="1" t="n">
        <v>45933.46434027778</v>
      </c>
      <c r="C874" s="1" t="n">
        <v>45999</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13932-2023</t>
        </is>
      </c>
      <c r="B875" s="1" t="n">
        <v>45008.43935185186</v>
      </c>
      <c r="C875" s="1" t="n">
        <v>45999</v>
      </c>
      <c r="D875" t="inlineStr">
        <is>
          <t>SKÅNE LÄN</t>
        </is>
      </c>
      <c r="E875" t="inlineStr">
        <is>
          <t>HÄSSLEHOLM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15072-2024</t>
        </is>
      </c>
      <c r="B876" s="1" t="n">
        <v>45399.5996875</v>
      </c>
      <c r="C876" s="1" t="n">
        <v>45999</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16930-2024</t>
        </is>
      </c>
      <c r="B877" s="1" t="n">
        <v>45411</v>
      </c>
      <c r="C877" s="1" t="n">
        <v>45999</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56667-2025</t>
        </is>
      </c>
      <c r="B878" s="1" t="n">
        <v>45975.68508101852</v>
      </c>
      <c r="C878" s="1" t="n">
        <v>45999</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32008-2024</t>
        </is>
      </c>
      <c r="B879" s="1" t="n">
        <v>45510</v>
      </c>
      <c r="C879" s="1" t="n">
        <v>45999</v>
      </c>
      <c r="D879" t="inlineStr">
        <is>
          <t>SKÅNE LÄN</t>
        </is>
      </c>
      <c r="E879" t="inlineStr">
        <is>
          <t>HÄSSLEHOLM</t>
        </is>
      </c>
      <c r="G879" t="n">
        <v>5.1</v>
      </c>
      <c r="H879" t="n">
        <v>0</v>
      </c>
      <c r="I879" t="n">
        <v>0</v>
      </c>
      <c r="J879" t="n">
        <v>0</v>
      </c>
      <c r="K879" t="n">
        <v>0</v>
      </c>
      <c r="L879" t="n">
        <v>0</v>
      </c>
      <c r="M879" t="n">
        <v>0</v>
      </c>
      <c r="N879" t="n">
        <v>0</v>
      </c>
      <c r="O879" t="n">
        <v>0</v>
      </c>
      <c r="P879" t="n">
        <v>0</v>
      </c>
      <c r="Q879" t="n">
        <v>0</v>
      </c>
      <c r="R879" s="2" t="inlineStr"/>
    </row>
    <row r="880" ht="15" customHeight="1">
      <c r="A880" t="inlineStr">
        <is>
          <t>A 11262-2025</t>
        </is>
      </c>
      <c r="B880" s="1" t="n">
        <v>45726</v>
      </c>
      <c r="C880" s="1" t="n">
        <v>45999</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5395-2024</t>
        </is>
      </c>
      <c r="B881" s="1" t="n">
        <v>45331</v>
      </c>
      <c r="C881" s="1" t="n">
        <v>45999</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56069-2024</t>
        </is>
      </c>
      <c r="B882" s="1" t="n">
        <v>45624.38006944444</v>
      </c>
      <c r="C882" s="1" t="n">
        <v>45999</v>
      </c>
      <c r="D882" t="inlineStr">
        <is>
          <t>SKÅNE LÄN</t>
        </is>
      </c>
      <c r="E882" t="inlineStr">
        <is>
          <t>HÄSSLEHOLM</t>
        </is>
      </c>
      <c r="F882" t="inlineStr">
        <is>
          <t>Övriga Aktiebolag</t>
        </is>
      </c>
      <c r="G882" t="n">
        <v>2.3</v>
      </c>
      <c r="H882" t="n">
        <v>0</v>
      </c>
      <c r="I882" t="n">
        <v>0</v>
      </c>
      <c r="J882" t="n">
        <v>0</v>
      </c>
      <c r="K882" t="n">
        <v>0</v>
      </c>
      <c r="L882" t="n">
        <v>0</v>
      </c>
      <c r="M882" t="n">
        <v>0</v>
      </c>
      <c r="N882" t="n">
        <v>0</v>
      </c>
      <c r="O882" t="n">
        <v>0</v>
      </c>
      <c r="P882" t="n">
        <v>0</v>
      </c>
      <c r="Q882" t="n">
        <v>0</v>
      </c>
      <c r="R882" s="2" t="inlineStr"/>
    </row>
    <row r="883" ht="15" customHeight="1">
      <c r="A883" t="inlineStr">
        <is>
          <t>A 60797-2024</t>
        </is>
      </c>
      <c r="B883" s="1" t="n">
        <v>45644</v>
      </c>
      <c r="C883" s="1" t="n">
        <v>45999</v>
      </c>
      <c r="D883" t="inlineStr">
        <is>
          <t>SKÅNE LÄN</t>
        </is>
      </c>
      <c r="E883" t="inlineStr">
        <is>
          <t>HÄSSLEHOLM</t>
        </is>
      </c>
      <c r="G883" t="n">
        <v>3.4</v>
      </c>
      <c r="H883" t="n">
        <v>0</v>
      </c>
      <c r="I883" t="n">
        <v>0</v>
      </c>
      <c r="J883" t="n">
        <v>0</v>
      </c>
      <c r="K883" t="n">
        <v>0</v>
      </c>
      <c r="L883" t="n">
        <v>0</v>
      </c>
      <c r="M883" t="n">
        <v>0</v>
      </c>
      <c r="N883" t="n">
        <v>0</v>
      </c>
      <c r="O883" t="n">
        <v>0</v>
      </c>
      <c r="P883" t="n">
        <v>0</v>
      </c>
      <c r="Q883" t="n">
        <v>0</v>
      </c>
      <c r="R883" s="2" t="inlineStr"/>
    </row>
    <row r="884" ht="15" customHeight="1">
      <c r="A884" t="inlineStr">
        <is>
          <t>A 17138-2025</t>
        </is>
      </c>
      <c r="B884" s="1" t="n">
        <v>45755.80378472222</v>
      </c>
      <c r="C884" s="1" t="n">
        <v>45999</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24034-2025</t>
        </is>
      </c>
      <c r="B885" s="1" t="n">
        <v>45796.48251157408</v>
      </c>
      <c r="C885" s="1" t="n">
        <v>45999</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48722-2025</t>
        </is>
      </c>
      <c r="B886" s="1" t="n">
        <v>45935</v>
      </c>
      <c r="C886" s="1" t="n">
        <v>45999</v>
      </c>
      <c r="D886" t="inlineStr">
        <is>
          <t>SKÅNE LÄN</t>
        </is>
      </c>
      <c r="E886" t="inlineStr">
        <is>
          <t>HÄSSLEHOLM</t>
        </is>
      </c>
      <c r="G886" t="n">
        <v>4.3</v>
      </c>
      <c r="H886" t="n">
        <v>0</v>
      </c>
      <c r="I886" t="n">
        <v>0</v>
      </c>
      <c r="J886" t="n">
        <v>0</v>
      </c>
      <c r="K886" t="n">
        <v>0</v>
      </c>
      <c r="L886" t="n">
        <v>0</v>
      </c>
      <c r="M886" t="n">
        <v>0</v>
      </c>
      <c r="N886" t="n">
        <v>0</v>
      </c>
      <c r="O886" t="n">
        <v>0</v>
      </c>
      <c r="P886" t="n">
        <v>0</v>
      </c>
      <c r="Q886" t="n">
        <v>0</v>
      </c>
      <c r="R886" s="2" t="inlineStr"/>
    </row>
    <row r="887" ht="15" customHeight="1">
      <c r="A887" t="inlineStr">
        <is>
          <t>A 42520-2025</t>
        </is>
      </c>
      <c r="B887" s="1" t="n">
        <v>45905.54846064815</v>
      </c>
      <c r="C887" s="1" t="n">
        <v>45999</v>
      </c>
      <c r="D887" t="inlineStr">
        <is>
          <t>SKÅNE LÄN</t>
        </is>
      </c>
      <c r="E887" t="inlineStr">
        <is>
          <t>HÄSSLEHOLM</t>
        </is>
      </c>
      <c r="G887" t="n">
        <v>2.5</v>
      </c>
      <c r="H887" t="n">
        <v>0</v>
      </c>
      <c r="I887" t="n">
        <v>0</v>
      </c>
      <c r="J887" t="n">
        <v>0</v>
      </c>
      <c r="K887" t="n">
        <v>0</v>
      </c>
      <c r="L887" t="n">
        <v>0</v>
      </c>
      <c r="M887" t="n">
        <v>0</v>
      </c>
      <c r="N887" t="n">
        <v>0</v>
      </c>
      <c r="O887" t="n">
        <v>0</v>
      </c>
      <c r="P887" t="n">
        <v>0</v>
      </c>
      <c r="Q887" t="n">
        <v>0</v>
      </c>
      <c r="R887" s="2" t="inlineStr"/>
    </row>
    <row r="888" ht="15" customHeight="1">
      <c r="A888" t="inlineStr">
        <is>
          <t>A 15512-2025</t>
        </is>
      </c>
      <c r="B888" s="1" t="n">
        <v>45747</v>
      </c>
      <c r="C888" s="1" t="n">
        <v>45999</v>
      </c>
      <c r="D888" t="inlineStr">
        <is>
          <t>SKÅNE LÄN</t>
        </is>
      </c>
      <c r="E888" t="inlineStr">
        <is>
          <t>HÄSSLEHOLM</t>
        </is>
      </c>
      <c r="G888" t="n">
        <v>3.5</v>
      </c>
      <c r="H888" t="n">
        <v>0</v>
      </c>
      <c r="I888" t="n">
        <v>0</v>
      </c>
      <c r="J888" t="n">
        <v>0</v>
      </c>
      <c r="K888" t="n">
        <v>0</v>
      </c>
      <c r="L888" t="n">
        <v>0</v>
      </c>
      <c r="M888" t="n">
        <v>0</v>
      </c>
      <c r="N888" t="n">
        <v>0</v>
      </c>
      <c r="O888" t="n">
        <v>0</v>
      </c>
      <c r="P888" t="n">
        <v>0</v>
      </c>
      <c r="Q888" t="n">
        <v>0</v>
      </c>
      <c r="R888" s="2" t="inlineStr"/>
    </row>
    <row r="889" ht="15" customHeight="1">
      <c r="A889" t="inlineStr">
        <is>
          <t>A 24039-2025</t>
        </is>
      </c>
      <c r="B889" s="1" t="n">
        <v>45796.48675925926</v>
      </c>
      <c r="C889" s="1" t="n">
        <v>45999</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43333-2025</t>
        </is>
      </c>
      <c r="B890" s="1" t="n">
        <v>45910</v>
      </c>
      <c r="C890" s="1" t="n">
        <v>45999</v>
      </c>
      <c r="D890" t="inlineStr">
        <is>
          <t>SKÅNE LÄN</t>
        </is>
      </c>
      <c r="E890" t="inlineStr">
        <is>
          <t>HÄSSLEHOLM</t>
        </is>
      </c>
      <c r="G890" t="n">
        <v>10.1</v>
      </c>
      <c r="H890" t="n">
        <v>0</v>
      </c>
      <c r="I890" t="n">
        <v>0</v>
      </c>
      <c r="J890" t="n">
        <v>0</v>
      </c>
      <c r="K890" t="n">
        <v>0</v>
      </c>
      <c r="L890" t="n">
        <v>0</v>
      </c>
      <c r="M890" t="n">
        <v>0</v>
      </c>
      <c r="N890" t="n">
        <v>0</v>
      </c>
      <c r="O890" t="n">
        <v>0</v>
      </c>
      <c r="P890" t="n">
        <v>0</v>
      </c>
      <c r="Q890" t="n">
        <v>0</v>
      </c>
      <c r="R890" s="2" t="inlineStr"/>
    </row>
    <row r="891" ht="15" customHeight="1">
      <c r="A891" t="inlineStr">
        <is>
          <t>A 43332-2025</t>
        </is>
      </c>
      <c r="B891" s="1" t="n">
        <v>45910.70217592592</v>
      </c>
      <c r="C891" s="1" t="n">
        <v>45999</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6596-2021</t>
        </is>
      </c>
      <c r="B892" s="1" t="n">
        <v>44236</v>
      </c>
      <c r="C892" s="1" t="n">
        <v>45999</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7681-2025</t>
        </is>
      </c>
      <c r="B893" s="1" t="n">
        <v>45706.36758101852</v>
      </c>
      <c r="C893" s="1" t="n">
        <v>45999</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24032-2025</t>
        </is>
      </c>
      <c r="B894" s="1" t="n">
        <v>45796.478125</v>
      </c>
      <c r="C894" s="1" t="n">
        <v>45999</v>
      </c>
      <c r="D894" t="inlineStr">
        <is>
          <t>SKÅNE LÄN</t>
        </is>
      </c>
      <c r="E894" t="inlineStr">
        <is>
          <t>HÄSSLEHOLM</t>
        </is>
      </c>
      <c r="G894" t="n">
        <v>2.2</v>
      </c>
      <c r="H894" t="n">
        <v>0</v>
      </c>
      <c r="I894" t="n">
        <v>0</v>
      </c>
      <c r="J894" t="n">
        <v>0</v>
      </c>
      <c r="K894" t="n">
        <v>0</v>
      </c>
      <c r="L894" t="n">
        <v>0</v>
      </c>
      <c r="M894" t="n">
        <v>0</v>
      </c>
      <c r="N894" t="n">
        <v>0</v>
      </c>
      <c r="O894" t="n">
        <v>0</v>
      </c>
      <c r="P894" t="n">
        <v>0</v>
      </c>
      <c r="Q894" t="n">
        <v>0</v>
      </c>
      <c r="R894" s="2" t="inlineStr"/>
    </row>
    <row r="895" ht="15" customHeight="1">
      <c r="A895" t="inlineStr">
        <is>
          <t>A 5252-2025</t>
        </is>
      </c>
      <c r="B895" s="1" t="n">
        <v>45692.3449537037</v>
      </c>
      <c r="C895" s="1" t="n">
        <v>45999</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14700-2023</t>
        </is>
      </c>
      <c r="B896" s="1" t="n">
        <v>45014.38376157408</v>
      </c>
      <c r="C896" s="1" t="n">
        <v>45999</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24047-2025</t>
        </is>
      </c>
      <c r="B897" s="1" t="n">
        <v>45796.49528935185</v>
      </c>
      <c r="C897" s="1" t="n">
        <v>45999</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3531-2023</t>
        </is>
      </c>
      <c r="B898" s="1" t="n">
        <v>44950</v>
      </c>
      <c r="C898" s="1" t="n">
        <v>45999</v>
      </c>
      <c r="D898" t="inlineStr">
        <is>
          <t>SKÅNE LÄN</t>
        </is>
      </c>
      <c r="E898" t="inlineStr">
        <is>
          <t>HÄSSLEHOLM</t>
        </is>
      </c>
      <c r="G898" t="n">
        <v>10.1</v>
      </c>
      <c r="H898" t="n">
        <v>0</v>
      </c>
      <c r="I898" t="n">
        <v>0</v>
      </c>
      <c r="J898" t="n">
        <v>0</v>
      </c>
      <c r="K898" t="n">
        <v>0</v>
      </c>
      <c r="L898" t="n">
        <v>0</v>
      </c>
      <c r="M898" t="n">
        <v>0</v>
      </c>
      <c r="N898" t="n">
        <v>0</v>
      </c>
      <c r="O898" t="n">
        <v>0</v>
      </c>
      <c r="P898" t="n">
        <v>0</v>
      </c>
      <c r="Q898" t="n">
        <v>0</v>
      </c>
      <c r="R898" s="2" t="inlineStr"/>
    </row>
    <row r="899" ht="15" customHeight="1">
      <c r="A899" t="inlineStr">
        <is>
          <t>A 60789-2024</t>
        </is>
      </c>
      <c r="B899" s="1" t="n">
        <v>45644</v>
      </c>
      <c r="C899" s="1" t="n">
        <v>45999</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43516-2025</t>
        </is>
      </c>
      <c r="B900" s="1" t="n">
        <v>45911</v>
      </c>
      <c r="C900" s="1" t="n">
        <v>45999</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56769-2025</t>
        </is>
      </c>
      <c r="B901" s="1" t="n">
        <v>45978.38429398148</v>
      </c>
      <c r="C901" s="1" t="n">
        <v>45999</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56794-2025</t>
        </is>
      </c>
      <c r="B902" s="1" t="n">
        <v>45978.43039351852</v>
      </c>
      <c r="C902" s="1" t="n">
        <v>45999</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24029-2025</t>
        </is>
      </c>
      <c r="B903" s="1" t="n">
        <v>45796.47552083333</v>
      </c>
      <c r="C903" s="1" t="n">
        <v>45999</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4579-2025</t>
        </is>
      </c>
      <c r="B904" s="1" t="n">
        <v>45687.5009375</v>
      </c>
      <c r="C904" s="1" t="n">
        <v>45999</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1344-2021</t>
        </is>
      </c>
      <c r="B905" s="1" t="n">
        <v>44208</v>
      </c>
      <c r="C905" s="1" t="n">
        <v>45999</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43738-2025</t>
        </is>
      </c>
      <c r="B906" s="1" t="n">
        <v>45912.45037037037</v>
      </c>
      <c r="C906" s="1" t="n">
        <v>45999</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43741-2025</t>
        </is>
      </c>
      <c r="B907" s="1" t="n">
        <v>45912.45541666666</v>
      </c>
      <c r="C907" s="1" t="n">
        <v>45999</v>
      </c>
      <c r="D907" t="inlineStr">
        <is>
          <t>SKÅNE LÄN</t>
        </is>
      </c>
      <c r="E907" t="inlineStr">
        <is>
          <t>HÄSSLEHOLM</t>
        </is>
      </c>
      <c r="G907" t="n">
        <v>4.3</v>
      </c>
      <c r="H907" t="n">
        <v>0</v>
      </c>
      <c r="I907" t="n">
        <v>0</v>
      </c>
      <c r="J907" t="n">
        <v>0</v>
      </c>
      <c r="K907" t="n">
        <v>0</v>
      </c>
      <c r="L907" t="n">
        <v>0</v>
      </c>
      <c r="M907" t="n">
        <v>0</v>
      </c>
      <c r="N907" t="n">
        <v>0</v>
      </c>
      <c r="O907" t="n">
        <v>0</v>
      </c>
      <c r="P907" t="n">
        <v>0</v>
      </c>
      <c r="Q907" t="n">
        <v>0</v>
      </c>
      <c r="R907" s="2" t="inlineStr"/>
    </row>
    <row r="908" ht="15" customHeight="1">
      <c r="A908" t="inlineStr">
        <is>
          <t>A 18623-2023</t>
        </is>
      </c>
      <c r="B908" s="1" t="n">
        <v>45043</v>
      </c>
      <c r="C908" s="1" t="n">
        <v>45999</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24675-2025</t>
        </is>
      </c>
      <c r="B909" s="1" t="n">
        <v>45798.653125</v>
      </c>
      <c r="C909" s="1" t="n">
        <v>45999</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10562-2025</t>
        </is>
      </c>
      <c r="B910" s="1" t="n">
        <v>45721.52913194444</v>
      </c>
      <c r="C910" s="1" t="n">
        <v>45999</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10115-2024</t>
        </is>
      </c>
      <c r="B911" s="1" t="n">
        <v>45364.55339120371</v>
      </c>
      <c r="C911" s="1" t="n">
        <v>45999</v>
      </c>
      <c r="D911" t="inlineStr">
        <is>
          <t>SKÅNE LÄN</t>
        </is>
      </c>
      <c r="E911" t="inlineStr">
        <is>
          <t>HÄSSLEHOLM</t>
        </is>
      </c>
      <c r="G911" t="n">
        <v>7</v>
      </c>
      <c r="H911" t="n">
        <v>0</v>
      </c>
      <c r="I911" t="n">
        <v>0</v>
      </c>
      <c r="J911" t="n">
        <v>0</v>
      </c>
      <c r="K911" t="n">
        <v>0</v>
      </c>
      <c r="L911" t="n">
        <v>0</v>
      </c>
      <c r="M911" t="n">
        <v>0</v>
      </c>
      <c r="N911" t="n">
        <v>0</v>
      </c>
      <c r="O911" t="n">
        <v>0</v>
      </c>
      <c r="P911" t="n">
        <v>0</v>
      </c>
      <c r="Q911" t="n">
        <v>0</v>
      </c>
      <c r="R911" s="2" t="inlineStr"/>
    </row>
    <row r="912" ht="15" customHeight="1">
      <c r="A912" t="inlineStr">
        <is>
          <t>A 3663-2024</t>
        </is>
      </c>
      <c r="B912" s="1" t="n">
        <v>45321.34775462963</v>
      </c>
      <c r="C912" s="1" t="n">
        <v>45999</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32512-2024</t>
        </is>
      </c>
      <c r="B913" s="1" t="n">
        <v>45513.45613425926</v>
      </c>
      <c r="C913" s="1" t="n">
        <v>45999</v>
      </c>
      <c r="D913" t="inlineStr">
        <is>
          <t>SKÅNE LÄN</t>
        </is>
      </c>
      <c r="E913" t="inlineStr">
        <is>
          <t>HÄSSLEHOLM</t>
        </is>
      </c>
      <c r="G913" t="n">
        <v>1.8</v>
      </c>
      <c r="H913" t="n">
        <v>0</v>
      </c>
      <c r="I913" t="n">
        <v>0</v>
      </c>
      <c r="J913" t="n">
        <v>0</v>
      </c>
      <c r="K913" t="n">
        <v>0</v>
      </c>
      <c r="L913" t="n">
        <v>0</v>
      </c>
      <c r="M913" t="n">
        <v>0</v>
      </c>
      <c r="N913" t="n">
        <v>0</v>
      </c>
      <c r="O913" t="n">
        <v>0</v>
      </c>
      <c r="P913" t="n">
        <v>0</v>
      </c>
      <c r="Q913" t="n">
        <v>0</v>
      </c>
      <c r="R913" s="2" t="inlineStr"/>
    </row>
    <row r="914" ht="15" customHeight="1">
      <c r="A914" t="inlineStr">
        <is>
          <t>A 55522-2024</t>
        </is>
      </c>
      <c r="B914" s="1" t="n">
        <v>45622</v>
      </c>
      <c r="C914" s="1" t="n">
        <v>45999</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43869-2025</t>
        </is>
      </c>
      <c r="B915" s="1" t="n">
        <v>45912.66452546296</v>
      </c>
      <c r="C915" s="1" t="n">
        <v>45999</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5242-2025</t>
        </is>
      </c>
      <c r="B916" s="1" t="n">
        <v>45692.32883101852</v>
      </c>
      <c r="C916" s="1" t="n">
        <v>45999</v>
      </c>
      <c r="D916" t="inlineStr">
        <is>
          <t>SKÅNE LÄN</t>
        </is>
      </c>
      <c r="E916" t="inlineStr">
        <is>
          <t>HÄSSLEHOLM</t>
        </is>
      </c>
      <c r="G916" t="n">
        <v>1.1</v>
      </c>
      <c r="H916" t="n">
        <v>0</v>
      </c>
      <c r="I916" t="n">
        <v>0</v>
      </c>
      <c r="J916" t="n">
        <v>0</v>
      </c>
      <c r="K916" t="n">
        <v>0</v>
      </c>
      <c r="L916" t="n">
        <v>0</v>
      </c>
      <c r="M916" t="n">
        <v>0</v>
      </c>
      <c r="N916" t="n">
        <v>0</v>
      </c>
      <c r="O916" t="n">
        <v>0</v>
      </c>
      <c r="P916" t="n">
        <v>0</v>
      </c>
      <c r="Q916" t="n">
        <v>0</v>
      </c>
      <c r="R916" s="2" t="inlineStr"/>
    </row>
    <row r="917" ht="15" customHeight="1">
      <c r="A917" t="inlineStr">
        <is>
          <t>A 42735-2024</t>
        </is>
      </c>
      <c r="B917" s="1" t="n">
        <v>45566.47274305556</v>
      </c>
      <c r="C917" s="1" t="n">
        <v>45999</v>
      </c>
      <c r="D917" t="inlineStr">
        <is>
          <t>SKÅNE LÄN</t>
        </is>
      </c>
      <c r="E917" t="inlineStr">
        <is>
          <t>HÄSSLEHOLM</t>
        </is>
      </c>
      <c r="G917" t="n">
        <v>3.7</v>
      </c>
      <c r="H917" t="n">
        <v>0</v>
      </c>
      <c r="I917" t="n">
        <v>0</v>
      </c>
      <c r="J917" t="n">
        <v>0</v>
      </c>
      <c r="K917" t="n">
        <v>0</v>
      </c>
      <c r="L917" t="n">
        <v>0</v>
      </c>
      <c r="M917" t="n">
        <v>0</v>
      </c>
      <c r="N917" t="n">
        <v>0</v>
      </c>
      <c r="O917" t="n">
        <v>0</v>
      </c>
      <c r="P917" t="n">
        <v>0</v>
      </c>
      <c r="Q917" t="n">
        <v>0</v>
      </c>
      <c r="R917" s="2" t="inlineStr"/>
    </row>
    <row r="918" ht="15" customHeight="1">
      <c r="A918" t="inlineStr">
        <is>
          <t>A 24658-2025</t>
        </is>
      </c>
      <c r="B918" s="1" t="n">
        <v>45798.64134259259</v>
      </c>
      <c r="C918" s="1" t="n">
        <v>45999</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24250-2025</t>
        </is>
      </c>
      <c r="B919" s="1" t="n">
        <v>45797.40260416667</v>
      </c>
      <c r="C919" s="1" t="n">
        <v>45999</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67801-2021</t>
        </is>
      </c>
      <c r="B920" s="1" t="n">
        <v>44525</v>
      </c>
      <c r="C920" s="1" t="n">
        <v>45999</v>
      </c>
      <c r="D920" t="inlineStr">
        <is>
          <t>SKÅNE LÄN</t>
        </is>
      </c>
      <c r="E920" t="inlineStr">
        <is>
          <t>HÄSSLEHOLM</t>
        </is>
      </c>
      <c r="G920" t="n">
        <v>2.2</v>
      </c>
      <c r="H920" t="n">
        <v>0</v>
      </c>
      <c r="I920" t="n">
        <v>0</v>
      </c>
      <c r="J920" t="n">
        <v>0</v>
      </c>
      <c r="K920" t="n">
        <v>0</v>
      </c>
      <c r="L920" t="n">
        <v>0</v>
      </c>
      <c r="M920" t="n">
        <v>0</v>
      </c>
      <c r="N920" t="n">
        <v>0</v>
      </c>
      <c r="O920" t="n">
        <v>0</v>
      </c>
      <c r="P920" t="n">
        <v>0</v>
      </c>
      <c r="Q920" t="n">
        <v>0</v>
      </c>
      <c r="R920" s="2" t="inlineStr"/>
    </row>
    <row r="921" ht="15" customHeight="1">
      <c r="A921" t="inlineStr">
        <is>
          <t>A 7771-2021</t>
        </is>
      </c>
      <c r="B921" s="1" t="n">
        <v>44242</v>
      </c>
      <c r="C921" s="1" t="n">
        <v>45999</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32826-2024</t>
        </is>
      </c>
      <c r="B922" s="1" t="n">
        <v>45516.59056712963</v>
      </c>
      <c r="C922" s="1" t="n">
        <v>45999</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24985-2025</t>
        </is>
      </c>
      <c r="B923" s="1" t="n">
        <v>45799.60256944445</v>
      </c>
      <c r="C923" s="1" t="n">
        <v>45999</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27837-2024</t>
        </is>
      </c>
      <c r="B924" s="1" t="n">
        <v>45475</v>
      </c>
      <c r="C924" s="1" t="n">
        <v>45999</v>
      </c>
      <c r="D924" t="inlineStr">
        <is>
          <t>SKÅNE LÄN</t>
        </is>
      </c>
      <c r="E924" t="inlineStr">
        <is>
          <t>HÄSSLEHOLM</t>
        </is>
      </c>
      <c r="F924" t="inlineStr">
        <is>
          <t>Kommuner</t>
        </is>
      </c>
      <c r="G924" t="n">
        <v>2.3</v>
      </c>
      <c r="H924" t="n">
        <v>0</v>
      </c>
      <c r="I924" t="n">
        <v>0</v>
      </c>
      <c r="J924" t="n">
        <v>0</v>
      </c>
      <c r="K924" t="n">
        <v>0</v>
      </c>
      <c r="L924" t="n">
        <v>0</v>
      </c>
      <c r="M924" t="n">
        <v>0</v>
      </c>
      <c r="N924" t="n">
        <v>0</v>
      </c>
      <c r="O924" t="n">
        <v>0</v>
      </c>
      <c r="P924" t="n">
        <v>0</v>
      </c>
      <c r="Q924" t="n">
        <v>0</v>
      </c>
      <c r="R924" s="2" t="inlineStr"/>
    </row>
    <row r="925" ht="15" customHeight="1">
      <c r="A925" t="inlineStr">
        <is>
          <t>A 29659-2024</t>
        </is>
      </c>
      <c r="B925" s="1" t="n">
        <v>45484.92587962963</v>
      </c>
      <c r="C925" s="1" t="n">
        <v>45999</v>
      </c>
      <c r="D925" t="inlineStr">
        <is>
          <t>SKÅNE LÄN</t>
        </is>
      </c>
      <c r="E925" t="inlineStr">
        <is>
          <t>HÄSSLEHOLM</t>
        </is>
      </c>
      <c r="G925" t="n">
        <v>0.7</v>
      </c>
      <c r="H925" t="n">
        <v>0</v>
      </c>
      <c r="I925" t="n">
        <v>0</v>
      </c>
      <c r="J925" t="n">
        <v>0</v>
      </c>
      <c r="K925" t="n">
        <v>0</v>
      </c>
      <c r="L925" t="n">
        <v>0</v>
      </c>
      <c r="M925" t="n">
        <v>0</v>
      </c>
      <c r="N925" t="n">
        <v>0</v>
      </c>
      <c r="O925" t="n">
        <v>0</v>
      </c>
      <c r="P925" t="n">
        <v>0</v>
      </c>
      <c r="Q925" t="n">
        <v>0</v>
      </c>
      <c r="R925" s="2" t="inlineStr"/>
    </row>
    <row r="926" ht="15" customHeight="1">
      <c r="A926" t="inlineStr">
        <is>
          <t>A 53018-2025</t>
        </is>
      </c>
      <c r="B926" s="1" t="n">
        <v>45957.90064814815</v>
      </c>
      <c r="C926" s="1" t="n">
        <v>45999</v>
      </c>
      <c r="D926" t="inlineStr">
        <is>
          <t>SKÅNE LÄN</t>
        </is>
      </c>
      <c r="E926" t="inlineStr">
        <is>
          <t>HÄSSLEHOLM</t>
        </is>
      </c>
      <c r="G926" t="n">
        <v>2.2</v>
      </c>
      <c r="H926" t="n">
        <v>0</v>
      </c>
      <c r="I926" t="n">
        <v>0</v>
      </c>
      <c r="J926" t="n">
        <v>0</v>
      </c>
      <c r="K926" t="n">
        <v>0</v>
      </c>
      <c r="L926" t="n">
        <v>0</v>
      </c>
      <c r="M926" t="n">
        <v>0</v>
      </c>
      <c r="N926" t="n">
        <v>0</v>
      </c>
      <c r="O926" t="n">
        <v>0</v>
      </c>
      <c r="P926" t="n">
        <v>0</v>
      </c>
      <c r="Q926" t="n">
        <v>0</v>
      </c>
      <c r="R926" s="2" t="inlineStr"/>
    </row>
    <row r="927" ht="15" customHeight="1">
      <c r="A927" t="inlineStr">
        <is>
          <t>A 53020-2025</t>
        </is>
      </c>
      <c r="B927" s="1" t="n">
        <v>45957.90707175926</v>
      </c>
      <c r="C927" s="1" t="n">
        <v>45999</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44330-2025</t>
        </is>
      </c>
      <c r="B928" s="1" t="n">
        <v>45916.42120370371</v>
      </c>
      <c r="C928" s="1" t="n">
        <v>45999</v>
      </c>
      <c r="D928" t="inlineStr">
        <is>
          <t>SKÅNE LÄN</t>
        </is>
      </c>
      <c r="E928" t="inlineStr">
        <is>
          <t>HÄSSLEHOLM</t>
        </is>
      </c>
      <c r="G928" t="n">
        <v>2.7</v>
      </c>
      <c r="H928" t="n">
        <v>0</v>
      </c>
      <c r="I928" t="n">
        <v>0</v>
      </c>
      <c r="J928" t="n">
        <v>0</v>
      </c>
      <c r="K928" t="n">
        <v>0</v>
      </c>
      <c r="L928" t="n">
        <v>0</v>
      </c>
      <c r="M928" t="n">
        <v>0</v>
      </c>
      <c r="N928" t="n">
        <v>0</v>
      </c>
      <c r="O928" t="n">
        <v>0</v>
      </c>
      <c r="P928" t="n">
        <v>0</v>
      </c>
      <c r="Q928" t="n">
        <v>0</v>
      </c>
      <c r="R928" s="2" t="inlineStr"/>
    </row>
    <row r="929" ht="15" customHeight="1">
      <c r="A929" t="inlineStr">
        <is>
          <t>A 1679-2022</t>
        </is>
      </c>
      <c r="B929" s="1" t="n">
        <v>44573</v>
      </c>
      <c r="C929" s="1" t="n">
        <v>45999</v>
      </c>
      <c r="D929" t="inlineStr">
        <is>
          <t>SKÅNE LÄN</t>
        </is>
      </c>
      <c r="E929" t="inlineStr">
        <is>
          <t>HÄSSLEHOLM</t>
        </is>
      </c>
      <c r="F929" t="inlineStr">
        <is>
          <t>Kyrkan</t>
        </is>
      </c>
      <c r="G929" t="n">
        <v>4.3</v>
      </c>
      <c r="H929" t="n">
        <v>0</v>
      </c>
      <c r="I929" t="n">
        <v>0</v>
      </c>
      <c r="J929" t="n">
        <v>0</v>
      </c>
      <c r="K929" t="n">
        <v>0</v>
      </c>
      <c r="L929" t="n">
        <v>0</v>
      </c>
      <c r="M929" t="n">
        <v>0</v>
      </c>
      <c r="N929" t="n">
        <v>0</v>
      </c>
      <c r="O929" t="n">
        <v>0</v>
      </c>
      <c r="P929" t="n">
        <v>0</v>
      </c>
      <c r="Q929" t="n">
        <v>0</v>
      </c>
      <c r="R929" s="2" t="inlineStr"/>
    </row>
    <row r="930" ht="15" customHeight="1">
      <c r="A930" t="inlineStr">
        <is>
          <t>A 44523-2025</t>
        </is>
      </c>
      <c r="B930" s="1" t="n">
        <v>45916</v>
      </c>
      <c r="C930" s="1" t="n">
        <v>45999</v>
      </c>
      <c r="D930" t="inlineStr">
        <is>
          <t>SKÅNE LÄN</t>
        </is>
      </c>
      <c r="E930" t="inlineStr">
        <is>
          <t>HÄSSLEHOLM</t>
        </is>
      </c>
      <c r="G930" t="n">
        <v>1.6</v>
      </c>
      <c r="H930" t="n">
        <v>0</v>
      </c>
      <c r="I930" t="n">
        <v>0</v>
      </c>
      <c r="J930" t="n">
        <v>0</v>
      </c>
      <c r="K930" t="n">
        <v>0</v>
      </c>
      <c r="L930" t="n">
        <v>0</v>
      </c>
      <c r="M930" t="n">
        <v>0</v>
      </c>
      <c r="N930" t="n">
        <v>0</v>
      </c>
      <c r="O930" t="n">
        <v>0</v>
      </c>
      <c r="P930" t="n">
        <v>0</v>
      </c>
      <c r="Q930" t="n">
        <v>0</v>
      </c>
      <c r="R930" s="2" t="inlineStr"/>
    </row>
    <row r="931" ht="15" customHeight="1">
      <c r="A931" t="inlineStr">
        <is>
          <t>A 259-2024</t>
        </is>
      </c>
      <c r="B931" s="1" t="n">
        <v>45294</v>
      </c>
      <c r="C931" s="1" t="n">
        <v>45999</v>
      </c>
      <c r="D931" t="inlineStr">
        <is>
          <t>SKÅNE LÄN</t>
        </is>
      </c>
      <c r="E931" t="inlineStr">
        <is>
          <t>HÄSSLEHOLM</t>
        </is>
      </c>
      <c r="G931" t="n">
        <v>8</v>
      </c>
      <c r="H931" t="n">
        <v>0</v>
      </c>
      <c r="I931" t="n">
        <v>0</v>
      </c>
      <c r="J931" t="n">
        <v>0</v>
      </c>
      <c r="K931" t="n">
        <v>0</v>
      </c>
      <c r="L931" t="n">
        <v>0</v>
      </c>
      <c r="M931" t="n">
        <v>0</v>
      </c>
      <c r="N931" t="n">
        <v>0</v>
      </c>
      <c r="O931" t="n">
        <v>0</v>
      </c>
      <c r="P931" t="n">
        <v>0</v>
      </c>
      <c r="Q931" t="n">
        <v>0</v>
      </c>
      <c r="R931" s="2" t="inlineStr"/>
    </row>
    <row r="932" ht="15" customHeight="1">
      <c r="A932" t="inlineStr">
        <is>
          <t>A 45398-2024</t>
        </is>
      </c>
      <c r="B932" s="1" t="n">
        <v>45576.56260416667</v>
      </c>
      <c r="C932" s="1" t="n">
        <v>45999</v>
      </c>
      <c r="D932" t="inlineStr">
        <is>
          <t>SKÅNE LÄN</t>
        </is>
      </c>
      <c r="E932" t="inlineStr">
        <is>
          <t>HÄSSLEHOLM</t>
        </is>
      </c>
      <c r="G932" t="n">
        <v>4.2</v>
      </c>
      <c r="H932" t="n">
        <v>0</v>
      </c>
      <c r="I932" t="n">
        <v>0</v>
      </c>
      <c r="J932" t="n">
        <v>0</v>
      </c>
      <c r="K932" t="n">
        <v>0</v>
      </c>
      <c r="L932" t="n">
        <v>0</v>
      </c>
      <c r="M932" t="n">
        <v>0</v>
      </c>
      <c r="N932" t="n">
        <v>0</v>
      </c>
      <c r="O932" t="n">
        <v>0</v>
      </c>
      <c r="P932" t="n">
        <v>0</v>
      </c>
      <c r="Q932" t="n">
        <v>0</v>
      </c>
      <c r="R932" s="2" t="inlineStr"/>
    </row>
    <row r="933" ht="15" customHeight="1">
      <c r="A933" t="inlineStr">
        <is>
          <t>A 4809-2025</t>
        </is>
      </c>
      <c r="B933" s="1" t="n">
        <v>45688.60148148148</v>
      </c>
      <c r="C933" s="1" t="n">
        <v>45999</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25372-2025</t>
        </is>
      </c>
      <c r="B934" s="1" t="n">
        <v>45799</v>
      </c>
      <c r="C934" s="1" t="n">
        <v>45999</v>
      </c>
      <c r="D934" t="inlineStr">
        <is>
          <t>SKÅNE LÄN</t>
        </is>
      </c>
      <c r="E934" t="inlineStr">
        <is>
          <t>HÄSSLEHOLM</t>
        </is>
      </c>
      <c r="G934" t="n">
        <v>3.1</v>
      </c>
      <c r="H934" t="n">
        <v>0</v>
      </c>
      <c r="I934" t="n">
        <v>0</v>
      </c>
      <c r="J934" t="n">
        <v>0</v>
      </c>
      <c r="K934" t="n">
        <v>0</v>
      </c>
      <c r="L934" t="n">
        <v>0</v>
      </c>
      <c r="M934" t="n">
        <v>0</v>
      </c>
      <c r="N934" t="n">
        <v>0</v>
      </c>
      <c r="O934" t="n">
        <v>0</v>
      </c>
      <c r="P934" t="n">
        <v>0</v>
      </c>
      <c r="Q934" t="n">
        <v>0</v>
      </c>
      <c r="R934" s="2" t="inlineStr"/>
    </row>
    <row r="935" ht="15" customHeight="1">
      <c r="A935" t="inlineStr">
        <is>
          <t>A 9399-2025</t>
        </is>
      </c>
      <c r="B935" s="1" t="n">
        <v>45715.37861111111</v>
      </c>
      <c r="C935" s="1" t="n">
        <v>45999</v>
      </c>
      <c r="D935" t="inlineStr">
        <is>
          <t>SKÅNE LÄN</t>
        </is>
      </c>
      <c r="E935" t="inlineStr">
        <is>
          <t>HÄSSLEHOLM</t>
        </is>
      </c>
      <c r="G935" t="n">
        <v>5.2</v>
      </c>
      <c r="H935" t="n">
        <v>0</v>
      </c>
      <c r="I935" t="n">
        <v>0</v>
      </c>
      <c r="J935" t="n">
        <v>0</v>
      </c>
      <c r="K935" t="n">
        <v>0</v>
      </c>
      <c r="L935" t="n">
        <v>0</v>
      </c>
      <c r="M935" t="n">
        <v>0</v>
      </c>
      <c r="N935" t="n">
        <v>0</v>
      </c>
      <c r="O935" t="n">
        <v>0</v>
      </c>
      <c r="P935" t="n">
        <v>0</v>
      </c>
      <c r="Q935" t="n">
        <v>0</v>
      </c>
      <c r="R935" s="2" t="inlineStr"/>
    </row>
    <row r="936" ht="15" customHeight="1">
      <c r="A936" t="inlineStr">
        <is>
          <t>A 51565-2023</t>
        </is>
      </c>
      <c r="B936" s="1" t="n">
        <v>45222</v>
      </c>
      <c r="C936" s="1" t="n">
        <v>45999</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25430-2025</t>
        </is>
      </c>
      <c r="B937" s="1" t="n">
        <v>45800.78212962963</v>
      </c>
      <c r="C937" s="1" t="n">
        <v>45999</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49135-2025</t>
        </is>
      </c>
      <c r="B938" s="1" t="n">
        <v>45938.00990740741</v>
      </c>
      <c r="C938" s="1" t="n">
        <v>45999</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49136-2025</t>
        </is>
      </c>
      <c r="B939" s="1" t="n">
        <v>45938.01277777777</v>
      </c>
      <c r="C939" s="1" t="n">
        <v>45999</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49137-2025</t>
        </is>
      </c>
      <c r="B940" s="1" t="n">
        <v>45938.05672453704</v>
      </c>
      <c r="C940" s="1" t="n">
        <v>45999</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11470-2025</t>
        </is>
      </c>
      <c r="B941" s="1" t="n">
        <v>45726</v>
      </c>
      <c r="C941" s="1" t="n">
        <v>45999</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25615-2025</t>
        </is>
      </c>
      <c r="B942" s="1" t="n">
        <v>45803</v>
      </c>
      <c r="C942" s="1" t="n">
        <v>45999</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59030-2024</t>
        </is>
      </c>
      <c r="B943" s="1" t="n">
        <v>45636.68916666666</v>
      </c>
      <c r="C943" s="1" t="n">
        <v>45999</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44515-2025</t>
        </is>
      </c>
      <c r="B944" s="1" t="n">
        <v>45916.7062037037</v>
      </c>
      <c r="C944" s="1" t="n">
        <v>45999</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25431-2025</t>
        </is>
      </c>
      <c r="B945" s="1" t="n">
        <v>45800.78340277778</v>
      </c>
      <c r="C945" s="1" t="n">
        <v>45999</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25432-2025</t>
        </is>
      </c>
      <c r="B946" s="1" t="n">
        <v>45800.7847800926</v>
      </c>
      <c r="C946" s="1" t="n">
        <v>45999</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11412-2025</t>
        </is>
      </c>
      <c r="B947" s="1" t="n">
        <v>45726</v>
      </c>
      <c r="C947" s="1" t="n">
        <v>45999</v>
      </c>
      <c r="D947" t="inlineStr">
        <is>
          <t>SKÅNE LÄN</t>
        </is>
      </c>
      <c r="E947" t="inlineStr">
        <is>
          <t>HÄSSLEHOLM</t>
        </is>
      </c>
      <c r="G947" t="n">
        <v>2.1</v>
      </c>
      <c r="H947" t="n">
        <v>0</v>
      </c>
      <c r="I947" t="n">
        <v>0</v>
      </c>
      <c r="J947" t="n">
        <v>0</v>
      </c>
      <c r="K947" t="n">
        <v>0</v>
      </c>
      <c r="L947" t="n">
        <v>0</v>
      </c>
      <c r="M947" t="n">
        <v>0</v>
      </c>
      <c r="N947" t="n">
        <v>0</v>
      </c>
      <c r="O947" t="n">
        <v>0</v>
      </c>
      <c r="P947" t="n">
        <v>0</v>
      </c>
      <c r="Q947" t="n">
        <v>0</v>
      </c>
      <c r="R947" s="2" t="inlineStr"/>
    </row>
    <row r="948" ht="15" customHeight="1">
      <c r="A948" t="inlineStr">
        <is>
          <t>A 11466-2025</t>
        </is>
      </c>
      <c r="B948" s="1" t="n">
        <v>45726</v>
      </c>
      <c r="C948" s="1" t="n">
        <v>45999</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26232-2025</t>
        </is>
      </c>
      <c r="B949" s="1" t="n">
        <v>45805.56642361111</v>
      </c>
      <c r="C949" s="1" t="n">
        <v>45999</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57817-2025</t>
        </is>
      </c>
      <c r="B950" s="1" t="n">
        <v>45981.59475694445</v>
      </c>
      <c r="C950" s="1" t="n">
        <v>45999</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26244-2025</t>
        </is>
      </c>
      <c r="B951" s="1" t="n">
        <v>45805.57364583333</v>
      </c>
      <c r="C951" s="1" t="n">
        <v>45999</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54798-2025</t>
        </is>
      </c>
      <c r="B952" s="1" t="n">
        <v>45966</v>
      </c>
      <c r="C952" s="1" t="n">
        <v>45999</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54807-2025</t>
        </is>
      </c>
      <c r="B953" s="1" t="n">
        <v>45966</v>
      </c>
      <c r="C953" s="1" t="n">
        <v>45999</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44624-2025</t>
        </is>
      </c>
      <c r="B954" s="1" t="n">
        <v>45917.47152777778</v>
      </c>
      <c r="C954" s="1" t="n">
        <v>45999</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38358-2024</t>
        </is>
      </c>
      <c r="B955" s="1" t="n">
        <v>45545.79068287037</v>
      </c>
      <c r="C955" s="1" t="n">
        <v>45999</v>
      </c>
      <c r="D955" t="inlineStr">
        <is>
          <t>SKÅNE LÄN</t>
        </is>
      </c>
      <c r="E955" t="inlineStr">
        <is>
          <t>HÄSSLEHOLM</t>
        </is>
      </c>
      <c r="G955" t="n">
        <v>9</v>
      </c>
      <c r="H955" t="n">
        <v>0</v>
      </c>
      <c r="I955" t="n">
        <v>0</v>
      </c>
      <c r="J955" t="n">
        <v>0</v>
      </c>
      <c r="K955" t="n">
        <v>0</v>
      </c>
      <c r="L955" t="n">
        <v>0</v>
      </c>
      <c r="M955" t="n">
        <v>0</v>
      </c>
      <c r="N955" t="n">
        <v>0</v>
      </c>
      <c r="O955" t="n">
        <v>0</v>
      </c>
      <c r="P955" t="n">
        <v>0</v>
      </c>
      <c r="Q955" t="n">
        <v>0</v>
      </c>
      <c r="R955" s="2" t="inlineStr"/>
    </row>
    <row r="956" ht="15" customHeight="1">
      <c r="A956" t="inlineStr">
        <is>
          <t>A 49845-2025</t>
        </is>
      </c>
      <c r="B956" s="1" t="n">
        <v>45940.48015046296</v>
      </c>
      <c r="C956" s="1" t="n">
        <v>45999</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44611-2025</t>
        </is>
      </c>
      <c r="B957" s="1" t="n">
        <v>45917.45109953704</v>
      </c>
      <c r="C957" s="1" t="n">
        <v>45999</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45084-2025</t>
        </is>
      </c>
      <c r="B958" s="1" t="n">
        <v>45918</v>
      </c>
      <c r="C958" s="1" t="n">
        <v>45999</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44616-2025</t>
        </is>
      </c>
      <c r="B959" s="1" t="n">
        <v>45917.45572916666</v>
      </c>
      <c r="C959" s="1" t="n">
        <v>45999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44614-2025</t>
        </is>
      </c>
      <c r="B960" s="1" t="n">
        <v>45917.45422453704</v>
      </c>
      <c r="C960" s="1" t="n">
        <v>45999</v>
      </c>
      <c r="D960" t="inlineStr">
        <is>
          <t>SKÅNE LÄN</t>
        </is>
      </c>
      <c r="E960" t="inlineStr">
        <is>
          <t>HÄSSLEHOLM</t>
        </is>
      </c>
      <c r="G960" t="n">
        <v>5.4</v>
      </c>
      <c r="H960" t="n">
        <v>0</v>
      </c>
      <c r="I960" t="n">
        <v>0</v>
      </c>
      <c r="J960" t="n">
        <v>0</v>
      </c>
      <c r="K960" t="n">
        <v>0</v>
      </c>
      <c r="L960" t="n">
        <v>0</v>
      </c>
      <c r="M960" t="n">
        <v>0</v>
      </c>
      <c r="N960" t="n">
        <v>0</v>
      </c>
      <c r="O960" t="n">
        <v>0</v>
      </c>
      <c r="P960" t="n">
        <v>0</v>
      </c>
      <c r="Q960" t="n">
        <v>0</v>
      </c>
      <c r="R960" s="2" t="inlineStr"/>
    </row>
    <row r="961" ht="15" customHeight="1">
      <c r="A961" t="inlineStr">
        <is>
          <t>A 53424-2025</t>
        </is>
      </c>
      <c r="B961" s="1" t="n">
        <v>45959</v>
      </c>
      <c r="C961" s="1" t="n">
        <v>45999</v>
      </c>
      <c r="D961" t="inlineStr">
        <is>
          <t>SKÅNE LÄN</t>
        </is>
      </c>
      <c r="E961" t="inlineStr">
        <is>
          <t>HÄSSLEHOLM</t>
        </is>
      </c>
      <c r="G961" t="n">
        <v>3.4</v>
      </c>
      <c r="H961" t="n">
        <v>0</v>
      </c>
      <c r="I961" t="n">
        <v>0</v>
      </c>
      <c r="J961" t="n">
        <v>0</v>
      </c>
      <c r="K961" t="n">
        <v>0</v>
      </c>
      <c r="L961" t="n">
        <v>0</v>
      </c>
      <c r="M961" t="n">
        <v>0</v>
      </c>
      <c r="N961" t="n">
        <v>0</v>
      </c>
      <c r="O961" t="n">
        <v>0</v>
      </c>
      <c r="P961" t="n">
        <v>0</v>
      </c>
      <c r="Q961" t="n">
        <v>0</v>
      </c>
      <c r="R961" s="2" t="inlineStr"/>
    </row>
    <row r="962" ht="15" customHeight="1">
      <c r="A962" t="inlineStr">
        <is>
          <t>A 58689-2025</t>
        </is>
      </c>
      <c r="B962" s="1" t="n">
        <v>45986</v>
      </c>
      <c r="C962" s="1" t="n">
        <v>45999</v>
      </c>
      <c r="D962" t="inlineStr">
        <is>
          <t>SKÅNE LÄN</t>
        </is>
      </c>
      <c r="E962" t="inlineStr">
        <is>
          <t>HÄSSLEHOLM</t>
        </is>
      </c>
      <c r="G962" t="n">
        <v>3.1</v>
      </c>
      <c r="H962" t="n">
        <v>0</v>
      </c>
      <c r="I962" t="n">
        <v>0</v>
      </c>
      <c r="J962" t="n">
        <v>0</v>
      </c>
      <c r="K962" t="n">
        <v>0</v>
      </c>
      <c r="L962" t="n">
        <v>0</v>
      </c>
      <c r="M962" t="n">
        <v>0</v>
      </c>
      <c r="N962" t="n">
        <v>0</v>
      </c>
      <c r="O962" t="n">
        <v>0</v>
      </c>
      <c r="P962" t="n">
        <v>0</v>
      </c>
      <c r="Q962" t="n">
        <v>0</v>
      </c>
      <c r="R962" s="2" t="inlineStr"/>
    </row>
    <row r="963" ht="15" customHeight="1">
      <c r="A963" t="inlineStr">
        <is>
          <t>A 27349-2025</t>
        </is>
      </c>
      <c r="B963" s="1" t="n">
        <v>45812</v>
      </c>
      <c r="C963" s="1" t="n">
        <v>45999</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16368-2025</t>
        </is>
      </c>
      <c r="B964" s="1" t="n">
        <v>45751</v>
      </c>
      <c r="C964" s="1" t="n">
        <v>45999</v>
      </c>
      <c r="D964" t="inlineStr">
        <is>
          <t>SKÅNE LÄN</t>
        </is>
      </c>
      <c r="E964" t="inlineStr">
        <is>
          <t>HÄSSLEHOLM</t>
        </is>
      </c>
      <c r="G964" t="n">
        <v>5</v>
      </c>
      <c r="H964" t="n">
        <v>0</v>
      </c>
      <c r="I964" t="n">
        <v>0</v>
      </c>
      <c r="J964" t="n">
        <v>0</v>
      </c>
      <c r="K964" t="n">
        <v>0</v>
      </c>
      <c r="L964" t="n">
        <v>0</v>
      </c>
      <c r="M964" t="n">
        <v>0</v>
      </c>
      <c r="N964" t="n">
        <v>0</v>
      </c>
      <c r="O964" t="n">
        <v>0</v>
      </c>
      <c r="P964" t="n">
        <v>0</v>
      </c>
      <c r="Q964" t="n">
        <v>0</v>
      </c>
      <c r="R964" s="2" t="inlineStr"/>
    </row>
    <row r="965" ht="15" customHeight="1">
      <c r="A965" t="inlineStr">
        <is>
          <t>A 45495-2025</t>
        </is>
      </c>
      <c r="B965" s="1" t="n">
        <v>45922.56369212963</v>
      </c>
      <c r="C965" s="1" t="n">
        <v>45999</v>
      </c>
      <c r="D965" t="inlineStr">
        <is>
          <t>SKÅNE LÄN</t>
        </is>
      </c>
      <c r="E965" t="inlineStr">
        <is>
          <t>HÄSSLEHOLM</t>
        </is>
      </c>
      <c r="G965" t="n">
        <v>1.8</v>
      </c>
      <c r="H965" t="n">
        <v>0</v>
      </c>
      <c r="I965" t="n">
        <v>0</v>
      </c>
      <c r="J965" t="n">
        <v>0</v>
      </c>
      <c r="K965" t="n">
        <v>0</v>
      </c>
      <c r="L965" t="n">
        <v>0</v>
      </c>
      <c r="M965" t="n">
        <v>0</v>
      </c>
      <c r="N965" t="n">
        <v>0</v>
      </c>
      <c r="O965" t="n">
        <v>0</v>
      </c>
      <c r="P965" t="n">
        <v>0</v>
      </c>
      <c r="Q965" t="n">
        <v>0</v>
      </c>
      <c r="R965" s="2" t="inlineStr"/>
    </row>
    <row r="966" ht="15" customHeight="1">
      <c r="A966" t="inlineStr">
        <is>
          <t>A 45176-2025</t>
        </is>
      </c>
      <c r="B966" s="1" t="n">
        <v>45919.52307870371</v>
      </c>
      <c r="C966" s="1" t="n">
        <v>45999</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45273-2025</t>
        </is>
      </c>
      <c r="B967" s="1" t="n">
        <v>45919.70486111111</v>
      </c>
      <c r="C967" s="1" t="n">
        <v>45999</v>
      </c>
      <c r="D967" t="inlineStr">
        <is>
          <t>SKÅNE LÄN</t>
        </is>
      </c>
      <c r="E967" t="inlineStr">
        <is>
          <t>HÄSSLEHOLM</t>
        </is>
      </c>
      <c r="G967" t="n">
        <v>4.4</v>
      </c>
      <c r="H967" t="n">
        <v>0</v>
      </c>
      <c r="I967" t="n">
        <v>0</v>
      </c>
      <c r="J967" t="n">
        <v>0</v>
      </c>
      <c r="K967" t="n">
        <v>0</v>
      </c>
      <c r="L967" t="n">
        <v>0</v>
      </c>
      <c r="M967" t="n">
        <v>0</v>
      </c>
      <c r="N967" t="n">
        <v>0</v>
      </c>
      <c r="O967" t="n">
        <v>0</v>
      </c>
      <c r="P967" t="n">
        <v>0</v>
      </c>
      <c r="Q967" t="n">
        <v>0</v>
      </c>
      <c r="R967" s="2" t="inlineStr"/>
    </row>
    <row r="968" ht="15" customHeight="1">
      <c r="A968" t="inlineStr">
        <is>
          <t>A 45314-2025</t>
        </is>
      </c>
      <c r="B968" s="1" t="n">
        <v>45921.81738425926</v>
      </c>
      <c r="C968" s="1" t="n">
        <v>45999</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27393-2025</t>
        </is>
      </c>
      <c r="B969" s="1" t="n">
        <v>45812.68295138889</v>
      </c>
      <c r="C969" s="1" t="n">
        <v>45999</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45516-2025</t>
        </is>
      </c>
      <c r="B970" s="1" t="n">
        <v>45922</v>
      </c>
      <c r="C970" s="1" t="n">
        <v>45999</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45514-2025</t>
        </is>
      </c>
      <c r="B971" s="1" t="n">
        <v>45922</v>
      </c>
      <c r="C971" s="1" t="n">
        <v>45999</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58241-2025</t>
        </is>
      </c>
      <c r="B972" s="1" t="n">
        <v>45985.38797453704</v>
      </c>
      <c r="C972" s="1" t="n">
        <v>45999</v>
      </c>
      <c r="D972" t="inlineStr">
        <is>
          <t>SKÅNE LÄN</t>
        </is>
      </c>
      <c r="E972" t="inlineStr">
        <is>
          <t>HÄSSLEHOLM</t>
        </is>
      </c>
      <c r="G972" t="n">
        <v>3.6</v>
      </c>
      <c r="H972" t="n">
        <v>0</v>
      </c>
      <c r="I972" t="n">
        <v>0</v>
      </c>
      <c r="J972" t="n">
        <v>0</v>
      </c>
      <c r="K972" t="n">
        <v>0</v>
      </c>
      <c r="L972" t="n">
        <v>0</v>
      </c>
      <c r="M972" t="n">
        <v>0</v>
      </c>
      <c r="N972" t="n">
        <v>0</v>
      </c>
      <c r="O972" t="n">
        <v>0</v>
      </c>
      <c r="P972" t="n">
        <v>0</v>
      </c>
      <c r="Q972" t="n">
        <v>0</v>
      </c>
      <c r="R972" s="2" t="inlineStr"/>
    </row>
    <row r="973" ht="15" customHeight="1">
      <c r="A973" t="inlineStr">
        <is>
          <t>A 45221-2025</t>
        </is>
      </c>
      <c r="B973" s="1" t="n">
        <v>45919.57760416667</v>
      </c>
      <c r="C973" s="1" t="n">
        <v>45999</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45414-2025</t>
        </is>
      </c>
      <c r="B974" s="1" t="n">
        <v>45920</v>
      </c>
      <c r="C974" s="1" t="n">
        <v>45999</v>
      </c>
      <c r="D974" t="inlineStr">
        <is>
          <t>SKÅNE LÄN</t>
        </is>
      </c>
      <c r="E974" t="inlineStr">
        <is>
          <t>HÄSSLEHOLM</t>
        </is>
      </c>
      <c r="G974" t="n">
        <v>14.7</v>
      </c>
      <c r="H974" t="n">
        <v>0</v>
      </c>
      <c r="I974" t="n">
        <v>0</v>
      </c>
      <c r="J974" t="n">
        <v>0</v>
      </c>
      <c r="K974" t="n">
        <v>0</v>
      </c>
      <c r="L974" t="n">
        <v>0</v>
      </c>
      <c r="M974" t="n">
        <v>0</v>
      </c>
      <c r="N974" t="n">
        <v>0</v>
      </c>
      <c r="O974" t="n">
        <v>0</v>
      </c>
      <c r="P974" t="n">
        <v>0</v>
      </c>
      <c r="Q974" t="n">
        <v>0</v>
      </c>
      <c r="R974" s="2" t="inlineStr"/>
    </row>
    <row r="975" ht="15" customHeight="1">
      <c r="A975" t="inlineStr">
        <is>
          <t>A 45443-2025</t>
        </is>
      </c>
      <c r="B975" s="1" t="n">
        <v>45920</v>
      </c>
      <c r="C975" s="1" t="n">
        <v>45999</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45496-2025</t>
        </is>
      </c>
      <c r="B976" s="1" t="n">
        <v>45922</v>
      </c>
      <c r="C976" s="1" t="n">
        <v>45999</v>
      </c>
      <c r="D976" t="inlineStr">
        <is>
          <t>SKÅNE LÄN</t>
        </is>
      </c>
      <c r="E976" t="inlineStr">
        <is>
          <t>HÄSSLEHOLM</t>
        </is>
      </c>
      <c r="G976" t="n">
        <v>1.3</v>
      </c>
      <c r="H976" t="n">
        <v>0</v>
      </c>
      <c r="I976" t="n">
        <v>0</v>
      </c>
      <c r="J976" t="n">
        <v>0</v>
      </c>
      <c r="K976" t="n">
        <v>0</v>
      </c>
      <c r="L976" t="n">
        <v>0</v>
      </c>
      <c r="M976" t="n">
        <v>0</v>
      </c>
      <c r="N976" t="n">
        <v>0</v>
      </c>
      <c r="O976" t="n">
        <v>0</v>
      </c>
      <c r="P976" t="n">
        <v>0</v>
      </c>
      <c r="Q976" t="n">
        <v>0</v>
      </c>
      <c r="R976" s="2" t="inlineStr"/>
    </row>
    <row r="977" ht="15" customHeight="1">
      <c r="A977" t="inlineStr">
        <is>
          <t>A 45458-2025</t>
        </is>
      </c>
      <c r="B977" s="1" t="n">
        <v>45920</v>
      </c>
      <c r="C977" s="1" t="n">
        <v>45999</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45465-2025</t>
        </is>
      </c>
      <c r="B978" s="1" t="n">
        <v>45920</v>
      </c>
      <c r="C978" s="1" t="n">
        <v>45999</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9678-2025</t>
        </is>
      </c>
      <c r="B979" s="1" t="n">
        <v>45716</v>
      </c>
      <c r="C979" s="1" t="n">
        <v>45999</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58632-2025</t>
        </is>
      </c>
      <c r="B980" s="1" t="n">
        <v>45986</v>
      </c>
      <c r="C980" s="1" t="n">
        <v>45999</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54668-2025</t>
        </is>
      </c>
      <c r="B981" s="1" t="n">
        <v>45966.40803240741</v>
      </c>
      <c r="C981" s="1" t="n">
        <v>45999</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28240-2025</t>
        </is>
      </c>
      <c r="B982" s="1" t="n">
        <v>45817</v>
      </c>
      <c r="C982" s="1" t="n">
        <v>45999</v>
      </c>
      <c r="D982" t="inlineStr">
        <is>
          <t>SKÅNE LÄN</t>
        </is>
      </c>
      <c r="E982" t="inlineStr">
        <is>
          <t>HÄSSLEHOLM</t>
        </is>
      </c>
      <c r="G982" t="n">
        <v>7.7</v>
      </c>
      <c r="H982" t="n">
        <v>0</v>
      </c>
      <c r="I982" t="n">
        <v>0</v>
      </c>
      <c r="J982" t="n">
        <v>0</v>
      </c>
      <c r="K982" t="n">
        <v>0</v>
      </c>
      <c r="L982" t="n">
        <v>0</v>
      </c>
      <c r="M982" t="n">
        <v>0</v>
      </c>
      <c r="N982" t="n">
        <v>0</v>
      </c>
      <c r="O982" t="n">
        <v>0</v>
      </c>
      <c r="P982" t="n">
        <v>0</v>
      </c>
      <c r="Q982" t="n">
        <v>0</v>
      </c>
      <c r="R982" s="2" t="inlineStr"/>
    </row>
    <row r="983" ht="15" customHeight="1">
      <c r="A983" t="inlineStr">
        <is>
          <t>A 24904-2025</t>
        </is>
      </c>
      <c r="B983" s="1" t="n">
        <v>45799</v>
      </c>
      <c r="C983" s="1" t="n">
        <v>45999</v>
      </c>
      <c r="D983" t="inlineStr">
        <is>
          <t>SKÅNE LÄN</t>
        </is>
      </c>
      <c r="E983" t="inlineStr">
        <is>
          <t>HÄSSLEHOLM</t>
        </is>
      </c>
      <c r="G983" t="n">
        <v>2.2</v>
      </c>
      <c r="H983" t="n">
        <v>0</v>
      </c>
      <c r="I983" t="n">
        <v>0</v>
      </c>
      <c r="J983" t="n">
        <v>0</v>
      </c>
      <c r="K983" t="n">
        <v>0</v>
      </c>
      <c r="L983" t="n">
        <v>0</v>
      </c>
      <c r="M983" t="n">
        <v>0</v>
      </c>
      <c r="N983" t="n">
        <v>0</v>
      </c>
      <c r="O983" t="n">
        <v>0</v>
      </c>
      <c r="P983" t="n">
        <v>0</v>
      </c>
      <c r="Q983" t="n">
        <v>0</v>
      </c>
      <c r="R983" s="2" t="inlineStr"/>
    </row>
    <row r="984" ht="15" customHeight="1">
      <c r="A984" t="inlineStr">
        <is>
          <t>A 45683-2025</t>
        </is>
      </c>
      <c r="B984" s="1" t="n">
        <v>45923.37590277778</v>
      </c>
      <c r="C984" s="1" t="n">
        <v>45999</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50676-2025</t>
        </is>
      </c>
      <c r="B985" s="1" t="n">
        <v>45945</v>
      </c>
      <c r="C985" s="1" t="n">
        <v>45999</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54763-2025</t>
        </is>
      </c>
      <c r="B986" s="1" t="n">
        <v>45966.60167824074</v>
      </c>
      <c r="C986" s="1" t="n">
        <v>45999</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28095-2025</t>
        </is>
      </c>
      <c r="B987" s="1" t="n">
        <v>45817</v>
      </c>
      <c r="C987" s="1" t="n">
        <v>45999</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50677-2025</t>
        </is>
      </c>
      <c r="B988" s="1" t="n">
        <v>45945</v>
      </c>
      <c r="C988" s="1" t="n">
        <v>45999</v>
      </c>
      <c r="D988" t="inlineStr">
        <is>
          <t>SKÅNE LÄN</t>
        </is>
      </c>
      <c r="E988" t="inlineStr">
        <is>
          <t>HÄSSLEHOLM</t>
        </is>
      </c>
      <c r="G988" t="n">
        <v>2.3</v>
      </c>
      <c r="H988" t="n">
        <v>0</v>
      </c>
      <c r="I988" t="n">
        <v>0</v>
      </c>
      <c r="J988" t="n">
        <v>0</v>
      </c>
      <c r="K988" t="n">
        <v>0</v>
      </c>
      <c r="L988" t="n">
        <v>0</v>
      </c>
      <c r="M988" t="n">
        <v>0</v>
      </c>
      <c r="N988" t="n">
        <v>0</v>
      </c>
      <c r="O988" t="n">
        <v>0</v>
      </c>
      <c r="P988" t="n">
        <v>0</v>
      </c>
      <c r="Q988" t="n">
        <v>0</v>
      </c>
      <c r="R988" s="2" t="inlineStr"/>
    </row>
    <row r="989" ht="15" customHeight="1">
      <c r="A989" t="inlineStr">
        <is>
          <t>A 58933-2025</t>
        </is>
      </c>
      <c r="B989" s="1" t="n">
        <v>45987.56107638889</v>
      </c>
      <c r="C989" s="1" t="n">
        <v>45999</v>
      </c>
      <c r="D989" t="inlineStr">
        <is>
          <t>SKÅNE LÄN</t>
        </is>
      </c>
      <c r="E989" t="inlineStr">
        <is>
          <t>HÄSSLEHOLM</t>
        </is>
      </c>
      <c r="G989" t="n">
        <v>2.3</v>
      </c>
      <c r="H989" t="n">
        <v>0</v>
      </c>
      <c r="I989" t="n">
        <v>0</v>
      </c>
      <c r="J989" t="n">
        <v>0</v>
      </c>
      <c r="K989" t="n">
        <v>0</v>
      </c>
      <c r="L989" t="n">
        <v>0</v>
      </c>
      <c r="M989" t="n">
        <v>0</v>
      </c>
      <c r="N989" t="n">
        <v>0</v>
      </c>
      <c r="O989" t="n">
        <v>0</v>
      </c>
      <c r="P989" t="n">
        <v>0</v>
      </c>
      <c r="Q989" t="n">
        <v>0</v>
      </c>
      <c r="R989" s="2" t="inlineStr"/>
    </row>
    <row r="990" ht="15" customHeight="1">
      <c r="A990" t="inlineStr">
        <is>
          <t>A 50834-2025</t>
        </is>
      </c>
      <c r="B990" s="1" t="n">
        <v>45946.55746527778</v>
      </c>
      <c r="C990" s="1" t="n">
        <v>45999</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27940-2025</t>
        </is>
      </c>
      <c r="B991" s="1" t="n">
        <v>45817.50439814815</v>
      </c>
      <c r="C991" s="1" t="n">
        <v>45999</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27887-2025</t>
        </is>
      </c>
      <c r="B992" s="1" t="n">
        <v>45817.45994212963</v>
      </c>
      <c r="C992" s="1" t="n">
        <v>45999</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49827-2022</t>
        </is>
      </c>
      <c r="B993" s="1" t="n">
        <v>44859</v>
      </c>
      <c r="C993" s="1" t="n">
        <v>45999</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54771-2025</t>
        </is>
      </c>
      <c r="B994" s="1" t="n">
        <v>45966.60829861111</v>
      </c>
      <c r="C994" s="1" t="n">
        <v>45999</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50839-2025</t>
        </is>
      </c>
      <c r="B995" s="1" t="n">
        <v>45946</v>
      </c>
      <c r="C995" s="1" t="n">
        <v>45999</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28251-2025</t>
        </is>
      </c>
      <c r="B996" s="1" t="n">
        <v>45817</v>
      </c>
      <c r="C996" s="1" t="n">
        <v>45999</v>
      </c>
      <c r="D996" t="inlineStr">
        <is>
          <t>SKÅNE LÄN</t>
        </is>
      </c>
      <c r="E996" t="inlineStr">
        <is>
          <t>HÄSSLEHOLM</t>
        </is>
      </c>
      <c r="G996" t="n">
        <v>7.2</v>
      </c>
      <c r="H996" t="n">
        <v>0</v>
      </c>
      <c r="I996" t="n">
        <v>0</v>
      </c>
      <c r="J996" t="n">
        <v>0</v>
      </c>
      <c r="K996" t="n">
        <v>0</v>
      </c>
      <c r="L996" t="n">
        <v>0</v>
      </c>
      <c r="M996" t="n">
        <v>0</v>
      </c>
      <c r="N996" t="n">
        <v>0</v>
      </c>
      <c r="O996" t="n">
        <v>0</v>
      </c>
      <c r="P996" t="n">
        <v>0</v>
      </c>
      <c r="Q996" t="n">
        <v>0</v>
      </c>
      <c r="R996" s="2" t="inlineStr"/>
    </row>
    <row r="997" ht="15" customHeight="1">
      <c r="A997" t="inlineStr">
        <is>
          <t>A 27934-2025</t>
        </is>
      </c>
      <c r="B997" s="1" t="n">
        <v>45817.49761574074</v>
      </c>
      <c r="C997" s="1" t="n">
        <v>45999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28122-2025</t>
        </is>
      </c>
      <c r="B998" s="1" t="n">
        <v>45817</v>
      </c>
      <c r="C998" s="1" t="n">
        <v>45999</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11121-2023</t>
        </is>
      </c>
      <c r="B999" s="1" t="n">
        <v>44986</v>
      </c>
      <c r="C999" s="1" t="n">
        <v>45999</v>
      </c>
      <c r="D999" t="inlineStr">
        <is>
          <t>SKÅNE LÄN</t>
        </is>
      </c>
      <c r="E999" t="inlineStr">
        <is>
          <t>HÄSSLEHOLM</t>
        </is>
      </c>
      <c r="F999" t="inlineStr">
        <is>
          <t>Kommuner</t>
        </is>
      </c>
      <c r="G999" t="n">
        <v>5.8</v>
      </c>
      <c r="H999" t="n">
        <v>0</v>
      </c>
      <c r="I999" t="n">
        <v>0</v>
      </c>
      <c r="J999" t="n">
        <v>0</v>
      </c>
      <c r="K999" t="n">
        <v>0</v>
      </c>
      <c r="L999" t="n">
        <v>0</v>
      </c>
      <c r="M999" t="n">
        <v>0</v>
      </c>
      <c r="N999" t="n">
        <v>0</v>
      </c>
      <c r="O999" t="n">
        <v>0</v>
      </c>
      <c r="P999" t="n">
        <v>0</v>
      </c>
      <c r="Q999" t="n">
        <v>0</v>
      </c>
      <c r="R999" s="2" t="inlineStr"/>
    </row>
    <row r="1000" ht="15" customHeight="1">
      <c r="A1000" t="inlineStr">
        <is>
          <t>A 50678-2025</t>
        </is>
      </c>
      <c r="B1000" s="1" t="n">
        <v>45945</v>
      </c>
      <c r="C1000" s="1" t="n">
        <v>45999</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50872-2025</t>
        </is>
      </c>
      <c r="B1001" s="1" t="n">
        <v>45946</v>
      </c>
      <c r="C1001" s="1" t="n">
        <v>45999</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45763-2025</t>
        </is>
      </c>
      <c r="B1002" s="1" t="n">
        <v>45923.51778935185</v>
      </c>
      <c r="C1002" s="1" t="n">
        <v>45999</v>
      </c>
      <c r="D1002" t="inlineStr">
        <is>
          <t>SKÅNE LÄN</t>
        </is>
      </c>
      <c r="E1002" t="inlineStr">
        <is>
          <t>HÄSSLEHOLM</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45764-2025</t>
        </is>
      </c>
      <c r="B1003" s="1" t="n">
        <v>45923.52037037037</v>
      </c>
      <c r="C1003" s="1" t="n">
        <v>45999</v>
      </c>
      <c r="D1003" t="inlineStr">
        <is>
          <t>SKÅNE LÄN</t>
        </is>
      </c>
      <c r="E1003" t="inlineStr">
        <is>
          <t>HÄSSLEHOLM</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1886-2025</t>
        </is>
      </c>
      <c r="B1004" s="1" t="n">
        <v>45671</v>
      </c>
      <c r="C1004" s="1" t="n">
        <v>45999</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15536-2025</t>
        </is>
      </c>
      <c r="B1005" s="1" t="n">
        <v>45747</v>
      </c>
      <c r="C1005" s="1" t="n">
        <v>45999</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11116-2023</t>
        </is>
      </c>
      <c r="B1006" s="1" t="n">
        <v>44986</v>
      </c>
      <c r="C1006" s="1" t="n">
        <v>45999</v>
      </c>
      <c r="D1006" t="inlineStr">
        <is>
          <t>SKÅNE LÄN</t>
        </is>
      </c>
      <c r="E1006" t="inlineStr">
        <is>
          <t>HÄSSLEHOLM</t>
        </is>
      </c>
      <c r="F1006" t="inlineStr">
        <is>
          <t>Kommuner</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50829-2025</t>
        </is>
      </c>
      <c r="B1007" s="1" t="n">
        <v>45946.55309027778</v>
      </c>
      <c r="C1007" s="1" t="n">
        <v>45999</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45762-2025</t>
        </is>
      </c>
      <c r="B1008" s="1" t="n">
        <v>45923.51548611111</v>
      </c>
      <c r="C1008" s="1" t="n">
        <v>45999</v>
      </c>
      <c r="D1008" t="inlineStr">
        <is>
          <t>SKÅNE LÄN</t>
        </is>
      </c>
      <c r="E1008" t="inlineStr">
        <is>
          <t>HÄSSLEHOLM</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54664-2025</t>
        </is>
      </c>
      <c r="B1009" s="1" t="n">
        <v>45966.40738425926</v>
      </c>
      <c r="C1009" s="1" t="n">
        <v>45999</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49824-2024</t>
        </is>
      </c>
      <c r="B1010" s="1" t="n">
        <v>45597</v>
      </c>
      <c r="C1010" s="1" t="n">
        <v>45999</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9668-2025</t>
        </is>
      </c>
      <c r="B1011" s="1" t="n">
        <v>45716</v>
      </c>
      <c r="C1011" s="1" t="n">
        <v>45999</v>
      </c>
      <c r="D1011" t="inlineStr">
        <is>
          <t>SKÅNE LÄN</t>
        </is>
      </c>
      <c r="E1011" t="inlineStr">
        <is>
          <t>HÄSSLEHOLM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54426-2025</t>
        </is>
      </c>
      <c r="B1012" s="1" t="n">
        <v>45965</v>
      </c>
      <c r="C1012" s="1" t="n">
        <v>45999</v>
      </c>
      <c r="D1012" t="inlineStr">
        <is>
          <t>SKÅNE LÄN</t>
        </is>
      </c>
      <c r="E1012" t="inlineStr">
        <is>
          <t>HÄSSLEHOLM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29170-2025</t>
        </is>
      </c>
      <c r="B1013" s="1" t="n">
        <v>45821.69766203704</v>
      </c>
      <c r="C1013" s="1" t="n">
        <v>45999</v>
      </c>
      <c r="D1013" t="inlineStr">
        <is>
          <t>SKÅNE LÄN</t>
        </is>
      </c>
      <c r="E1013" t="inlineStr">
        <is>
          <t>HÄSSLEHOLM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29168-2025</t>
        </is>
      </c>
      <c r="B1014" s="1" t="n">
        <v>45821.69547453704</v>
      </c>
      <c r="C1014" s="1" t="n">
        <v>45999</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51024-2025</t>
        </is>
      </c>
      <c r="B1015" s="1" t="n">
        <v>45947.395</v>
      </c>
      <c r="C1015" s="1" t="n">
        <v>45999</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46605-2025</t>
        </is>
      </c>
      <c r="B1016" s="1" t="n">
        <v>45926.41214120371</v>
      </c>
      <c r="C1016" s="1" t="n">
        <v>45999</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29171-2025</t>
        </is>
      </c>
      <c r="B1017" s="1" t="n">
        <v>45821.69863425926</v>
      </c>
      <c r="C1017" s="1" t="n">
        <v>45999</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30010-2025</t>
        </is>
      </c>
      <c r="B1018" s="1" t="n">
        <v>45826</v>
      </c>
      <c r="C1018" s="1" t="n">
        <v>45999</v>
      </c>
      <c r="D1018" t="inlineStr">
        <is>
          <t>SKÅNE LÄN</t>
        </is>
      </c>
      <c r="E1018" t="inlineStr">
        <is>
          <t>HÄSSLEHOLM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46761-2025</t>
        </is>
      </c>
      <c r="B1019" s="1" t="n">
        <v>45926.62289351852</v>
      </c>
      <c r="C1019" s="1" t="n">
        <v>45999</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53056-2025</t>
        </is>
      </c>
      <c r="B1020" s="1" t="n">
        <v>45958.36518518518</v>
      </c>
      <c r="C1020" s="1" t="n">
        <v>45999</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55268-2025</t>
        </is>
      </c>
      <c r="B1021" s="1" t="n">
        <v>45968.6715625</v>
      </c>
      <c r="C1021" s="1" t="n">
        <v>45999</v>
      </c>
      <c r="D1021" t="inlineStr">
        <is>
          <t>SKÅNE LÄN</t>
        </is>
      </c>
      <c r="E1021" t="inlineStr">
        <is>
          <t>HÄSSLEHOLM</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51097-2025</t>
        </is>
      </c>
      <c r="B1022" s="1" t="n">
        <v>45947.48018518519</v>
      </c>
      <c r="C1022" s="1" t="n">
        <v>45999</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46786-2025</t>
        </is>
      </c>
      <c r="B1023" s="1" t="n">
        <v>45926.64484953704</v>
      </c>
      <c r="C1023" s="1" t="n">
        <v>45999</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47161-2025</t>
        </is>
      </c>
      <c r="B1024" s="1" t="n">
        <v>45929</v>
      </c>
      <c r="C1024" s="1" t="n">
        <v>45999</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51795-2025</t>
        </is>
      </c>
      <c r="B1025" s="1" t="n">
        <v>45951</v>
      </c>
      <c r="C1025" s="1" t="n">
        <v>45999</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51796-2025</t>
        </is>
      </c>
      <c r="B1026" s="1" t="n">
        <v>45951.74546296296</v>
      </c>
      <c r="C1026" s="1" t="n">
        <v>45999</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31159-2025</t>
        </is>
      </c>
      <c r="B1027" s="1" t="n">
        <v>45832.65322916667</v>
      </c>
      <c r="C1027" s="1" t="n">
        <v>45999</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59722-2025</t>
        </is>
      </c>
      <c r="B1028" s="1" t="n">
        <v>45992.5474537037</v>
      </c>
      <c r="C1028" s="1" t="n">
        <v>45999</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51640-2025</t>
        </is>
      </c>
      <c r="B1029" s="1" t="n">
        <v>45951.44361111111</v>
      </c>
      <c r="C1029" s="1" t="n">
        <v>45999</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51597-2025</t>
        </is>
      </c>
      <c r="B1030" s="1" t="n">
        <v>45951.37163194444</v>
      </c>
      <c r="C1030" s="1" t="n">
        <v>45999</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52126-2025</t>
        </is>
      </c>
      <c r="B1031" s="1" t="n">
        <v>45952.72109953704</v>
      </c>
      <c r="C1031" s="1" t="n">
        <v>45999</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30092-2025</t>
        </is>
      </c>
      <c r="B1032" s="1" t="n">
        <v>45826</v>
      </c>
      <c r="C1032" s="1" t="n">
        <v>45999</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32585-2025</t>
        </is>
      </c>
      <c r="B1033" s="1" t="n">
        <v>45838.60021990741</v>
      </c>
      <c r="C1033" s="1" t="n">
        <v>45999</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30109-2025</t>
        </is>
      </c>
      <c r="B1034" s="1" t="n">
        <v>45826</v>
      </c>
      <c r="C1034" s="1" t="n">
        <v>45999</v>
      </c>
      <c r="D1034" t="inlineStr">
        <is>
          <t>SKÅNE LÄN</t>
        </is>
      </c>
      <c r="E1034" t="inlineStr">
        <is>
          <t>HÄSSLEHOLM</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32592-2025</t>
        </is>
      </c>
      <c r="B1035" s="1" t="n">
        <v>45838.61020833333</v>
      </c>
      <c r="C1035" s="1" t="n">
        <v>45999</v>
      </c>
      <c r="D1035" t="inlineStr">
        <is>
          <t>SKÅNE LÄN</t>
        </is>
      </c>
      <c r="E1035" t="inlineStr">
        <is>
          <t>HÄSSLEHOLM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55569-2025</t>
        </is>
      </c>
      <c r="B1036" s="1" t="n">
        <v>45971</v>
      </c>
      <c r="C1036" s="1" t="n">
        <v>45999</v>
      </c>
      <c r="D1036" t="inlineStr">
        <is>
          <t>SKÅNE LÄN</t>
        </is>
      </c>
      <c r="E1036" t="inlineStr">
        <is>
          <t>HÄSSLEHOLM</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29649-2025</t>
        </is>
      </c>
      <c r="B1037" s="1" t="n">
        <v>45825.47446759259</v>
      </c>
      <c r="C1037" s="1" t="n">
        <v>45999</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7481-2023</t>
        </is>
      </c>
      <c r="B1038" s="1" t="n">
        <v>44971</v>
      </c>
      <c r="C1038" s="1" t="n">
        <v>45999</v>
      </c>
      <c r="D1038" t="inlineStr">
        <is>
          <t>SKÅNE LÄN</t>
        </is>
      </c>
      <c r="E1038" t="inlineStr">
        <is>
          <t>HÄSSLEHOLM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33948-2025</t>
        </is>
      </c>
      <c r="B1039" s="1" t="n">
        <v>45842.65945601852</v>
      </c>
      <c r="C1039" s="1" t="n">
        <v>45999</v>
      </c>
      <c r="D1039" t="inlineStr">
        <is>
          <t>SKÅNE LÄN</t>
        </is>
      </c>
      <c r="E1039" t="inlineStr">
        <is>
          <t>HÄSSLEHOLM</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35150-2023</t>
        </is>
      </c>
      <c r="B1040" s="1" t="n">
        <v>45145</v>
      </c>
      <c r="C1040" s="1" t="n">
        <v>45999</v>
      </c>
      <c r="D1040" t="inlineStr">
        <is>
          <t>SKÅNE LÄN</t>
        </is>
      </c>
      <c r="E1040" t="inlineStr">
        <is>
          <t>HÄSSLEHOLM</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33875-2025</t>
        </is>
      </c>
      <c r="B1041" s="1" t="n">
        <v>45842.55300925926</v>
      </c>
      <c r="C1041" s="1" t="n">
        <v>45999</v>
      </c>
      <c r="D1041" t="inlineStr">
        <is>
          <t>SKÅNE LÄN</t>
        </is>
      </c>
      <c r="E1041" t="inlineStr">
        <is>
          <t>HÄSSLEHOLM</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12507-2022</t>
        </is>
      </c>
      <c r="B1042" s="1" t="n">
        <v>44638</v>
      </c>
      <c r="C1042" s="1" t="n">
        <v>45999</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33877-2025</t>
        </is>
      </c>
      <c r="B1043" s="1" t="n">
        <v>45842.55564814815</v>
      </c>
      <c r="C1043" s="1" t="n">
        <v>45999</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33879-2025</t>
        </is>
      </c>
      <c r="B1044" s="1" t="n">
        <v>45842.55766203703</v>
      </c>
      <c r="C1044" s="1" t="n">
        <v>45999</v>
      </c>
      <c r="D1044" t="inlineStr">
        <is>
          <t>SKÅNE LÄN</t>
        </is>
      </c>
      <c r="E1044" t="inlineStr">
        <is>
          <t>HÄSSLEHOLM</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33562-2025</t>
        </is>
      </c>
      <c r="B1045" s="1" t="n">
        <v>45841.57803240741</v>
      </c>
      <c r="C1045" s="1" t="n">
        <v>45999</v>
      </c>
      <c r="D1045" t="inlineStr">
        <is>
          <t>SKÅNE LÄN</t>
        </is>
      </c>
      <c r="E1045" t="inlineStr">
        <is>
          <t>HÄSSLEHOLM</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33950-2025</t>
        </is>
      </c>
      <c r="B1046" s="1" t="n">
        <v>45842</v>
      </c>
      <c r="C1046" s="1" t="n">
        <v>45999</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10594-2025</t>
        </is>
      </c>
      <c r="B1047" s="1" t="n">
        <v>45721</v>
      </c>
      <c r="C1047" s="1" t="n">
        <v>45999</v>
      </c>
      <c r="D1047" t="inlineStr">
        <is>
          <t>SKÅNE LÄN</t>
        </is>
      </c>
      <c r="E1047" t="inlineStr">
        <is>
          <t>HÄSSLEHOLM</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22690-2022</t>
        </is>
      </c>
      <c r="B1048" s="1" t="n">
        <v>44714.5421875</v>
      </c>
      <c r="C1048" s="1" t="n">
        <v>45999</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57079-2022</t>
        </is>
      </c>
      <c r="B1049" s="1" t="n">
        <v>44895</v>
      </c>
      <c r="C1049" s="1" t="n">
        <v>45999</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61498-2022</t>
        </is>
      </c>
      <c r="B1050" s="1" t="n">
        <v>44910</v>
      </c>
      <c r="C1050" s="1" t="n">
        <v>45999</v>
      </c>
      <c r="D1050" t="inlineStr">
        <is>
          <t>SKÅNE LÄN</t>
        </is>
      </c>
      <c r="E1050" t="inlineStr">
        <is>
          <t>HÄSSLEHOLM</t>
        </is>
      </c>
      <c r="F1050" t="inlineStr">
        <is>
          <t>Kyrkan</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15417-2022</t>
        </is>
      </c>
      <c r="B1051" s="1" t="n">
        <v>44659</v>
      </c>
      <c r="C1051" s="1" t="n">
        <v>45999</v>
      </c>
      <c r="D1051" t="inlineStr">
        <is>
          <t>SKÅNE LÄN</t>
        </is>
      </c>
      <c r="E1051" t="inlineStr">
        <is>
          <t>HÄSSLEHOLM</t>
        </is>
      </c>
      <c r="F1051" t="inlineStr">
        <is>
          <t>Kyrkan</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36240-2023</t>
        </is>
      </c>
      <c r="B1052" s="1" t="n">
        <v>45150.89295138889</v>
      </c>
      <c r="C1052" s="1" t="n">
        <v>45999</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34174-2025</t>
        </is>
      </c>
      <c r="B1053" s="1" t="n">
        <v>45844</v>
      </c>
      <c r="C1053" s="1" t="n">
        <v>45999</v>
      </c>
      <c r="D1053" t="inlineStr">
        <is>
          <t>SKÅNE LÄN</t>
        </is>
      </c>
      <c r="E1053" t="inlineStr">
        <is>
          <t>HÄSSLEHOLM</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20564-2023</t>
        </is>
      </c>
      <c r="B1054" s="1" t="n">
        <v>45057</v>
      </c>
      <c r="C1054" s="1" t="n">
        <v>45999</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41694-2024</t>
        </is>
      </c>
      <c r="B1055" s="1" t="n">
        <v>45560.68341435185</v>
      </c>
      <c r="C1055" s="1" t="n">
        <v>45999</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34177-2025</t>
        </is>
      </c>
      <c r="B1056" s="1" t="n">
        <v>45844</v>
      </c>
      <c r="C1056" s="1" t="n">
        <v>45999</v>
      </c>
      <c r="D1056" t="inlineStr">
        <is>
          <t>SKÅNE LÄN</t>
        </is>
      </c>
      <c r="E1056" t="inlineStr">
        <is>
          <t>HÄSSLEHOLM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47757-2024</t>
        </is>
      </c>
      <c r="B1057" s="1" t="n">
        <v>45588.55075231481</v>
      </c>
      <c r="C1057" s="1" t="n">
        <v>45999</v>
      </c>
      <c r="D1057" t="inlineStr">
        <is>
          <t>SKÅNE LÄN</t>
        </is>
      </c>
      <c r="E1057" t="inlineStr">
        <is>
          <t>HÄSSLEHOLM</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22678-2025</t>
        </is>
      </c>
      <c r="B1058" s="1" t="n">
        <v>45789.49725694444</v>
      </c>
      <c r="C1058" s="1" t="n">
        <v>45999</v>
      </c>
      <c r="D1058" t="inlineStr">
        <is>
          <t>SKÅNE LÄN</t>
        </is>
      </c>
      <c r="E1058" t="inlineStr">
        <is>
          <t>HÄSSLEHOLM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32958-2023</t>
        </is>
      </c>
      <c r="B1059" s="1" t="n">
        <v>45125.52142361111</v>
      </c>
      <c r="C1059" s="1" t="n">
        <v>45999</v>
      </c>
      <c r="D1059" t="inlineStr">
        <is>
          <t>SKÅNE LÄN</t>
        </is>
      </c>
      <c r="E1059" t="inlineStr">
        <is>
          <t>HÄSSLEHOLM</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2663-2023</t>
        </is>
      </c>
      <c r="B1060" s="1" t="n">
        <v>44942</v>
      </c>
      <c r="C1060" s="1" t="n">
        <v>45999</v>
      </c>
      <c r="D1060" t="inlineStr">
        <is>
          <t>SKÅNE LÄN</t>
        </is>
      </c>
      <c r="E1060" t="inlineStr">
        <is>
          <t>HÄSSLEHOLM</t>
        </is>
      </c>
      <c r="F1060" t="inlineStr">
        <is>
          <t>Kyrkan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3925-2021</t>
        </is>
      </c>
      <c r="B1061" s="1" t="n">
        <v>44222</v>
      </c>
      <c r="C1061" s="1" t="n">
        <v>45999</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7192-2025</t>
        </is>
      </c>
      <c r="B1062" s="1" t="n">
        <v>45702.44746527778</v>
      </c>
      <c r="C1062" s="1" t="n">
        <v>45999</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27954-2022</t>
        </is>
      </c>
      <c r="B1063" s="1" t="n">
        <v>44743</v>
      </c>
      <c r="C1063" s="1" t="n">
        <v>45999</v>
      </c>
      <c r="D1063" t="inlineStr">
        <is>
          <t>SKÅNE LÄN</t>
        </is>
      </c>
      <c r="E1063" t="inlineStr">
        <is>
          <t>HÄSSLEHOLM</t>
        </is>
      </c>
      <c r="G1063" t="n">
        <v>9.4</v>
      </c>
      <c r="H1063" t="n">
        <v>0</v>
      </c>
      <c r="I1063" t="n">
        <v>0</v>
      </c>
      <c r="J1063" t="n">
        <v>0</v>
      </c>
      <c r="K1063" t="n">
        <v>0</v>
      </c>
      <c r="L1063" t="n">
        <v>0</v>
      </c>
      <c r="M1063" t="n">
        <v>0</v>
      </c>
      <c r="N1063" t="n">
        <v>0</v>
      </c>
      <c r="O1063" t="n">
        <v>0</v>
      </c>
      <c r="P1063" t="n">
        <v>0</v>
      </c>
      <c r="Q1063" t="n">
        <v>0</v>
      </c>
      <c r="R1063" s="2" t="inlineStr"/>
    </row>
    <row r="1064" ht="15" customHeight="1">
      <c r="A1064" t="inlineStr">
        <is>
          <t>A 45984-2021</t>
        </is>
      </c>
      <c r="B1064" s="1" t="n">
        <v>44441</v>
      </c>
      <c r="C1064" s="1" t="n">
        <v>45999</v>
      </c>
      <c r="D1064" t="inlineStr">
        <is>
          <t>SKÅNE LÄN</t>
        </is>
      </c>
      <c r="E1064" t="inlineStr">
        <is>
          <t>HÄSSLEHOLM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61170-2022</t>
        </is>
      </c>
      <c r="B1065" s="1" t="n">
        <v>44915.48543981482</v>
      </c>
      <c r="C1065" s="1" t="n">
        <v>45999</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6835-2023</t>
        </is>
      </c>
      <c r="B1066" s="1" t="n">
        <v>44967</v>
      </c>
      <c r="C1066" s="1" t="n">
        <v>45999</v>
      </c>
      <c r="D1066" t="inlineStr">
        <is>
          <t>SKÅNE LÄN</t>
        </is>
      </c>
      <c r="E1066" t="inlineStr">
        <is>
          <t>HÄSSLEHOLM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34869-2025</t>
        </is>
      </c>
      <c r="B1067" s="1" t="n">
        <v>45849</v>
      </c>
      <c r="C1067" s="1" t="n">
        <v>45999</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9885-2021</t>
        </is>
      </c>
      <c r="B1068" s="1" t="n">
        <v>44253</v>
      </c>
      <c r="C1068" s="1" t="n">
        <v>45999</v>
      </c>
      <c r="D1068" t="inlineStr">
        <is>
          <t>SKÅNE LÄN</t>
        </is>
      </c>
      <c r="E1068" t="inlineStr">
        <is>
          <t>HÄSSLEHOLM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31933-2024</t>
        </is>
      </c>
      <c r="B1069" s="1" t="n">
        <v>45510.41123842593</v>
      </c>
      <c r="C1069" s="1" t="n">
        <v>45999</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9098-2022</t>
        </is>
      </c>
      <c r="B1070" s="1" t="n">
        <v>44615</v>
      </c>
      <c r="C1070" s="1" t="n">
        <v>45999</v>
      </c>
      <c r="D1070" t="inlineStr">
        <is>
          <t>SKÅNE LÄN</t>
        </is>
      </c>
      <c r="E1070" t="inlineStr">
        <is>
          <t>HÄSSLEHOLM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12338-2024</t>
        </is>
      </c>
      <c r="B1071" s="1" t="n">
        <v>45378.72869212963</v>
      </c>
      <c r="C1071" s="1" t="n">
        <v>45999</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34883-2023</t>
        </is>
      </c>
      <c r="B1072" s="1" t="n">
        <v>45142.37902777778</v>
      </c>
      <c r="C1072" s="1" t="n">
        <v>45999</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34886-2023</t>
        </is>
      </c>
      <c r="B1073" s="1" t="n">
        <v>45142.38450231482</v>
      </c>
      <c r="C1073" s="1" t="n">
        <v>45999</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7476-2025</t>
        </is>
      </c>
      <c r="B1074" s="1" t="n">
        <v>45702</v>
      </c>
      <c r="C1074" s="1" t="n">
        <v>45999</v>
      </c>
      <c r="D1074" t="inlineStr">
        <is>
          <t>SKÅNE LÄN</t>
        </is>
      </c>
      <c r="E1074" t="inlineStr">
        <is>
          <t>HÄSSLEHOLM</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35259-2025</t>
        </is>
      </c>
      <c r="B1075" s="1" t="n">
        <v>45853.76912037037</v>
      </c>
      <c r="C1075" s="1" t="n">
        <v>45999</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54659-2023</t>
        </is>
      </c>
      <c r="B1076" s="1" t="n">
        <v>45235</v>
      </c>
      <c r="C1076" s="1" t="n">
        <v>45999</v>
      </c>
      <c r="D1076" t="inlineStr">
        <is>
          <t>SKÅNE LÄN</t>
        </is>
      </c>
      <c r="E1076" t="inlineStr">
        <is>
          <t>HÄSSLEHOLM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20970-2025</t>
        </is>
      </c>
      <c r="B1077" s="1" t="n">
        <v>45777.45417824074</v>
      </c>
      <c r="C1077" s="1" t="n">
        <v>45999</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12558-2023</t>
        </is>
      </c>
      <c r="B1078" s="1" t="n">
        <v>45000.36103009259</v>
      </c>
      <c r="C1078" s="1" t="n">
        <v>45999</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13673-2023</t>
        </is>
      </c>
      <c r="B1079" s="1" t="n">
        <v>45006.87957175926</v>
      </c>
      <c r="C1079" s="1" t="n">
        <v>45999</v>
      </c>
      <c r="D1079" t="inlineStr">
        <is>
          <t>SKÅNE LÄN</t>
        </is>
      </c>
      <c r="E1079" t="inlineStr">
        <is>
          <t>HÄSSLEHOLM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17413-2025</t>
        </is>
      </c>
      <c r="B1080" s="1" t="n">
        <v>45757.37480324074</v>
      </c>
      <c r="C1080" s="1" t="n">
        <v>45999</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48844-2023</t>
        </is>
      </c>
      <c r="B1081" s="1" t="n">
        <v>45209</v>
      </c>
      <c r="C1081" s="1" t="n">
        <v>45999</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2813-2021</t>
        </is>
      </c>
      <c r="B1082" s="1" t="n">
        <v>44215</v>
      </c>
      <c r="C1082" s="1" t="n">
        <v>45999</v>
      </c>
      <c r="D1082" t="inlineStr">
        <is>
          <t>SKÅNE LÄN</t>
        </is>
      </c>
      <c r="E1082" t="inlineStr">
        <is>
          <t>HÄSSLEHOLM</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21329-2023</t>
        </is>
      </c>
      <c r="B1083" s="1" t="n">
        <v>45062</v>
      </c>
      <c r="C1083" s="1" t="n">
        <v>45999</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45222-2023</t>
        </is>
      </c>
      <c r="B1084" s="1" t="n">
        <v>45191</v>
      </c>
      <c r="C1084" s="1" t="n">
        <v>45999</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13310-2025</t>
        </is>
      </c>
      <c r="B1085" s="1" t="n">
        <v>45735.58814814815</v>
      </c>
      <c r="C1085" s="1" t="n">
        <v>45999</v>
      </c>
      <c r="D1085" t="inlineStr">
        <is>
          <t>SKÅNE LÄN</t>
        </is>
      </c>
      <c r="E1085" t="inlineStr">
        <is>
          <t>HÄSSLEHOLM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25538-2024</t>
        </is>
      </c>
      <c r="B1086" s="1" t="n">
        <v>45463</v>
      </c>
      <c r="C1086" s="1" t="n">
        <v>45999</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15055-2023</t>
        </is>
      </c>
      <c r="B1087" s="1" t="n">
        <v>45015</v>
      </c>
      <c r="C1087" s="1" t="n">
        <v>45999</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25324-2024</t>
        </is>
      </c>
      <c r="B1088" s="1" t="n">
        <v>45462.804375</v>
      </c>
      <c r="C1088" s="1" t="n">
        <v>45999</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6327-2021</t>
        </is>
      </c>
      <c r="B1089" s="1" t="n">
        <v>44235</v>
      </c>
      <c r="C1089" s="1" t="n">
        <v>45999</v>
      </c>
      <c r="D1089" t="inlineStr">
        <is>
          <t>SKÅNE LÄN</t>
        </is>
      </c>
      <c r="E1089" t="inlineStr">
        <is>
          <t>HÄSSLEHOLM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5478-2021</t>
        </is>
      </c>
      <c r="B1090" s="1" t="n">
        <v>44230</v>
      </c>
      <c r="C1090" s="1" t="n">
        <v>45999</v>
      </c>
      <c r="D1090" t="inlineStr">
        <is>
          <t>SKÅNE LÄN</t>
        </is>
      </c>
      <c r="E1090" t="inlineStr">
        <is>
          <t>HÄSSLEHOLM</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2290-2024</t>
        </is>
      </c>
      <c r="B1091" s="1" t="n">
        <v>45310</v>
      </c>
      <c r="C1091" s="1" t="n">
        <v>45999</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13316-2023</t>
        </is>
      </c>
      <c r="B1092" s="1" t="n">
        <v>45005.39013888889</v>
      </c>
      <c r="C1092" s="1" t="n">
        <v>45999</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65235-2021</t>
        </is>
      </c>
      <c r="B1093" s="1" t="n">
        <v>44515</v>
      </c>
      <c r="C1093" s="1" t="n">
        <v>45999</v>
      </c>
      <c r="D1093" t="inlineStr">
        <is>
          <t>SKÅNE LÄN</t>
        </is>
      </c>
      <c r="E1093" t="inlineStr">
        <is>
          <t>HÄSSLEHOLM</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13358-2023</t>
        </is>
      </c>
      <c r="B1094" s="1" t="n">
        <v>45005</v>
      </c>
      <c r="C1094" s="1" t="n">
        <v>45999</v>
      </c>
      <c r="D1094" t="inlineStr">
        <is>
          <t>SKÅNE LÄN</t>
        </is>
      </c>
      <c r="E1094" t="inlineStr">
        <is>
          <t>HÄSSLEHOLM</t>
        </is>
      </c>
      <c r="F1094" t="inlineStr">
        <is>
          <t>Övriga Aktiebolag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5316-2023</t>
        </is>
      </c>
      <c r="B1095" s="1" t="n">
        <v>44959</v>
      </c>
      <c r="C1095" s="1" t="n">
        <v>45999</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32794-2023</t>
        </is>
      </c>
      <c r="B1096" s="1" t="n">
        <v>45124.40446759259</v>
      </c>
      <c r="C1096" s="1" t="n">
        <v>45999</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28211-2022</t>
        </is>
      </c>
      <c r="B1097" s="1" t="n">
        <v>44746</v>
      </c>
      <c r="C1097" s="1" t="n">
        <v>45999</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12162-2023</t>
        </is>
      </c>
      <c r="B1098" s="1" t="n">
        <v>44998.49619212963</v>
      </c>
      <c r="C1098" s="1" t="n">
        <v>45999</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14702-2025</t>
        </is>
      </c>
      <c r="B1099" s="1" t="n">
        <v>45742.60403935185</v>
      </c>
      <c r="C1099" s="1" t="n">
        <v>45999</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9669-2025</t>
        </is>
      </c>
      <c r="B1100" s="1" t="n">
        <v>45716.32921296296</v>
      </c>
      <c r="C1100" s="1" t="n">
        <v>45999</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59109-2023</t>
        </is>
      </c>
      <c r="B1101" s="1" t="n">
        <v>45253.30819444444</v>
      </c>
      <c r="C1101" s="1" t="n">
        <v>45999</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58888-2024</t>
        </is>
      </c>
      <c r="B1102" s="1" t="n">
        <v>45636.45962962963</v>
      </c>
      <c r="C1102" s="1" t="n">
        <v>45999</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21028-2021</t>
        </is>
      </c>
      <c r="B1103" s="1" t="n">
        <v>44319</v>
      </c>
      <c r="C1103" s="1" t="n">
        <v>45999</v>
      </c>
      <c r="D1103" t="inlineStr">
        <is>
          <t>SKÅNE LÄN</t>
        </is>
      </c>
      <c r="E1103" t="inlineStr">
        <is>
          <t>HÄSSLEHOLM</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6165-2023</t>
        </is>
      </c>
      <c r="B1104" s="1" t="n">
        <v>44964.67114583333</v>
      </c>
      <c r="C1104" s="1" t="n">
        <v>45999</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16017-2023</t>
        </is>
      </c>
      <c r="B1105" s="1" t="n">
        <v>45026</v>
      </c>
      <c r="C1105" s="1" t="n">
        <v>45999</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31989-2024</t>
        </is>
      </c>
      <c r="B1106" s="1" t="n">
        <v>45510.58085648148</v>
      </c>
      <c r="C1106" s="1" t="n">
        <v>45999</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35640-2023</t>
        </is>
      </c>
      <c r="B1107" s="1" t="n">
        <v>45147</v>
      </c>
      <c r="C1107" s="1" t="n">
        <v>45999</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48771-2024</t>
        </is>
      </c>
      <c r="B1108" s="1" t="n">
        <v>45593.61284722222</v>
      </c>
      <c r="C1108" s="1" t="n">
        <v>45999</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24241-2023</t>
        </is>
      </c>
      <c r="B1109" s="1" t="n">
        <v>45079.61476851852</v>
      </c>
      <c r="C1109" s="1" t="n">
        <v>45999</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23987-2024</t>
        </is>
      </c>
      <c r="B1110" s="1" t="n">
        <v>45456</v>
      </c>
      <c r="C1110" s="1" t="n">
        <v>45999</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19739-2023</t>
        </is>
      </c>
      <c r="B1111" s="1" t="n">
        <v>45051</v>
      </c>
      <c r="C1111" s="1" t="n">
        <v>45999</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59246-2024</t>
        </is>
      </c>
      <c r="B1112" s="1" t="n">
        <v>45636</v>
      </c>
      <c r="C1112" s="1" t="n">
        <v>45999</v>
      </c>
      <c r="D1112" t="inlineStr">
        <is>
          <t>SKÅNE LÄN</t>
        </is>
      </c>
      <c r="E1112" t="inlineStr">
        <is>
          <t>HÄSSLEHOLM</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23666-2023</t>
        </is>
      </c>
      <c r="B1113" s="1" t="n">
        <v>45077</v>
      </c>
      <c r="C1113" s="1" t="n">
        <v>45999</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35237-2023</t>
        </is>
      </c>
      <c r="B1114" s="1" t="n">
        <v>45145.74532407407</v>
      </c>
      <c r="C1114" s="1" t="n">
        <v>45999</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5476-2021</t>
        </is>
      </c>
      <c r="B1115" s="1" t="n">
        <v>44230</v>
      </c>
      <c r="C1115" s="1" t="n">
        <v>45999</v>
      </c>
      <c r="D1115" t="inlineStr">
        <is>
          <t>SKÅNE LÄN</t>
        </is>
      </c>
      <c r="E1115" t="inlineStr">
        <is>
          <t>HÄSSLEHOLM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260-2024</t>
        </is>
      </c>
      <c r="B1116" s="1" t="n">
        <v>45294</v>
      </c>
      <c r="C1116" s="1" t="n">
        <v>45999</v>
      </c>
      <c r="D1116" t="inlineStr">
        <is>
          <t>SKÅNE LÄN</t>
        </is>
      </c>
      <c r="E1116" t="inlineStr">
        <is>
          <t>HÄSSLEHOLM</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57275-2023</t>
        </is>
      </c>
      <c r="B1117" s="1" t="n">
        <v>45245.58886574074</v>
      </c>
      <c r="C1117" s="1" t="n">
        <v>45999</v>
      </c>
      <c r="D1117" t="inlineStr">
        <is>
          <t>SKÅNE LÄN</t>
        </is>
      </c>
      <c r="E1117" t="inlineStr">
        <is>
          <t>HÄSSLEHOLM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27304-2023</t>
        </is>
      </c>
      <c r="B1118" s="1" t="n">
        <v>45096.65199074074</v>
      </c>
      <c r="C1118" s="1" t="n">
        <v>45999</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48191-2021</t>
        </is>
      </c>
      <c r="B1119" s="1" t="n">
        <v>44449</v>
      </c>
      <c r="C1119" s="1" t="n">
        <v>45999</v>
      </c>
      <c r="D1119" t="inlineStr">
        <is>
          <t>SKÅNE LÄN</t>
        </is>
      </c>
      <c r="E1119" t="inlineStr">
        <is>
          <t>HÄSSLEHOLM</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6845-2023</t>
        </is>
      </c>
      <c r="B1120" s="1" t="n">
        <v>44967</v>
      </c>
      <c r="C1120" s="1" t="n">
        <v>45999</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32834-2024</t>
        </is>
      </c>
      <c r="B1121" s="1" t="n">
        <v>45516.6025</v>
      </c>
      <c r="C1121" s="1" t="n">
        <v>45999</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49199-2024</t>
        </is>
      </c>
      <c r="B1122" s="1" t="n">
        <v>45595</v>
      </c>
      <c r="C1122" s="1" t="n">
        <v>45999</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58886-2024</t>
        </is>
      </c>
      <c r="B1123" s="1" t="n">
        <v>45636.45380787037</v>
      </c>
      <c r="C1123" s="1" t="n">
        <v>45999</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13345-2025</t>
        </is>
      </c>
      <c r="B1124" s="1" t="n">
        <v>45735.63017361111</v>
      </c>
      <c r="C1124" s="1" t="n">
        <v>45999</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12469-2023</t>
        </is>
      </c>
      <c r="B1125" s="1" t="n">
        <v>44999.62109953703</v>
      </c>
      <c r="C1125" s="1" t="n">
        <v>45999</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48663-2024</t>
        </is>
      </c>
      <c r="B1126" s="1" t="n">
        <v>45593.48892361111</v>
      </c>
      <c r="C1126" s="1" t="n">
        <v>45999</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50659-2023</t>
        </is>
      </c>
      <c r="B1127" s="1" t="n">
        <v>45217</v>
      </c>
      <c r="C1127" s="1" t="n">
        <v>45999</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27464-2022</t>
        </is>
      </c>
      <c r="B1128" s="1" t="n">
        <v>44742.58704861111</v>
      </c>
      <c r="C1128" s="1" t="n">
        <v>45999</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50525-2024</t>
        </is>
      </c>
      <c r="B1129" s="1" t="n">
        <v>45601</v>
      </c>
      <c r="C1129" s="1" t="n">
        <v>45999</v>
      </c>
      <c r="D1129" t="inlineStr">
        <is>
          <t>SKÅNE LÄN</t>
        </is>
      </c>
      <c r="E1129" t="inlineStr">
        <is>
          <t>HÄSSLEHOLM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27242-2022</t>
        </is>
      </c>
      <c r="B1130" s="1" t="n">
        <v>44741</v>
      </c>
      <c r="C1130" s="1" t="n">
        <v>45999</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27197-2021</t>
        </is>
      </c>
      <c r="B1131" s="1" t="n">
        <v>44350</v>
      </c>
      <c r="C1131" s="1" t="n">
        <v>45999</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33465-2024</t>
        </is>
      </c>
      <c r="B1132" s="1" t="n">
        <v>45519.59619212963</v>
      </c>
      <c r="C1132" s="1" t="n">
        <v>45999</v>
      </c>
      <c r="D1132" t="inlineStr">
        <is>
          <t>SKÅNE LÄN</t>
        </is>
      </c>
      <c r="E1132" t="inlineStr">
        <is>
          <t>HÄSSLEHOLM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31986-2023</t>
        </is>
      </c>
      <c r="B1133" s="1" t="n">
        <v>45119</v>
      </c>
      <c r="C1133" s="1" t="n">
        <v>45999</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41209-2023</t>
        </is>
      </c>
      <c r="B1134" s="1" t="n">
        <v>45174.43481481481</v>
      </c>
      <c r="C1134" s="1" t="n">
        <v>45999</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61197-2024</t>
        </is>
      </c>
      <c r="B1135" s="1" t="n">
        <v>45645.63184027778</v>
      </c>
      <c r="C1135" s="1" t="n">
        <v>45999</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13549-2025</t>
        </is>
      </c>
      <c r="B1136" s="1" t="n">
        <v>45736</v>
      </c>
      <c r="C1136" s="1" t="n">
        <v>45999</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35833-2023</t>
        </is>
      </c>
      <c r="B1137" s="1" t="n">
        <v>45148</v>
      </c>
      <c r="C1137" s="1" t="n">
        <v>45999</v>
      </c>
      <c r="D1137" t="inlineStr">
        <is>
          <t>SKÅNE LÄN</t>
        </is>
      </c>
      <c r="E1137" t="inlineStr">
        <is>
          <t>HÄSSLEHOLM</t>
        </is>
      </c>
      <c r="F1137" t="inlineStr">
        <is>
          <t>Kommuner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57491-2024</t>
        </is>
      </c>
      <c r="B1138" s="1" t="n">
        <v>45629</v>
      </c>
      <c r="C1138" s="1" t="n">
        <v>45999</v>
      </c>
      <c r="D1138" t="inlineStr">
        <is>
          <t>SKÅNE LÄN</t>
        </is>
      </c>
      <c r="E1138" t="inlineStr">
        <is>
          <t>HÄSSLEHOLM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58250-2024</t>
        </is>
      </c>
      <c r="B1139" s="1" t="n">
        <v>45632.55643518519</v>
      </c>
      <c r="C1139" s="1" t="n">
        <v>45999</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26207-2021</t>
        </is>
      </c>
      <c r="B1140" s="1" t="n">
        <v>44347</v>
      </c>
      <c r="C1140" s="1" t="n">
        <v>45999</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6798-2025</t>
        </is>
      </c>
      <c r="B1141" s="1" t="n">
        <v>45700.668125</v>
      </c>
      <c r="C1141" s="1" t="n">
        <v>45999</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69357-2021</t>
        </is>
      </c>
      <c r="B1142" s="1" t="n">
        <v>44531</v>
      </c>
      <c r="C1142" s="1" t="n">
        <v>45999</v>
      </c>
      <c r="D1142" t="inlineStr">
        <is>
          <t>SKÅNE LÄN</t>
        </is>
      </c>
      <c r="E1142" t="inlineStr">
        <is>
          <t>HÄSSLEHOLM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37898-2021</t>
        </is>
      </c>
      <c r="B1143" s="1" t="n">
        <v>44403</v>
      </c>
      <c r="C1143" s="1" t="n">
        <v>45999</v>
      </c>
      <c r="D1143" t="inlineStr">
        <is>
          <t>SKÅNE LÄN</t>
        </is>
      </c>
      <c r="E1143" t="inlineStr">
        <is>
          <t>HÄSSLEHOLM</t>
        </is>
      </c>
      <c r="F1143" t="inlineStr">
        <is>
          <t>Kommuner</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35810-2023</t>
        </is>
      </c>
      <c r="B1144" s="1" t="n">
        <v>45148.44046296296</v>
      </c>
      <c r="C1144" s="1" t="n">
        <v>45999</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23172-2022</t>
        </is>
      </c>
      <c r="B1145" s="1" t="n">
        <v>44719</v>
      </c>
      <c r="C1145" s="1" t="n">
        <v>45999</v>
      </c>
      <c r="D1145" t="inlineStr">
        <is>
          <t>SKÅNE LÄN</t>
        </is>
      </c>
      <c r="E1145" t="inlineStr">
        <is>
          <t>HÄSSLEHOLM</t>
        </is>
      </c>
      <c r="F1145" t="inlineStr">
        <is>
          <t>Övriga Aktiebolag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23173-2022</t>
        </is>
      </c>
      <c r="B1146" s="1" t="n">
        <v>44719.72155092593</v>
      </c>
      <c r="C1146" s="1" t="n">
        <v>45999</v>
      </c>
      <c r="D1146" t="inlineStr">
        <is>
          <t>SKÅNE LÄN</t>
        </is>
      </c>
      <c r="E1146" t="inlineStr">
        <is>
          <t>HÄSSLEHOLM</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45999</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8239-2025</t>
        </is>
      </c>
      <c r="B1148" s="1" t="n">
        <v>45708.47984953703</v>
      </c>
      <c r="C1148" s="1" t="n">
        <v>45999</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56355-2023</t>
        </is>
      </c>
      <c r="B1149" s="1" t="n">
        <v>45243.3702662037</v>
      </c>
      <c r="C1149" s="1" t="n">
        <v>45999</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9394-2025</t>
        </is>
      </c>
      <c r="B1150" s="1" t="n">
        <v>45715.36387731481</v>
      </c>
      <c r="C1150" s="1" t="n">
        <v>45999</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7305-2025</t>
        </is>
      </c>
      <c r="B1151" s="1" t="n">
        <v>45702</v>
      </c>
      <c r="C1151" s="1" t="n">
        <v>45999</v>
      </c>
      <c r="D1151" t="inlineStr">
        <is>
          <t>SKÅNE LÄN</t>
        </is>
      </c>
      <c r="E1151" t="inlineStr">
        <is>
          <t>HÄSSLEHOLM</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52341-2023</t>
        </is>
      </c>
      <c r="B1152" s="1" t="n">
        <v>45224.67006944444</v>
      </c>
      <c r="C1152" s="1" t="n">
        <v>45999</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27173-2024</t>
        </is>
      </c>
      <c r="B1153" s="1" t="n">
        <v>45471.57048611111</v>
      </c>
      <c r="C1153" s="1" t="n">
        <v>45999</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15800-2025</t>
        </is>
      </c>
      <c r="B1154" s="1" t="n">
        <v>45748.64831018518</v>
      </c>
      <c r="C1154" s="1" t="n">
        <v>45999</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40780-2022</t>
        </is>
      </c>
      <c r="B1155" s="1" t="n">
        <v>44820</v>
      </c>
      <c r="C1155" s="1" t="n">
        <v>45999</v>
      </c>
      <c r="D1155" t="inlineStr">
        <is>
          <t>SKÅNE LÄN</t>
        </is>
      </c>
      <c r="E1155" t="inlineStr">
        <is>
          <t>HÄSSLEHOLM</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51245-2023</t>
        </is>
      </c>
      <c r="B1156" s="1" t="n">
        <v>45212</v>
      </c>
      <c r="C1156" s="1" t="n">
        <v>45999</v>
      </c>
      <c r="D1156" t="inlineStr">
        <is>
          <t>SKÅNE LÄN</t>
        </is>
      </c>
      <c r="E1156" t="inlineStr">
        <is>
          <t>HÄSSLEHOLM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48747-2022</t>
        </is>
      </c>
      <c r="B1157" s="1" t="n">
        <v>44859</v>
      </c>
      <c r="C1157" s="1" t="n">
        <v>45999</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7153-2025</t>
        </is>
      </c>
      <c r="B1158" s="1" t="n">
        <v>45702.38512731482</v>
      </c>
      <c r="C1158" s="1" t="n">
        <v>45999</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7581-2023</t>
        </is>
      </c>
      <c r="B1159" s="1" t="n">
        <v>44972.39556712963</v>
      </c>
      <c r="C1159" s="1" t="n">
        <v>45999</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21141-2024</t>
        </is>
      </c>
      <c r="B1160" s="1" t="n">
        <v>45440.39012731481</v>
      </c>
      <c r="C1160" s="1" t="n">
        <v>45999</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11603-2025</t>
        </is>
      </c>
      <c r="B1161" s="1" t="n">
        <v>45727</v>
      </c>
      <c r="C1161" s="1" t="n">
        <v>45999</v>
      </c>
      <c r="D1161" t="inlineStr">
        <is>
          <t>SKÅNE LÄN</t>
        </is>
      </c>
      <c r="E1161" t="inlineStr">
        <is>
          <t>HÄSSLEHOLM</t>
        </is>
      </c>
      <c r="G1161" t="n">
        <v>5.6</v>
      </c>
      <c r="H1161" t="n">
        <v>0</v>
      </c>
      <c r="I1161" t="n">
        <v>0</v>
      </c>
      <c r="J1161" t="n">
        <v>0</v>
      </c>
      <c r="K1161" t="n">
        <v>0</v>
      </c>
      <c r="L1161" t="n">
        <v>0</v>
      </c>
      <c r="M1161" t="n">
        <v>0</v>
      </c>
      <c r="N1161" t="n">
        <v>0</v>
      </c>
      <c r="O1161" t="n">
        <v>0</v>
      </c>
      <c r="P1161" t="n">
        <v>0</v>
      </c>
      <c r="Q1161" t="n">
        <v>0</v>
      </c>
      <c r="R1161" s="2" t="inlineStr"/>
    </row>
    <row r="1162">
      <c r="A1162" t="inlineStr">
        <is>
          <t>A 13712-2025</t>
        </is>
      </c>
      <c r="B1162" s="1" t="n">
        <v>45737</v>
      </c>
      <c r="C1162" s="1" t="n">
        <v>45999</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2025-12-08T10:28:41Z</dcterms:created>
  <dcterms:modified xmlns:dcterms="http://purl.org/dc/terms/" xmlns:xsi="http://www.w3.org/2001/XMLSchema-instance" xsi:type="dcterms:W3CDTF">2025-12-08T10:28:42Z</dcterms:modified>
</cp:coreProperties>
</file>