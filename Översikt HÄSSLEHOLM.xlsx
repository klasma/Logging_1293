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46129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46129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46129</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46129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46129</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46129</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46129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46129</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46129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8253-2025</t>
        </is>
      </c>
      <c r="B11" s="1" t="n">
        <v>45708.49460648148</v>
      </c>
      <c r="C11" s="1" t="n">
        <v>46129</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46129</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46129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46129</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46129</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46129</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46129</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46129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46129</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46129</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46129</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57533-2025</t>
        </is>
      </c>
      <c r="B22" s="1" t="n">
        <v>45980.63923611111</v>
      </c>
      <c r="C22" s="1" t="n">
        <v>46129</v>
      </c>
      <c r="D22" t="inlineStr">
        <is>
          <t>SKÅNE LÄN</t>
        </is>
      </c>
      <c r="E22" t="inlineStr">
        <is>
          <t>HÄSSLEHOLM</t>
        </is>
      </c>
      <c r="G22" t="n">
        <v>0.9</v>
      </c>
      <c r="H22" t="n">
        <v>0</v>
      </c>
      <c r="I22" t="n">
        <v>1</v>
      </c>
      <c r="J22" t="n">
        <v>0</v>
      </c>
      <c r="K22" t="n">
        <v>0</v>
      </c>
      <c r="L22" t="n">
        <v>0</v>
      </c>
      <c r="M22" t="n">
        <v>0</v>
      </c>
      <c r="N22" t="n">
        <v>0</v>
      </c>
      <c r="O22" t="n">
        <v>0</v>
      </c>
      <c r="P22" t="n">
        <v>0</v>
      </c>
      <c r="Q22" t="n">
        <v>1</v>
      </c>
      <c r="R22" s="2" t="inlineStr">
        <is>
          <t>Strutbräken</t>
        </is>
      </c>
      <c r="S22">
        <f>HYPERLINK("https://klasma.github.io/Logging_1293/artfynd/A 57533-2025 artfynd.xlsx", "A 57533-2025")</f>
        <v/>
      </c>
      <c r="T22">
        <f>HYPERLINK("https://klasma.github.io/Logging_1293/kartor/A 57533-2025 karta.png", "A 57533-2025")</f>
        <v/>
      </c>
      <c r="V22">
        <f>HYPERLINK("https://klasma.github.io/Logging_1293/klagomål/A 57533-2025 FSC-klagomål.docx", "A 57533-2025")</f>
        <v/>
      </c>
      <c r="W22">
        <f>HYPERLINK("https://klasma.github.io/Logging_1293/klagomålsmail/A 57533-2025 FSC-klagomål mail.docx", "A 57533-2025")</f>
        <v/>
      </c>
      <c r="X22">
        <f>HYPERLINK("https://klasma.github.io/Logging_1293/tillsyn/A 57533-2025 tillsynsbegäran.docx", "A 57533-2025")</f>
        <v/>
      </c>
      <c r="Y22">
        <f>HYPERLINK("https://klasma.github.io/Logging_1293/tillsynsmail/A 57533-2025 tillsynsbegäran mail.docx", "A 57533-2025")</f>
        <v/>
      </c>
    </row>
    <row r="23" ht="15" customHeight="1">
      <c r="A23" t="inlineStr">
        <is>
          <t>A 54523-2024</t>
        </is>
      </c>
      <c r="B23" s="1" t="n">
        <v>45617</v>
      </c>
      <c r="C23" s="1" t="n">
        <v>46129</v>
      </c>
      <c r="D23" t="inlineStr">
        <is>
          <t>SKÅNE LÄN</t>
        </is>
      </c>
      <c r="E23" t="inlineStr">
        <is>
          <t>HÄSSLEHOLM</t>
        </is>
      </c>
      <c r="G23" t="n">
        <v>4.5</v>
      </c>
      <c r="H23" t="n">
        <v>1</v>
      </c>
      <c r="I23" t="n">
        <v>0</v>
      </c>
      <c r="J23" t="n">
        <v>0</v>
      </c>
      <c r="K23" t="n">
        <v>0</v>
      </c>
      <c r="L23" t="n">
        <v>0</v>
      </c>
      <c r="M23" t="n">
        <v>0</v>
      </c>
      <c r="N23" t="n">
        <v>0</v>
      </c>
      <c r="O23" t="n">
        <v>0</v>
      </c>
      <c r="P23" t="n">
        <v>0</v>
      </c>
      <c r="Q23" t="n">
        <v>1</v>
      </c>
      <c r="R23" s="2" t="inlineStr">
        <is>
          <t>Grönvit nattviol</t>
        </is>
      </c>
      <c r="S23">
        <f>HYPERLINK("https://klasma.github.io/Logging_1293/artfynd/A 54523-2024 artfynd.xlsx", "A 54523-2024")</f>
        <v/>
      </c>
      <c r="T23">
        <f>HYPERLINK("https://klasma.github.io/Logging_1293/kartor/A 54523-2024 karta.png", "A 54523-2024")</f>
        <v/>
      </c>
      <c r="V23">
        <f>HYPERLINK("https://klasma.github.io/Logging_1293/klagomål/A 54523-2024 FSC-klagomål.docx", "A 54523-2024")</f>
        <v/>
      </c>
      <c r="W23">
        <f>HYPERLINK("https://klasma.github.io/Logging_1293/klagomålsmail/A 54523-2024 FSC-klagomål mail.docx", "A 54523-2024")</f>
        <v/>
      </c>
      <c r="X23">
        <f>HYPERLINK("https://klasma.github.io/Logging_1293/tillsyn/A 54523-2024 tillsynsbegäran.docx", "A 54523-2024")</f>
        <v/>
      </c>
      <c r="Y23">
        <f>HYPERLINK("https://klasma.github.io/Logging_1293/tillsynsmail/A 54523-2024 tillsynsbegäran mail.docx", "A 54523-2024")</f>
        <v/>
      </c>
    </row>
    <row r="24" ht="15" customHeight="1">
      <c r="A24" t="inlineStr">
        <is>
          <t>A 27390-2025</t>
        </is>
      </c>
      <c r="B24" s="1" t="n">
        <v>45812.67840277778</v>
      </c>
      <c r="C24" s="1" t="n">
        <v>46129</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Grönhjon</t>
        </is>
      </c>
      <c r="S24">
        <f>HYPERLINK("https://klasma.github.io/Logging_1293/artfynd/A 27390-2025 artfynd.xlsx", "A 27390-2025")</f>
        <v/>
      </c>
      <c r="T24">
        <f>HYPERLINK("https://klasma.github.io/Logging_1293/kartor/A 27390-2025 karta.png", "A 27390-2025")</f>
        <v/>
      </c>
      <c r="V24">
        <f>HYPERLINK("https://klasma.github.io/Logging_1293/klagomål/A 27390-2025 FSC-klagomål.docx", "A 27390-2025")</f>
        <v/>
      </c>
      <c r="W24">
        <f>HYPERLINK("https://klasma.github.io/Logging_1293/klagomålsmail/A 27390-2025 FSC-klagomål mail.docx", "A 27390-2025")</f>
        <v/>
      </c>
      <c r="X24">
        <f>HYPERLINK("https://klasma.github.io/Logging_1293/tillsyn/A 27390-2025 tillsynsbegäran.docx", "A 27390-2025")</f>
        <v/>
      </c>
      <c r="Y24">
        <f>HYPERLINK("https://klasma.github.io/Logging_1293/tillsynsmail/A 27390-2025 tillsynsbegäran mail.docx", "A 27390-2025")</f>
        <v/>
      </c>
    </row>
    <row r="25" ht="15" customHeight="1">
      <c r="A25" t="inlineStr">
        <is>
          <t>A 9289-2025</t>
        </is>
      </c>
      <c r="B25" s="1" t="n">
        <v>45714</v>
      </c>
      <c r="C25" s="1" t="n">
        <v>46129</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36690-2025</t>
        </is>
      </c>
      <c r="B26" s="1" t="n">
        <v>45873.42915509259</v>
      </c>
      <c r="C26" s="1" t="n">
        <v>46129</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7862-2024</t>
        </is>
      </c>
      <c r="B27" s="1" t="n">
        <v>45348</v>
      </c>
      <c r="C27" s="1" t="n">
        <v>46129</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46129</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46129</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46129</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46129</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46129</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46129</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46129</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46129</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46129</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46129</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46129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46129</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46129</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46129</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46129</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44794-2021</t>
        </is>
      </c>
      <c r="B43" s="1" t="n">
        <v>44438</v>
      </c>
      <c r="C43" s="1" t="n">
        <v>46129</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35099-2022</t>
        </is>
      </c>
      <c r="B44" s="1" t="n">
        <v>44797</v>
      </c>
      <c r="C44" s="1" t="n">
        <v>46129</v>
      </c>
      <c r="D44" t="inlineStr">
        <is>
          <t>SKÅNE LÄN</t>
        </is>
      </c>
      <c r="E44" t="inlineStr">
        <is>
          <t>HÄSSLEHOLM</t>
        </is>
      </c>
      <c r="G44" t="n">
        <v>4.1</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46129</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46129</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46129</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49454-2021</t>
        </is>
      </c>
      <c r="B48" s="1" t="n">
        <v>44454.67652777778</v>
      </c>
      <c r="C48" s="1" t="n">
        <v>46129</v>
      </c>
      <c r="D48" t="inlineStr">
        <is>
          <t>SKÅNE LÄN</t>
        </is>
      </c>
      <c r="E48" t="inlineStr">
        <is>
          <t>HÄSSLEHOLM</t>
        </is>
      </c>
      <c r="G48" t="n">
        <v>0.8</v>
      </c>
      <c r="H48" t="n">
        <v>0</v>
      </c>
      <c r="I48" t="n">
        <v>0</v>
      </c>
      <c r="J48" t="n">
        <v>0</v>
      </c>
      <c r="K48" t="n">
        <v>0</v>
      </c>
      <c r="L48" t="n">
        <v>0</v>
      </c>
      <c r="M48" t="n">
        <v>0</v>
      </c>
      <c r="N48" t="n">
        <v>0</v>
      </c>
      <c r="O48" t="n">
        <v>0</v>
      </c>
      <c r="P48" t="n">
        <v>0</v>
      </c>
      <c r="Q48" t="n">
        <v>0</v>
      </c>
      <c r="R48" s="2" t="inlineStr"/>
    </row>
    <row r="49" ht="15" customHeight="1">
      <c r="A49" t="inlineStr">
        <is>
          <t>A 61510-2021</t>
        </is>
      </c>
      <c r="B49" s="1" t="n">
        <v>44501</v>
      </c>
      <c r="C49" s="1" t="n">
        <v>46129</v>
      </c>
      <c r="D49" t="inlineStr">
        <is>
          <t>SKÅNE LÄN</t>
        </is>
      </c>
      <c r="E49" t="inlineStr">
        <is>
          <t>HÄSSLEHOLM</t>
        </is>
      </c>
      <c r="G49" t="n">
        <v>6.1</v>
      </c>
      <c r="H49" t="n">
        <v>0</v>
      </c>
      <c r="I49" t="n">
        <v>0</v>
      </c>
      <c r="J49" t="n">
        <v>0</v>
      </c>
      <c r="K49" t="n">
        <v>0</v>
      </c>
      <c r="L49" t="n">
        <v>0</v>
      </c>
      <c r="M49" t="n">
        <v>0</v>
      </c>
      <c r="N49" t="n">
        <v>0</v>
      </c>
      <c r="O49" t="n">
        <v>0</v>
      </c>
      <c r="P49" t="n">
        <v>0</v>
      </c>
      <c r="Q49" t="n">
        <v>0</v>
      </c>
      <c r="R49" s="2" t="inlineStr"/>
    </row>
    <row r="50" ht="15" customHeight="1">
      <c r="A50" t="inlineStr">
        <is>
          <t>A 23841-2021</t>
        </is>
      </c>
      <c r="B50" s="1" t="n">
        <v>44335</v>
      </c>
      <c r="C50" s="1" t="n">
        <v>46129</v>
      </c>
      <c r="D50" t="inlineStr">
        <is>
          <t>SKÅNE LÄN</t>
        </is>
      </c>
      <c r="E50" t="inlineStr">
        <is>
          <t>HÄSSLEHOLM</t>
        </is>
      </c>
      <c r="G50" t="n">
        <v>16.9</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46129</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46129</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220-2022</t>
        </is>
      </c>
      <c r="B53" s="1" t="n">
        <v>44564</v>
      </c>
      <c r="C53" s="1" t="n">
        <v>46129</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38372-2021</t>
        </is>
      </c>
      <c r="B54" s="1" t="n">
        <v>44406</v>
      </c>
      <c r="C54" s="1" t="n">
        <v>46129</v>
      </c>
      <c r="D54" t="inlineStr">
        <is>
          <t>SKÅNE LÄN</t>
        </is>
      </c>
      <c r="E54" t="inlineStr">
        <is>
          <t>HÄSSLEHOLM</t>
        </is>
      </c>
      <c r="F54" t="inlineStr">
        <is>
          <t>Kommuner</t>
        </is>
      </c>
      <c r="G54" t="n">
        <v>2.7</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46129</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46129</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46129</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46129</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46129</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24496-2021</t>
        </is>
      </c>
      <c r="B60" s="1" t="n">
        <v>44337</v>
      </c>
      <c r="C60" s="1" t="n">
        <v>46129</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46129</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46129</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46129</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46129</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46129</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23826-2021</t>
        </is>
      </c>
      <c r="B66" s="1" t="n">
        <v>44335</v>
      </c>
      <c r="C66" s="1" t="n">
        <v>46129</v>
      </c>
      <c r="D66" t="inlineStr">
        <is>
          <t>SKÅNE LÄN</t>
        </is>
      </c>
      <c r="E66" t="inlineStr">
        <is>
          <t>HÄSSLEHOLM</t>
        </is>
      </c>
      <c r="G66" t="n">
        <v>6.5</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46129</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46129</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46129</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46129</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45284-2021</t>
        </is>
      </c>
      <c r="B71" s="1" t="n">
        <v>44439.65418981481</v>
      </c>
      <c r="C71" s="1" t="n">
        <v>46129</v>
      </c>
      <c r="D71" t="inlineStr">
        <is>
          <t>SKÅNE LÄN</t>
        </is>
      </c>
      <c r="E71" t="inlineStr">
        <is>
          <t>HÄSSLEHOLM</t>
        </is>
      </c>
      <c r="G71" t="n">
        <v>1.6</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46129</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46129</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3855-2022</t>
        </is>
      </c>
      <c r="B74" s="1" t="n">
        <v>44587</v>
      </c>
      <c r="C74" s="1" t="n">
        <v>46129</v>
      </c>
      <c r="D74" t="inlineStr">
        <is>
          <t>SKÅNE LÄN</t>
        </is>
      </c>
      <c r="E74" t="inlineStr">
        <is>
          <t>HÄSSLEHOLM</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46129</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46129</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50618-2021</t>
        </is>
      </c>
      <c r="B77" s="1" t="n">
        <v>44459</v>
      </c>
      <c r="C77" s="1" t="n">
        <v>46129</v>
      </c>
      <c r="D77" t="inlineStr">
        <is>
          <t>SKÅNE LÄN</t>
        </is>
      </c>
      <c r="E77" t="inlineStr">
        <is>
          <t>HÄSSLEHOLM</t>
        </is>
      </c>
      <c r="F77" t="inlineStr">
        <is>
          <t>Kyrkan</t>
        </is>
      </c>
      <c r="G77" t="n">
        <v>15.1</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46129</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46129</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46129</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46129</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46129</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38160-2021</t>
        </is>
      </c>
      <c r="B83" s="1" t="n">
        <v>44405.42719907407</v>
      </c>
      <c r="C83" s="1" t="n">
        <v>46129</v>
      </c>
      <c r="D83" t="inlineStr">
        <is>
          <t>SKÅNE LÄN</t>
        </is>
      </c>
      <c r="E83" t="inlineStr">
        <is>
          <t>HÄSSLEHOLM</t>
        </is>
      </c>
      <c r="G83" t="n">
        <v>2.2</v>
      </c>
      <c r="H83" t="n">
        <v>0</v>
      </c>
      <c r="I83" t="n">
        <v>0</v>
      </c>
      <c r="J83" t="n">
        <v>0</v>
      </c>
      <c r="K83" t="n">
        <v>0</v>
      </c>
      <c r="L83" t="n">
        <v>0</v>
      </c>
      <c r="M83" t="n">
        <v>0</v>
      </c>
      <c r="N83" t="n">
        <v>0</v>
      </c>
      <c r="O83" t="n">
        <v>0</v>
      </c>
      <c r="P83" t="n">
        <v>0</v>
      </c>
      <c r="Q83" t="n">
        <v>0</v>
      </c>
      <c r="R83" s="2" t="inlineStr"/>
    </row>
    <row r="84" ht="15" customHeight="1">
      <c r="A84" t="inlineStr">
        <is>
          <t>A 44755-2021</t>
        </is>
      </c>
      <c r="B84" s="1" t="n">
        <v>44438</v>
      </c>
      <c r="C84" s="1" t="n">
        <v>46129</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44770-2021</t>
        </is>
      </c>
      <c r="B85" s="1" t="n">
        <v>44438</v>
      </c>
      <c r="C85" s="1" t="n">
        <v>46129</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2765-2022</t>
        </is>
      </c>
      <c r="B86" s="1" t="n">
        <v>44580</v>
      </c>
      <c r="C86" s="1" t="n">
        <v>46129</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46129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46129</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30879-2021</t>
        </is>
      </c>
      <c r="B89" s="1" t="n">
        <v>44365</v>
      </c>
      <c r="C89" s="1" t="n">
        <v>46129</v>
      </c>
      <c r="D89" t="inlineStr">
        <is>
          <t>SKÅNE LÄN</t>
        </is>
      </c>
      <c r="E89" t="inlineStr">
        <is>
          <t>HÄSSLEHOLM</t>
        </is>
      </c>
      <c r="G89" t="n">
        <v>1</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46129</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46129</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46129</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46129</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46129</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46129</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9292-2022</t>
        </is>
      </c>
      <c r="B96" s="1" t="n">
        <v>44616</v>
      </c>
      <c r="C96" s="1" t="n">
        <v>46129</v>
      </c>
      <c r="D96" t="inlineStr">
        <is>
          <t>SKÅNE LÄN</t>
        </is>
      </c>
      <c r="E96" t="inlineStr">
        <is>
          <t>HÄSSLEHOLM</t>
        </is>
      </c>
      <c r="G96" t="n">
        <v>1.6</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46129</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4156-2022</t>
        </is>
      </c>
      <c r="B98" s="1" t="n">
        <v>44588</v>
      </c>
      <c r="C98" s="1" t="n">
        <v>46129</v>
      </c>
      <c r="D98" t="inlineStr">
        <is>
          <t>SKÅNE LÄN</t>
        </is>
      </c>
      <c r="E98" t="inlineStr">
        <is>
          <t>HÄSSLEHOLM</t>
        </is>
      </c>
      <c r="G98" t="n">
        <v>0.8</v>
      </c>
      <c r="H98" t="n">
        <v>0</v>
      </c>
      <c r="I98" t="n">
        <v>0</v>
      </c>
      <c r="J98" t="n">
        <v>0</v>
      </c>
      <c r="K98" t="n">
        <v>0</v>
      </c>
      <c r="L98" t="n">
        <v>0</v>
      </c>
      <c r="M98" t="n">
        <v>0</v>
      </c>
      <c r="N98" t="n">
        <v>0</v>
      </c>
      <c r="O98" t="n">
        <v>0</v>
      </c>
      <c r="P98" t="n">
        <v>0</v>
      </c>
      <c r="Q98" t="n">
        <v>0</v>
      </c>
      <c r="R98" s="2" t="inlineStr"/>
    </row>
    <row r="99" ht="15" customHeight="1">
      <c r="A99" t="inlineStr">
        <is>
          <t>A 19449-2021</t>
        </is>
      </c>
      <c r="B99" s="1" t="n">
        <v>44310.88846064815</v>
      </c>
      <c r="C99" s="1" t="n">
        <v>46129</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46129</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34684-2021</t>
        </is>
      </c>
      <c r="B101" s="1" t="n">
        <v>44382</v>
      </c>
      <c r="C101" s="1" t="n">
        <v>46129</v>
      </c>
      <c r="D101" t="inlineStr">
        <is>
          <t>SKÅNE LÄN</t>
        </is>
      </c>
      <c r="E101" t="inlineStr">
        <is>
          <t>HÄSSLEHOLM</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44328-2021</t>
        </is>
      </c>
      <c r="B102" s="1" t="n">
        <v>44435</v>
      </c>
      <c r="C102" s="1" t="n">
        <v>46129</v>
      </c>
      <c r="D102" t="inlineStr">
        <is>
          <t>SKÅNE LÄN</t>
        </is>
      </c>
      <c r="E102" t="inlineStr">
        <is>
          <t>HÄSSLEHOLM</t>
        </is>
      </c>
      <c r="G102" t="n">
        <v>2.7</v>
      </c>
      <c r="H102" t="n">
        <v>0</v>
      </c>
      <c r="I102" t="n">
        <v>0</v>
      </c>
      <c r="J102" t="n">
        <v>0</v>
      </c>
      <c r="K102" t="n">
        <v>0</v>
      </c>
      <c r="L102" t="n">
        <v>0</v>
      </c>
      <c r="M102" t="n">
        <v>0</v>
      </c>
      <c r="N102" t="n">
        <v>0</v>
      </c>
      <c r="O102" t="n">
        <v>0</v>
      </c>
      <c r="P102" t="n">
        <v>0</v>
      </c>
      <c r="Q102" t="n">
        <v>0</v>
      </c>
      <c r="R102" s="2" t="inlineStr"/>
    </row>
    <row r="103" ht="15" customHeight="1">
      <c r="A103" t="inlineStr">
        <is>
          <t>A 74293-2021</t>
        </is>
      </c>
      <c r="B103" s="1" t="n">
        <v>44558</v>
      </c>
      <c r="C103" s="1" t="n">
        <v>46129</v>
      </c>
      <c r="D103" t="inlineStr">
        <is>
          <t>SKÅNE LÄN</t>
        </is>
      </c>
      <c r="E103" t="inlineStr">
        <is>
          <t>HÄSSLEHOLM</t>
        </is>
      </c>
      <c r="F103" t="inlineStr">
        <is>
          <t>Kyrkan</t>
        </is>
      </c>
      <c r="G103" t="n">
        <v>3.3</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46129</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46129</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46129</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46129</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46129</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46129</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46129</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46129</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46129</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46129</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21535-2021</t>
        </is>
      </c>
      <c r="B114" s="1" t="n">
        <v>44321</v>
      </c>
      <c r="C114" s="1" t="n">
        <v>46129</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46129</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32792-2021</t>
        </is>
      </c>
      <c r="B116" s="1" t="n">
        <v>44375</v>
      </c>
      <c r="C116" s="1" t="n">
        <v>46129</v>
      </c>
      <c r="D116" t="inlineStr">
        <is>
          <t>SKÅNE LÄN</t>
        </is>
      </c>
      <c r="E116" t="inlineStr">
        <is>
          <t>HÄSSLEHOLM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3167-2022</t>
        </is>
      </c>
      <c r="B117" s="1" t="n">
        <v>44582</v>
      </c>
      <c r="C117" s="1" t="n">
        <v>46129</v>
      </c>
      <c r="D117" t="inlineStr">
        <is>
          <t>SKÅNE LÄN</t>
        </is>
      </c>
      <c r="E117" t="inlineStr">
        <is>
          <t>HÄSSLEHOLM</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33736-2021</t>
        </is>
      </c>
      <c r="B118" s="1" t="n">
        <v>44378</v>
      </c>
      <c r="C118" s="1" t="n">
        <v>46129</v>
      </c>
      <c r="D118" t="inlineStr">
        <is>
          <t>SKÅNE LÄN</t>
        </is>
      </c>
      <c r="E118" t="inlineStr">
        <is>
          <t>HÄSSLEHOLM</t>
        </is>
      </c>
      <c r="G118" t="n">
        <v>7.6</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46129</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46129</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46129</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46129</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21029-2021</t>
        </is>
      </c>
      <c r="B123" s="1" t="n">
        <v>44319.63366898148</v>
      </c>
      <c r="C123" s="1" t="n">
        <v>46129</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64607-2021</t>
        </is>
      </c>
      <c r="B124" s="1" t="n">
        <v>44511</v>
      </c>
      <c r="C124" s="1" t="n">
        <v>46129</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18515-2021</t>
        </is>
      </c>
      <c r="B125" s="1" t="n">
        <v>44305</v>
      </c>
      <c r="C125" s="1" t="n">
        <v>46129</v>
      </c>
      <c r="D125" t="inlineStr">
        <is>
          <t>SKÅNE LÄN</t>
        </is>
      </c>
      <c r="E125" t="inlineStr">
        <is>
          <t>HÄSSLEHOLM</t>
        </is>
      </c>
      <c r="F125" t="inlineStr">
        <is>
          <t>Övriga Aktiebolag</t>
        </is>
      </c>
      <c r="G125" t="n">
        <v>0.5</v>
      </c>
      <c r="H125" t="n">
        <v>0</v>
      </c>
      <c r="I125" t="n">
        <v>0</v>
      </c>
      <c r="J125" t="n">
        <v>0</v>
      </c>
      <c r="K125" t="n">
        <v>0</v>
      </c>
      <c r="L125" t="n">
        <v>0</v>
      </c>
      <c r="M125" t="n">
        <v>0</v>
      </c>
      <c r="N125" t="n">
        <v>0</v>
      </c>
      <c r="O125" t="n">
        <v>0</v>
      </c>
      <c r="P125" t="n">
        <v>0</v>
      </c>
      <c r="Q125" t="n">
        <v>0</v>
      </c>
      <c r="R125" s="2" t="inlineStr"/>
    </row>
    <row r="126" ht="15" customHeight="1">
      <c r="A126" t="inlineStr">
        <is>
          <t>A 2631-2022</t>
        </is>
      </c>
      <c r="B126" s="1" t="n">
        <v>44580</v>
      </c>
      <c r="C126" s="1" t="n">
        <v>46129</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18523-2021</t>
        </is>
      </c>
      <c r="B127" s="1" t="n">
        <v>44305</v>
      </c>
      <c r="C127" s="1" t="n">
        <v>46129</v>
      </c>
      <c r="D127" t="inlineStr">
        <is>
          <t>SKÅNE LÄN</t>
        </is>
      </c>
      <c r="E127" t="inlineStr">
        <is>
          <t>HÄSSLEHOLM</t>
        </is>
      </c>
      <c r="F127" t="inlineStr">
        <is>
          <t>Övriga Aktiebolag</t>
        </is>
      </c>
      <c r="G127" t="n">
        <v>1.2</v>
      </c>
      <c r="H127" t="n">
        <v>0</v>
      </c>
      <c r="I127" t="n">
        <v>0</v>
      </c>
      <c r="J127" t="n">
        <v>0</v>
      </c>
      <c r="K127" t="n">
        <v>0</v>
      </c>
      <c r="L127" t="n">
        <v>0</v>
      </c>
      <c r="M127" t="n">
        <v>0</v>
      </c>
      <c r="N127" t="n">
        <v>0</v>
      </c>
      <c r="O127" t="n">
        <v>0</v>
      </c>
      <c r="P127" t="n">
        <v>0</v>
      </c>
      <c r="Q127" t="n">
        <v>0</v>
      </c>
      <c r="R127" s="2" t="inlineStr"/>
    </row>
    <row r="128" ht="15" customHeight="1">
      <c r="A128" t="inlineStr">
        <is>
          <t>A 15423-2022</t>
        </is>
      </c>
      <c r="B128" s="1" t="n">
        <v>44659</v>
      </c>
      <c r="C128" s="1" t="n">
        <v>46129</v>
      </c>
      <c r="D128" t="inlineStr">
        <is>
          <t>SKÅNE LÄN</t>
        </is>
      </c>
      <c r="E128" t="inlineStr">
        <is>
          <t>HÄSSLEHOLM</t>
        </is>
      </c>
      <c r="F128" t="inlineStr">
        <is>
          <t>Kyrkan</t>
        </is>
      </c>
      <c r="G128" t="n">
        <v>0.9</v>
      </c>
      <c r="H128" t="n">
        <v>0</v>
      </c>
      <c r="I128" t="n">
        <v>0</v>
      </c>
      <c r="J128" t="n">
        <v>0</v>
      </c>
      <c r="K128" t="n">
        <v>0</v>
      </c>
      <c r="L128" t="n">
        <v>0</v>
      </c>
      <c r="M128" t="n">
        <v>0</v>
      </c>
      <c r="N128" t="n">
        <v>0</v>
      </c>
      <c r="O128" t="n">
        <v>0</v>
      </c>
      <c r="P128" t="n">
        <v>0</v>
      </c>
      <c r="Q128" t="n">
        <v>0</v>
      </c>
      <c r="R128" s="2" t="inlineStr"/>
    </row>
    <row r="129" ht="15" customHeight="1">
      <c r="A129" t="inlineStr">
        <is>
          <t>A 56989-2021</t>
        </is>
      </c>
      <c r="B129" s="1" t="n">
        <v>44482</v>
      </c>
      <c r="C129" s="1" t="n">
        <v>46129</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51159-2021</t>
        </is>
      </c>
      <c r="B130" s="1" t="n">
        <v>44461</v>
      </c>
      <c r="C130" s="1" t="n">
        <v>46129</v>
      </c>
      <c r="D130" t="inlineStr">
        <is>
          <t>SKÅNE LÄN</t>
        </is>
      </c>
      <c r="E130" t="inlineStr">
        <is>
          <t>HÄSSLEHOLM</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25383-2021</t>
        </is>
      </c>
      <c r="B131" s="1" t="n">
        <v>44342</v>
      </c>
      <c r="C131" s="1" t="n">
        <v>46129</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27330-2021</t>
        </is>
      </c>
      <c r="B132" s="1" t="n">
        <v>44351</v>
      </c>
      <c r="C132" s="1" t="n">
        <v>46129</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354-2022</t>
        </is>
      </c>
      <c r="B133" s="1" t="n">
        <v>44565.62510416667</v>
      </c>
      <c r="C133" s="1" t="n">
        <v>46129</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32892-2021</t>
        </is>
      </c>
      <c r="B134" s="1" t="n">
        <v>44375</v>
      </c>
      <c r="C134" s="1" t="n">
        <v>46129</v>
      </c>
      <c r="D134" t="inlineStr">
        <is>
          <t>SKÅNE LÄN</t>
        </is>
      </c>
      <c r="E134" t="inlineStr">
        <is>
          <t>HÄSSLEHOLM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39102-2022</t>
        </is>
      </c>
      <c r="B135" s="1" t="n">
        <v>44817.43260416666</v>
      </c>
      <c r="C135" s="1" t="n">
        <v>46129</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47112-2021</t>
        </is>
      </c>
      <c r="B136" s="1" t="n">
        <v>44446</v>
      </c>
      <c r="C136" s="1" t="n">
        <v>46129</v>
      </c>
      <c r="D136" t="inlineStr">
        <is>
          <t>SKÅNE LÄN</t>
        </is>
      </c>
      <c r="E136" t="inlineStr">
        <is>
          <t>HÄSSLEHOLM</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6414-2022</t>
        </is>
      </c>
      <c r="B137" s="1" t="n">
        <v>44600</v>
      </c>
      <c r="C137" s="1" t="n">
        <v>46129</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56431-2021</t>
        </is>
      </c>
      <c r="B138" s="1" t="n">
        <v>44480</v>
      </c>
      <c r="C138" s="1" t="n">
        <v>46129</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52567-2021</t>
        </is>
      </c>
      <c r="B139" s="1" t="n">
        <v>44466</v>
      </c>
      <c r="C139" s="1" t="n">
        <v>46129</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74297-2021</t>
        </is>
      </c>
      <c r="B140" s="1" t="n">
        <v>44558</v>
      </c>
      <c r="C140" s="1" t="n">
        <v>46129</v>
      </c>
      <c r="D140" t="inlineStr">
        <is>
          <t>SKÅNE LÄN</t>
        </is>
      </c>
      <c r="E140" t="inlineStr">
        <is>
          <t>HÄSSLEHOLM</t>
        </is>
      </c>
      <c r="F140" t="inlineStr">
        <is>
          <t>Kyrkan</t>
        </is>
      </c>
      <c r="G140" t="n">
        <v>3.8</v>
      </c>
      <c r="H140" t="n">
        <v>0</v>
      </c>
      <c r="I140" t="n">
        <v>0</v>
      </c>
      <c r="J140" t="n">
        <v>0</v>
      </c>
      <c r="K140" t="n">
        <v>0</v>
      </c>
      <c r="L140" t="n">
        <v>0</v>
      </c>
      <c r="M140" t="n">
        <v>0</v>
      </c>
      <c r="N140" t="n">
        <v>0</v>
      </c>
      <c r="O140" t="n">
        <v>0</v>
      </c>
      <c r="P140" t="n">
        <v>0</v>
      </c>
      <c r="Q140" t="n">
        <v>0</v>
      </c>
      <c r="R140" s="2" t="inlineStr"/>
    </row>
    <row r="141" ht="15" customHeight="1">
      <c r="A141" t="inlineStr">
        <is>
          <t>A 52295-2021</t>
        </is>
      </c>
      <c r="B141" s="1" t="n">
        <v>44463</v>
      </c>
      <c r="C141" s="1" t="n">
        <v>46129</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68909-2021</t>
        </is>
      </c>
      <c r="B142" s="1" t="n">
        <v>44530.46730324074</v>
      </c>
      <c r="C142" s="1" t="n">
        <v>46129</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23003-2021</t>
        </is>
      </c>
      <c r="B143" s="1" t="n">
        <v>44328</v>
      </c>
      <c r="C143" s="1" t="n">
        <v>46129</v>
      </c>
      <c r="D143" t="inlineStr">
        <is>
          <t>SKÅNE LÄN</t>
        </is>
      </c>
      <c r="E143" t="inlineStr">
        <is>
          <t>HÄSSLEHOLM</t>
        </is>
      </c>
      <c r="G143" t="n">
        <v>4.4</v>
      </c>
      <c r="H143" t="n">
        <v>0</v>
      </c>
      <c r="I143" t="n">
        <v>0</v>
      </c>
      <c r="J143" t="n">
        <v>0</v>
      </c>
      <c r="K143" t="n">
        <v>0</v>
      </c>
      <c r="L143" t="n">
        <v>0</v>
      </c>
      <c r="M143" t="n">
        <v>0</v>
      </c>
      <c r="N143" t="n">
        <v>0</v>
      </c>
      <c r="O143" t="n">
        <v>0</v>
      </c>
      <c r="P143" t="n">
        <v>0</v>
      </c>
      <c r="Q143" t="n">
        <v>0</v>
      </c>
      <c r="R143" s="2" t="inlineStr"/>
    </row>
    <row r="144" ht="15" customHeight="1">
      <c r="A144" t="inlineStr">
        <is>
          <t>A 5091-2022</t>
        </is>
      </c>
      <c r="B144" s="1" t="n">
        <v>44593.85114583333</v>
      </c>
      <c r="C144" s="1" t="n">
        <v>46129</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15986-2022</t>
        </is>
      </c>
      <c r="B145" s="1" t="n">
        <v>44664</v>
      </c>
      <c r="C145" s="1" t="n">
        <v>46129</v>
      </c>
      <c r="D145" t="inlineStr">
        <is>
          <t>SKÅNE LÄN</t>
        </is>
      </c>
      <c r="E145" t="inlineStr">
        <is>
          <t>HÄSSLEHOLM</t>
        </is>
      </c>
      <c r="F145" t="inlineStr">
        <is>
          <t>Kyrkan</t>
        </is>
      </c>
      <c r="G145" t="n">
        <v>6</v>
      </c>
      <c r="H145" t="n">
        <v>0</v>
      </c>
      <c r="I145" t="n">
        <v>0</v>
      </c>
      <c r="J145" t="n">
        <v>0</v>
      </c>
      <c r="K145" t="n">
        <v>0</v>
      </c>
      <c r="L145" t="n">
        <v>0</v>
      </c>
      <c r="M145" t="n">
        <v>0</v>
      </c>
      <c r="N145" t="n">
        <v>0</v>
      </c>
      <c r="O145" t="n">
        <v>0</v>
      </c>
      <c r="P145" t="n">
        <v>0</v>
      </c>
      <c r="Q145" t="n">
        <v>0</v>
      </c>
      <c r="R145" s="2" t="inlineStr"/>
    </row>
    <row r="146" ht="15" customHeight="1">
      <c r="A146" t="inlineStr">
        <is>
          <t>A 60260-2021</t>
        </is>
      </c>
      <c r="B146" s="1" t="n">
        <v>44495</v>
      </c>
      <c r="C146" s="1" t="n">
        <v>46129</v>
      </c>
      <c r="D146" t="inlineStr">
        <is>
          <t>SKÅNE LÄN</t>
        </is>
      </c>
      <c r="E146" t="inlineStr">
        <is>
          <t>HÄSSLEHOLM</t>
        </is>
      </c>
      <c r="G146" t="n">
        <v>2.1</v>
      </c>
      <c r="H146" t="n">
        <v>0</v>
      </c>
      <c r="I146" t="n">
        <v>0</v>
      </c>
      <c r="J146" t="n">
        <v>0</v>
      </c>
      <c r="K146" t="n">
        <v>0</v>
      </c>
      <c r="L146" t="n">
        <v>0</v>
      </c>
      <c r="M146" t="n">
        <v>0</v>
      </c>
      <c r="N146" t="n">
        <v>0</v>
      </c>
      <c r="O146" t="n">
        <v>0</v>
      </c>
      <c r="P146" t="n">
        <v>0</v>
      </c>
      <c r="Q146" t="n">
        <v>0</v>
      </c>
      <c r="R146" s="2" t="inlineStr"/>
    </row>
    <row r="147" ht="15" customHeight="1">
      <c r="A147" t="inlineStr">
        <is>
          <t>A 52786-2021</t>
        </is>
      </c>
      <c r="B147" s="1" t="n">
        <v>44467.36061342592</v>
      </c>
      <c r="C147" s="1" t="n">
        <v>46129</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51888-2021</t>
        </is>
      </c>
      <c r="B148" s="1" t="n">
        <v>44462</v>
      </c>
      <c r="C148" s="1" t="n">
        <v>46129</v>
      </c>
      <c r="D148" t="inlineStr">
        <is>
          <t>SKÅNE LÄN</t>
        </is>
      </c>
      <c r="E148" t="inlineStr">
        <is>
          <t>HÄSSLEHOLM</t>
        </is>
      </c>
      <c r="G148" t="n">
        <v>5.6</v>
      </c>
      <c r="H148" t="n">
        <v>0</v>
      </c>
      <c r="I148" t="n">
        <v>0</v>
      </c>
      <c r="J148" t="n">
        <v>0</v>
      </c>
      <c r="K148" t="n">
        <v>0</v>
      </c>
      <c r="L148" t="n">
        <v>0</v>
      </c>
      <c r="M148" t="n">
        <v>0</v>
      </c>
      <c r="N148" t="n">
        <v>0</v>
      </c>
      <c r="O148" t="n">
        <v>0</v>
      </c>
      <c r="P148" t="n">
        <v>0</v>
      </c>
      <c r="Q148" t="n">
        <v>0</v>
      </c>
      <c r="R148" s="2" t="inlineStr"/>
    </row>
    <row r="149" ht="15" customHeight="1">
      <c r="A149" t="inlineStr">
        <is>
          <t>A 29143-2021</t>
        </is>
      </c>
      <c r="B149" s="1" t="n">
        <v>44358.6319212963</v>
      </c>
      <c r="C149" s="1" t="n">
        <v>46129</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44669-2022</t>
        </is>
      </c>
      <c r="B150" s="1" t="n">
        <v>44840</v>
      </c>
      <c r="C150" s="1" t="n">
        <v>46129</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26386-2022</t>
        </is>
      </c>
      <c r="B151" s="1" t="n">
        <v>44735.6803125</v>
      </c>
      <c r="C151" s="1" t="n">
        <v>46129</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25469-2022</t>
        </is>
      </c>
      <c r="B152" s="1" t="n">
        <v>44732</v>
      </c>
      <c r="C152" s="1" t="n">
        <v>46129</v>
      </c>
      <c r="D152" t="inlineStr">
        <is>
          <t>SKÅNE LÄN</t>
        </is>
      </c>
      <c r="E152" t="inlineStr">
        <is>
          <t>HÄSSLEHOLM</t>
        </is>
      </c>
      <c r="G152" t="n">
        <v>4.2</v>
      </c>
      <c r="H152" t="n">
        <v>0</v>
      </c>
      <c r="I152" t="n">
        <v>0</v>
      </c>
      <c r="J152" t="n">
        <v>0</v>
      </c>
      <c r="K152" t="n">
        <v>0</v>
      </c>
      <c r="L152" t="n">
        <v>0</v>
      </c>
      <c r="M152" t="n">
        <v>0</v>
      </c>
      <c r="N152" t="n">
        <v>0</v>
      </c>
      <c r="O152" t="n">
        <v>0</v>
      </c>
      <c r="P152" t="n">
        <v>0</v>
      </c>
      <c r="Q152" t="n">
        <v>0</v>
      </c>
      <c r="R152" s="2" t="inlineStr"/>
    </row>
    <row r="153" ht="15" customHeight="1">
      <c r="A153" t="inlineStr">
        <is>
          <t>A 73513-2021</t>
        </is>
      </c>
      <c r="B153" s="1" t="n">
        <v>44551.69012731482</v>
      </c>
      <c r="C153" s="1" t="n">
        <v>46129</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2858-2022</t>
        </is>
      </c>
      <c r="B154" s="1" t="n">
        <v>44581</v>
      </c>
      <c r="C154" s="1" t="n">
        <v>46129</v>
      </c>
      <c r="D154" t="inlineStr">
        <is>
          <t>SKÅNE LÄN</t>
        </is>
      </c>
      <c r="E154" t="inlineStr">
        <is>
          <t>HÄSSLEHOLM</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27959-2022</t>
        </is>
      </c>
      <c r="B155" s="1" t="n">
        <v>44744</v>
      </c>
      <c r="C155" s="1" t="n">
        <v>46129</v>
      </c>
      <c r="D155" t="inlineStr">
        <is>
          <t>SKÅNE LÄN</t>
        </is>
      </c>
      <c r="E155" t="inlineStr">
        <is>
          <t>HÄSSLEHOLM</t>
        </is>
      </c>
      <c r="G155" t="n">
        <v>3</v>
      </c>
      <c r="H155" t="n">
        <v>0</v>
      </c>
      <c r="I155" t="n">
        <v>0</v>
      </c>
      <c r="J155" t="n">
        <v>0</v>
      </c>
      <c r="K155" t="n">
        <v>0</v>
      </c>
      <c r="L155" t="n">
        <v>0</v>
      </c>
      <c r="M155" t="n">
        <v>0</v>
      </c>
      <c r="N155" t="n">
        <v>0</v>
      </c>
      <c r="O155" t="n">
        <v>0</v>
      </c>
      <c r="P155" t="n">
        <v>0</v>
      </c>
      <c r="Q155" t="n">
        <v>0</v>
      </c>
      <c r="R155" s="2" t="inlineStr"/>
    </row>
    <row r="156" ht="15" customHeight="1">
      <c r="A156" t="inlineStr">
        <is>
          <t>A 418-2022</t>
        </is>
      </c>
      <c r="B156" s="1" t="n">
        <v>44565.84958333334</v>
      </c>
      <c r="C156" s="1" t="n">
        <v>46129</v>
      </c>
      <c r="D156" t="inlineStr">
        <is>
          <t>SKÅNE LÄN</t>
        </is>
      </c>
      <c r="E156" t="inlineStr">
        <is>
          <t>HÄSSLEHOLM</t>
        </is>
      </c>
      <c r="G156" t="n">
        <v>0</v>
      </c>
      <c r="H156" t="n">
        <v>0</v>
      </c>
      <c r="I156" t="n">
        <v>0</v>
      </c>
      <c r="J156" t="n">
        <v>0</v>
      </c>
      <c r="K156" t="n">
        <v>0</v>
      </c>
      <c r="L156" t="n">
        <v>0</v>
      </c>
      <c r="M156" t="n">
        <v>0</v>
      </c>
      <c r="N156" t="n">
        <v>0</v>
      </c>
      <c r="O156" t="n">
        <v>0</v>
      </c>
      <c r="P156" t="n">
        <v>0</v>
      </c>
      <c r="Q156" t="n">
        <v>0</v>
      </c>
      <c r="R156" s="2" t="inlineStr"/>
    </row>
    <row r="157" ht="15" customHeight="1">
      <c r="A157" t="inlineStr">
        <is>
          <t>A 23830-2021</t>
        </is>
      </c>
      <c r="B157" s="1" t="n">
        <v>44335</v>
      </c>
      <c r="C157" s="1" t="n">
        <v>46129</v>
      </c>
      <c r="D157" t="inlineStr">
        <is>
          <t>SKÅNE LÄN</t>
        </is>
      </c>
      <c r="E157" t="inlineStr">
        <is>
          <t>HÄSSLEHOLM</t>
        </is>
      </c>
      <c r="G157" t="n">
        <v>18.7</v>
      </c>
      <c r="H157" t="n">
        <v>0</v>
      </c>
      <c r="I157" t="n">
        <v>0</v>
      </c>
      <c r="J157" t="n">
        <v>0</v>
      </c>
      <c r="K157" t="n">
        <v>0</v>
      </c>
      <c r="L157" t="n">
        <v>0</v>
      </c>
      <c r="M157" t="n">
        <v>0</v>
      </c>
      <c r="N157" t="n">
        <v>0</v>
      </c>
      <c r="O157" t="n">
        <v>0</v>
      </c>
      <c r="P157" t="n">
        <v>0</v>
      </c>
      <c r="Q157" t="n">
        <v>0</v>
      </c>
      <c r="R157" s="2" t="inlineStr"/>
    </row>
    <row r="158" ht="15" customHeight="1">
      <c r="A158" t="inlineStr">
        <is>
          <t>A 55394-2022</t>
        </is>
      </c>
      <c r="B158" s="1" t="n">
        <v>44887.57112268519</v>
      </c>
      <c r="C158" s="1" t="n">
        <v>46129</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51893-2021</t>
        </is>
      </c>
      <c r="B159" s="1" t="n">
        <v>44462</v>
      </c>
      <c r="C159" s="1" t="n">
        <v>46129</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45357-2022</t>
        </is>
      </c>
      <c r="B160" s="1" t="n">
        <v>44844.61952546296</v>
      </c>
      <c r="C160" s="1" t="n">
        <v>46129</v>
      </c>
      <c r="D160" t="inlineStr">
        <is>
          <t>SKÅNE LÄN</t>
        </is>
      </c>
      <c r="E160" t="inlineStr">
        <is>
          <t>HÄSSLEHOLM</t>
        </is>
      </c>
      <c r="G160" t="n">
        <v>5.8</v>
      </c>
      <c r="H160" t="n">
        <v>0</v>
      </c>
      <c r="I160" t="n">
        <v>0</v>
      </c>
      <c r="J160" t="n">
        <v>0</v>
      </c>
      <c r="K160" t="n">
        <v>0</v>
      </c>
      <c r="L160" t="n">
        <v>0</v>
      </c>
      <c r="M160" t="n">
        <v>0</v>
      </c>
      <c r="N160" t="n">
        <v>0</v>
      </c>
      <c r="O160" t="n">
        <v>0</v>
      </c>
      <c r="P160" t="n">
        <v>0</v>
      </c>
      <c r="Q160" t="n">
        <v>0</v>
      </c>
      <c r="R160" s="2" t="inlineStr"/>
    </row>
    <row r="161" ht="15" customHeight="1">
      <c r="A161" t="inlineStr">
        <is>
          <t>A 45989-2021</t>
        </is>
      </c>
      <c r="B161" s="1" t="n">
        <v>44441.74627314815</v>
      </c>
      <c r="C161" s="1" t="n">
        <v>46129</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7904-2022</t>
        </is>
      </c>
      <c r="B162" s="1" t="n">
        <v>44607</v>
      </c>
      <c r="C162" s="1" t="n">
        <v>46129</v>
      </c>
      <c r="D162" t="inlineStr">
        <is>
          <t>SKÅNE LÄN</t>
        </is>
      </c>
      <c r="E162" t="inlineStr">
        <is>
          <t>HÄSSLEHOLM</t>
        </is>
      </c>
      <c r="F162" t="inlineStr">
        <is>
          <t>Kyrkan</t>
        </is>
      </c>
      <c r="G162" t="n">
        <v>3.9</v>
      </c>
      <c r="H162" t="n">
        <v>0</v>
      </c>
      <c r="I162" t="n">
        <v>0</v>
      </c>
      <c r="J162" t="n">
        <v>0</v>
      </c>
      <c r="K162" t="n">
        <v>0</v>
      </c>
      <c r="L162" t="n">
        <v>0</v>
      </c>
      <c r="M162" t="n">
        <v>0</v>
      </c>
      <c r="N162" t="n">
        <v>0</v>
      </c>
      <c r="O162" t="n">
        <v>0</v>
      </c>
      <c r="P162" t="n">
        <v>0</v>
      </c>
      <c r="Q162" t="n">
        <v>0</v>
      </c>
      <c r="R162" s="2" t="inlineStr"/>
    </row>
    <row r="163" ht="15" customHeight="1">
      <c r="A163" t="inlineStr">
        <is>
          <t>A 51895-2021</t>
        </is>
      </c>
      <c r="B163" s="1" t="n">
        <v>44462</v>
      </c>
      <c r="C163" s="1" t="n">
        <v>46129</v>
      </c>
      <c r="D163" t="inlineStr">
        <is>
          <t>SKÅNE LÄN</t>
        </is>
      </c>
      <c r="E163" t="inlineStr">
        <is>
          <t>HÄSSLEHOLM</t>
        </is>
      </c>
      <c r="G163" t="n">
        <v>5.7</v>
      </c>
      <c r="H163" t="n">
        <v>0</v>
      </c>
      <c r="I163" t="n">
        <v>0</v>
      </c>
      <c r="J163" t="n">
        <v>0</v>
      </c>
      <c r="K163" t="n">
        <v>0</v>
      </c>
      <c r="L163" t="n">
        <v>0</v>
      </c>
      <c r="M163" t="n">
        <v>0</v>
      </c>
      <c r="N163" t="n">
        <v>0</v>
      </c>
      <c r="O163" t="n">
        <v>0</v>
      </c>
      <c r="P163" t="n">
        <v>0</v>
      </c>
      <c r="Q163" t="n">
        <v>0</v>
      </c>
      <c r="R163" s="2" t="inlineStr"/>
    </row>
    <row r="164" ht="15" customHeight="1">
      <c r="A164" t="inlineStr">
        <is>
          <t>A 7250-2022</t>
        </is>
      </c>
      <c r="B164" s="1" t="n">
        <v>44606</v>
      </c>
      <c r="C164" s="1" t="n">
        <v>46129</v>
      </c>
      <c r="D164" t="inlineStr">
        <is>
          <t>SKÅNE LÄN</t>
        </is>
      </c>
      <c r="E164" t="inlineStr">
        <is>
          <t>HÄSSLEHOLM</t>
        </is>
      </c>
      <c r="F164" t="inlineStr">
        <is>
          <t>Övriga Aktiebolag</t>
        </is>
      </c>
      <c r="G164" t="n">
        <v>2.6</v>
      </c>
      <c r="H164" t="n">
        <v>0</v>
      </c>
      <c r="I164" t="n">
        <v>0</v>
      </c>
      <c r="J164" t="n">
        <v>0</v>
      </c>
      <c r="K164" t="n">
        <v>0</v>
      </c>
      <c r="L164" t="n">
        <v>0</v>
      </c>
      <c r="M164" t="n">
        <v>0</v>
      </c>
      <c r="N164" t="n">
        <v>0</v>
      </c>
      <c r="O164" t="n">
        <v>0</v>
      </c>
      <c r="P164" t="n">
        <v>0</v>
      </c>
      <c r="Q164" t="n">
        <v>0</v>
      </c>
      <c r="R164" s="2" t="inlineStr"/>
    </row>
    <row r="165" ht="15" customHeight="1">
      <c r="A165" t="inlineStr">
        <is>
          <t>A 219-2022</t>
        </is>
      </c>
      <c r="B165" s="1" t="n">
        <v>44564</v>
      </c>
      <c r="C165" s="1" t="n">
        <v>46129</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6048-2022</t>
        </is>
      </c>
      <c r="B166" s="1" t="n">
        <v>44599.5174537037</v>
      </c>
      <c r="C166" s="1" t="n">
        <v>46129</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53576-2022</t>
        </is>
      </c>
      <c r="B167" s="1" t="n">
        <v>44875</v>
      </c>
      <c r="C167" s="1" t="n">
        <v>46129</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6253-2022</t>
        </is>
      </c>
      <c r="B168" s="1" t="n">
        <v>44600</v>
      </c>
      <c r="C168" s="1" t="n">
        <v>46129</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55412-2022</t>
        </is>
      </c>
      <c r="B169" s="1" t="n">
        <v>44882</v>
      </c>
      <c r="C169" s="1" t="n">
        <v>46129</v>
      </c>
      <c r="D169" t="inlineStr">
        <is>
          <t>SKÅNE LÄN</t>
        </is>
      </c>
      <c r="E169" t="inlineStr">
        <is>
          <t>HÄSSLEHOLM</t>
        </is>
      </c>
      <c r="F169" t="inlineStr">
        <is>
          <t>Övriga Aktiebolag</t>
        </is>
      </c>
      <c r="G169" t="n">
        <v>4</v>
      </c>
      <c r="H169" t="n">
        <v>0</v>
      </c>
      <c r="I169" t="n">
        <v>0</v>
      </c>
      <c r="J169" t="n">
        <v>0</v>
      </c>
      <c r="K169" t="n">
        <v>0</v>
      </c>
      <c r="L169" t="n">
        <v>0</v>
      </c>
      <c r="M169" t="n">
        <v>0</v>
      </c>
      <c r="N169" t="n">
        <v>0</v>
      </c>
      <c r="O169" t="n">
        <v>0</v>
      </c>
      <c r="P169" t="n">
        <v>0</v>
      </c>
      <c r="Q169" t="n">
        <v>0</v>
      </c>
      <c r="R169" s="2" t="inlineStr"/>
    </row>
    <row r="170" ht="15" customHeight="1">
      <c r="A170" t="inlineStr">
        <is>
          <t>A 7262-2022</t>
        </is>
      </c>
      <c r="B170" s="1" t="n">
        <v>44606</v>
      </c>
      <c r="C170" s="1" t="n">
        <v>46129</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64826-2021</t>
        </is>
      </c>
      <c r="B171" s="1" t="n">
        <v>44512.55935185185</v>
      </c>
      <c r="C171" s="1" t="n">
        <v>46129</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23967-2022</t>
        </is>
      </c>
      <c r="B172" s="1" t="n">
        <v>44722.74079861111</v>
      </c>
      <c r="C172" s="1" t="n">
        <v>46129</v>
      </c>
      <c r="D172" t="inlineStr">
        <is>
          <t>SKÅNE LÄN</t>
        </is>
      </c>
      <c r="E172" t="inlineStr">
        <is>
          <t>HÄSSLEHOLM</t>
        </is>
      </c>
      <c r="F172" t="inlineStr">
        <is>
          <t>Kyrkan</t>
        </is>
      </c>
      <c r="G172" t="n">
        <v>12.4</v>
      </c>
      <c r="H172" t="n">
        <v>0</v>
      </c>
      <c r="I172" t="n">
        <v>0</v>
      </c>
      <c r="J172" t="n">
        <v>0</v>
      </c>
      <c r="K172" t="n">
        <v>0</v>
      </c>
      <c r="L172" t="n">
        <v>0</v>
      </c>
      <c r="M172" t="n">
        <v>0</v>
      </c>
      <c r="N172" t="n">
        <v>0</v>
      </c>
      <c r="O172" t="n">
        <v>0</v>
      </c>
      <c r="P172" t="n">
        <v>0</v>
      </c>
      <c r="Q172" t="n">
        <v>0</v>
      </c>
      <c r="R172" s="2" t="inlineStr"/>
    </row>
    <row r="173" ht="15" customHeight="1">
      <c r="A173" t="inlineStr">
        <is>
          <t>A 25464-2022</t>
        </is>
      </c>
      <c r="B173" s="1" t="n">
        <v>44729</v>
      </c>
      <c r="C173" s="1" t="n">
        <v>46129</v>
      </c>
      <c r="D173" t="inlineStr">
        <is>
          <t>SKÅNE LÄN</t>
        </is>
      </c>
      <c r="E173" t="inlineStr">
        <is>
          <t>HÄSSLEHOLM</t>
        </is>
      </c>
      <c r="G173" t="n">
        <v>21</v>
      </c>
      <c r="H173" t="n">
        <v>0</v>
      </c>
      <c r="I173" t="n">
        <v>0</v>
      </c>
      <c r="J173" t="n">
        <v>0</v>
      </c>
      <c r="K173" t="n">
        <v>0</v>
      </c>
      <c r="L173" t="n">
        <v>0</v>
      </c>
      <c r="M173" t="n">
        <v>0</v>
      </c>
      <c r="N173" t="n">
        <v>0</v>
      </c>
      <c r="O173" t="n">
        <v>0</v>
      </c>
      <c r="P173" t="n">
        <v>0</v>
      </c>
      <c r="Q173" t="n">
        <v>0</v>
      </c>
      <c r="R173" s="2" t="inlineStr"/>
    </row>
    <row r="174" ht="15" customHeight="1">
      <c r="A174" t="inlineStr">
        <is>
          <t>A 8177-2022</t>
        </is>
      </c>
      <c r="B174" s="1" t="n">
        <v>44607</v>
      </c>
      <c r="C174" s="1" t="n">
        <v>46129</v>
      </c>
      <c r="D174" t="inlineStr">
        <is>
          <t>SKÅNE LÄN</t>
        </is>
      </c>
      <c r="E174" t="inlineStr">
        <is>
          <t>HÄSSLEHOLM</t>
        </is>
      </c>
      <c r="F174" t="inlineStr">
        <is>
          <t>Kyrkan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30344-2022</t>
        </is>
      </c>
      <c r="B175" s="1" t="n">
        <v>44760.50783564815</v>
      </c>
      <c r="C175" s="1" t="n">
        <v>46129</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56527-2021</t>
        </is>
      </c>
      <c r="B176" s="1" t="n">
        <v>44480</v>
      </c>
      <c r="C176" s="1" t="n">
        <v>46129</v>
      </c>
      <c r="D176" t="inlineStr">
        <is>
          <t>SKÅNE LÄN</t>
        </is>
      </c>
      <c r="E176" t="inlineStr">
        <is>
          <t>HÄSSLEHOLM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3992-2022</t>
        </is>
      </c>
      <c r="B177" s="1" t="n">
        <v>44587</v>
      </c>
      <c r="C177" s="1" t="n">
        <v>46129</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25955-2022</t>
        </is>
      </c>
      <c r="B178" s="1" t="n">
        <v>44734</v>
      </c>
      <c r="C178" s="1" t="n">
        <v>46129</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20657-2022</t>
        </is>
      </c>
      <c r="B179" s="1" t="n">
        <v>44700</v>
      </c>
      <c r="C179" s="1" t="n">
        <v>46129</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25788-2021</t>
        </is>
      </c>
      <c r="B180" s="1" t="n">
        <v>44343</v>
      </c>
      <c r="C180" s="1" t="n">
        <v>46129</v>
      </c>
      <c r="D180" t="inlineStr">
        <is>
          <t>SKÅNE LÄN</t>
        </is>
      </c>
      <c r="E180" t="inlineStr">
        <is>
          <t>HÄSSLEHOLM</t>
        </is>
      </c>
      <c r="G180" t="n">
        <v>4.8</v>
      </c>
      <c r="H180" t="n">
        <v>0</v>
      </c>
      <c r="I180" t="n">
        <v>0</v>
      </c>
      <c r="J180" t="n">
        <v>0</v>
      </c>
      <c r="K180" t="n">
        <v>0</v>
      </c>
      <c r="L180" t="n">
        <v>0</v>
      </c>
      <c r="M180" t="n">
        <v>0</v>
      </c>
      <c r="N180" t="n">
        <v>0</v>
      </c>
      <c r="O180" t="n">
        <v>0</v>
      </c>
      <c r="P180" t="n">
        <v>0</v>
      </c>
      <c r="Q180" t="n">
        <v>0</v>
      </c>
      <c r="R180" s="2" t="inlineStr"/>
    </row>
    <row r="181" ht="15" customHeight="1">
      <c r="A181" t="inlineStr">
        <is>
          <t>A 23950-2023</t>
        </is>
      </c>
      <c r="B181" s="1" t="n">
        <v>45078.61771990741</v>
      </c>
      <c r="C181" s="1" t="n">
        <v>46129</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23952-2023</t>
        </is>
      </c>
      <c r="B182" s="1" t="n">
        <v>45078.62064814815</v>
      </c>
      <c r="C182" s="1" t="n">
        <v>46129</v>
      </c>
      <c r="D182" t="inlineStr">
        <is>
          <t>SKÅNE LÄN</t>
        </is>
      </c>
      <c r="E182" t="inlineStr">
        <is>
          <t>HÄSSLEHOLM</t>
        </is>
      </c>
      <c r="G182" t="n">
        <v>0.4</v>
      </c>
      <c r="H182" t="n">
        <v>0</v>
      </c>
      <c r="I182" t="n">
        <v>0</v>
      </c>
      <c r="J182" t="n">
        <v>0</v>
      </c>
      <c r="K182" t="n">
        <v>0</v>
      </c>
      <c r="L182" t="n">
        <v>0</v>
      </c>
      <c r="M182" t="n">
        <v>0</v>
      </c>
      <c r="N182" t="n">
        <v>0</v>
      </c>
      <c r="O182" t="n">
        <v>0</v>
      </c>
      <c r="P182" t="n">
        <v>0</v>
      </c>
      <c r="Q182" t="n">
        <v>0</v>
      </c>
      <c r="R182" s="2" t="inlineStr"/>
    </row>
    <row r="183" ht="15" customHeight="1">
      <c r="A183" t="inlineStr">
        <is>
          <t>A 23956-2023</t>
        </is>
      </c>
      <c r="B183" s="1" t="n">
        <v>45078.62302083334</v>
      </c>
      <c r="C183" s="1" t="n">
        <v>46129</v>
      </c>
      <c r="D183" t="inlineStr">
        <is>
          <t>SKÅNE LÄN</t>
        </is>
      </c>
      <c r="E183" t="inlineStr">
        <is>
          <t>HÄSSLEHOLM</t>
        </is>
      </c>
      <c r="G183" t="n">
        <v>0.1</v>
      </c>
      <c r="H183" t="n">
        <v>0</v>
      </c>
      <c r="I183" t="n">
        <v>0</v>
      </c>
      <c r="J183" t="n">
        <v>0</v>
      </c>
      <c r="K183" t="n">
        <v>0</v>
      </c>
      <c r="L183" t="n">
        <v>0</v>
      </c>
      <c r="M183" t="n">
        <v>0</v>
      </c>
      <c r="N183" t="n">
        <v>0</v>
      </c>
      <c r="O183" t="n">
        <v>0</v>
      </c>
      <c r="P183" t="n">
        <v>0</v>
      </c>
      <c r="Q183" t="n">
        <v>0</v>
      </c>
      <c r="R183" s="2" t="inlineStr"/>
    </row>
    <row r="184" ht="15" customHeight="1">
      <c r="A184" t="inlineStr">
        <is>
          <t>A 3500-2024</t>
        </is>
      </c>
      <c r="B184" s="1" t="n">
        <v>45320</v>
      </c>
      <c r="C184" s="1" t="n">
        <v>46129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58815-2023</t>
        </is>
      </c>
      <c r="B185" s="1" t="n">
        <v>45247</v>
      </c>
      <c r="C185" s="1" t="n">
        <v>46129</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35974-2022</t>
        </is>
      </c>
      <c r="B186" s="1" t="n">
        <v>44802</v>
      </c>
      <c r="C186" s="1" t="n">
        <v>46129</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7890-2024</t>
        </is>
      </c>
      <c r="B187" s="1" t="n">
        <v>45350.40780092592</v>
      </c>
      <c r="C187" s="1" t="n">
        <v>46129</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33597-2023</t>
        </is>
      </c>
      <c r="B188" s="1" t="n">
        <v>45132</v>
      </c>
      <c r="C188" s="1" t="n">
        <v>46129</v>
      </c>
      <c r="D188" t="inlineStr">
        <is>
          <t>SKÅNE LÄN</t>
        </is>
      </c>
      <c r="E188" t="inlineStr">
        <is>
          <t>HÄSSLEHOLM</t>
        </is>
      </c>
      <c r="G188" t="n">
        <v>3.9</v>
      </c>
      <c r="H188" t="n">
        <v>0</v>
      </c>
      <c r="I188" t="n">
        <v>0</v>
      </c>
      <c r="J188" t="n">
        <v>0</v>
      </c>
      <c r="K188" t="n">
        <v>0</v>
      </c>
      <c r="L188" t="n">
        <v>0</v>
      </c>
      <c r="M188" t="n">
        <v>0</v>
      </c>
      <c r="N188" t="n">
        <v>0</v>
      </c>
      <c r="O188" t="n">
        <v>0</v>
      </c>
      <c r="P188" t="n">
        <v>0</v>
      </c>
      <c r="Q188" t="n">
        <v>0</v>
      </c>
      <c r="R188" s="2" t="inlineStr"/>
    </row>
    <row r="189" ht="15" customHeight="1">
      <c r="A189" t="inlineStr">
        <is>
          <t>A 33599-2023</t>
        </is>
      </c>
      <c r="B189" s="1" t="n">
        <v>45132</v>
      </c>
      <c r="C189" s="1" t="n">
        <v>46129</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27173-2024</t>
        </is>
      </c>
      <c r="B190" s="1" t="n">
        <v>45471.57048611111</v>
      </c>
      <c r="C190" s="1" t="n">
        <v>46129</v>
      </c>
      <c r="D190" t="inlineStr">
        <is>
          <t>SKÅNE LÄN</t>
        </is>
      </c>
      <c r="E190" t="inlineStr">
        <is>
          <t>HÄSSLEHOLM</t>
        </is>
      </c>
      <c r="G190" t="n">
        <v>1.8</v>
      </c>
      <c r="H190" t="n">
        <v>0</v>
      </c>
      <c r="I190" t="n">
        <v>0</v>
      </c>
      <c r="J190" t="n">
        <v>0</v>
      </c>
      <c r="K190" t="n">
        <v>0</v>
      </c>
      <c r="L190" t="n">
        <v>0</v>
      </c>
      <c r="M190" t="n">
        <v>0</v>
      </c>
      <c r="N190" t="n">
        <v>0</v>
      </c>
      <c r="O190" t="n">
        <v>0</v>
      </c>
      <c r="P190" t="n">
        <v>0</v>
      </c>
      <c r="Q190" t="n">
        <v>0</v>
      </c>
      <c r="R190" s="2" t="inlineStr"/>
    </row>
    <row r="191" ht="15" customHeight="1">
      <c r="A191" t="inlineStr">
        <is>
          <t>A 14674-2025</t>
        </is>
      </c>
      <c r="B191" s="1" t="n">
        <v>45742.55548611111</v>
      </c>
      <c r="C191" s="1" t="n">
        <v>46129</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14702-2025</t>
        </is>
      </c>
      <c r="B192" s="1" t="n">
        <v>45742.60403935185</v>
      </c>
      <c r="C192" s="1" t="n">
        <v>46129</v>
      </c>
      <c r="D192" t="inlineStr">
        <is>
          <t>SKÅNE LÄN</t>
        </is>
      </c>
      <c r="E192" t="inlineStr">
        <is>
          <t>HÄSSLEHOLM</t>
        </is>
      </c>
      <c r="G192" t="n">
        <v>1.8</v>
      </c>
      <c r="H192" t="n">
        <v>0</v>
      </c>
      <c r="I192" t="n">
        <v>0</v>
      </c>
      <c r="J192" t="n">
        <v>0</v>
      </c>
      <c r="K192" t="n">
        <v>0</v>
      </c>
      <c r="L192" t="n">
        <v>0</v>
      </c>
      <c r="M192" t="n">
        <v>0</v>
      </c>
      <c r="N192" t="n">
        <v>0</v>
      </c>
      <c r="O192" t="n">
        <v>0</v>
      </c>
      <c r="P192" t="n">
        <v>0</v>
      </c>
      <c r="Q192" t="n">
        <v>0</v>
      </c>
      <c r="R192" s="2" t="inlineStr"/>
    </row>
    <row r="193" ht="15" customHeight="1">
      <c r="A193" t="inlineStr">
        <is>
          <t>A 10020-2024</t>
        </is>
      </c>
      <c r="B193" s="1" t="n">
        <v>45363.96944444445</v>
      </c>
      <c r="C193" s="1" t="n">
        <v>46129</v>
      </c>
      <c r="D193" t="inlineStr">
        <is>
          <t>SKÅNE LÄN</t>
        </is>
      </c>
      <c r="E193" t="inlineStr">
        <is>
          <t>HÄSSLEHOLM</t>
        </is>
      </c>
      <c r="G193" t="n">
        <v>5.3</v>
      </c>
      <c r="H193" t="n">
        <v>0</v>
      </c>
      <c r="I193" t="n">
        <v>0</v>
      </c>
      <c r="J193" t="n">
        <v>0</v>
      </c>
      <c r="K193" t="n">
        <v>0</v>
      </c>
      <c r="L193" t="n">
        <v>0</v>
      </c>
      <c r="M193" t="n">
        <v>0</v>
      </c>
      <c r="N193" t="n">
        <v>0</v>
      </c>
      <c r="O193" t="n">
        <v>0</v>
      </c>
      <c r="P193" t="n">
        <v>0</v>
      </c>
      <c r="Q193" t="n">
        <v>0</v>
      </c>
      <c r="R193" s="2" t="inlineStr"/>
    </row>
    <row r="194" ht="15" customHeight="1">
      <c r="A194" t="inlineStr">
        <is>
          <t>A 24241-2023</t>
        </is>
      </c>
      <c r="B194" s="1" t="n">
        <v>45079.61476851852</v>
      </c>
      <c r="C194" s="1" t="n">
        <v>46129</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16388-2025</t>
        </is>
      </c>
      <c r="B195" s="1" t="n">
        <v>45751.42787037037</v>
      </c>
      <c r="C195" s="1" t="n">
        <v>46129</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70087-2021</t>
        </is>
      </c>
      <c r="B196" s="1" t="n">
        <v>44533</v>
      </c>
      <c r="C196" s="1" t="n">
        <v>46129</v>
      </c>
      <c r="D196" t="inlineStr">
        <is>
          <t>SKÅNE LÄN</t>
        </is>
      </c>
      <c r="E196" t="inlineStr">
        <is>
          <t>HÄSSLEHOLM</t>
        </is>
      </c>
      <c r="G196" t="n">
        <v>5</v>
      </c>
      <c r="H196" t="n">
        <v>0</v>
      </c>
      <c r="I196" t="n">
        <v>0</v>
      </c>
      <c r="J196" t="n">
        <v>0</v>
      </c>
      <c r="K196" t="n">
        <v>0</v>
      </c>
      <c r="L196" t="n">
        <v>0</v>
      </c>
      <c r="M196" t="n">
        <v>0</v>
      </c>
      <c r="N196" t="n">
        <v>0</v>
      </c>
      <c r="O196" t="n">
        <v>0</v>
      </c>
      <c r="P196" t="n">
        <v>0</v>
      </c>
      <c r="Q196" t="n">
        <v>0</v>
      </c>
      <c r="R196" s="2" t="inlineStr"/>
    </row>
    <row r="197" ht="15" customHeight="1">
      <c r="A197" t="inlineStr">
        <is>
          <t>A 21310-2022</t>
        </is>
      </c>
      <c r="B197" s="1" t="n">
        <v>44705</v>
      </c>
      <c r="C197" s="1" t="n">
        <v>46129</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5284-2023</t>
        </is>
      </c>
      <c r="B198" s="1" t="n">
        <v>44959.50608796296</v>
      </c>
      <c r="C198" s="1" t="n">
        <v>46129</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5285-2023</t>
        </is>
      </c>
      <c r="B199" s="1" t="n">
        <v>44959.50783564815</v>
      </c>
      <c r="C199" s="1" t="n">
        <v>46129</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34888-2023</t>
        </is>
      </c>
      <c r="B200" s="1" t="n">
        <v>45142.388125</v>
      </c>
      <c r="C200" s="1" t="n">
        <v>46129</v>
      </c>
      <c r="D200" t="inlineStr">
        <is>
          <t>SKÅNE LÄN</t>
        </is>
      </c>
      <c r="E200" t="inlineStr">
        <is>
          <t>HÄSSLEHOLM</t>
        </is>
      </c>
      <c r="G200" t="n">
        <v>1.4</v>
      </c>
      <c r="H200" t="n">
        <v>0</v>
      </c>
      <c r="I200" t="n">
        <v>0</v>
      </c>
      <c r="J200" t="n">
        <v>0</v>
      </c>
      <c r="K200" t="n">
        <v>0</v>
      </c>
      <c r="L200" t="n">
        <v>0</v>
      </c>
      <c r="M200" t="n">
        <v>0</v>
      </c>
      <c r="N200" t="n">
        <v>0</v>
      </c>
      <c r="O200" t="n">
        <v>0</v>
      </c>
      <c r="P200" t="n">
        <v>0</v>
      </c>
      <c r="Q200" t="n">
        <v>0</v>
      </c>
      <c r="R200" s="2" t="inlineStr"/>
    </row>
    <row r="201" ht="15" customHeight="1">
      <c r="A201" t="inlineStr">
        <is>
          <t>A 1619-2022</t>
        </is>
      </c>
      <c r="B201" s="1" t="n">
        <v>44573</v>
      </c>
      <c r="C201" s="1" t="n">
        <v>46129</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20666-2023</t>
        </is>
      </c>
      <c r="B202" s="1" t="n">
        <v>45058.35664351852</v>
      </c>
      <c r="C202" s="1" t="n">
        <v>46129</v>
      </c>
      <c r="D202" t="inlineStr">
        <is>
          <t>SKÅNE LÄN</t>
        </is>
      </c>
      <c r="E202" t="inlineStr">
        <is>
          <t>HÄSSLEHOLM</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54435-2024</t>
        </is>
      </c>
      <c r="B203" s="1" t="n">
        <v>45617.49494212963</v>
      </c>
      <c r="C203" s="1" t="n">
        <v>46129</v>
      </c>
      <c r="D203" t="inlineStr">
        <is>
          <t>SKÅNE LÄN</t>
        </is>
      </c>
      <c r="E203" t="inlineStr">
        <is>
          <t>HÄSSLEHOLM</t>
        </is>
      </c>
      <c r="G203" t="n">
        <v>2.3</v>
      </c>
      <c r="H203" t="n">
        <v>0</v>
      </c>
      <c r="I203" t="n">
        <v>0</v>
      </c>
      <c r="J203" t="n">
        <v>0</v>
      </c>
      <c r="K203" t="n">
        <v>0</v>
      </c>
      <c r="L203" t="n">
        <v>0</v>
      </c>
      <c r="M203" t="n">
        <v>0</v>
      </c>
      <c r="N203" t="n">
        <v>0</v>
      </c>
      <c r="O203" t="n">
        <v>0</v>
      </c>
      <c r="P203" t="n">
        <v>0</v>
      </c>
      <c r="Q203" t="n">
        <v>0</v>
      </c>
      <c r="R203" s="2" t="inlineStr"/>
    </row>
    <row r="204" ht="15" customHeight="1">
      <c r="A204" t="inlineStr">
        <is>
          <t>A 58886-2024</t>
        </is>
      </c>
      <c r="B204" s="1" t="n">
        <v>45636.45380787037</v>
      </c>
      <c r="C204" s="1" t="n">
        <v>46129</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13087-2023</t>
        </is>
      </c>
      <c r="B205" s="1" t="n">
        <v>45001</v>
      </c>
      <c r="C205" s="1" t="n">
        <v>46129</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59028-2023</t>
        </is>
      </c>
      <c r="B206" s="1" t="n">
        <v>45252.67900462963</v>
      </c>
      <c r="C206" s="1" t="n">
        <v>46129</v>
      </c>
      <c r="D206" t="inlineStr">
        <is>
          <t>SKÅNE LÄN</t>
        </is>
      </c>
      <c r="E206" t="inlineStr">
        <is>
          <t>HÄSSLEHOLM</t>
        </is>
      </c>
      <c r="G206" t="n">
        <v>2.5</v>
      </c>
      <c r="H206" t="n">
        <v>0</v>
      </c>
      <c r="I206" t="n">
        <v>0</v>
      </c>
      <c r="J206" t="n">
        <v>0</v>
      </c>
      <c r="K206" t="n">
        <v>0</v>
      </c>
      <c r="L206" t="n">
        <v>0</v>
      </c>
      <c r="M206" t="n">
        <v>0</v>
      </c>
      <c r="N206" t="n">
        <v>0</v>
      </c>
      <c r="O206" t="n">
        <v>0</v>
      </c>
      <c r="P206" t="n">
        <v>0</v>
      </c>
      <c r="Q206" t="n">
        <v>0</v>
      </c>
      <c r="R206" s="2" t="inlineStr"/>
    </row>
    <row r="207" ht="15" customHeight="1">
      <c r="A207" t="inlineStr">
        <is>
          <t>A 41874-2024</t>
        </is>
      </c>
      <c r="B207" s="1" t="n">
        <v>45561</v>
      </c>
      <c r="C207" s="1" t="n">
        <v>46129</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21867-2023</t>
        </is>
      </c>
      <c r="B208" s="1" t="n">
        <v>45063</v>
      </c>
      <c r="C208" s="1" t="n">
        <v>46129</v>
      </c>
      <c r="D208" t="inlineStr">
        <is>
          <t>SKÅNE LÄN</t>
        </is>
      </c>
      <c r="E208" t="inlineStr">
        <is>
          <t>HÄSSLEHOLM</t>
        </is>
      </c>
      <c r="G208" t="n">
        <v>7.6</v>
      </c>
      <c r="H208" t="n">
        <v>0</v>
      </c>
      <c r="I208" t="n">
        <v>0</v>
      </c>
      <c r="J208" t="n">
        <v>0</v>
      </c>
      <c r="K208" t="n">
        <v>0</v>
      </c>
      <c r="L208" t="n">
        <v>0</v>
      </c>
      <c r="M208" t="n">
        <v>0</v>
      </c>
      <c r="N208" t="n">
        <v>0</v>
      </c>
      <c r="O208" t="n">
        <v>0</v>
      </c>
      <c r="P208" t="n">
        <v>0</v>
      </c>
      <c r="Q208" t="n">
        <v>0</v>
      </c>
      <c r="R208" s="2" t="inlineStr"/>
    </row>
    <row r="209" ht="15" customHeight="1">
      <c r="A209" t="inlineStr">
        <is>
          <t>A 20566-2023</t>
        </is>
      </c>
      <c r="B209" s="1" t="n">
        <v>45057</v>
      </c>
      <c r="C209" s="1" t="n">
        <v>46129</v>
      </c>
      <c r="D209" t="inlineStr">
        <is>
          <t>SKÅNE LÄN</t>
        </is>
      </c>
      <c r="E209" t="inlineStr">
        <is>
          <t>HÄSSLEHOLM</t>
        </is>
      </c>
      <c r="G209" t="n">
        <v>5.2</v>
      </c>
      <c r="H209" t="n">
        <v>0</v>
      </c>
      <c r="I209" t="n">
        <v>0</v>
      </c>
      <c r="J209" t="n">
        <v>0</v>
      </c>
      <c r="K209" t="n">
        <v>0</v>
      </c>
      <c r="L209" t="n">
        <v>0</v>
      </c>
      <c r="M209" t="n">
        <v>0</v>
      </c>
      <c r="N209" t="n">
        <v>0</v>
      </c>
      <c r="O209" t="n">
        <v>0</v>
      </c>
      <c r="P209" t="n">
        <v>0</v>
      </c>
      <c r="Q209" t="n">
        <v>0</v>
      </c>
      <c r="R209" s="2" t="inlineStr"/>
    </row>
    <row r="210" ht="15" customHeight="1">
      <c r="A210" t="inlineStr">
        <is>
          <t>A 8250-2023</t>
        </is>
      </c>
      <c r="B210" s="1" t="n">
        <v>44974</v>
      </c>
      <c r="C210" s="1" t="n">
        <v>46129</v>
      </c>
      <c r="D210" t="inlineStr">
        <is>
          <t>SKÅNE LÄN</t>
        </is>
      </c>
      <c r="E210" t="inlineStr">
        <is>
          <t>HÄSSLEHOLM</t>
        </is>
      </c>
      <c r="G210" t="n">
        <v>3</v>
      </c>
      <c r="H210" t="n">
        <v>0</v>
      </c>
      <c r="I210" t="n">
        <v>0</v>
      </c>
      <c r="J210" t="n">
        <v>0</v>
      </c>
      <c r="K210" t="n">
        <v>0</v>
      </c>
      <c r="L210" t="n">
        <v>0</v>
      </c>
      <c r="M210" t="n">
        <v>0</v>
      </c>
      <c r="N210" t="n">
        <v>0</v>
      </c>
      <c r="O210" t="n">
        <v>0</v>
      </c>
      <c r="P210" t="n">
        <v>0</v>
      </c>
      <c r="Q210" t="n">
        <v>0</v>
      </c>
      <c r="R210" s="2" t="inlineStr"/>
    </row>
    <row r="211" ht="15" customHeight="1">
      <c r="A211" t="inlineStr">
        <is>
          <t>A 48747-2022</t>
        </is>
      </c>
      <c r="B211" s="1" t="n">
        <v>44859</v>
      </c>
      <c r="C211" s="1" t="n">
        <v>46129</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57079-2022</t>
        </is>
      </c>
      <c r="B212" s="1" t="n">
        <v>44895</v>
      </c>
      <c r="C212" s="1" t="n">
        <v>46129</v>
      </c>
      <c r="D212" t="inlineStr">
        <is>
          <t>SKÅNE LÄN</t>
        </is>
      </c>
      <c r="E212" t="inlineStr">
        <is>
          <t>HÄSSLEHOLM</t>
        </is>
      </c>
      <c r="G212" t="n">
        <v>2.6</v>
      </c>
      <c r="H212" t="n">
        <v>0</v>
      </c>
      <c r="I212" t="n">
        <v>0</v>
      </c>
      <c r="J212" t="n">
        <v>0</v>
      </c>
      <c r="K212" t="n">
        <v>0</v>
      </c>
      <c r="L212" t="n">
        <v>0</v>
      </c>
      <c r="M212" t="n">
        <v>0</v>
      </c>
      <c r="N212" t="n">
        <v>0</v>
      </c>
      <c r="O212" t="n">
        <v>0</v>
      </c>
      <c r="P212" t="n">
        <v>0</v>
      </c>
      <c r="Q212" t="n">
        <v>0</v>
      </c>
      <c r="R212" s="2" t="inlineStr"/>
    </row>
    <row r="213" ht="15" customHeight="1">
      <c r="A213" t="inlineStr">
        <is>
          <t>A 15698-2023</t>
        </is>
      </c>
      <c r="B213" s="1" t="n">
        <v>45021</v>
      </c>
      <c r="C213" s="1" t="n">
        <v>46129</v>
      </c>
      <c r="D213" t="inlineStr">
        <is>
          <t>SKÅNE LÄN</t>
        </is>
      </c>
      <c r="E213" t="inlineStr">
        <is>
          <t>HÄSSLEHOLM</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34886-2023</t>
        </is>
      </c>
      <c r="B214" s="1" t="n">
        <v>45142.38450231482</v>
      </c>
      <c r="C214" s="1" t="n">
        <v>46129</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2596-2024</t>
        </is>
      </c>
      <c r="B215" s="1" t="n">
        <v>45313.69969907407</v>
      </c>
      <c r="C215" s="1" t="n">
        <v>46129</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13198-2025</t>
        </is>
      </c>
      <c r="B216" s="1" t="n">
        <v>45735</v>
      </c>
      <c r="C216" s="1" t="n">
        <v>46129</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6842-2023</t>
        </is>
      </c>
      <c r="B217" s="1" t="n">
        <v>44967</v>
      </c>
      <c r="C217" s="1" t="n">
        <v>46129</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50899-2024</t>
        </is>
      </c>
      <c r="B218" s="1" t="n">
        <v>45602.68584490741</v>
      </c>
      <c r="C218" s="1" t="n">
        <v>46129</v>
      </c>
      <c r="D218" t="inlineStr">
        <is>
          <t>SKÅNE LÄN</t>
        </is>
      </c>
      <c r="E218" t="inlineStr">
        <is>
          <t>HÄSSLEHOLM</t>
        </is>
      </c>
      <c r="G218" t="n">
        <v>1.7</v>
      </c>
      <c r="H218" t="n">
        <v>0</v>
      </c>
      <c r="I218" t="n">
        <v>0</v>
      </c>
      <c r="J218" t="n">
        <v>0</v>
      </c>
      <c r="K218" t="n">
        <v>0</v>
      </c>
      <c r="L218" t="n">
        <v>0</v>
      </c>
      <c r="M218" t="n">
        <v>0</v>
      </c>
      <c r="N218" t="n">
        <v>0</v>
      </c>
      <c r="O218" t="n">
        <v>0</v>
      </c>
      <c r="P218" t="n">
        <v>0</v>
      </c>
      <c r="Q218" t="n">
        <v>0</v>
      </c>
      <c r="R218" s="2" t="inlineStr"/>
    </row>
    <row r="219" ht="15" customHeight="1">
      <c r="A219" t="inlineStr">
        <is>
          <t>A 65235-2021</t>
        </is>
      </c>
      <c r="B219" s="1" t="n">
        <v>44515</v>
      </c>
      <c r="C219" s="1" t="n">
        <v>46129</v>
      </c>
      <c r="D219" t="inlineStr">
        <is>
          <t>SKÅNE LÄN</t>
        </is>
      </c>
      <c r="E219" t="inlineStr">
        <is>
          <t>HÄSSLEHOLM</t>
        </is>
      </c>
      <c r="G219" t="n">
        <v>2.5</v>
      </c>
      <c r="H219" t="n">
        <v>0</v>
      </c>
      <c r="I219" t="n">
        <v>0</v>
      </c>
      <c r="J219" t="n">
        <v>0</v>
      </c>
      <c r="K219" t="n">
        <v>0</v>
      </c>
      <c r="L219" t="n">
        <v>0</v>
      </c>
      <c r="M219" t="n">
        <v>0</v>
      </c>
      <c r="N219" t="n">
        <v>0</v>
      </c>
      <c r="O219" t="n">
        <v>0</v>
      </c>
      <c r="P219" t="n">
        <v>0</v>
      </c>
      <c r="Q219" t="n">
        <v>0</v>
      </c>
      <c r="R219" s="2" t="inlineStr"/>
    </row>
    <row r="220" ht="15" customHeight="1">
      <c r="A220" t="inlineStr">
        <is>
          <t>A 50616-2023</t>
        </is>
      </c>
      <c r="B220" s="1" t="n">
        <v>45210</v>
      </c>
      <c r="C220" s="1" t="n">
        <v>46129</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45361-2023</t>
        </is>
      </c>
      <c r="B221" s="1" t="n">
        <v>45192.49068287037</v>
      </c>
      <c r="C221" s="1" t="n">
        <v>46129</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13549-2025</t>
        </is>
      </c>
      <c r="B222" s="1" t="n">
        <v>45736</v>
      </c>
      <c r="C222" s="1" t="n">
        <v>46129</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51245-2023</t>
        </is>
      </c>
      <c r="B223" s="1" t="n">
        <v>45212</v>
      </c>
      <c r="C223" s="1" t="n">
        <v>46129</v>
      </c>
      <c r="D223" t="inlineStr">
        <is>
          <t>SKÅNE LÄN</t>
        </is>
      </c>
      <c r="E223" t="inlineStr">
        <is>
          <t>HÄSSLEHOLM</t>
        </is>
      </c>
      <c r="G223" t="n">
        <v>2.1</v>
      </c>
      <c r="H223" t="n">
        <v>0</v>
      </c>
      <c r="I223" t="n">
        <v>0</v>
      </c>
      <c r="J223" t="n">
        <v>0</v>
      </c>
      <c r="K223" t="n">
        <v>0</v>
      </c>
      <c r="L223" t="n">
        <v>0</v>
      </c>
      <c r="M223" t="n">
        <v>0</v>
      </c>
      <c r="N223" t="n">
        <v>0</v>
      </c>
      <c r="O223" t="n">
        <v>0</v>
      </c>
      <c r="P223" t="n">
        <v>0</v>
      </c>
      <c r="Q223" t="n">
        <v>0</v>
      </c>
      <c r="R223" s="2" t="inlineStr"/>
    </row>
    <row r="224" ht="15" customHeight="1">
      <c r="A224" t="inlineStr">
        <is>
          <t>A 49107-2023</t>
        </is>
      </c>
      <c r="B224" s="1" t="n">
        <v>45210.44337962963</v>
      </c>
      <c r="C224" s="1" t="n">
        <v>46129</v>
      </c>
      <c r="D224" t="inlineStr">
        <is>
          <t>SKÅNE LÄN</t>
        </is>
      </c>
      <c r="E224" t="inlineStr">
        <is>
          <t>HÄSSLEHOLM</t>
        </is>
      </c>
      <c r="G224" t="n">
        <v>0.3</v>
      </c>
      <c r="H224" t="n">
        <v>0</v>
      </c>
      <c r="I224" t="n">
        <v>0</v>
      </c>
      <c r="J224" t="n">
        <v>0</v>
      </c>
      <c r="K224" t="n">
        <v>0</v>
      </c>
      <c r="L224" t="n">
        <v>0</v>
      </c>
      <c r="M224" t="n">
        <v>0</v>
      </c>
      <c r="N224" t="n">
        <v>0</v>
      </c>
      <c r="O224" t="n">
        <v>0</v>
      </c>
      <c r="P224" t="n">
        <v>0</v>
      </c>
      <c r="Q224" t="n">
        <v>0</v>
      </c>
      <c r="R224" s="2" t="inlineStr"/>
    </row>
    <row r="225" ht="15" customHeight="1">
      <c r="A225" t="inlineStr">
        <is>
          <t>A 31934-2024</t>
        </is>
      </c>
      <c r="B225" s="1" t="n">
        <v>45510.41177083334</v>
      </c>
      <c r="C225" s="1" t="n">
        <v>46129</v>
      </c>
      <c r="D225" t="inlineStr">
        <is>
          <t>SKÅNE LÄN</t>
        </is>
      </c>
      <c r="E225" t="inlineStr">
        <is>
          <t>HÄSSLEHOLM</t>
        </is>
      </c>
      <c r="G225" t="n">
        <v>1.9</v>
      </c>
      <c r="H225" t="n">
        <v>0</v>
      </c>
      <c r="I225" t="n">
        <v>0</v>
      </c>
      <c r="J225" t="n">
        <v>0</v>
      </c>
      <c r="K225" t="n">
        <v>0</v>
      </c>
      <c r="L225" t="n">
        <v>0</v>
      </c>
      <c r="M225" t="n">
        <v>0</v>
      </c>
      <c r="N225" t="n">
        <v>0</v>
      </c>
      <c r="O225" t="n">
        <v>0</v>
      </c>
      <c r="P225" t="n">
        <v>0</v>
      </c>
      <c r="Q225" t="n">
        <v>0</v>
      </c>
      <c r="R225" s="2" t="inlineStr"/>
    </row>
    <row r="226" ht="15" customHeight="1">
      <c r="A226" t="inlineStr">
        <is>
          <t>A 9239-2025</t>
        </is>
      </c>
      <c r="B226" s="1" t="n">
        <v>45714</v>
      </c>
      <c r="C226" s="1" t="n">
        <v>46129</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55284-2023</t>
        </is>
      </c>
      <c r="B227" s="1" t="n">
        <v>45237.74259259259</v>
      </c>
      <c r="C227" s="1" t="n">
        <v>46129</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34890-2023</t>
        </is>
      </c>
      <c r="B228" s="1" t="n">
        <v>45142.39475694444</v>
      </c>
      <c r="C228" s="1" t="n">
        <v>46129</v>
      </c>
      <c r="D228" t="inlineStr">
        <is>
          <t>SKÅNE LÄN</t>
        </is>
      </c>
      <c r="E228" t="inlineStr">
        <is>
          <t>HÄSSLEHOLM</t>
        </is>
      </c>
      <c r="G228" t="n">
        <v>4</v>
      </c>
      <c r="H228" t="n">
        <v>0</v>
      </c>
      <c r="I228" t="n">
        <v>0</v>
      </c>
      <c r="J228" t="n">
        <v>0</v>
      </c>
      <c r="K228" t="n">
        <v>0</v>
      </c>
      <c r="L228" t="n">
        <v>0</v>
      </c>
      <c r="M228" t="n">
        <v>0</v>
      </c>
      <c r="N228" t="n">
        <v>0</v>
      </c>
      <c r="O228" t="n">
        <v>0</v>
      </c>
      <c r="P228" t="n">
        <v>0</v>
      </c>
      <c r="Q228" t="n">
        <v>0</v>
      </c>
      <c r="R228" s="2" t="inlineStr"/>
    </row>
    <row r="229" ht="15" customHeight="1">
      <c r="A229" t="inlineStr">
        <is>
          <t>A 22024-2025</t>
        </is>
      </c>
      <c r="B229" s="1" t="n">
        <v>45784.85322916666</v>
      </c>
      <c r="C229" s="1" t="n">
        <v>46129</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20006-2025</t>
        </is>
      </c>
      <c r="B230" s="1" t="n">
        <v>45772.05032407407</v>
      </c>
      <c r="C230" s="1" t="n">
        <v>46129</v>
      </c>
      <c r="D230" t="inlineStr">
        <is>
          <t>SKÅNE LÄN</t>
        </is>
      </c>
      <c r="E230" t="inlineStr">
        <is>
          <t>HÄSSLEHOLM</t>
        </is>
      </c>
      <c r="G230" t="n">
        <v>3.9</v>
      </c>
      <c r="H230" t="n">
        <v>0</v>
      </c>
      <c r="I230" t="n">
        <v>0</v>
      </c>
      <c r="J230" t="n">
        <v>0</v>
      </c>
      <c r="K230" t="n">
        <v>0</v>
      </c>
      <c r="L230" t="n">
        <v>0</v>
      </c>
      <c r="M230" t="n">
        <v>0</v>
      </c>
      <c r="N230" t="n">
        <v>0</v>
      </c>
      <c r="O230" t="n">
        <v>0</v>
      </c>
      <c r="P230" t="n">
        <v>0</v>
      </c>
      <c r="Q230" t="n">
        <v>0</v>
      </c>
      <c r="R230" s="2" t="inlineStr"/>
    </row>
    <row r="231" ht="15" customHeight="1">
      <c r="A231" t="inlineStr">
        <is>
          <t>A 59429-2023</t>
        </is>
      </c>
      <c r="B231" s="1" t="n">
        <v>45254.2875</v>
      </c>
      <c r="C231" s="1" t="n">
        <v>46129</v>
      </c>
      <c r="D231" t="inlineStr">
        <is>
          <t>SKÅNE LÄN</t>
        </is>
      </c>
      <c r="E231" t="inlineStr">
        <is>
          <t>HÄSSLEHOLM</t>
        </is>
      </c>
      <c r="G231" t="n">
        <v>0</v>
      </c>
      <c r="H231" t="n">
        <v>0</v>
      </c>
      <c r="I231" t="n">
        <v>0</v>
      </c>
      <c r="J231" t="n">
        <v>0</v>
      </c>
      <c r="K231" t="n">
        <v>0</v>
      </c>
      <c r="L231" t="n">
        <v>0</v>
      </c>
      <c r="M231" t="n">
        <v>0</v>
      </c>
      <c r="N231" t="n">
        <v>0</v>
      </c>
      <c r="O231" t="n">
        <v>0</v>
      </c>
      <c r="P231" t="n">
        <v>0</v>
      </c>
      <c r="Q231" t="n">
        <v>0</v>
      </c>
      <c r="R231" s="2" t="inlineStr"/>
    </row>
    <row r="232" ht="15" customHeight="1">
      <c r="A232" t="inlineStr">
        <is>
          <t>A 56735-2024</t>
        </is>
      </c>
      <c r="B232" s="1" t="n">
        <v>45628.36234953703</v>
      </c>
      <c r="C232" s="1" t="n">
        <v>46129</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29844-2024</t>
        </is>
      </c>
      <c r="B233" s="1" t="n">
        <v>45485</v>
      </c>
      <c r="C233" s="1" t="n">
        <v>46129</v>
      </c>
      <c r="D233" t="inlineStr">
        <is>
          <t>SKÅNE LÄN</t>
        </is>
      </c>
      <c r="E233" t="inlineStr">
        <is>
          <t>HÄSSLEHOLM</t>
        </is>
      </c>
      <c r="G233" t="n">
        <v>1.9</v>
      </c>
      <c r="H233" t="n">
        <v>0</v>
      </c>
      <c r="I233" t="n">
        <v>0</v>
      </c>
      <c r="J233" t="n">
        <v>0</v>
      </c>
      <c r="K233" t="n">
        <v>0</v>
      </c>
      <c r="L233" t="n">
        <v>0</v>
      </c>
      <c r="M233" t="n">
        <v>0</v>
      </c>
      <c r="N233" t="n">
        <v>0</v>
      </c>
      <c r="O233" t="n">
        <v>0</v>
      </c>
      <c r="P233" t="n">
        <v>0</v>
      </c>
      <c r="Q233" t="n">
        <v>0</v>
      </c>
      <c r="R233" s="2" t="inlineStr"/>
    </row>
    <row r="234" ht="15" customHeight="1">
      <c r="A234" t="inlineStr">
        <is>
          <t>A 60959-2022</t>
        </is>
      </c>
      <c r="B234" s="1" t="n">
        <v>44914.64777777778</v>
      </c>
      <c r="C234" s="1" t="n">
        <v>46129</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26403-2024</t>
        </is>
      </c>
      <c r="B235" s="1" t="n">
        <v>45469.44505787037</v>
      </c>
      <c r="C235" s="1" t="n">
        <v>46129</v>
      </c>
      <c r="D235" t="inlineStr">
        <is>
          <t>SKÅNE LÄN</t>
        </is>
      </c>
      <c r="E235" t="inlineStr">
        <is>
          <t>HÄSSLEHOLM</t>
        </is>
      </c>
      <c r="G235" t="n">
        <v>2.6</v>
      </c>
      <c r="H235" t="n">
        <v>0</v>
      </c>
      <c r="I235" t="n">
        <v>0</v>
      </c>
      <c r="J235" t="n">
        <v>0</v>
      </c>
      <c r="K235" t="n">
        <v>0</v>
      </c>
      <c r="L235" t="n">
        <v>0</v>
      </c>
      <c r="M235" t="n">
        <v>0</v>
      </c>
      <c r="N235" t="n">
        <v>0</v>
      </c>
      <c r="O235" t="n">
        <v>0</v>
      </c>
      <c r="P235" t="n">
        <v>0</v>
      </c>
      <c r="Q235" t="n">
        <v>0</v>
      </c>
      <c r="R235" s="2" t="inlineStr"/>
    </row>
    <row r="236" ht="15" customHeight="1">
      <c r="A236" t="inlineStr">
        <is>
          <t>A 26403-2024</t>
        </is>
      </c>
      <c r="B236" s="1" t="n">
        <v>45469.44505787037</v>
      </c>
      <c r="C236" s="1" t="n">
        <v>46129</v>
      </c>
      <c r="D236" t="inlineStr">
        <is>
          <t>SKÅNE LÄN</t>
        </is>
      </c>
      <c r="E236" t="inlineStr">
        <is>
          <t>HÄSSLEHOLM</t>
        </is>
      </c>
      <c r="G236" t="n">
        <v>2.6</v>
      </c>
      <c r="H236" t="n">
        <v>0</v>
      </c>
      <c r="I236" t="n">
        <v>0</v>
      </c>
      <c r="J236" t="n">
        <v>0</v>
      </c>
      <c r="K236" t="n">
        <v>0</v>
      </c>
      <c r="L236" t="n">
        <v>0</v>
      </c>
      <c r="M236" t="n">
        <v>0</v>
      </c>
      <c r="N236" t="n">
        <v>0</v>
      </c>
      <c r="O236" t="n">
        <v>0</v>
      </c>
      <c r="P236" t="n">
        <v>0</v>
      </c>
      <c r="Q236" t="n">
        <v>0</v>
      </c>
      <c r="R236" s="2" t="inlineStr"/>
    </row>
    <row r="237" ht="15" customHeight="1">
      <c r="A237" t="inlineStr">
        <is>
          <t>A 9556-2025</t>
        </is>
      </c>
      <c r="B237" s="1" t="n">
        <v>45714</v>
      </c>
      <c r="C237" s="1" t="n">
        <v>46129</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55662-2022</t>
        </is>
      </c>
      <c r="B238" s="1" t="n">
        <v>44883</v>
      </c>
      <c r="C238" s="1" t="n">
        <v>46129</v>
      </c>
      <c r="D238" t="inlineStr">
        <is>
          <t>SKÅNE LÄN</t>
        </is>
      </c>
      <c r="E238" t="inlineStr">
        <is>
          <t>HÄSSLEHOLM</t>
        </is>
      </c>
      <c r="F238" t="inlineStr">
        <is>
          <t>Övriga Aktiebolag</t>
        </is>
      </c>
      <c r="G238" t="n">
        <v>2.6</v>
      </c>
      <c r="H238" t="n">
        <v>0</v>
      </c>
      <c r="I238" t="n">
        <v>0</v>
      </c>
      <c r="J238" t="n">
        <v>0</v>
      </c>
      <c r="K238" t="n">
        <v>0</v>
      </c>
      <c r="L238" t="n">
        <v>0</v>
      </c>
      <c r="M238" t="n">
        <v>0</v>
      </c>
      <c r="N238" t="n">
        <v>0</v>
      </c>
      <c r="O238" t="n">
        <v>0</v>
      </c>
      <c r="P238" t="n">
        <v>0</v>
      </c>
      <c r="Q238" t="n">
        <v>0</v>
      </c>
      <c r="R238" s="2" t="inlineStr"/>
    </row>
    <row r="239" ht="15" customHeight="1">
      <c r="A239" t="inlineStr">
        <is>
          <t>A 42906-2022</t>
        </is>
      </c>
      <c r="B239" s="1" t="n">
        <v>44833</v>
      </c>
      <c r="C239" s="1" t="n">
        <v>46129</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3886-2024</t>
        </is>
      </c>
      <c r="B240" s="1" t="n">
        <v>45322.44539351852</v>
      </c>
      <c r="C240" s="1" t="n">
        <v>46129</v>
      </c>
      <c r="D240" t="inlineStr">
        <is>
          <t>SKÅNE LÄN</t>
        </is>
      </c>
      <c r="E240" t="inlineStr">
        <is>
          <t>HÄSSLEHOLM</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9924-2025</t>
        </is>
      </c>
      <c r="B241" s="1" t="n">
        <v>45717.72505787037</v>
      </c>
      <c r="C241" s="1" t="n">
        <v>46129</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22587-2025</t>
        </is>
      </c>
      <c r="B242" s="1" t="n">
        <v>45789.39974537037</v>
      </c>
      <c r="C242" s="1" t="n">
        <v>46129</v>
      </c>
      <c r="D242" t="inlineStr">
        <is>
          <t>SKÅNE LÄN</t>
        </is>
      </c>
      <c r="E242" t="inlineStr">
        <is>
          <t>HÄSSLEHOLM</t>
        </is>
      </c>
      <c r="G242" t="n">
        <v>5.7</v>
      </c>
      <c r="H242" t="n">
        <v>0</v>
      </c>
      <c r="I242" t="n">
        <v>0</v>
      </c>
      <c r="J242" t="n">
        <v>0</v>
      </c>
      <c r="K242" t="n">
        <v>0</v>
      </c>
      <c r="L242" t="n">
        <v>0</v>
      </c>
      <c r="M242" t="n">
        <v>0</v>
      </c>
      <c r="N242" t="n">
        <v>0</v>
      </c>
      <c r="O242" t="n">
        <v>0</v>
      </c>
      <c r="P242" t="n">
        <v>0</v>
      </c>
      <c r="Q242" t="n">
        <v>0</v>
      </c>
      <c r="R242" s="2" t="inlineStr"/>
    </row>
    <row r="243" ht="15" customHeight="1">
      <c r="A243" t="inlineStr">
        <is>
          <t>A 31931-2024</t>
        </is>
      </c>
      <c r="B243" s="1" t="n">
        <v>45510.40878472223</v>
      </c>
      <c r="C243" s="1" t="n">
        <v>46129</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60920-2024</t>
        </is>
      </c>
      <c r="B244" s="1" t="n">
        <v>45645.34442129629</v>
      </c>
      <c r="C244" s="1" t="n">
        <v>46129</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40536-2024</t>
        </is>
      </c>
      <c r="B245" s="1" t="n">
        <v>45555.61314814815</v>
      </c>
      <c r="C245" s="1" t="n">
        <v>46129</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15133-2023</t>
        </is>
      </c>
      <c r="B246" s="1" t="n">
        <v>45016</v>
      </c>
      <c r="C246" s="1" t="n">
        <v>46129</v>
      </c>
      <c r="D246" t="inlineStr">
        <is>
          <t>SKÅNE LÄN</t>
        </is>
      </c>
      <c r="E246" t="inlineStr">
        <is>
          <t>HÄSSLEHOLM</t>
        </is>
      </c>
      <c r="G246" t="n">
        <v>7.8</v>
      </c>
      <c r="H246" t="n">
        <v>0</v>
      </c>
      <c r="I246" t="n">
        <v>0</v>
      </c>
      <c r="J246" t="n">
        <v>0</v>
      </c>
      <c r="K246" t="n">
        <v>0</v>
      </c>
      <c r="L246" t="n">
        <v>0</v>
      </c>
      <c r="M246" t="n">
        <v>0</v>
      </c>
      <c r="N246" t="n">
        <v>0</v>
      </c>
      <c r="O246" t="n">
        <v>0</v>
      </c>
      <c r="P246" t="n">
        <v>0</v>
      </c>
      <c r="Q246" t="n">
        <v>0</v>
      </c>
      <c r="R246" s="2" t="inlineStr"/>
    </row>
    <row r="247" ht="15" customHeight="1">
      <c r="A247" t="inlineStr">
        <is>
          <t>A 55458-2025</t>
        </is>
      </c>
      <c r="B247" s="1" t="n">
        <v>45971</v>
      </c>
      <c r="C247" s="1" t="n">
        <v>46129</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34883-2023</t>
        </is>
      </c>
      <c r="B248" s="1" t="n">
        <v>45142.37902777778</v>
      </c>
      <c r="C248" s="1" t="n">
        <v>46129</v>
      </c>
      <c r="D248" t="inlineStr">
        <is>
          <t>SKÅNE LÄN</t>
        </is>
      </c>
      <c r="E248" t="inlineStr">
        <is>
          <t>HÄSSLEHOLM</t>
        </is>
      </c>
      <c r="G248" t="n">
        <v>2.5</v>
      </c>
      <c r="H248" t="n">
        <v>0</v>
      </c>
      <c r="I248" t="n">
        <v>0</v>
      </c>
      <c r="J248" t="n">
        <v>0</v>
      </c>
      <c r="K248" t="n">
        <v>0</v>
      </c>
      <c r="L248" t="n">
        <v>0</v>
      </c>
      <c r="M248" t="n">
        <v>0</v>
      </c>
      <c r="N248" t="n">
        <v>0</v>
      </c>
      <c r="O248" t="n">
        <v>0</v>
      </c>
      <c r="P248" t="n">
        <v>0</v>
      </c>
      <c r="Q248" t="n">
        <v>0</v>
      </c>
      <c r="R248" s="2" t="inlineStr"/>
    </row>
    <row r="249" ht="15" customHeight="1">
      <c r="A249" t="inlineStr">
        <is>
          <t>A 16860-2025</t>
        </is>
      </c>
      <c r="B249" s="1" t="n">
        <v>45751</v>
      </c>
      <c r="C249" s="1" t="n">
        <v>46129</v>
      </c>
      <c r="D249" t="inlineStr">
        <is>
          <t>SKÅNE LÄN</t>
        </is>
      </c>
      <c r="E249" t="inlineStr">
        <is>
          <t>HÄSSLEHOLM</t>
        </is>
      </c>
      <c r="G249" t="n">
        <v>1.3</v>
      </c>
      <c r="H249" t="n">
        <v>0</v>
      </c>
      <c r="I249" t="n">
        <v>0</v>
      </c>
      <c r="J249" t="n">
        <v>0</v>
      </c>
      <c r="K249" t="n">
        <v>0</v>
      </c>
      <c r="L249" t="n">
        <v>0</v>
      </c>
      <c r="M249" t="n">
        <v>0</v>
      </c>
      <c r="N249" t="n">
        <v>0</v>
      </c>
      <c r="O249" t="n">
        <v>0</v>
      </c>
      <c r="P249" t="n">
        <v>0</v>
      </c>
      <c r="Q249" t="n">
        <v>0</v>
      </c>
      <c r="R249" s="2" t="inlineStr"/>
    </row>
    <row r="250" ht="15" customHeight="1">
      <c r="A250" t="inlineStr">
        <is>
          <t>A 56386-2023</t>
        </is>
      </c>
      <c r="B250" s="1" t="n">
        <v>45243</v>
      </c>
      <c r="C250" s="1" t="n">
        <v>46129</v>
      </c>
      <c r="D250" t="inlineStr">
        <is>
          <t>SKÅNE LÄN</t>
        </is>
      </c>
      <c r="E250" t="inlineStr">
        <is>
          <t>HÄSSLEHOLM</t>
        </is>
      </c>
      <c r="G250" t="n">
        <v>2</v>
      </c>
      <c r="H250" t="n">
        <v>0</v>
      </c>
      <c r="I250" t="n">
        <v>0</v>
      </c>
      <c r="J250" t="n">
        <v>0</v>
      </c>
      <c r="K250" t="n">
        <v>0</v>
      </c>
      <c r="L250" t="n">
        <v>0</v>
      </c>
      <c r="M250" t="n">
        <v>0</v>
      </c>
      <c r="N250" t="n">
        <v>0</v>
      </c>
      <c r="O250" t="n">
        <v>0</v>
      </c>
      <c r="P250" t="n">
        <v>0</v>
      </c>
      <c r="Q250" t="n">
        <v>0</v>
      </c>
      <c r="R250" s="2" t="inlineStr"/>
    </row>
    <row r="251" ht="15" customHeight="1">
      <c r="A251" t="inlineStr">
        <is>
          <t>A 29274-2023</t>
        </is>
      </c>
      <c r="B251" s="1" t="n">
        <v>45105</v>
      </c>
      <c r="C251" s="1" t="n">
        <v>46129</v>
      </c>
      <c r="D251" t="inlineStr">
        <is>
          <t>SKÅNE LÄN</t>
        </is>
      </c>
      <c r="E251" t="inlineStr">
        <is>
          <t>HÄSSLEHOLM</t>
        </is>
      </c>
      <c r="G251" t="n">
        <v>3.4</v>
      </c>
      <c r="H251" t="n">
        <v>0</v>
      </c>
      <c r="I251" t="n">
        <v>0</v>
      </c>
      <c r="J251" t="n">
        <v>0</v>
      </c>
      <c r="K251" t="n">
        <v>0</v>
      </c>
      <c r="L251" t="n">
        <v>0</v>
      </c>
      <c r="M251" t="n">
        <v>0</v>
      </c>
      <c r="N251" t="n">
        <v>0</v>
      </c>
      <c r="O251" t="n">
        <v>0</v>
      </c>
      <c r="P251" t="n">
        <v>0</v>
      </c>
      <c r="Q251" t="n">
        <v>0</v>
      </c>
      <c r="R251" s="2" t="inlineStr"/>
    </row>
    <row r="252" ht="15" customHeight="1">
      <c r="A252" t="inlineStr">
        <is>
          <t>A 61932-2023</t>
        </is>
      </c>
      <c r="B252" s="1" t="n">
        <v>45266.53761574074</v>
      </c>
      <c r="C252" s="1" t="n">
        <v>46129</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27606-2024</t>
        </is>
      </c>
      <c r="B253" s="1" t="n">
        <v>45474</v>
      </c>
      <c r="C253" s="1" t="n">
        <v>46129</v>
      </c>
      <c r="D253" t="inlineStr">
        <is>
          <t>SKÅNE LÄN</t>
        </is>
      </c>
      <c r="E253" t="inlineStr">
        <is>
          <t>HÄSSLEHOLM</t>
        </is>
      </c>
      <c r="G253" t="n">
        <v>3.6</v>
      </c>
      <c r="H253" t="n">
        <v>0</v>
      </c>
      <c r="I253" t="n">
        <v>0</v>
      </c>
      <c r="J253" t="n">
        <v>0</v>
      </c>
      <c r="K253" t="n">
        <v>0</v>
      </c>
      <c r="L253" t="n">
        <v>0</v>
      </c>
      <c r="M253" t="n">
        <v>0</v>
      </c>
      <c r="N253" t="n">
        <v>0</v>
      </c>
      <c r="O253" t="n">
        <v>0</v>
      </c>
      <c r="P253" t="n">
        <v>0</v>
      </c>
      <c r="Q253" t="n">
        <v>0</v>
      </c>
      <c r="R253" s="2" t="inlineStr"/>
    </row>
    <row r="254" ht="15" customHeight="1">
      <c r="A254" t="inlineStr">
        <is>
          <t>A 50244-2024</t>
        </is>
      </c>
      <c r="B254" s="1" t="n">
        <v>45600.56502314815</v>
      </c>
      <c r="C254" s="1" t="n">
        <v>46129</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20187-2023</t>
        </is>
      </c>
      <c r="B255" s="1" t="n">
        <v>45055.57027777778</v>
      </c>
      <c r="C255" s="1" t="n">
        <v>46129</v>
      </c>
      <c r="D255" t="inlineStr">
        <is>
          <t>SKÅNE LÄN</t>
        </is>
      </c>
      <c r="E255" t="inlineStr">
        <is>
          <t>HÄSSLEHOLM</t>
        </is>
      </c>
      <c r="G255" t="n">
        <v>1.8</v>
      </c>
      <c r="H255" t="n">
        <v>0</v>
      </c>
      <c r="I255" t="n">
        <v>0</v>
      </c>
      <c r="J255" t="n">
        <v>0</v>
      </c>
      <c r="K255" t="n">
        <v>0</v>
      </c>
      <c r="L255" t="n">
        <v>0</v>
      </c>
      <c r="M255" t="n">
        <v>0</v>
      </c>
      <c r="N255" t="n">
        <v>0</v>
      </c>
      <c r="O255" t="n">
        <v>0</v>
      </c>
      <c r="P255" t="n">
        <v>0</v>
      </c>
      <c r="Q255" t="n">
        <v>0</v>
      </c>
      <c r="R255" s="2" t="inlineStr"/>
    </row>
    <row r="256" ht="15" customHeight="1">
      <c r="A256" t="inlineStr">
        <is>
          <t>A 7221-2025</t>
        </is>
      </c>
      <c r="B256" s="1" t="n">
        <v>45701</v>
      </c>
      <c r="C256" s="1" t="n">
        <v>46129</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5532-2025</t>
        </is>
      </c>
      <c r="B257" s="1" t="n">
        <v>45693</v>
      </c>
      <c r="C257" s="1" t="n">
        <v>46129</v>
      </c>
      <c r="D257" t="inlineStr">
        <is>
          <t>SKÅNE LÄN</t>
        </is>
      </c>
      <c r="E257" t="inlineStr">
        <is>
          <t>HÄSSLEHOLM</t>
        </is>
      </c>
      <c r="G257" t="n">
        <v>2.4</v>
      </c>
      <c r="H257" t="n">
        <v>0</v>
      </c>
      <c r="I257" t="n">
        <v>0</v>
      </c>
      <c r="J257" t="n">
        <v>0</v>
      </c>
      <c r="K257" t="n">
        <v>0</v>
      </c>
      <c r="L257" t="n">
        <v>0</v>
      </c>
      <c r="M257" t="n">
        <v>0</v>
      </c>
      <c r="N257" t="n">
        <v>0</v>
      </c>
      <c r="O257" t="n">
        <v>0</v>
      </c>
      <c r="P257" t="n">
        <v>0</v>
      </c>
      <c r="Q257" t="n">
        <v>0</v>
      </c>
      <c r="R257" s="2" t="inlineStr"/>
    </row>
    <row r="258" ht="15" customHeight="1">
      <c r="A258" t="inlineStr">
        <is>
          <t>A 55455-2025</t>
        </is>
      </c>
      <c r="B258" s="1" t="n">
        <v>45971</v>
      </c>
      <c r="C258" s="1" t="n">
        <v>46129</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10230-2025</t>
        </is>
      </c>
      <c r="B259" s="1" t="n">
        <v>45720</v>
      </c>
      <c r="C259" s="1" t="n">
        <v>46129</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33266-2024</t>
        </is>
      </c>
      <c r="B260" s="1" t="n">
        <v>45518</v>
      </c>
      <c r="C260" s="1" t="n">
        <v>46129</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58618-2024</t>
        </is>
      </c>
      <c r="B261" s="1" t="n">
        <v>45635.56150462963</v>
      </c>
      <c r="C261" s="1" t="n">
        <v>46129</v>
      </c>
      <c r="D261" t="inlineStr">
        <is>
          <t>SKÅNE LÄN</t>
        </is>
      </c>
      <c r="E261" t="inlineStr">
        <is>
          <t>HÄSSLEHOLM</t>
        </is>
      </c>
      <c r="G261" t="n">
        <v>2.3</v>
      </c>
      <c r="H261" t="n">
        <v>0</v>
      </c>
      <c r="I261" t="n">
        <v>0</v>
      </c>
      <c r="J261" t="n">
        <v>0</v>
      </c>
      <c r="K261" t="n">
        <v>0</v>
      </c>
      <c r="L261" t="n">
        <v>0</v>
      </c>
      <c r="M261" t="n">
        <v>0</v>
      </c>
      <c r="N261" t="n">
        <v>0</v>
      </c>
      <c r="O261" t="n">
        <v>0</v>
      </c>
      <c r="P261" t="n">
        <v>0</v>
      </c>
      <c r="Q261" t="n">
        <v>0</v>
      </c>
      <c r="R261" s="2" t="inlineStr"/>
    </row>
    <row r="262" ht="15" customHeight="1">
      <c r="A262" t="inlineStr">
        <is>
          <t>A 48797-2023</t>
        </is>
      </c>
      <c r="B262" s="1" t="n">
        <v>45209.24986111111</v>
      </c>
      <c r="C262" s="1" t="n">
        <v>46129</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22592-2025</t>
        </is>
      </c>
      <c r="B263" s="1" t="n">
        <v>45789.40502314815</v>
      </c>
      <c r="C263" s="1" t="n">
        <v>46129</v>
      </c>
      <c r="D263" t="inlineStr">
        <is>
          <t>SKÅNE LÄN</t>
        </is>
      </c>
      <c r="E263" t="inlineStr">
        <is>
          <t>HÄSSLEHOLM</t>
        </is>
      </c>
      <c r="G263" t="n">
        <v>7.1</v>
      </c>
      <c r="H263" t="n">
        <v>0</v>
      </c>
      <c r="I263" t="n">
        <v>0</v>
      </c>
      <c r="J263" t="n">
        <v>0</v>
      </c>
      <c r="K263" t="n">
        <v>0</v>
      </c>
      <c r="L263" t="n">
        <v>0</v>
      </c>
      <c r="M263" t="n">
        <v>0</v>
      </c>
      <c r="N263" t="n">
        <v>0</v>
      </c>
      <c r="O263" t="n">
        <v>0</v>
      </c>
      <c r="P263" t="n">
        <v>0</v>
      </c>
      <c r="Q263" t="n">
        <v>0</v>
      </c>
      <c r="R263" s="2" t="inlineStr"/>
    </row>
    <row r="264" ht="15" customHeight="1">
      <c r="A264" t="inlineStr">
        <is>
          <t>A 11266-2025</t>
        </is>
      </c>
      <c r="B264" s="1" t="n">
        <v>45726</v>
      </c>
      <c r="C264" s="1" t="n">
        <v>46129</v>
      </c>
      <c r="D264" t="inlineStr">
        <is>
          <t>SKÅNE LÄN</t>
        </is>
      </c>
      <c r="E264" t="inlineStr">
        <is>
          <t>HÄSSLEHOLM</t>
        </is>
      </c>
      <c r="G264" t="n">
        <v>0.3</v>
      </c>
      <c r="H264" t="n">
        <v>0</v>
      </c>
      <c r="I264" t="n">
        <v>0</v>
      </c>
      <c r="J264" t="n">
        <v>0</v>
      </c>
      <c r="K264" t="n">
        <v>0</v>
      </c>
      <c r="L264" t="n">
        <v>0</v>
      </c>
      <c r="M264" t="n">
        <v>0</v>
      </c>
      <c r="N264" t="n">
        <v>0</v>
      </c>
      <c r="O264" t="n">
        <v>0</v>
      </c>
      <c r="P264" t="n">
        <v>0</v>
      </c>
      <c r="Q264" t="n">
        <v>0</v>
      </c>
      <c r="R264" s="2" t="inlineStr"/>
    </row>
    <row r="265" ht="15" customHeight="1">
      <c r="A265" t="inlineStr">
        <is>
          <t>A 32794-2021</t>
        </is>
      </c>
      <c r="B265" s="1" t="n">
        <v>44375</v>
      </c>
      <c r="C265" s="1" t="n">
        <v>46129</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23007-2025</t>
        </is>
      </c>
      <c r="B266" s="1" t="n">
        <v>45790</v>
      </c>
      <c r="C266" s="1" t="n">
        <v>46129</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17171-2025</t>
        </is>
      </c>
      <c r="B267" s="1" t="n">
        <v>45755</v>
      </c>
      <c r="C267" s="1" t="n">
        <v>46129</v>
      </c>
      <c r="D267" t="inlineStr">
        <is>
          <t>SKÅNE LÄN</t>
        </is>
      </c>
      <c r="E267" t="inlineStr">
        <is>
          <t>HÄSSLEHOLM</t>
        </is>
      </c>
      <c r="G267" t="n">
        <v>1.5</v>
      </c>
      <c r="H267" t="n">
        <v>0</v>
      </c>
      <c r="I267" t="n">
        <v>0</v>
      </c>
      <c r="J267" t="n">
        <v>0</v>
      </c>
      <c r="K267" t="n">
        <v>0</v>
      </c>
      <c r="L267" t="n">
        <v>0</v>
      </c>
      <c r="M267" t="n">
        <v>0</v>
      </c>
      <c r="N267" t="n">
        <v>0</v>
      </c>
      <c r="O267" t="n">
        <v>0</v>
      </c>
      <c r="P267" t="n">
        <v>0</v>
      </c>
      <c r="Q267" t="n">
        <v>0</v>
      </c>
      <c r="R267" s="2" t="inlineStr"/>
    </row>
    <row r="268" ht="15" customHeight="1">
      <c r="A268" t="inlineStr">
        <is>
          <t>A 16930-2024</t>
        </is>
      </c>
      <c r="B268" s="1" t="n">
        <v>45411</v>
      </c>
      <c r="C268" s="1" t="n">
        <v>46129</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27825-2024</t>
        </is>
      </c>
      <c r="B269" s="1" t="n">
        <v>45475</v>
      </c>
      <c r="C269" s="1" t="n">
        <v>46129</v>
      </c>
      <c r="D269" t="inlineStr">
        <is>
          <t>SKÅNE LÄN</t>
        </is>
      </c>
      <c r="E269" t="inlineStr">
        <is>
          <t>HÄSSLEHOLM</t>
        </is>
      </c>
      <c r="F269" t="inlineStr">
        <is>
          <t>Kommuner</t>
        </is>
      </c>
      <c r="G269" t="n">
        <v>1.1</v>
      </c>
      <c r="H269" t="n">
        <v>0</v>
      </c>
      <c r="I269" t="n">
        <v>0</v>
      </c>
      <c r="J269" t="n">
        <v>0</v>
      </c>
      <c r="K269" t="n">
        <v>0</v>
      </c>
      <c r="L269" t="n">
        <v>0</v>
      </c>
      <c r="M269" t="n">
        <v>0</v>
      </c>
      <c r="N269" t="n">
        <v>0</v>
      </c>
      <c r="O269" t="n">
        <v>0</v>
      </c>
      <c r="P269" t="n">
        <v>0</v>
      </c>
      <c r="Q269" t="n">
        <v>0</v>
      </c>
      <c r="R269" s="2" t="inlineStr"/>
    </row>
    <row r="270" ht="15" customHeight="1">
      <c r="A270" t="inlineStr">
        <is>
          <t>A 31254-2024</t>
        </is>
      </c>
      <c r="B270" s="1" t="n">
        <v>45503</v>
      </c>
      <c r="C270" s="1" t="n">
        <v>46129</v>
      </c>
      <c r="D270" t="inlineStr">
        <is>
          <t>SKÅNE LÄN</t>
        </is>
      </c>
      <c r="E270" t="inlineStr">
        <is>
          <t>HÄSSLEHOLM</t>
        </is>
      </c>
      <c r="G270" t="n">
        <v>2.2</v>
      </c>
      <c r="H270" t="n">
        <v>0</v>
      </c>
      <c r="I270" t="n">
        <v>0</v>
      </c>
      <c r="J270" t="n">
        <v>0</v>
      </c>
      <c r="K270" t="n">
        <v>0</v>
      </c>
      <c r="L270" t="n">
        <v>0</v>
      </c>
      <c r="M270" t="n">
        <v>0</v>
      </c>
      <c r="N270" t="n">
        <v>0</v>
      </c>
      <c r="O270" t="n">
        <v>0</v>
      </c>
      <c r="P270" t="n">
        <v>0</v>
      </c>
      <c r="Q270" t="n">
        <v>0</v>
      </c>
      <c r="R270" s="2" t="inlineStr"/>
    </row>
    <row r="271" ht="15" customHeight="1">
      <c r="A271" t="inlineStr">
        <is>
          <t>A 37486-2024</t>
        </is>
      </c>
      <c r="B271" s="1" t="n">
        <v>45541</v>
      </c>
      <c r="C271" s="1" t="n">
        <v>46129</v>
      </c>
      <c r="D271" t="inlineStr">
        <is>
          <t>SKÅNE LÄN</t>
        </is>
      </c>
      <c r="E271" t="inlineStr">
        <is>
          <t>HÄSSLEHOLM</t>
        </is>
      </c>
      <c r="G271" t="n">
        <v>8.5</v>
      </c>
      <c r="H271" t="n">
        <v>0</v>
      </c>
      <c r="I271" t="n">
        <v>0</v>
      </c>
      <c r="J271" t="n">
        <v>0</v>
      </c>
      <c r="K271" t="n">
        <v>0</v>
      </c>
      <c r="L271" t="n">
        <v>0</v>
      </c>
      <c r="M271" t="n">
        <v>0</v>
      </c>
      <c r="N271" t="n">
        <v>0</v>
      </c>
      <c r="O271" t="n">
        <v>0</v>
      </c>
      <c r="P271" t="n">
        <v>0</v>
      </c>
      <c r="Q271" t="n">
        <v>0</v>
      </c>
      <c r="R271" s="2" t="inlineStr"/>
    </row>
    <row r="272" ht="15" customHeight="1">
      <c r="A272" t="inlineStr">
        <is>
          <t>A 12843-2023</t>
        </is>
      </c>
      <c r="B272" s="1" t="n">
        <v>45001.48423611111</v>
      </c>
      <c r="C272" s="1" t="n">
        <v>46129</v>
      </c>
      <c r="D272" t="inlineStr">
        <is>
          <t>SKÅNE LÄN</t>
        </is>
      </c>
      <c r="E272" t="inlineStr">
        <is>
          <t>HÄSSLEHOLM</t>
        </is>
      </c>
      <c r="G272" t="n">
        <v>3.9</v>
      </c>
      <c r="H272" t="n">
        <v>0</v>
      </c>
      <c r="I272" t="n">
        <v>0</v>
      </c>
      <c r="J272" t="n">
        <v>0</v>
      </c>
      <c r="K272" t="n">
        <v>0</v>
      </c>
      <c r="L272" t="n">
        <v>0</v>
      </c>
      <c r="M272" t="n">
        <v>0</v>
      </c>
      <c r="N272" t="n">
        <v>0</v>
      </c>
      <c r="O272" t="n">
        <v>0</v>
      </c>
      <c r="P272" t="n">
        <v>0</v>
      </c>
      <c r="Q272" t="n">
        <v>0</v>
      </c>
      <c r="R272" s="2" t="inlineStr"/>
    </row>
    <row r="273" ht="15" customHeight="1">
      <c r="A273" t="inlineStr">
        <is>
          <t>A 44838-2023</t>
        </is>
      </c>
      <c r="B273" s="1" t="n">
        <v>45190</v>
      </c>
      <c r="C273" s="1" t="n">
        <v>46129</v>
      </c>
      <c r="D273" t="inlineStr">
        <is>
          <t>SKÅNE LÄN</t>
        </is>
      </c>
      <c r="E273" t="inlineStr">
        <is>
          <t>HÄSSLEHOLM</t>
        </is>
      </c>
      <c r="F273" t="inlineStr">
        <is>
          <t>Kommuner</t>
        </is>
      </c>
      <c r="G273" t="n">
        <v>2</v>
      </c>
      <c r="H273" t="n">
        <v>0</v>
      </c>
      <c r="I273" t="n">
        <v>0</v>
      </c>
      <c r="J273" t="n">
        <v>0</v>
      </c>
      <c r="K273" t="n">
        <v>0</v>
      </c>
      <c r="L273" t="n">
        <v>0</v>
      </c>
      <c r="M273" t="n">
        <v>0</v>
      </c>
      <c r="N273" t="n">
        <v>0</v>
      </c>
      <c r="O273" t="n">
        <v>0</v>
      </c>
      <c r="P273" t="n">
        <v>0</v>
      </c>
      <c r="Q273" t="n">
        <v>0</v>
      </c>
      <c r="R273" s="2" t="inlineStr"/>
    </row>
    <row r="274" ht="15" customHeight="1">
      <c r="A274" t="inlineStr">
        <is>
          <t>A 47647-2024</t>
        </is>
      </c>
      <c r="B274" s="1" t="n">
        <v>45588</v>
      </c>
      <c r="C274" s="1" t="n">
        <v>46129</v>
      </c>
      <c r="D274" t="inlineStr">
        <is>
          <t>SKÅNE LÄN</t>
        </is>
      </c>
      <c r="E274" t="inlineStr">
        <is>
          <t>HÄSSLEHOLM</t>
        </is>
      </c>
      <c r="G274" t="n">
        <v>6.5</v>
      </c>
      <c r="H274" t="n">
        <v>0</v>
      </c>
      <c r="I274" t="n">
        <v>0</v>
      </c>
      <c r="J274" t="n">
        <v>0</v>
      </c>
      <c r="K274" t="n">
        <v>0</v>
      </c>
      <c r="L274" t="n">
        <v>0</v>
      </c>
      <c r="M274" t="n">
        <v>0</v>
      </c>
      <c r="N274" t="n">
        <v>0</v>
      </c>
      <c r="O274" t="n">
        <v>0</v>
      </c>
      <c r="P274" t="n">
        <v>0</v>
      </c>
      <c r="Q274" t="n">
        <v>0</v>
      </c>
      <c r="R274" s="2" t="inlineStr"/>
    </row>
    <row r="275" ht="15" customHeight="1">
      <c r="A275" t="inlineStr">
        <is>
          <t>A 13954-2023</t>
        </is>
      </c>
      <c r="B275" s="1" t="n">
        <v>45008</v>
      </c>
      <c r="C275" s="1" t="n">
        <v>46129</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2479-2024</t>
        </is>
      </c>
      <c r="B276" s="1" t="n">
        <v>45313.40148148148</v>
      </c>
      <c r="C276" s="1" t="n">
        <v>46129</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26397-2023</t>
        </is>
      </c>
      <c r="B277" s="1" t="n">
        <v>45087</v>
      </c>
      <c r="C277" s="1" t="n">
        <v>46129</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1119-2024</t>
        </is>
      </c>
      <c r="B278" s="1" t="n">
        <v>45302</v>
      </c>
      <c r="C278" s="1" t="n">
        <v>46129</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13007-2024</t>
        </is>
      </c>
      <c r="B279" s="1" t="n">
        <v>45385.57092592592</v>
      </c>
      <c r="C279" s="1" t="n">
        <v>46129</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58888-2024</t>
        </is>
      </c>
      <c r="B280" s="1" t="n">
        <v>45636.45962962963</v>
      </c>
      <c r="C280" s="1" t="n">
        <v>46129</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16334-2024</t>
        </is>
      </c>
      <c r="B281" s="1" t="n">
        <v>45407.54856481482</v>
      </c>
      <c r="C281" s="1" t="n">
        <v>46129</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40152-2024</t>
        </is>
      </c>
      <c r="B282" s="1" t="n">
        <v>45554</v>
      </c>
      <c r="C282" s="1" t="n">
        <v>46129</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3663-2024</t>
        </is>
      </c>
      <c r="B283" s="1" t="n">
        <v>45321.34775462963</v>
      </c>
      <c r="C283" s="1" t="n">
        <v>46129</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74030-2021</t>
        </is>
      </c>
      <c r="B284" s="1" t="n">
        <v>44553</v>
      </c>
      <c r="C284" s="1" t="n">
        <v>46129</v>
      </c>
      <c r="D284" t="inlineStr">
        <is>
          <t>SKÅNE LÄN</t>
        </is>
      </c>
      <c r="E284" t="inlineStr">
        <is>
          <t>HÄSSLEHOLM</t>
        </is>
      </c>
      <c r="G284" t="n">
        <v>1.5</v>
      </c>
      <c r="H284" t="n">
        <v>0</v>
      </c>
      <c r="I284" t="n">
        <v>0</v>
      </c>
      <c r="J284" t="n">
        <v>0</v>
      </c>
      <c r="K284" t="n">
        <v>0</v>
      </c>
      <c r="L284" t="n">
        <v>0</v>
      </c>
      <c r="M284" t="n">
        <v>0</v>
      </c>
      <c r="N284" t="n">
        <v>0</v>
      </c>
      <c r="O284" t="n">
        <v>0</v>
      </c>
      <c r="P284" t="n">
        <v>0</v>
      </c>
      <c r="Q284" t="n">
        <v>0</v>
      </c>
      <c r="R284" s="2" t="inlineStr"/>
    </row>
    <row r="285" ht="15" customHeight="1">
      <c r="A285" t="inlineStr">
        <is>
          <t>A 15072-2024</t>
        </is>
      </c>
      <c r="B285" s="1" t="n">
        <v>45399.5996875</v>
      </c>
      <c r="C285" s="1" t="n">
        <v>46129</v>
      </c>
      <c r="D285" t="inlineStr">
        <is>
          <t>SKÅNE LÄN</t>
        </is>
      </c>
      <c r="E285" t="inlineStr">
        <is>
          <t>HÄSSLEHOLM</t>
        </is>
      </c>
      <c r="G285" t="n">
        <v>1.4</v>
      </c>
      <c r="H285" t="n">
        <v>0</v>
      </c>
      <c r="I285" t="n">
        <v>0</v>
      </c>
      <c r="J285" t="n">
        <v>0</v>
      </c>
      <c r="K285" t="n">
        <v>0</v>
      </c>
      <c r="L285" t="n">
        <v>0</v>
      </c>
      <c r="M285" t="n">
        <v>0</v>
      </c>
      <c r="N285" t="n">
        <v>0</v>
      </c>
      <c r="O285" t="n">
        <v>0</v>
      </c>
      <c r="P285" t="n">
        <v>0</v>
      </c>
      <c r="Q285" t="n">
        <v>0</v>
      </c>
      <c r="R285" s="2" t="inlineStr"/>
    </row>
    <row r="286" ht="15" customHeight="1">
      <c r="A286" t="inlineStr">
        <is>
          <t>A 11262-2025</t>
        </is>
      </c>
      <c r="B286" s="1" t="n">
        <v>45726</v>
      </c>
      <c r="C286" s="1" t="n">
        <v>46129</v>
      </c>
      <c r="D286" t="inlineStr">
        <is>
          <t>SKÅNE LÄN</t>
        </is>
      </c>
      <c r="E286" t="inlineStr">
        <is>
          <t>HÄSSLEHOLM</t>
        </is>
      </c>
      <c r="G286" t="n">
        <v>1.9</v>
      </c>
      <c r="H286" t="n">
        <v>0</v>
      </c>
      <c r="I286" t="n">
        <v>0</v>
      </c>
      <c r="J286" t="n">
        <v>0</v>
      </c>
      <c r="K286" t="n">
        <v>0</v>
      </c>
      <c r="L286" t="n">
        <v>0</v>
      </c>
      <c r="M286" t="n">
        <v>0</v>
      </c>
      <c r="N286" t="n">
        <v>0</v>
      </c>
      <c r="O286" t="n">
        <v>0</v>
      </c>
      <c r="P286" t="n">
        <v>0</v>
      </c>
      <c r="Q286" t="n">
        <v>0</v>
      </c>
      <c r="R286" s="2" t="inlineStr"/>
    </row>
    <row r="287" ht="15" customHeight="1">
      <c r="A287" t="inlineStr">
        <is>
          <t>A 5395-2024</t>
        </is>
      </c>
      <c r="B287" s="1" t="n">
        <v>45331</v>
      </c>
      <c r="C287" s="1" t="n">
        <v>46129</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2621-2025</t>
        </is>
      </c>
      <c r="B288" s="1" t="n">
        <v>45675.60765046296</v>
      </c>
      <c r="C288" s="1" t="n">
        <v>46129</v>
      </c>
      <c r="D288" t="inlineStr">
        <is>
          <t>SKÅNE LÄN</t>
        </is>
      </c>
      <c r="E288" t="inlineStr">
        <is>
          <t>HÄSSLEHOLM</t>
        </is>
      </c>
      <c r="F288" t="inlineStr">
        <is>
          <t>Kommuner</t>
        </is>
      </c>
      <c r="G288" t="n">
        <v>3</v>
      </c>
      <c r="H288" t="n">
        <v>0</v>
      </c>
      <c r="I288" t="n">
        <v>0</v>
      </c>
      <c r="J288" t="n">
        <v>0</v>
      </c>
      <c r="K288" t="n">
        <v>0</v>
      </c>
      <c r="L288" t="n">
        <v>0</v>
      </c>
      <c r="M288" t="n">
        <v>0</v>
      </c>
      <c r="N288" t="n">
        <v>0</v>
      </c>
      <c r="O288" t="n">
        <v>0</v>
      </c>
      <c r="P288" t="n">
        <v>0</v>
      </c>
      <c r="Q288" t="n">
        <v>0</v>
      </c>
      <c r="R288" s="2" t="inlineStr"/>
    </row>
    <row r="289" ht="15" customHeight="1">
      <c r="A289" t="inlineStr">
        <is>
          <t>A 8737-2025</t>
        </is>
      </c>
      <c r="B289" s="1" t="n">
        <v>45712.54578703704</v>
      </c>
      <c r="C289" s="1" t="n">
        <v>46129</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1560-2023</t>
        </is>
      </c>
      <c r="B290" s="1" t="n">
        <v>44937</v>
      </c>
      <c r="C290" s="1" t="n">
        <v>46129</v>
      </c>
      <c r="D290" t="inlineStr">
        <is>
          <t>SKÅNE LÄN</t>
        </is>
      </c>
      <c r="E290" t="inlineStr">
        <is>
          <t>HÄSSLEHOLM</t>
        </is>
      </c>
      <c r="G290" t="n">
        <v>6.8</v>
      </c>
      <c r="H290" t="n">
        <v>0</v>
      </c>
      <c r="I290" t="n">
        <v>0</v>
      </c>
      <c r="J290" t="n">
        <v>0</v>
      </c>
      <c r="K290" t="n">
        <v>0</v>
      </c>
      <c r="L290" t="n">
        <v>0</v>
      </c>
      <c r="M290" t="n">
        <v>0</v>
      </c>
      <c r="N290" t="n">
        <v>0</v>
      </c>
      <c r="O290" t="n">
        <v>0</v>
      </c>
      <c r="P290" t="n">
        <v>0</v>
      </c>
      <c r="Q290" t="n">
        <v>0</v>
      </c>
      <c r="R290" s="2" t="inlineStr"/>
    </row>
    <row r="291" ht="15" customHeight="1">
      <c r="A291" t="inlineStr">
        <is>
          <t>A 37764-2022</t>
        </is>
      </c>
      <c r="B291" s="1" t="n">
        <v>44810</v>
      </c>
      <c r="C291" s="1" t="n">
        <v>46129</v>
      </c>
      <c r="D291" t="inlineStr">
        <is>
          <t>SKÅNE LÄN</t>
        </is>
      </c>
      <c r="E291" t="inlineStr">
        <is>
          <t>HÄSSLEHOLM</t>
        </is>
      </c>
      <c r="F291" t="inlineStr">
        <is>
          <t>Kyrkan</t>
        </is>
      </c>
      <c r="G291" t="n">
        <v>9.4</v>
      </c>
      <c r="H291" t="n">
        <v>0</v>
      </c>
      <c r="I291" t="n">
        <v>0</v>
      </c>
      <c r="J291" t="n">
        <v>0</v>
      </c>
      <c r="K291" t="n">
        <v>0</v>
      </c>
      <c r="L291" t="n">
        <v>0</v>
      </c>
      <c r="M291" t="n">
        <v>0</v>
      </c>
      <c r="N291" t="n">
        <v>0</v>
      </c>
      <c r="O291" t="n">
        <v>0</v>
      </c>
      <c r="P291" t="n">
        <v>0</v>
      </c>
      <c r="Q291" t="n">
        <v>0</v>
      </c>
      <c r="R291" s="2" t="inlineStr"/>
    </row>
    <row r="292" ht="15" customHeight="1">
      <c r="A292" t="inlineStr">
        <is>
          <t>A 51018-2023</t>
        </is>
      </c>
      <c r="B292" s="1" t="n">
        <v>45218</v>
      </c>
      <c r="C292" s="1" t="n">
        <v>46129</v>
      </c>
      <c r="D292" t="inlineStr">
        <is>
          <t>SKÅNE LÄN</t>
        </is>
      </c>
      <c r="E292" t="inlineStr">
        <is>
          <t>HÄSSLEHOLM</t>
        </is>
      </c>
      <c r="G292" t="n">
        <v>3.1</v>
      </c>
      <c r="H292" t="n">
        <v>0</v>
      </c>
      <c r="I292" t="n">
        <v>0</v>
      </c>
      <c r="J292" t="n">
        <v>0</v>
      </c>
      <c r="K292" t="n">
        <v>0</v>
      </c>
      <c r="L292" t="n">
        <v>0</v>
      </c>
      <c r="M292" t="n">
        <v>0</v>
      </c>
      <c r="N292" t="n">
        <v>0</v>
      </c>
      <c r="O292" t="n">
        <v>0</v>
      </c>
      <c r="P292" t="n">
        <v>0</v>
      </c>
      <c r="Q292" t="n">
        <v>0</v>
      </c>
      <c r="R292" s="2" t="inlineStr"/>
    </row>
    <row r="293" ht="15" customHeight="1">
      <c r="A293" t="inlineStr">
        <is>
          <t>A 23005-2025</t>
        </is>
      </c>
      <c r="B293" s="1" t="n">
        <v>45790</v>
      </c>
      <c r="C293" s="1" t="n">
        <v>46129</v>
      </c>
      <c r="D293" t="inlineStr">
        <is>
          <t>SKÅNE LÄN</t>
        </is>
      </c>
      <c r="E293" t="inlineStr">
        <is>
          <t>HÄSSLEHOLM</t>
        </is>
      </c>
      <c r="G293" t="n">
        <v>0.3</v>
      </c>
      <c r="H293" t="n">
        <v>0</v>
      </c>
      <c r="I293" t="n">
        <v>0</v>
      </c>
      <c r="J293" t="n">
        <v>0</v>
      </c>
      <c r="K293" t="n">
        <v>0</v>
      </c>
      <c r="L293" t="n">
        <v>0</v>
      </c>
      <c r="M293" t="n">
        <v>0</v>
      </c>
      <c r="N293" t="n">
        <v>0</v>
      </c>
      <c r="O293" t="n">
        <v>0</v>
      </c>
      <c r="P293" t="n">
        <v>0</v>
      </c>
      <c r="Q293" t="n">
        <v>0</v>
      </c>
      <c r="R293" s="2" t="inlineStr"/>
    </row>
    <row r="294" ht="15" customHeight="1">
      <c r="A294" t="inlineStr">
        <is>
          <t>A 56667-2025</t>
        </is>
      </c>
      <c r="B294" s="1" t="n">
        <v>45975.68508101852</v>
      </c>
      <c r="C294" s="1" t="n">
        <v>46129</v>
      </c>
      <c r="D294" t="inlineStr">
        <is>
          <t>SKÅNE LÄN</t>
        </is>
      </c>
      <c r="E294" t="inlineStr">
        <is>
          <t>HÄSSLEHOLM</t>
        </is>
      </c>
      <c r="G294" t="n">
        <v>4.4</v>
      </c>
      <c r="H294" t="n">
        <v>0</v>
      </c>
      <c r="I294" t="n">
        <v>0</v>
      </c>
      <c r="J294" t="n">
        <v>0</v>
      </c>
      <c r="K294" t="n">
        <v>0</v>
      </c>
      <c r="L294" t="n">
        <v>0</v>
      </c>
      <c r="M294" t="n">
        <v>0</v>
      </c>
      <c r="N294" t="n">
        <v>0</v>
      </c>
      <c r="O294" t="n">
        <v>0</v>
      </c>
      <c r="P294" t="n">
        <v>0</v>
      </c>
      <c r="Q294" t="n">
        <v>0</v>
      </c>
      <c r="R294" s="2" t="inlineStr"/>
    </row>
    <row r="295" ht="15" customHeight="1">
      <c r="A295" t="inlineStr">
        <is>
          <t>A 60797-2024</t>
        </is>
      </c>
      <c r="B295" s="1" t="n">
        <v>45644</v>
      </c>
      <c r="C295" s="1" t="n">
        <v>46129</v>
      </c>
      <c r="D295" t="inlineStr">
        <is>
          <t>SKÅNE LÄN</t>
        </is>
      </c>
      <c r="E295" t="inlineStr">
        <is>
          <t>HÄSSLEHOLM</t>
        </is>
      </c>
      <c r="G295" t="n">
        <v>3.4</v>
      </c>
      <c r="H295" t="n">
        <v>0</v>
      </c>
      <c r="I295" t="n">
        <v>0</v>
      </c>
      <c r="J295" t="n">
        <v>0</v>
      </c>
      <c r="K295" t="n">
        <v>0</v>
      </c>
      <c r="L295" t="n">
        <v>0</v>
      </c>
      <c r="M295" t="n">
        <v>0</v>
      </c>
      <c r="N295" t="n">
        <v>0</v>
      </c>
      <c r="O295" t="n">
        <v>0</v>
      </c>
      <c r="P295" t="n">
        <v>0</v>
      </c>
      <c r="Q295" t="n">
        <v>0</v>
      </c>
      <c r="R295" s="2" t="inlineStr"/>
    </row>
    <row r="296" ht="15" customHeight="1">
      <c r="A296" t="inlineStr">
        <is>
          <t>A 56069-2024</t>
        </is>
      </c>
      <c r="B296" s="1" t="n">
        <v>45624.38006944444</v>
      </c>
      <c r="C296" s="1" t="n">
        <v>46129</v>
      </c>
      <c r="D296" t="inlineStr">
        <is>
          <t>SKÅNE LÄN</t>
        </is>
      </c>
      <c r="E296" t="inlineStr">
        <is>
          <t>HÄSSLEHOLM</t>
        </is>
      </c>
      <c r="F296" t="inlineStr">
        <is>
          <t>Övriga Aktiebolag</t>
        </is>
      </c>
      <c r="G296" t="n">
        <v>2.3</v>
      </c>
      <c r="H296" t="n">
        <v>0</v>
      </c>
      <c r="I296" t="n">
        <v>0</v>
      </c>
      <c r="J296" t="n">
        <v>0</v>
      </c>
      <c r="K296" t="n">
        <v>0</v>
      </c>
      <c r="L296" t="n">
        <v>0</v>
      </c>
      <c r="M296" t="n">
        <v>0</v>
      </c>
      <c r="N296" t="n">
        <v>0</v>
      </c>
      <c r="O296" t="n">
        <v>0</v>
      </c>
      <c r="P296" t="n">
        <v>0</v>
      </c>
      <c r="Q296" t="n">
        <v>0</v>
      </c>
      <c r="R296" s="2" t="inlineStr"/>
    </row>
    <row r="297" ht="15" customHeight="1">
      <c r="A297" t="inlineStr">
        <is>
          <t>A 28599-2024</t>
        </is>
      </c>
      <c r="B297" s="1" t="n">
        <v>45478.4247800926</v>
      </c>
      <c r="C297" s="1" t="n">
        <v>46129</v>
      </c>
      <c r="D297" t="inlineStr">
        <is>
          <t>SKÅNE LÄN</t>
        </is>
      </c>
      <c r="E297" t="inlineStr">
        <is>
          <t>HÄSSLEHOLM</t>
        </is>
      </c>
      <c r="G297" t="n">
        <v>8.6</v>
      </c>
      <c r="H297" t="n">
        <v>0</v>
      </c>
      <c r="I297" t="n">
        <v>0</v>
      </c>
      <c r="J297" t="n">
        <v>0</v>
      </c>
      <c r="K297" t="n">
        <v>0</v>
      </c>
      <c r="L297" t="n">
        <v>0</v>
      </c>
      <c r="M297" t="n">
        <v>0</v>
      </c>
      <c r="N297" t="n">
        <v>0</v>
      </c>
      <c r="O297" t="n">
        <v>0</v>
      </c>
      <c r="P297" t="n">
        <v>0</v>
      </c>
      <c r="Q297" t="n">
        <v>0</v>
      </c>
      <c r="R297" s="2" t="inlineStr"/>
    </row>
    <row r="298" ht="15" customHeight="1">
      <c r="A298" t="inlineStr">
        <is>
          <t>A 9393-2025</t>
        </is>
      </c>
      <c r="B298" s="1" t="n">
        <v>45715.36230324074</v>
      </c>
      <c r="C298" s="1" t="n">
        <v>46129</v>
      </c>
      <c r="D298" t="inlineStr">
        <is>
          <t>SKÅNE LÄN</t>
        </is>
      </c>
      <c r="E298" t="inlineStr">
        <is>
          <t>HÄSSLEHOLM</t>
        </is>
      </c>
      <c r="G298" t="n">
        <v>1.4</v>
      </c>
      <c r="H298" t="n">
        <v>0</v>
      </c>
      <c r="I298" t="n">
        <v>0</v>
      </c>
      <c r="J298" t="n">
        <v>0</v>
      </c>
      <c r="K298" t="n">
        <v>0</v>
      </c>
      <c r="L298" t="n">
        <v>0</v>
      </c>
      <c r="M298" t="n">
        <v>0</v>
      </c>
      <c r="N298" t="n">
        <v>0</v>
      </c>
      <c r="O298" t="n">
        <v>0</v>
      </c>
      <c r="P298" t="n">
        <v>0</v>
      </c>
      <c r="Q298" t="n">
        <v>0</v>
      </c>
      <c r="R298" s="2" t="inlineStr"/>
    </row>
    <row r="299" ht="15" customHeight="1">
      <c r="A299" t="inlineStr">
        <is>
          <t>A 39366-2025</t>
        </is>
      </c>
      <c r="B299" s="1" t="n">
        <v>45889</v>
      </c>
      <c r="C299" s="1" t="n">
        <v>46129</v>
      </c>
      <c r="D299" t="inlineStr">
        <is>
          <t>SKÅNE LÄN</t>
        </is>
      </c>
      <c r="E299" t="inlineStr">
        <is>
          <t>HÄSSLEHOLM</t>
        </is>
      </c>
      <c r="G299" t="n">
        <v>1</v>
      </c>
      <c r="H299" t="n">
        <v>0</v>
      </c>
      <c r="I299" t="n">
        <v>0</v>
      </c>
      <c r="J299" t="n">
        <v>0</v>
      </c>
      <c r="K299" t="n">
        <v>0</v>
      </c>
      <c r="L299" t="n">
        <v>0</v>
      </c>
      <c r="M299" t="n">
        <v>0</v>
      </c>
      <c r="N299" t="n">
        <v>0</v>
      </c>
      <c r="O299" t="n">
        <v>0</v>
      </c>
      <c r="P299" t="n">
        <v>0</v>
      </c>
      <c r="Q299" t="n">
        <v>0</v>
      </c>
      <c r="R299" s="2" t="inlineStr"/>
    </row>
    <row r="300" ht="15" customHeight="1">
      <c r="A300" t="inlineStr">
        <is>
          <t>A 16121-2025</t>
        </is>
      </c>
      <c r="B300" s="1" t="n">
        <v>45750.40384259259</v>
      </c>
      <c r="C300" s="1" t="n">
        <v>46129</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11446-2025</t>
        </is>
      </c>
      <c r="B301" s="1" t="n">
        <v>45726</v>
      </c>
      <c r="C301" s="1" t="n">
        <v>46129</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15897-2025</t>
        </is>
      </c>
      <c r="B302" s="1" t="n">
        <v>45749.41598379629</v>
      </c>
      <c r="C302" s="1" t="n">
        <v>46129</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54982-2024</t>
        </is>
      </c>
      <c r="B303" s="1" t="n">
        <v>45620.7580787037</v>
      </c>
      <c r="C303" s="1" t="n">
        <v>46129</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61182-2024</t>
        </is>
      </c>
      <c r="B304" s="1" t="n">
        <v>45645</v>
      </c>
      <c r="C304" s="1" t="n">
        <v>46129</v>
      </c>
      <c r="D304" t="inlineStr">
        <is>
          <t>SKÅNE LÄN</t>
        </is>
      </c>
      <c r="E304" t="inlineStr">
        <is>
          <t>HÄSSLEHOLM</t>
        </is>
      </c>
      <c r="G304" t="n">
        <v>3.2</v>
      </c>
      <c r="H304" t="n">
        <v>0</v>
      </c>
      <c r="I304" t="n">
        <v>0</v>
      </c>
      <c r="J304" t="n">
        <v>0</v>
      </c>
      <c r="K304" t="n">
        <v>0</v>
      </c>
      <c r="L304" t="n">
        <v>0</v>
      </c>
      <c r="M304" t="n">
        <v>0</v>
      </c>
      <c r="N304" t="n">
        <v>0</v>
      </c>
      <c r="O304" t="n">
        <v>0</v>
      </c>
      <c r="P304" t="n">
        <v>0</v>
      </c>
      <c r="Q304" t="n">
        <v>0</v>
      </c>
      <c r="R304" s="2" t="inlineStr"/>
    </row>
    <row r="305" ht="15" customHeight="1">
      <c r="A305" t="inlineStr">
        <is>
          <t>A 4734-2025</t>
        </is>
      </c>
      <c r="B305" s="1" t="n">
        <v>45688.44030092593</v>
      </c>
      <c r="C305" s="1" t="n">
        <v>46129</v>
      </c>
      <c r="D305" t="inlineStr">
        <is>
          <t>SKÅNE LÄN</t>
        </is>
      </c>
      <c r="E305" t="inlineStr">
        <is>
          <t>HÄSSLEHOLM</t>
        </is>
      </c>
      <c r="G305" t="n">
        <v>19.6</v>
      </c>
      <c r="H305" t="n">
        <v>0</v>
      </c>
      <c r="I305" t="n">
        <v>0</v>
      </c>
      <c r="J305" t="n">
        <v>0</v>
      </c>
      <c r="K305" t="n">
        <v>0</v>
      </c>
      <c r="L305" t="n">
        <v>0</v>
      </c>
      <c r="M305" t="n">
        <v>0</v>
      </c>
      <c r="N305" t="n">
        <v>0</v>
      </c>
      <c r="O305" t="n">
        <v>0</v>
      </c>
      <c r="P305" t="n">
        <v>0</v>
      </c>
      <c r="Q305" t="n">
        <v>0</v>
      </c>
      <c r="R305" s="2" t="inlineStr"/>
    </row>
    <row r="306" ht="15" customHeight="1">
      <c r="A306" t="inlineStr">
        <is>
          <t>A 24776-2025</t>
        </is>
      </c>
      <c r="B306" s="1" t="n">
        <v>45799.40640046296</v>
      </c>
      <c r="C306" s="1" t="n">
        <v>46129</v>
      </c>
      <c r="D306" t="inlineStr">
        <is>
          <t>SKÅNE LÄN</t>
        </is>
      </c>
      <c r="E306" t="inlineStr">
        <is>
          <t>HÄSSLEHOLM</t>
        </is>
      </c>
      <c r="G306" t="n">
        <v>5.4</v>
      </c>
      <c r="H306" t="n">
        <v>0</v>
      </c>
      <c r="I306" t="n">
        <v>0</v>
      </c>
      <c r="J306" t="n">
        <v>0</v>
      </c>
      <c r="K306" t="n">
        <v>0</v>
      </c>
      <c r="L306" t="n">
        <v>0</v>
      </c>
      <c r="M306" t="n">
        <v>0</v>
      </c>
      <c r="N306" t="n">
        <v>0</v>
      </c>
      <c r="O306" t="n">
        <v>0</v>
      </c>
      <c r="P306" t="n">
        <v>0</v>
      </c>
      <c r="Q306" t="n">
        <v>0</v>
      </c>
      <c r="R306" s="2" t="inlineStr"/>
    </row>
    <row r="307" ht="15" customHeight="1">
      <c r="A307" t="inlineStr">
        <is>
          <t>A 7681-2025</t>
        </is>
      </c>
      <c r="B307" s="1" t="n">
        <v>45706.36758101852</v>
      </c>
      <c r="C307" s="1" t="n">
        <v>46129</v>
      </c>
      <c r="D307" t="inlineStr">
        <is>
          <t>SKÅNE LÄN</t>
        </is>
      </c>
      <c r="E307" t="inlineStr">
        <is>
          <t>HÄSSLEHOLM</t>
        </is>
      </c>
      <c r="G307" t="n">
        <v>1.9</v>
      </c>
      <c r="H307" t="n">
        <v>0</v>
      </c>
      <c r="I307" t="n">
        <v>0</v>
      </c>
      <c r="J307" t="n">
        <v>0</v>
      </c>
      <c r="K307" t="n">
        <v>0</v>
      </c>
      <c r="L307" t="n">
        <v>0</v>
      </c>
      <c r="M307" t="n">
        <v>0</v>
      </c>
      <c r="N307" t="n">
        <v>0</v>
      </c>
      <c r="O307" t="n">
        <v>0</v>
      </c>
      <c r="P307" t="n">
        <v>0</v>
      </c>
      <c r="Q307" t="n">
        <v>0</v>
      </c>
      <c r="R307" s="2" t="inlineStr"/>
    </row>
    <row r="308" ht="15" customHeight="1">
      <c r="A308" t="inlineStr">
        <is>
          <t>A 39453-2025</t>
        </is>
      </c>
      <c r="B308" s="1" t="n">
        <v>45889</v>
      </c>
      <c r="C308" s="1" t="n">
        <v>46129</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24032-2025</t>
        </is>
      </c>
      <c r="B309" s="1" t="n">
        <v>45796.478125</v>
      </c>
      <c r="C309" s="1" t="n">
        <v>46129</v>
      </c>
      <c r="D309" t="inlineStr">
        <is>
          <t>SKÅNE LÄN</t>
        </is>
      </c>
      <c r="E309" t="inlineStr">
        <is>
          <t>HÄSSLEHOLM</t>
        </is>
      </c>
      <c r="G309" t="n">
        <v>2.2</v>
      </c>
      <c r="H309" t="n">
        <v>0</v>
      </c>
      <c r="I309" t="n">
        <v>0</v>
      </c>
      <c r="J309" t="n">
        <v>0</v>
      </c>
      <c r="K309" t="n">
        <v>0</v>
      </c>
      <c r="L309" t="n">
        <v>0</v>
      </c>
      <c r="M309" t="n">
        <v>0</v>
      </c>
      <c r="N309" t="n">
        <v>0</v>
      </c>
      <c r="O309" t="n">
        <v>0</v>
      </c>
      <c r="P309" t="n">
        <v>0</v>
      </c>
      <c r="Q309" t="n">
        <v>0</v>
      </c>
      <c r="R309" s="2" t="inlineStr"/>
    </row>
    <row r="310" ht="15" customHeight="1">
      <c r="A310" t="inlineStr">
        <is>
          <t>A 14255-2024</t>
        </is>
      </c>
      <c r="B310" s="1" t="n">
        <v>45393</v>
      </c>
      <c r="C310" s="1" t="n">
        <v>46129</v>
      </c>
      <c r="D310" t="inlineStr">
        <is>
          <t>SKÅNE LÄN</t>
        </is>
      </c>
      <c r="E310" t="inlineStr">
        <is>
          <t>HÄSSLEHOLM</t>
        </is>
      </c>
      <c r="G310" t="n">
        <v>11.9</v>
      </c>
      <c r="H310" t="n">
        <v>0</v>
      </c>
      <c r="I310" t="n">
        <v>0</v>
      </c>
      <c r="J310" t="n">
        <v>0</v>
      </c>
      <c r="K310" t="n">
        <v>0</v>
      </c>
      <c r="L310" t="n">
        <v>0</v>
      </c>
      <c r="M310" t="n">
        <v>0</v>
      </c>
      <c r="N310" t="n">
        <v>0</v>
      </c>
      <c r="O310" t="n">
        <v>0</v>
      </c>
      <c r="P310" t="n">
        <v>0</v>
      </c>
      <c r="Q310" t="n">
        <v>0</v>
      </c>
      <c r="R310" s="2" t="inlineStr"/>
    </row>
    <row r="311" ht="15" customHeight="1">
      <c r="A311" t="inlineStr">
        <is>
          <t>A 56797-2025</t>
        </is>
      </c>
      <c r="B311" s="1" t="n">
        <v>45978.43273148148</v>
      </c>
      <c r="C311" s="1" t="n">
        <v>46129</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39934-2025</t>
        </is>
      </c>
      <c r="B312" s="1" t="n">
        <v>45891.71465277778</v>
      </c>
      <c r="C312" s="1" t="n">
        <v>46129</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60789-2024</t>
        </is>
      </c>
      <c r="B313" s="1" t="n">
        <v>45644</v>
      </c>
      <c r="C313" s="1" t="n">
        <v>46129</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39457-2025</t>
        </is>
      </c>
      <c r="B314" s="1" t="n">
        <v>45889.76887731482</v>
      </c>
      <c r="C314" s="1" t="n">
        <v>46129</v>
      </c>
      <c r="D314" t="inlineStr">
        <is>
          <t>SKÅNE LÄN</t>
        </is>
      </c>
      <c r="E314" t="inlineStr">
        <is>
          <t>HÄSSLEHOLM</t>
        </is>
      </c>
      <c r="G314" t="n">
        <v>6.6</v>
      </c>
      <c r="H314" t="n">
        <v>0</v>
      </c>
      <c r="I314" t="n">
        <v>0</v>
      </c>
      <c r="J314" t="n">
        <v>0</v>
      </c>
      <c r="K314" t="n">
        <v>0</v>
      </c>
      <c r="L314" t="n">
        <v>0</v>
      </c>
      <c r="M314" t="n">
        <v>0</v>
      </c>
      <c r="N314" t="n">
        <v>0</v>
      </c>
      <c r="O314" t="n">
        <v>0</v>
      </c>
      <c r="P314" t="n">
        <v>0</v>
      </c>
      <c r="Q314" t="n">
        <v>0</v>
      </c>
      <c r="R314" s="2" t="inlineStr"/>
    </row>
    <row r="315" ht="15" customHeight="1">
      <c r="A315" t="inlineStr">
        <is>
          <t>A 39937-2025</t>
        </is>
      </c>
      <c r="B315" s="1" t="n">
        <v>45891.73162037037</v>
      </c>
      <c r="C315" s="1" t="n">
        <v>46129</v>
      </c>
      <c r="D315" t="inlineStr">
        <is>
          <t>SKÅNE LÄN</t>
        </is>
      </c>
      <c r="E315" t="inlineStr">
        <is>
          <t>HÄSSLEHOLM</t>
        </is>
      </c>
      <c r="G315" t="n">
        <v>4.5</v>
      </c>
      <c r="H315" t="n">
        <v>0</v>
      </c>
      <c r="I315" t="n">
        <v>0</v>
      </c>
      <c r="J315" t="n">
        <v>0</v>
      </c>
      <c r="K315" t="n">
        <v>0</v>
      </c>
      <c r="L315" t="n">
        <v>0</v>
      </c>
      <c r="M315" t="n">
        <v>0</v>
      </c>
      <c r="N315" t="n">
        <v>0</v>
      </c>
      <c r="O315" t="n">
        <v>0</v>
      </c>
      <c r="P315" t="n">
        <v>0</v>
      </c>
      <c r="Q315" t="n">
        <v>0</v>
      </c>
      <c r="R315" s="2" t="inlineStr"/>
    </row>
    <row r="316" ht="15" customHeight="1">
      <c r="A316" t="inlineStr">
        <is>
          <t>A 5252-2025</t>
        </is>
      </c>
      <c r="B316" s="1" t="n">
        <v>45692.3449537037</v>
      </c>
      <c r="C316" s="1" t="n">
        <v>46129</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12338-2024</t>
        </is>
      </c>
      <c r="B317" s="1" t="n">
        <v>45378.72869212963</v>
      </c>
      <c r="C317" s="1" t="n">
        <v>46129</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5242-2025</t>
        </is>
      </c>
      <c r="B318" s="1" t="n">
        <v>45692.32883101852</v>
      </c>
      <c r="C318" s="1" t="n">
        <v>46129</v>
      </c>
      <c r="D318" t="inlineStr">
        <is>
          <t>SKÅNE LÄN</t>
        </is>
      </c>
      <c r="E318" t="inlineStr">
        <is>
          <t>HÄSSLEHOLM</t>
        </is>
      </c>
      <c r="G318" t="n">
        <v>1.1</v>
      </c>
      <c r="H318" t="n">
        <v>0</v>
      </c>
      <c r="I318" t="n">
        <v>0</v>
      </c>
      <c r="J318" t="n">
        <v>0</v>
      </c>
      <c r="K318" t="n">
        <v>0</v>
      </c>
      <c r="L318" t="n">
        <v>0</v>
      </c>
      <c r="M318" t="n">
        <v>0</v>
      </c>
      <c r="N318" t="n">
        <v>0</v>
      </c>
      <c r="O318" t="n">
        <v>0</v>
      </c>
      <c r="P318" t="n">
        <v>0</v>
      </c>
      <c r="Q318" t="n">
        <v>0</v>
      </c>
      <c r="R318" s="2" t="inlineStr"/>
    </row>
    <row r="319" ht="15" customHeight="1">
      <c r="A319" t="inlineStr">
        <is>
          <t>A 56798-2025</t>
        </is>
      </c>
      <c r="B319" s="1" t="n">
        <v>45978.43378472222</v>
      </c>
      <c r="C319" s="1" t="n">
        <v>46129</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24034-2025</t>
        </is>
      </c>
      <c r="B320" s="1" t="n">
        <v>45796.48251157408</v>
      </c>
      <c r="C320" s="1" t="n">
        <v>46129</v>
      </c>
      <c r="D320" t="inlineStr">
        <is>
          <t>SKÅNE LÄN</t>
        </is>
      </c>
      <c r="E320" t="inlineStr">
        <is>
          <t>HÄSSLEHOLM</t>
        </is>
      </c>
      <c r="G320" t="n">
        <v>0.9</v>
      </c>
      <c r="H320" t="n">
        <v>0</v>
      </c>
      <c r="I320" t="n">
        <v>0</v>
      </c>
      <c r="J320" t="n">
        <v>0</v>
      </c>
      <c r="K320" t="n">
        <v>0</v>
      </c>
      <c r="L320" t="n">
        <v>0</v>
      </c>
      <c r="M320" t="n">
        <v>0</v>
      </c>
      <c r="N320" t="n">
        <v>0</v>
      </c>
      <c r="O320" t="n">
        <v>0</v>
      </c>
      <c r="P320" t="n">
        <v>0</v>
      </c>
      <c r="Q320" t="n">
        <v>0</v>
      </c>
      <c r="R320" s="2" t="inlineStr"/>
    </row>
    <row r="321" ht="15" customHeight="1">
      <c r="A321" t="inlineStr">
        <is>
          <t>A 24250-2025</t>
        </is>
      </c>
      <c r="B321" s="1" t="n">
        <v>45797.40260416667</v>
      </c>
      <c r="C321" s="1" t="n">
        <v>46129</v>
      </c>
      <c r="D321" t="inlineStr">
        <is>
          <t>SKÅNE LÄN</t>
        </is>
      </c>
      <c r="E321" t="inlineStr">
        <is>
          <t>HÄSSLEHOLM</t>
        </is>
      </c>
      <c r="G321" t="n">
        <v>2.3</v>
      </c>
      <c r="H321" t="n">
        <v>0</v>
      </c>
      <c r="I321" t="n">
        <v>0</v>
      </c>
      <c r="J321" t="n">
        <v>0</v>
      </c>
      <c r="K321" t="n">
        <v>0</v>
      </c>
      <c r="L321" t="n">
        <v>0</v>
      </c>
      <c r="M321" t="n">
        <v>0</v>
      </c>
      <c r="N321" t="n">
        <v>0</v>
      </c>
      <c r="O321" t="n">
        <v>0</v>
      </c>
      <c r="P321" t="n">
        <v>0</v>
      </c>
      <c r="Q321" t="n">
        <v>0</v>
      </c>
      <c r="R321" s="2" t="inlineStr"/>
    </row>
    <row r="322" ht="15" customHeight="1">
      <c r="A322" t="inlineStr">
        <is>
          <t>A 24029-2025</t>
        </is>
      </c>
      <c r="B322" s="1" t="n">
        <v>45796.47552083333</v>
      </c>
      <c r="C322" s="1" t="n">
        <v>46129</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24039-2025</t>
        </is>
      </c>
      <c r="B323" s="1" t="n">
        <v>45796.48675925926</v>
      </c>
      <c r="C323" s="1" t="n">
        <v>46129</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9555-2025</t>
        </is>
      </c>
      <c r="B324" s="1" t="n">
        <v>45714</v>
      </c>
      <c r="C324" s="1" t="n">
        <v>46129</v>
      </c>
      <c r="D324" t="inlineStr">
        <is>
          <t>SKÅNE LÄN</t>
        </is>
      </c>
      <c r="E324" t="inlineStr">
        <is>
          <t>HÄSSLEHOLM</t>
        </is>
      </c>
      <c r="G324" t="n">
        <v>5.4</v>
      </c>
      <c r="H324" t="n">
        <v>0</v>
      </c>
      <c r="I324" t="n">
        <v>0</v>
      </c>
      <c r="J324" t="n">
        <v>0</v>
      </c>
      <c r="K324" t="n">
        <v>0</v>
      </c>
      <c r="L324" t="n">
        <v>0</v>
      </c>
      <c r="M324" t="n">
        <v>0</v>
      </c>
      <c r="N324" t="n">
        <v>0</v>
      </c>
      <c r="O324" t="n">
        <v>0</v>
      </c>
      <c r="P324" t="n">
        <v>0</v>
      </c>
      <c r="Q324" t="n">
        <v>0</v>
      </c>
      <c r="R324" s="2" t="inlineStr"/>
    </row>
    <row r="325" ht="15" customHeight="1">
      <c r="A325" t="inlineStr">
        <is>
          <t>A 15055-2023</t>
        </is>
      </c>
      <c r="B325" s="1" t="n">
        <v>45015</v>
      </c>
      <c r="C325" s="1" t="n">
        <v>46129</v>
      </c>
      <c r="D325" t="inlineStr">
        <is>
          <t>SKÅNE LÄN</t>
        </is>
      </c>
      <c r="E325" t="inlineStr">
        <is>
          <t>HÄSSLEHOLM</t>
        </is>
      </c>
      <c r="G325" t="n">
        <v>1.9</v>
      </c>
      <c r="H325" t="n">
        <v>0</v>
      </c>
      <c r="I325" t="n">
        <v>0</v>
      </c>
      <c r="J325" t="n">
        <v>0</v>
      </c>
      <c r="K325" t="n">
        <v>0</v>
      </c>
      <c r="L325" t="n">
        <v>0</v>
      </c>
      <c r="M325" t="n">
        <v>0</v>
      </c>
      <c r="N325" t="n">
        <v>0</v>
      </c>
      <c r="O325" t="n">
        <v>0</v>
      </c>
      <c r="P325" t="n">
        <v>0</v>
      </c>
      <c r="Q325" t="n">
        <v>0</v>
      </c>
      <c r="R325" s="2" t="inlineStr"/>
    </row>
    <row r="326" ht="15" customHeight="1">
      <c r="A326" t="inlineStr">
        <is>
          <t>A 40241-2025</t>
        </is>
      </c>
      <c r="B326" s="1" t="n">
        <v>45894.87251157407</v>
      </c>
      <c r="C326" s="1" t="n">
        <v>46129</v>
      </c>
      <c r="D326" t="inlineStr">
        <is>
          <t>SKÅNE LÄN</t>
        </is>
      </c>
      <c r="E326" t="inlineStr">
        <is>
          <t>HÄSSLEHOLM</t>
        </is>
      </c>
      <c r="G326" t="n">
        <v>3.8</v>
      </c>
      <c r="H326" t="n">
        <v>0</v>
      </c>
      <c r="I326" t="n">
        <v>0</v>
      </c>
      <c r="J326" t="n">
        <v>0</v>
      </c>
      <c r="K326" t="n">
        <v>0</v>
      </c>
      <c r="L326" t="n">
        <v>0</v>
      </c>
      <c r="M326" t="n">
        <v>0</v>
      </c>
      <c r="N326" t="n">
        <v>0</v>
      </c>
      <c r="O326" t="n">
        <v>0</v>
      </c>
      <c r="P326" t="n">
        <v>0</v>
      </c>
      <c r="Q326" t="n">
        <v>0</v>
      </c>
      <c r="R326" s="2" t="inlineStr"/>
    </row>
    <row r="327" ht="15" customHeight="1">
      <c r="A327" t="inlineStr">
        <is>
          <t>A 24047-2025</t>
        </is>
      </c>
      <c r="B327" s="1" t="n">
        <v>45796.49528935185</v>
      </c>
      <c r="C327" s="1" t="n">
        <v>46129</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24675-2025</t>
        </is>
      </c>
      <c r="B328" s="1" t="n">
        <v>45798.653125</v>
      </c>
      <c r="C328" s="1" t="n">
        <v>46129</v>
      </c>
      <c r="D328" t="inlineStr">
        <is>
          <t>SKÅNE LÄN</t>
        </is>
      </c>
      <c r="E328" t="inlineStr">
        <is>
          <t>HÄSSLEHOLM</t>
        </is>
      </c>
      <c r="G328" t="n">
        <v>1.8</v>
      </c>
      <c r="H328" t="n">
        <v>0</v>
      </c>
      <c r="I328" t="n">
        <v>0</v>
      </c>
      <c r="J328" t="n">
        <v>0</v>
      </c>
      <c r="K328" t="n">
        <v>0</v>
      </c>
      <c r="L328" t="n">
        <v>0</v>
      </c>
      <c r="M328" t="n">
        <v>0</v>
      </c>
      <c r="N328" t="n">
        <v>0</v>
      </c>
      <c r="O328" t="n">
        <v>0</v>
      </c>
      <c r="P328" t="n">
        <v>0</v>
      </c>
      <c r="Q328" t="n">
        <v>0</v>
      </c>
      <c r="R328" s="2" t="inlineStr"/>
    </row>
    <row r="329" ht="15" customHeight="1">
      <c r="A329" t="inlineStr">
        <is>
          <t>A 42735-2024</t>
        </is>
      </c>
      <c r="B329" s="1" t="n">
        <v>45566.47274305556</v>
      </c>
      <c r="C329" s="1" t="n">
        <v>46129</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34187-2023</t>
        </is>
      </c>
      <c r="B330" s="1" t="n">
        <v>45138</v>
      </c>
      <c r="C330" s="1" t="n">
        <v>46129</v>
      </c>
      <c r="D330" t="inlineStr">
        <is>
          <t>SKÅNE LÄN</t>
        </is>
      </c>
      <c r="E330" t="inlineStr">
        <is>
          <t>HÄSSLEHOLM</t>
        </is>
      </c>
      <c r="G330" t="n">
        <v>0.4</v>
      </c>
      <c r="H330" t="n">
        <v>0</v>
      </c>
      <c r="I330" t="n">
        <v>0</v>
      </c>
      <c r="J330" t="n">
        <v>0</v>
      </c>
      <c r="K330" t="n">
        <v>0</v>
      </c>
      <c r="L330" t="n">
        <v>0</v>
      </c>
      <c r="M330" t="n">
        <v>0</v>
      </c>
      <c r="N330" t="n">
        <v>0</v>
      </c>
      <c r="O330" t="n">
        <v>0</v>
      </c>
      <c r="P330" t="n">
        <v>0</v>
      </c>
      <c r="Q330" t="n">
        <v>0</v>
      </c>
      <c r="R330" s="2" t="inlineStr"/>
    </row>
    <row r="331" ht="15" customHeight="1">
      <c r="A331" t="inlineStr">
        <is>
          <t>A 55522-2024</t>
        </is>
      </c>
      <c r="B331" s="1" t="n">
        <v>45622</v>
      </c>
      <c r="C331" s="1" t="n">
        <v>46129</v>
      </c>
      <c r="D331" t="inlineStr">
        <is>
          <t>SKÅNE LÄN</t>
        </is>
      </c>
      <c r="E331" t="inlineStr">
        <is>
          <t>HÄSSLEHOLM</t>
        </is>
      </c>
      <c r="G331" t="n">
        <v>5.6</v>
      </c>
      <c r="H331" t="n">
        <v>0</v>
      </c>
      <c r="I331" t="n">
        <v>0</v>
      </c>
      <c r="J331" t="n">
        <v>0</v>
      </c>
      <c r="K331" t="n">
        <v>0</v>
      </c>
      <c r="L331" t="n">
        <v>0</v>
      </c>
      <c r="M331" t="n">
        <v>0</v>
      </c>
      <c r="N331" t="n">
        <v>0</v>
      </c>
      <c r="O331" t="n">
        <v>0</v>
      </c>
      <c r="P331" t="n">
        <v>0</v>
      </c>
      <c r="Q331" t="n">
        <v>0</v>
      </c>
      <c r="R331" s="2" t="inlineStr"/>
    </row>
    <row r="332" ht="15" customHeight="1">
      <c r="A332" t="inlineStr">
        <is>
          <t>A 32826-2024</t>
        </is>
      </c>
      <c r="B332" s="1" t="n">
        <v>45516.59056712963</v>
      </c>
      <c r="C332" s="1" t="n">
        <v>46129</v>
      </c>
      <c r="D332" t="inlineStr">
        <is>
          <t>SKÅNE LÄN</t>
        </is>
      </c>
      <c r="E332" t="inlineStr">
        <is>
          <t>HÄSSLEHOLM</t>
        </is>
      </c>
      <c r="G332" t="n">
        <v>0.9</v>
      </c>
      <c r="H332" t="n">
        <v>0</v>
      </c>
      <c r="I332" t="n">
        <v>0</v>
      </c>
      <c r="J332" t="n">
        <v>0</v>
      </c>
      <c r="K332" t="n">
        <v>0</v>
      </c>
      <c r="L332" t="n">
        <v>0</v>
      </c>
      <c r="M332" t="n">
        <v>0</v>
      </c>
      <c r="N332" t="n">
        <v>0</v>
      </c>
      <c r="O332" t="n">
        <v>0</v>
      </c>
      <c r="P332" t="n">
        <v>0</v>
      </c>
      <c r="Q332" t="n">
        <v>0</v>
      </c>
      <c r="R332" s="2" t="inlineStr"/>
    </row>
    <row r="333" ht="15" customHeight="1">
      <c r="A333" t="inlineStr">
        <is>
          <t>A 31255-2024</t>
        </is>
      </c>
      <c r="B333" s="1" t="n">
        <v>45503.69114583333</v>
      </c>
      <c r="C333" s="1" t="n">
        <v>46129</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44697-2021</t>
        </is>
      </c>
      <c r="B334" s="1" t="n">
        <v>44438</v>
      </c>
      <c r="C334" s="1" t="n">
        <v>46129</v>
      </c>
      <c r="D334" t="inlineStr">
        <is>
          <t>SKÅNE LÄN</t>
        </is>
      </c>
      <c r="E334" t="inlineStr">
        <is>
          <t>HÄSSLEHOLM</t>
        </is>
      </c>
      <c r="G334" t="n">
        <v>4.8</v>
      </c>
      <c r="H334" t="n">
        <v>0</v>
      </c>
      <c r="I334" t="n">
        <v>0</v>
      </c>
      <c r="J334" t="n">
        <v>0</v>
      </c>
      <c r="K334" t="n">
        <v>0</v>
      </c>
      <c r="L334" t="n">
        <v>0</v>
      </c>
      <c r="M334" t="n">
        <v>0</v>
      </c>
      <c r="N334" t="n">
        <v>0</v>
      </c>
      <c r="O334" t="n">
        <v>0</v>
      </c>
      <c r="P334" t="n">
        <v>0</v>
      </c>
      <c r="Q334" t="n">
        <v>0</v>
      </c>
      <c r="R334" s="2" t="inlineStr"/>
    </row>
    <row r="335" ht="15" customHeight="1">
      <c r="A335" t="inlineStr">
        <is>
          <t>A 56794-2025</t>
        </is>
      </c>
      <c r="B335" s="1" t="n">
        <v>45978.43039351852</v>
      </c>
      <c r="C335" s="1" t="n">
        <v>46129</v>
      </c>
      <c r="D335" t="inlineStr">
        <is>
          <t>SKÅNE LÄN</t>
        </is>
      </c>
      <c r="E335" t="inlineStr">
        <is>
          <t>HÄSSLEHOLM</t>
        </is>
      </c>
      <c r="G335" t="n">
        <v>2.3</v>
      </c>
      <c r="H335" t="n">
        <v>0</v>
      </c>
      <c r="I335" t="n">
        <v>0</v>
      </c>
      <c r="J335" t="n">
        <v>0</v>
      </c>
      <c r="K335" t="n">
        <v>0</v>
      </c>
      <c r="L335" t="n">
        <v>0</v>
      </c>
      <c r="M335" t="n">
        <v>0</v>
      </c>
      <c r="N335" t="n">
        <v>0</v>
      </c>
      <c r="O335" t="n">
        <v>0</v>
      </c>
      <c r="P335" t="n">
        <v>0</v>
      </c>
      <c r="Q335" t="n">
        <v>0</v>
      </c>
      <c r="R335" s="2" t="inlineStr"/>
    </row>
    <row r="336" ht="15" customHeight="1">
      <c r="A336" t="inlineStr">
        <is>
          <t>A 32512-2024</t>
        </is>
      </c>
      <c r="B336" s="1" t="n">
        <v>45513.45613425926</v>
      </c>
      <c r="C336" s="1" t="n">
        <v>46129</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8433-2024</t>
        </is>
      </c>
      <c r="B337" s="1" t="n">
        <v>45353.48434027778</v>
      </c>
      <c r="C337" s="1" t="n">
        <v>46129</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48807-2021</t>
        </is>
      </c>
      <c r="B338" s="1" t="n">
        <v>44452</v>
      </c>
      <c r="C338" s="1" t="n">
        <v>46129</v>
      </c>
      <c r="D338" t="inlineStr">
        <is>
          <t>SKÅNE LÄN</t>
        </is>
      </c>
      <c r="E338" t="inlineStr">
        <is>
          <t>HÄSSLEHOLM</t>
        </is>
      </c>
      <c r="G338" t="n">
        <v>1.1</v>
      </c>
      <c r="H338" t="n">
        <v>0</v>
      </c>
      <c r="I338" t="n">
        <v>0</v>
      </c>
      <c r="J338" t="n">
        <v>0</v>
      </c>
      <c r="K338" t="n">
        <v>0</v>
      </c>
      <c r="L338" t="n">
        <v>0</v>
      </c>
      <c r="M338" t="n">
        <v>0</v>
      </c>
      <c r="N338" t="n">
        <v>0</v>
      </c>
      <c r="O338" t="n">
        <v>0</v>
      </c>
      <c r="P338" t="n">
        <v>0</v>
      </c>
      <c r="Q338" t="n">
        <v>0</v>
      </c>
      <c r="R338" s="2" t="inlineStr"/>
    </row>
    <row r="339" ht="15" customHeight="1">
      <c r="A339" t="inlineStr">
        <is>
          <t>A 28457-2024</t>
        </is>
      </c>
      <c r="B339" s="1" t="n">
        <v>45477.68884259259</v>
      </c>
      <c r="C339" s="1" t="n">
        <v>46129</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24985-2025</t>
        </is>
      </c>
      <c r="B340" s="1" t="n">
        <v>45799.60256944445</v>
      </c>
      <c r="C340" s="1" t="n">
        <v>46129</v>
      </c>
      <c r="D340" t="inlineStr">
        <is>
          <t>SKÅNE LÄN</t>
        </is>
      </c>
      <c r="E340" t="inlineStr">
        <is>
          <t>HÄSSLEHOLM</t>
        </is>
      </c>
      <c r="G340" t="n">
        <v>2.3</v>
      </c>
      <c r="H340" t="n">
        <v>0</v>
      </c>
      <c r="I340" t="n">
        <v>0</v>
      </c>
      <c r="J340" t="n">
        <v>0</v>
      </c>
      <c r="K340" t="n">
        <v>0</v>
      </c>
      <c r="L340" t="n">
        <v>0</v>
      </c>
      <c r="M340" t="n">
        <v>0</v>
      </c>
      <c r="N340" t="n">
        <v>0</v>
      </c>
      <c r="O340" t="n">
        <v>0</v>
      </c>
      <c r="P340" t="n">
        <v>0</v>
      </c>
      <c r="Q340" t="n">
        <v>0</v>
      </c>
      <c r="R340" s="2" t="inlineStr"/>
    </row>
    <row r="341" ht="15" customHeight="1">
      <c r="A341" t="inlineStr">
        <is>
          <t>A 10562-2025</t>
        </is>
      </c>
      <c r="B341" s="1" t="n">
        <v>45721.52913194444</v>
      </c>
      <c r="C341" s="1" t="n">
        <v>46129</v>
      </c>
      <c r="D341" t="inlineStr">
        <is>
          <t>SKÅNE LÄN</t>
        </is>
      </c>
      <c r="E341" t="inlineStr">
        <is>
          <t>HÄSSLEHOLM</t>
        </is>
      </c>
      <c r="G341" t="n">
        <v>1.4</v>
      </c>
      <c r="H341" t="n">
        <v>0</v>
      </c>
      <c r="I341" t="n">
        <v>0</v>
      </c>
      <c r="J341" t="n">
        <v>0</v>
      </c>
      <c r="K341" t="n">
        <v>0</v>
      </c>
      <c r="L341" t="n">
        <v>0</v>
      </c>
      <c r="M341" t="n">
        <v>0</v>
      </c>
      <c r="N341" t="n">
        <v>0</v>
      </c>
      <c r="O341" t="n">
        <v>0</v>
      </c>
      <c r="P341" t="n">
        <v>0</v>
      </c>
      <c r="Q341" t="n">
        <v>0</v>
      </c>
      <c r="R341" s="2" t="inlineStr"/>
    </row>
    <row r="342" ht="15" customHeight="1">
      <c r="A342" t="inlineStr">
        <is>
          <t>A 13309-2025</t>
        </is>
      </c>
      <c r="B342" s="1" t="n">
        <v>45735.58512731481</v>
      </c>
      <c r="C342" s="1" t="n">
        <v>46129</v>
      </c>
      <c r="D342" t="inlineStr">
        <is>
          <t>SKÅNE LÄN</t>
        </is>
      </c>
      <c r="E342" t="inlineStr">
        <is>
          <t>HÄSSLEHOLM</t>
        </is>
      </c>
      <c r="G342" t="n">
        <v>1.2</v>
      </c>
      <c r="H342" t="n">
        <v>0</v>
      </c>
      <c r="I342" t="n">
        <v>0</v>
      </c>
      <c r="J342" t="n">
        <v>0</v>
      </c>
      <c r="K342" t="n">
        <v>0</v>
      </c>
      <c r="L342" t="n">
        <v>0</v>
      </c>
      <c r="M342" t="n">
        <v>0</v>
      </c>
      <c r="N342" t="n">
        <v>0</v>
      </c>
      <c r="O342" t="n">
        <v>0</v>
      </c>
      <c r="P342" t="n">
        <v>0</v>
      </c>
      <c r="Q342" t="n">
        <v>0</v>
      </c>
      <c r="R342" s="2" t="inlineStr"/>
    </row>
    <row r="343" ht="15" customHeight="1">
      <c r="A343" t="inlineStr">
        <is>
          <t>A 51752-2023</t>
        </is>
      </c>
      <c r="B343" s="1" t="n">
        <v>45222</v>
      </c>
      <c r="C343" s="1" t="n">
        <v>46129</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24658-2025</t>
        </is>
      </c>
      <c r="B344" s="1" t="n">
        <v>45798.64134259259</v>
      </c>
      <c r="C344" s="1" t="n">
        <v>46129</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32834-2024</t>
        </is>
      </c>
      <c r="B345" s="1" t="n">
        <v>45516.6025</v>
      </c>
      <c r="C345" s="1" t="n">
        <v>46129</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9397-2025</t>
        </is>
      </c>
      <c r="B346" s="1" t="n">
        <v>45715.37361111111</v>
      </c>
      <c r="C346" s="1" t="n">
        <v>46129</v>
      </c>
      <c r="D346" t="inlineStr">
        <is>
          <t>SKÅNE LÄN</t>
        </is>
      </c>
      <c r="E346" t="inlineStr">
        <is>
          <t>HÄSSLEHOLM</t>
        </is>
      </c>
      <c r="G346" t="n">
        <v>1.2</v>
      </c>
      <c r="H346" t="n">
        <v>0</v>
      </c>
      <c r="I346" t="n">
        <v>0</v>
      </c>
      <c r="J346" t="n">
        <v>0</v>
      </c>
      <c r="K346" t="n">
        <v>0</v>
      </c>
      <c r="L346" t="n">
        <v>0</v>
      </c>
      <c r="M346" t="n">
        <v>0</v>
      </c>
      <c r="N346" t="n">
        <v>0</v>
      </c>
      <c r="O346" t="n">
        <v>0</v>
      </c>
      <c r="P346" t="n">
        <v>0</v>
      </c>
      <c r="Q346" t="n">
        <v>0</v>
      </c>
      <c r="R346" s="2" t="inlineStr"/>
    </row>
    <row r="347" ht="15" customHeight="1">
      <c r="A347" t="inlineStr">
        <is>
          <t>A 25372-2025</t>
        </is>
      </c>
      <c r="B347" s="1" t="n">
        <v>45799</v>
      </c>
      <c r="C347" s="1" t="n">
        <v>46129</v>
      </c>
      <c r="D347" t="inlineStr">
        <is>
          <t>SKÅNE LÄN</t>
        </is>
      </c>
      <c r="E347" t="inlineStr">
        <is>
          <t>HÄSSLEHOLM</t>
        </is>
      </c>
      <c r="G347" t="n">
        <v>3.1</v>
      </c>
      <c r="H347" t="n">
        <v>0</v>
      </c>
      <c r="I347" t="n">
        <v>0</v>
      </c>
      <c r="J347" t="n">
        <v>0</v>
      </c>
      <c r="K347" t="n">
        <v>0</v>
      </c>
      <c r="L347" t="n">
        <v>0</v>
      </c>
      <c r="M347" t="n">
        <v>0</v>
      </c>
      <c r="N347" t="n">
        <v>0</v>
      </c>
      <c r="O347" t="n">
        <v>0</v>
      </c>
      <c r="P347" t="n">
        <v>0</v>
      </c>
      <c r="Q347" t="n">
        <v>0</v>
      </c>
      <c r="R347" s="2" t="inlineStr"/>
    </row>
    <row r="348" ht="15" customHeight="1">
      <c r="A348" t="inlineStr">
        <is>
          <t>A 59109-2023</t>
        </is>
      </c>
      <c r="B348" s="1" t="n">
        <v>45253.30819444444</v>
      </c>
      <c r="C348" s="1" t="n">
        <v>46129</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9399-2025</t>
        </is>
      </c>
      <c r="B349" s="1" t="n">
        <v>45715.37861111111</v>
      </c>
      <c r="C349" s="1" t="n">
        <v>46129</v>
      </c>
      <c r="D349" t="inlineStr">
        <is>
          <t>SKÅNE LÄN</t>
        </is>
      </c>
      <c r="E349" t="inlineStr">
        <is>
          <t>HÄSSLEHOLM</t>
        </is>
      </c>
      <c r="G349" t="n">
        <v>5.2</v>
      </c>
      <c r="H349" t="n">
        <v>0</v>
      </c>
      <c r="I349" t="n">
        <v>0</v>
      </c>
      <c r="J349" t="n">
        <v>0</v>
      </c>
      <c r="K349" t="n">
        <v>0</v>
      </c>
      <c r="L349" t="n">
        <v>0</v>
      </c>
      <c r="M349" t="n">
        <v>0</v>
      </c>
      <c r="N349" t="n">
        <v>0</v>
      </c>
      <c r="O349" t="n">
        <v>0</v>
      </c>
      <c r="P349" t="n">
        <v>0</v>
      </c>
      <c r="Q349" t="n">
        <v>0</v>
      </c>
      <c r="R349" s="2" t="inlineStr"/>
    </row>
    <row r="350" ht="15" customHeight="1">
      <c r="A350" t="inlineStr">
        <is>
          <t>A 49384-2021</t>
        </is>
      </c>
      <c r="B350" s="1" t="n">
        <v>44454</v>
      </c>
      <c r="C350" s="1" t="n">
        <v>46129</v>
      </c>
      <c r="D350" t="inlineStr">
        <is>
          <t>SKÅNE LÄN</t>
        </is>
      </c>
      <c r="E350" t="inlineStr">
        <is>
          <t>HÄSSLEHOLM</t>
        </is>
      </c>
      <c r="G350" t="n">
        <v>2.6</v>
      </c>
      <c r="H350" t="n">
        <v>0</v>
      </c>
      <c r="I350" t="n">
        <v>0</v>
      </c>
      <c r="J350" t="n">
        <v>0</v>
      </c>
      <c r="K350" t="n">
        <v>0</v>
      </c>
      <c r="L350" t="n">
        <v>0</v>
      </c>
      <c r="M350" t="n">
        <v>0</v>
      </c>
      <c r="N350" t="n">
        <v>0</v>
      </c>
      <c r="O350" t="n">
        <v>0</v>
      </c>
      <c r="P350" t="n">
        <v>0</v>
      </c>
      <c r="Q350" t="n">
        <v>0</v>
      </c>
      <c r="R350" s="2" t="inlineStr"/>
    </row>
    <row r="351" ht="15" customHeight="1">
      <c r="A351" t="inlineStr">
        <is>
          <t>A 54462-2022</t>
        </is>
      </c>
      <c r="B351" s="1" t="n">
        <v>44882</v>
      </c>
      <c r="C351" s="1" t="n">
        <v>46129</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25611-2024</t>
        </is>
      </c>
      <c r="B352" s="1" t="n">
        <v>45463</v>
      </c>
      <c r="C352" s="1" t="n">
        <v>46129</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7094-2023</t>
        </is>
      </c>
      <c r="B353" s="1" t="n">
        <v>44970.36958333333</v>
      </c>
      <c r="C353" s="1" t="n">
        <v>46129</v>
      </c>
      <c r="D353" t="inlineStr">
        <is>
          <t>SKÅNE LÄN</t>
        </is>
      </c>
      <c r="E353" t="inlineStr">
        <is>
          <t>HÄSSLEHOLM</t>
        </is>
      </c>
      <c r="G353" t="n">
        <v>3.6</v>
      </c>
      <c r="H353" t="n">
        <v>0</v>
      </c>
      <c r="I353" t="n">
        <v>0</v>
      </c>
      <c r="J353" t="n">
        <v>0</v>
      </c>
      <c r="K353" t="n">
        <v>0</v>
      </c>
      <c r="L353" t="n">
        <v>0</v>
      </c>
      <c r="M353" t="n">
        <v>0</v>
      </c>
      <c r="N353" t="n">
        <v>0</v>
      </c>
      <c r="O353" t="n">
        <v>0</v>
      </c>
      <c r="P353" t="n">
        <v>0</v>
      </c>
      <c r="Q353" t="n">
        <v>0</v>
      </c>
      <c r="R353" s="2" t="inlineStr"/>
    </row>
    <row r="354" ht="15" customHeight="1">
      <c r="A354" t="inlineStr">
        <is>
          <t>A 259-2024</t>
        </is>
      </c>
      <c r="B354" s="1" t="n">
        <v>45294</v>
      </c>
      <c r="C354" s="1" t="n">
        <v>46129</v>
      </c>
      <c r="D354" t="inlineStr">
        <is>
          <t>SKÅNE LÄN</t>
        </is>
      </c>
      <c r="E354" t="inlineStr">
        <is>
          <t>HÄSSLEHOLM</t>
        </is>
      </c>
      <c r="G354" t="n">
        <v>8</v>
      </c>
      <c r="H354" t="n">
        <v>0</v>
      </c>
      <c r="I354" t="n">
        <v>0</v>
      </c>
      <c r="J354" t="n">
        <v>0</v>
      </c>
      <c r="K354" t="n">
        <v>0</v>
      </c>
      <c r="L354" t="n">
        <v>0</v>
      </c>
      <c r="M354" t="n">
        <v>0</v>
      </c>
      <c r="N354" t="n">
        <v>0</v>
      </c>
      <c r="O354" t="n">
        <v>0</v>
      </c>
      <c r="P354" t="n">
        <v>0</v>
      </c>
      <c r="Q354" t="n">
        <v>0</v>
      </c>
      <c r="R354" s="2" t="inlineStr"/>
    </row>
    <row r="355" ht="15" customHeight="1">
      <c r="A355" t="inlineStr">
        <is>
          <t>A 29659-2024</t>
        </is>
      </c>
      <c r="B355" s="1" t="n">
        <v>45484.92587962963</v>
      </c>
      <c r="C355" s="1" t="n">
        <v>46129</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32100-2024</t>
        </is>
      </c>
      <c r="B356" s="1" t="n">
        <v>45511.41451388889</v>
      </c>
      <c r="C356" s="1" t="n">
        <v>46129</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27837-2024</t>
        </is>
      </c>
      <c r="B357" s="1" t="n">
        <v>45475</v>
      </c>
      <c r="C357" s="1" t="n">
        <v>46129</v>
      </c>
      <c r="D357" t="inlineStr">
        <is>
          <t>SKÅNE LÄN</t>
        </is>
      </c>
      <c r="E357" t="inlineStr">
        <is>
          <t>HÄSSLEHOLM</t>
        </is>
      </c>
      <c r="F357" t="inlineStr">
        <is>
          <t>Kommuner</t>
        </is>
      </c>
      <c r="G357" t="n">
        <v>2.3</v>
      </c>
      <c r="H357" t="n">
        <v>0</v>
      </c>
      <c r="I357" t="n">
        <v>0</v>
      </c>
      <c r="J357" t="n">
        <v>0</v>
      </c>
      <c r="K357" t="n">
        <v>0</v>
      </c>
      <c r="L357" t="n">
        <v>0</v>
      </c>
      <c r="M357" t="n">
        <v>0</v>
      </c>
      <c r="N357" t="n">
        <v>0</v>
      </c>
      <c r="O357" t="n">
        <v>0</v>
      </c>
      <c r="P357" t="n">
        <v>0</v>
      </c>
      <c r="Q357" t="n">
        <v>0</v>
      </c>
      <c r="R357" s="2" t="inlineStr"/>
    </row>
    <row r="358" ht="15" customHeight="1">
      <c r="A358" t="inlineStr">
        <is>
          <t>A 10220-2023</t>
        </is>
      </c>
      <c r="B358" s="1" t="n">
        <v>44986.60916666667</v>
      </c>
      <c r="C358" s="1" t="n">
        <v>46129</v>
      </c>
      <c r="D358" t="inlineStr">
        <is>
          <t>SKÅNE LÄN</t>
        </is>
      </c>
      <c r="E358" t="inlineStr">
        <is>
          <t>HÄSSLEHOLM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1679-2022</t>
        </is>
      </c>
      <c r="B359" s="1" t="n">
        <v>44573</v>
      </c>
      <c r="C359" s="1" t="n">
        <v>46129</v>
      </c>
      <c r="D359" t="inlineStr">
        <is>
          <t>SKÅNE LÄN</t>
        </is>
      </c>
      <c r="E359" t="inlineStr">
        <is>
          <t>HÄSSLEHOLM</t>
        </is>
      </c>
      <c r="F359" t="inlineStr">
        <is>
          <t>Kyrkan</t>
        </is>
      </c>
      <c r="G359" t="n">
        <v>4.3</v>
      </c>
      <c r="H359" t="n">
        <v>0</v>
      </c>
      <c r="I359" t="n">
        <v>0</v>
      </c>
      <c r="J359" t="n">
        <v>0</v>
      </c>
      <c r="K359" t="n">
        <v>0</v>
      </c>
      <c r="L359" t="n">
        <v>0</v>
      </c>
      <c r="M359" t="n">
        <v>0</v>
      </c>
      <c r="N359" t="n">
        <v>0</v>
      </c>
      <c r="O359" t="n">
        <v>0</v>
      </c>
      <c r="P359" t="n">
        <v>0</v>
      </c>
      <c r="Q359" t="n">
        <v>0</v>
      </c>
      <c r="R359" s="2" t="inlineStr"/>
    </row>
    <row r="360" ht="15" customHeight="1">
      <c r="A360" t="inlineStr">
        <is>
          <t>A 35810-2023</t>
        </is>
      </c>
      <c r="B360" s="1" t="n">
        <v>45148.44046296296</v>
      </c>
      <c r="C360" s="1" t="n">
        <v>46129</v>
      </c>
      <c r="D360" t="inlineStr">
        <is>
          <t>SKÅNE LÄN</t>
        </is>
      </c>
      <c r="E360" t="inlineStr">
        <is>
          <t>HÄSSLEHOLM</t>
        </is>
      </c>
      <c r="G360" t="n">
        <v>1.2</v>
      </c>
      <c r="H360" t="n">
        <v>0</v>
      </c>
      <c r="I360" t="n">
        <v>0</v>
      </c>
      <c r="J360" t="n">
        <v>0</v>
      </c>
      <c r="K360" t="n">
        <v>0</v>
      </c>
      <c r="L360" t="n">
        <v>0</v>
      </c>
      <c r="M360" t="n">
        <v>0</v>
      </c>
      <c r="N360" t="n">
        <v>0</v>
      </c>
      <c r="O360" t="n">
        <v>0</v>
      </c>
      <c r="P360" t="n">
        <v>0</v>
      </c>
      <c r="Q360" t="n">
        <v>0</v>
      </c>
      <c r="R360" s="2" t="inlineStr"/>
    </row>
    <row r="361" ht="15" customHeight="1">
      <c r="A361" t="inlineStr">
        <is>
          <t>A 35833-2023</t>
        </is>
      </c>
      <c r="B361" s="1" t="n">
        <v>45148</v>
      </c>
      <c r="C361" s="1" t="n">
        <v>46129</v>
      </c>
      <c r="D361" t="inlineStr">
        <is>
          <t>SKÅNE LÄN</t>
        </is>
      </c>
      <c r="E361" t="inlineStr">
        <is>
          <t>HÄSSLEHOLM</t>
        </is>
      </c>
      <c r="F361" t="inlineStr">
        <is>
          <t>Kommuner</t>
        </is>
      </c>
      <c r="G361" t="n">
        <v>2</v>
      </c>
      <c r="H361" t="n">
        <v>0</v>
      </c>
      <c r="I361" t="n">
        <v>0</v>
      </c>
      <c r="J361" t="n">
        <v>0</v>
      </c>
      <c r="K361" t="n">
        <v>0</v>
      </c>
      <c r="L361" t="n">
        <v>0</v>
      </c>
      <c r="M361" t="n">
        <v>0</v>
      </c>
      <c r="N361" t="n">
        <v>0</v>
      </c>
      <c r="O361" t="n">
        <v>0</v>
      </c>
      <c r="P361" t="n">
        <v>0</v>
      </c>
      <c r="Q361" t="n">
        <v>0</v>
      </c>
      <c r="R361" s="2" t="inlineStr"/>
    </row>
    <row r="362" ht="15" customHeight="1">
      <c r="A362" t="inlineStr">
        <is>
          <t>A 59556-2023</t>
        </is>
      </c>
      <c r="B362" s="1" t="n">
        <v>45254.56313657408</v>
      </c>
      <c r="C362" s="1" t="n">
        <v>46129</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41400-2025</t>
        </is>
      </c>
      <c r="B363" s="1" t="n">
        <v>45901</v>
      </c>
      <c r="C363" s="1" t="n">
        <v>46129</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51565-2023</t>
        </is>
      </c>
      <c r="B364" s="1" t="n">
        <v>45222</v>
      </c>
      <c r="C364" s="1" t="n">
        <v>46129</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41401-2025</t>
        </is>
      </c>
      <c r="B365" s="1" t="n">
        <v>45901</v>
      </c>
      <c r="C365" s="1" t="n">
        <v>46129</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53077-2022</t>
        </is>
      </c>
      <c r="B366" s="1" t="n">
        <v>44873</v>
      </c>
      <c r="C366" s="1" t="n">
        <v>46129</v>
      </c>
      <c r="D366" t="inlineStr">
        <is>
          <t>SKÅNE LÄN</t>
        </is>
      </c>
      <c r="E366" t="inlineStr">
        <is>
          <t>HÄSSLEHOLM</t>
        </is>
      </c>
      <c r="G366" t="n">
        <v>3</v>
      </c>
      <c r="H366" t="n">
        <v>0</v>
      </c>
      <c r="I366" t="n">
        <v>0</v>
      </c>
      <c r="J366" t="n">
        <v>0</v>
      </c>
      <c r="K366" t="n">
        <v>0</v>
      </c>
      <c r="L366" t="n">
        <v>0</v>
      </c>
      <c r="M366" t="n">
        <v>0</v>
      </c>
      <c r="N366" t="n">
        <v>0</v>
      </c>
      <c r="O366" t="n">
        <v>0</v>
      </c>
      <c r="P366" t="n">
        <v>0</v>
      </c>
      <c r="Q366" t="n">
        <v>0</v>
      </c>
      <c r="R366" s="2" t="inlineStr"/>
    </row>
    <row r="367" ht="15" customHeight="1">
      <c r="A367" t="inlineStr">
        <is>
          <t>A 25615-2025</t>
        </is>
      </c>
      <c r="B367" s="1" t="n">
        <v>45803</v>
      </c>
      <c r="C367" s="1" t="n">
        <v>46129</v>
      </c>
      <c r="D367" t="inlineStr">
        <is>
          <t>SKÅNE LÄN</t>
        </is>
      </c>
      <c r="E367" t="inlineStr">
        <is>
          <t>HÄSSLEHOLM</t>
        </is>
      </c>
      <c r="G367" t="n">
        <v>2.6</v>
      </c>
      <c r="H367" t="n">
        <v>0</v>
      </c>
      <c r="I367" t="n">
        <v>0</v>
      </c>
      <c r="J367" t="n">
        <v>0</v>
      </c>
      <c r="K367" t="n">
        <v>0</v>
      </c>
      <c r="L367" t="n">
        <v>0</v>
      </c>
      <c r="M367" t="n">
        <v>0</v>
      </c>
      <c r="N367" t="n">
        <v>0</v>
      </c>
      <c r="O367" t="n">
        <v>0</v>
      </c>
      <c r="P367" t="n">
        <v>0</v>
      </c>
      <c r="Q367" t="n">
        <v>0</v>
      </c>
      <c r="R367" s="2" t="inlineStr"/>
    </row>
    <row r="368" ht="15" customHeight="1">
      <c r="A368" t="inlineStr">
        <is>
          <t>A 55569-2025</t>
        </is>
      </c>
      <c r="B368" s="1" t="n">
        <v>45971</v>
      </c>
      <c r="C368" s="1" t="n">
        <v>46129</v>
      </c>
      <c r="D368" t="inlineStr">
        <is>
          <t>SKÅNE LÄN</t>
        </is>
      </c>
      <c r="E368" t="inlineStr">
        <is>
          <t>HÄSSLEHOLM</t>
        </is>
      </c>
      <c r="G368" t="n">
        <v>4.2</v>
      </c>
      <c r="H368" t="n">
        <v>0</v>
      </c>
      <c r="I368" t="n">
        <v>0</v>
      </c>
      <c r="J368" t="n">
        <v>0</v>
      </c>
      <c r="K368" t="n">
        <v>0</v>
      </c>
      <c r="L368" t="n">
        <v>0</v>
      </c>
      <c r="M368" t="n">
        <v>0</v>
      </c>
      <c r="N368" t="n">
        <v>0</v>
      </c>
      <c r="O368" t="n">
        <v>0</v>
      </c>
      <c r="P368" t="n">
        <v>0</v>
      </c>
      <c r="Q368" t="n">
        <v>0</v>
      </c>
      <c r="R368" s="2" t="inlineStr"/>
    </row>
    <row r="369" ht="15" customHeight="1">
      <c r="A369" t="inlineStr">
        <is>
          <t>A 11412-2025</t>
        </is>
      </c>
      <c r="B369" s="1" t="n">
        <v>45726</v>
      </c>
      <c r="C369" s="1" t="n">
        <v>46129</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57817-2025</t>
        </is>
      </c>
      <c r="B370" s="1" t="n">
        <v>45981.59475694445</v>
      </c>
      <c r="C370" s="1" t="n">
        <v>46129</v>
      </c>
      <c r="D370" t="inlineStr">
        <is>
          <t>SKÅNE LÄN</t>
        </is>
      </c>
      <c r="E370" t="inlineStr">
        <is>
          <t>HÄSSLEHOLM</t>
        </is>
      </c>
      <c r="G370" t="n">
        <v>3.8</v>
      </c>
      <c r="H370" t="n">
        <v>0</v>
      </c>
      <c r="I370" t="n">
        <v>0</v>
      </c>
      <c r="J370" t="n">
        <v>0</v>
      </c>
      <c r="K370" t="n">
        <v>0</v>
      </c>
      <c r="L370" t="n">
        <v>0</v>
      </c>
      <c r="M370" t="n">
        <v>0</v>
      </c>
      <c r="N370" t="n">
        <v>0</v>
      </c>
      <c r="O370" t="n">
        <v>0</v>
      </c>
      <c r="P370" t="n">
        <v>0</v>
      </c>
      <c r="Q370" t="n">
        <v>0</v>
      </c>
      <c r="R370" s="2" t="inlineStr"/>
    </row>
    <row r="371" ht="15" customHeight="1">
      <c r="A371" t="inlineStr">
        <is>
          <t>A 25430-2025</t>
        </is>
      </c>
      <c r="B371" s="1" t="n">
        <v>45800.78212962963</v>
      </c>
      <c r="C371" s="1" t="n">
        <v>46129</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11466-2025</t>
        </is>
      </c>
      <c r="B372" s="1" t="n">
        <v>45726</v>
      </c>
      <c r="C372" s="1" t="n">
        <v>46129</v>
      </c>
      <c r="D372" t="inlineStr">
        <is>
          <t>SKÅNE LÄN</t>
        </is>
      </c>
      <c r="E372" t="inlineStr">
        <is>
          <t>HÄSSLEHOLM</t>
        </is>
      </c>
      <c r="G372" t="n">
        <v>3.2</v>
      </c>
      <c r="H372" t="n">
        <v>0</v>
      </c>
      <c r="I372" t="n">
        <v>0</v>
      </c>
      <c r="J372" t="n">
        <v>0</v>
      </c>
      <c r="K372" t="n">
        <v>0</v>
      </c>
      <c r="L372" t="n">
        <v>0</v>
      </c>
      <c r="M372" t="n">
        <v>0</v>
      </c>
      <c r="N372" t="n">
        <v>0</v>
      </c>
      <c r="O372" t="n">
        <v>0</v>
      </c>
      <c r="P372" t="n">
        <v>0</v>
      </c>
      <c r="Q372" t="n">
        <v>0</v>
      </c>
      <c r="R372" s="2" t="inlineStr"/>
    </row>
    <row r="373" ht="15" customHeight="1">
      <c r="A373" t="inlineStr">
        <is>
          <t>A 25431-2025</t>
        </is>
      </c>
      <c r="B373" s="1" t="n">
        <v>45800.78340277778</v>
      </c>
      <c r="C373" s="1" t="n">
        <v>46129</v>
      </c>
      <c r="D373" t="inlineStr">
        <is>
          <t>SKÅNE LÄN</t>
        </is>
      </c>
      <c r="E373" t="inlineStr">
        <is>
          <t>HÄSSLEHOLM</t>
        </is>
      </c>
      <c r="G373" t="n">
        <v>0.7</v>
      </c>
      <c r="H373" t="n">
        <v>0</v>
      </c>
      <c r="I373" t="n">
        <v>0</v>
      </c>
      <c r="J373" t="n">
        <v>0</v>
      </c>
      <c r="K373" t="n">
        <v>0</v>
      </c>
      <c r="L373" t="n">
        <v>0</v>
      </c>
      <c r="M373" t="n">
        <v>0</v>
      </c>
      <c r="N373" t="n">
        <v>0</v>
      </c>
      <c r="O373" t="n">
        <v>0</v>
      </c>
      <c r="P373" t="n">
        <v>0</v>
      </c>
      <c r="Q373" t="n">
        <v>0</v>
      </c>
      <c r="R373" s="2" t="inlineStr"/>
    </row>
    <row r="374" ht="15" customHeight="1">
      <c r="A374" t="inlineStr">
        <is>
          <t>A 25432-2025</t>
        </is>
      </c>
      <c r="B374" s="1" t="n">
        <v>45800.7847800926</v>
      </c>
      <c r="C374" s="1" t="n">
        <v>46129</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11470-2025</t>
        </is>
      </c>
      <c r="B375" s="1" t="n">
        <v>45726</v>
      </c>
      <c r="C375" s="1" t="n">
        <v>46129</v>
      </c>
      <c r="D375" t="inlineStr">
        <is>
          <t>SKÅNE LÄN</t>
        </is>
      </c>
      <c r="E375" t="inlineStr">
        <is>
          <t>HÄSSLEHOLM</t>
        </is>
      </c>
      <c r="G375" t="n">
        <v>0.4</v>
      </c>
      <c r="H375" t="n">
        <v>0</v>
      </c>
      <c r="I375" t="n">
        <v>0</v>
      </c>
      <c r="J375" t="n">
        <v>0</v>
      </c>
      <c r="K375" t="n">
        <v>0</v>
      </c>
      <c r="L375" t="n">
        <v>0</v>
      </c>
      <c r="M375" t="n">
        <v>0</v>
      </c>
      <c r="N375" t="n">
        <v>0</v>
      </c>
      <c r="O375" t="n">
        <v>0</v>
      </c>
      <c r="P375" t="n">
        <v>0</v>
      </c>
      <c r="Q375" t="n">
        <v>0</v>
      </c>
      <c r="R375" s="2" t="inlineStr"/>
    </row>
    <row r="376" ht="15" customHeight="1">
      <c r="A376" t="inlineStr">
        <is>
          <t>A 19744-2023</t>
        </is>
      </c>
      <c r="B376" s="1" t="n">
        <v>45051</v>
      </c>
      <c r="C376" s="1" t="n">
        <v>46129</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14655-2025</t>
        </is>
      </c>
      <c r="B377" s="1" t="n">
        <v>45742.5072337963</v>
      </c>
      <c r="C377" s="1" t="n">
        <v>46129</v>
      </c>
      <c r="D377" t="inlineStr">
        <is>
          <t>SKÅNE LÄN</t>
        </is>
      </c>
      <c r="E377" t="inlineStr">
        <is>
          <t>HÄSSLEHOLM</t>
        </is>
      </c>
      <c r="G377" t="n">
        <v>4.5</v>
      </c>
      <c r="H377" t="n">
        <v>0</v>
      </c>
      <c r="I377" t="n">
        <v>0</v>
      </c>
      <c r="J377" t="n">
        <v>0</v>
      </c>
      <c r="K377" t="n">
        <v>0</v>
      </c>
      <c r="L377" t="n">
        <v>0</v>
      </c>
      <c r="M377" t="n">
        <v>0</v>
      </c>
      <c r="N377" t="n">
        <v>0</v>
      </c>
      <c r="O377" t="n">
        <v>0</v>
      </c>
      <c r="P377" t="n">
        <v>0</v>
      </c>
      <c r="Q377" t="n">
        <v>0</v>
      </c>
      <c r="R377" s="2" t="inlineStr"/>
    </row>
    <row r="378" ht="15" customHeight="1">
      <c r="A378" t="inlineStr">
        <is>
          <t>A 14926-2024</t>
        </is>
      </c>
      <c r="B378" s="1" t="n">
        <v>45398</v>
      </c>
      <c r="C378" s="1" t="n">
        <v>46129</v>
      </c>
      <c r="D378" t="inlineStr">
        <is>
          <t>SKÅNE LÄN</t>
        </is>
      </c>
      <c r="E378" t="inlineStr">
        <is>
          <t>HÄSSLEHOLM</t>
        </is>
      </c>
      <c r="G378" t="n">
        <v>3.4</v>
      </c>
      <c r="H378" t="n">
        <v>0</v>
      </c>
      <c r="I378" t="n">
        <v>0</v>
      </c>
      <c r="J378" t="n">
        <v>0</v>
      </c>
      <c r="K378" t="n">
        <v>0</v>
      </c>
      <c r="L378" t="n">
        <v>0</v>
      </c>
      <c r="M378" t="n">
        <v>0</v>
      </c>
      <c r="N378" t="n">
        <v>0</v>
      </c>
      <c r="O378" t="n">
        <v>0</v>
      </c>
      <c r="P378" t="n">
        <v>0</v>
      </c>
      <c r="Q378" t="n">
        <v>0</v>
      </c>
      <c r="R378" s="2" t="inlineStr"/>
    </row>
    <row r="379" ht="15" customHeight="1">
      <c r="A379" t="inlineStr">
        <is>
          <t>A 60843-2022</t>
        </is>
      </c>
      <c r="B379" s="1" t="n">
        <v>44914</v>
      </c>
      <c r="C379" s="1" t="n">
        <v>46129</v>
      </c>
      <c r="D379" t="inlineStr">
        <is>
          <t>SKÅNE LÄN</t>
        </is>
      </c>
      <c r="E379" t="inlineStr">
        <is>
          <t>HÄSSLEHOLM</t>
        </is>
      </c>
      <c r="G379" t="n">
        <v>2.2</v>
      </c>
      <c r="H379" t="n">
        <v>0</v>
      </c>
      <c r="I379" t="n">
        <v>0</v>
      </c>
      <c r="J379" t="n">
        <v>0</v>
      </c>
      <c r="K379" t="n">
        <v>0</v>
      </c>
      <c r="L379" t="n">
        <v>0</v>
      </c>
      <c r="M379" t="n">
        <v>0</v>
      </c>
      <c r="N379" t="n">
        <v>0</v>
      </c>
      <c r="O379" t="n">
        <v>0</v>
      </c>
      <c r="P379" t="n">
        <v>0</v>
      </c>
      <c r="Q379" t="n">
        <v>0</v>
      </c>
      <c r="R379" s="2" t="inlineStr"/>
    </row>
    <row r="380" ht="15" customHeight="1">
      <c r="A380" t="inlineStr">
        <is>
          <t>A 61504-2022</t>
        </is>
      </c>
      <c r="B380" s="1" t="n">
        <v>44910</v>
      </c>
      <c r="C380" s="1" t="n">
        <v>46129</v>
      </c>
      <c r="D380" t="inlineStr">
        <is>
          <t>SKÅNE LÄN</t>
        </is>
      </c>
      <c r="E380" t="inlineStr">
        <is>
          <t>HÄSSLEHOLM</t>
        </is>
      </c>
      <c r="F380" t="inlineStr">
        <is>
          <t>Kyrkan</t>
        </is>
      </c>
      <c r="G380" t="n">
        <v>2.9</v>
      </c>
      <c r="H380" t="n">
        <v>0</v>
      </c>
      <c r="I380" t="n">
        <v>0</v>
      </c>
      <c r="J380" t="n">
        <v>0</v>
      </c>
      <c r="K380" t="n">
        <v>0</v>
      </c>
      <c r="L380" t="n">
        <v>0</v>
      </c>
      <c r="M380" t="n">
        <v>0</v>
      </c>
      <c r="N380" t="n">
        <v>0</v>
      </c>
      <c r="O380" t="n">
        <v>0</v>
      </c>
      <c r="P380" t="n">
        <v>0</v>
      </c>
      <c r="Q380" t="n">
        <v>0</v>
      </c>
      <c r="R380" s="2" t="inlineStr"/>
    </row>
    <row r="381" ht="15" customHeight="1">
      <c r="A381" t="inlineStr">
        <is>
          <t>A 19739-2023</t>
        </is>
      </c>
      <c r="B381" s="1" t="n">
        <v>45051</v>
      </c>
      <c r="C381" s="1" t="n">
        <v>46129</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52968-2022</t>
        </is>
      </c>
      <c r="B382" s="1" t="n">
        <v>44875</v>
      </c>
      <c r="C382" s="1" t="n">
        <v>46129</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30092-2025</t>
        </is>
      </c>
      <c r="B383" s="1" t="n">
        <v>45826</v>
      </c>
      <c r="C383" s="1" t="n">
        <v>46129</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26232-2025</t>
        </is>
      </c>
      <c r="B384" s="1" t="n">
        <v>45805.56642361111</v>
      </c>
      <c r="C384" s="1" t="n">
        <v>46129</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26244-2025</t>
        </is>
      </c>
      <c r="B385" s="1" t="n">
        <v>45805.57364583333</v>
      </c>
      <c r="C385" s="1" t="n">
        <v>46129</v>
      </c>
      <c r="D385" t="inlineStr">
        <is>
          <t>SKÅNE LÄN</t>
        </is>
      </c>
      <c r="E385" t="inlineStr">
        <is>
          <t>HÄSSLEHOLM</t>
        </is>
      </c>
      <c r="G385" t="n">
        <v>1.4</v>
      </c>
      <c r="H385" t="n">
        <v>0</v>
      </c>
      <c r="I385" t="n">
        <v>0</v>
      </c>
      <c r="J385" t="n">
        <v>0</v>
      </c>
      <c r="K385" t="n">
        <v>0</v>
      </c>
      <c r="L385" t="n">
        <v>0</v>
      </c>
      <c r="M385" t="n">
        <v>0</v>
      </c>
      <c r="N385" t="n">
        <v>0</v>
      </c>
      <c r="O385" t="n">
        <v>0</v>
      </c>
      <c r="P385" t="n">
        <v>0</v>
      </c>
      <c r="Q385" t="n">
        <v>0</v>
      </c>
      <c r="R385" s="2" t="inlineStr"/>
    </row>
    <row r="386" ht="15" customHeight="1">
      <c r="A386" t="inlineStr">
        <is>
          <t>A 59763-2022</t>
        </is>
      </c>
      <c r="B386" s="1" t="n">
        <v>44900</v>
      </c>
      <c r="C386" s="1" t="n">
        <v>46129</v>
      </c>
      <c r="D386" t="inlineStr">
        <is>
          <t>SKÅNE LÄN</t>
        </is>
      </c>
      <c r="E386" t="inlineStr">
        <is>
          <t>HÄSSLEHOLM</t>
        </is>
      </c>
      <c r="F386" t="inlineStr">
        <is>
          <t>Övriga Aktiebolag</t>
        </is>
      </c>
      <c r="G386" t="n">
        <v>1.2</v>
      </c>
      <c r="H386" t="n">
        <v>0</v>
      </c>
      <c r="I386" t="n">
        <v>0</v>
      </c>
      <c r="J386" t="n">
        <v>0</v>
      </c>
      <c r="K386" t="n">
        <v>0</v>
      </c>
      <c r="L386" t="n">
        <v>0</v>
      </c>
      <c r="M386" t="n">
        <v>0</v>
      </c>
      <c r="N386" t="n">
        <v>0</v>
      </c>
      <c r="O386" t="n">
        <v>0</v>
      </c>
      <c r="P386" t="n">
        <v>0</v>
      </c>
      <c r="Q386" t="n">
        <v>0</v>
      </c>
      <c r="R386" s="2" t="inlineStr"/>
    </row>
    <row r="387" ht="15" customHeight="1">
      <c r="A387" t="inlineStr">
        <is>
          <t>A 42520-2025</t>
        </is>
      </c>
      <c r="B387" s="1" t="n">
        <v>45905.54846064815</v>
      </c>
      <c r="C387" s="1" t="n">
        <v>46129</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3364-2023</t>
        </is>
      </c>
      <c r="B388" s="1" t="n">
        <v>44949</v>
      </c>
      <c r="C388" s="1" t="n">
        <v>46129</v>
      </c>
      <c r="D388" t="inlineStr">
        <is>
          <t>SKÅNE LÄN</t>
        </is>
      </c>
      <c r="E388" t="inlineStr">
        <is>
          <t>HÄSSLEHOLM</t>
        </is>
      </c>
      <c r="G388" t="n">
        <v>5.1</v>
      </c>
      <c r="H388" t="n">
        <v>0</v>
      </c>
      <c r="I388" t="n">
        <v>0</v>
      </c>
      <c r="J388" t="n">
        <v>0</v>
      </c>
      <c r="K388" t="n">
        <v>0</v>
      </c>
      <c r="L388" t="n">
        <v>0</v>
      </c>
      <c r="M388" t="n">
        <v>0</v>
      </c>
      <c r="N388" t="n">
        <v>0</v>
      </c>
      <c r="O388" t="n">
        <v>0</v>
      </c>
      <c r="P388" t="n">
        <v>0</v>
      </c>
      <c r="Q388" t="n">
        <v>0</v>
      </c>
      <c r="R388" s="2" t="inlineStr"/>
    </row>
    <row r="389" ht="15" customHeight="1">
      <c r="A389" t="inlineStr">
        <is>
          <t>A 52642-2021</t>
        </is>
      </c>
      <c r="B389" s="1" t="n">
        <v>44466.64298611111</v>
      </c>
      <c r="C389" s="1" t="n">
        <v>46129</v>
      </c>
      <c r="D389" t="inlineStr">
        <is>
          <t>SKÅNE LÄN</t>
        </is>
      </c>
      <c r="E389" t="inlineStr">
        <is>
          <t>HÄSSLEHOLM</t>
        </is>
      </c>
      <c r="G389" t="n">
        <v>3.7</v>
      </c>
      <c r="H389" t="n">
        <v>0</v>
      </c>
      <c r="I389" t="n">
        <v>0</v>
      </c>
      <c r="J389" t="n">
        <v>0</v>
      </c>
      <c r="K389" t="n">
        <v>0</v>
      </c>
      <c r="L389" t="n">
        <v>0</v>
      </c>
      <c r="M389" t="n">
        <v>0</v>
      </c>
      <c r="N389" t="n">
        <v>0</v>
      </c>
      <c r="O389" t="n">
        <v>0</v>
      </c>
      <c r="P389" t="n">
        <v>0</v>
      </c>
      <c r="Q389" t="n">
        <v>0</v>
      </c>
      <c r="R389" s="2" t="inlineStr"/>
    </row>
    <row r="390" ht="15" customHeight="1">
      <c r="A390" t="inlineStr">
        <is>
          <t>A 15562-2024</t>
        </is>
      </c>
      <c r="B390" s="1" t="n">
        <v>45401.64975694445</v>
      </c>
      <c r="C390" s="1" t="n">
        <v>46129</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30109-2025</t>
        </is>
      </c>
      <c r="B391" s="1" t="n">
        <v>45826</v>
      </c>
      <c r="C391" s="1" t="n">
        <v>46129</v>
      </c>
      <c r="D391" t="inlineStr">
        <is>
          <t>SKÅNE LÄN</t>
        </is>
      </c>
      <c r="E391" t="inlineStr">
        <is>
          <t>HÄSSLEHOLM</t>
        </is>
      </c>
      <c r="G391" t="n">
        <v>2.4</v>
      </c>
      <c r="H391" t="n">
        <v>0</v>
      </c>
      <c r="I391" t="n">
        <v>0</v>
      </c>
      <c r="J391" t="n">
        <v>0</v>
      </c>
      <c r="K391" t="n">
        <v>0</v>
      </c>
      <c r="L391" t="n">
        <v>0</v>
      </c>
      <c r="M391" t="n">
        <v>0</v>
      </c>
      <c r="N391" t="n">
        <v>0</v>
      </c>
      <c r="O391" t="n">
        <v>0</v>
      </c>
      <c r="P391" t="n">
        <v>0</v>
      </c>
      <c r="Q391" t="n">
        <v>0</v>
      </c>
      <c r="R391" s="2" t="inlineStr"/>
    </row>
    <row r="392" ht="15" customHeight="1">
      <c r="A392" t="inlineStr">
        <is>
          <t>A 58241-2025</t>
        </is>
      </c>
      <c r="B392" s="1" t="n">
        <v>45985.38797453704</v>
      </c>
      <c r="C392" s="1" t="n">
        <v>46129</v>
      </c>
      <c r="D392" t="inlineStr">
        <is>
          <t>SKÅNE LÄN</t>
        </is>
      </c>
      <c r="E392" t="inlineStr">
        <is>
          <t>HÄSSLEHOLM</t>
        </is>
      </c>
      <c r="G392" t="n">
        <v>3.6</v>
      </c>
      <c r="H392" t="n">
        <v>0</v>
      </c>
      <c r="I392" t="n">
        <v>0</v>
      </c>
      <c r="J392" t="n">
        <v>0</v>
      </c>
      <c r="K392" t="n">
        <v>0</v>
      </c>
      <c r="L392" t="n">
        <v>0</v>
      </c>
      <c r="M392" t="n">
        <v>0</v>
      </c>
      <c r="N392" t="n">
        <v>0</v>
      </c>
      <c r="O392" t="n">
        <v>0</v>
      </c>
      <c r="P392" t="n">
        <v>0</v>
      </c>
      <c r="Q392" t="n">
        <v>0</v>
      </c>
      <c r="R392" s="2" t="inlineStr"/>
    </row>
    <row r="393" ht="15" customHeight="1">
      <c r="A393" t="inlineStr">
        <is>
          <t>A 28071-2023</t>
        </is>
      </c>
      <c r="B393" s="1" t="n">
        <v>45099.37755787037</v>
      </c>
      <c r="C393" s="1" t="n">
        <v>46129</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38358-2024</t>
        </is>
      </c>
      <c r="B394" s="1" t="n">
        <v>45545.79068287037</v>
      </c>
      <c r="C394" s="1" t="n">
        <v>46129</v>
      </c>
      <c r="D394" t="inlineStr">
        <is>
          <t>SKÅNE LÄN</t>
        </is>
      </c>
      <c r="E394" t="inlineStr">
        <is>
          <t>HÄSSLEHOLM</t>
        </is>
      </c>
      <c r="G394" t="n">
        <v>9</v>
      </c>
      <c r="H394" t="n">
        <v>0</v>
      </c>
      <c r="I394" t="n">
        <v>0</v>
      </c>
      <c r="J394" t="n">
        <v>0</v>
      </c>
      <c r="K394" t="n">
        <v>0</v>
      </c>
      <c r="L394" t="n">
        <v>0</v>
      </c>
      <c r="M394" t="n">
        <v>0</v>
      </c>
      <c r="N394" t="n">
        <v>0</v>
      </c>
      <c r="O394" t="n">
        <v>0</v>
      </c>
      <c r="P394" t="n">
        <v>0</v>
      </c>
      <c r="Q394" t="n">
        <v>0</v>
      </c>
      <c r="R394" s="2" t="inlineStr"/>
    </row>
    <row r="395" ht="15" customHeight="1">
      <c r="A395" t="inlineStr">
        <is>
          <t>A 18648-2021</t>
        </is>
      </c>
      <c r="B395" s="1" t="n">
        <v>44306.70583333333</v>
      </c>
      <c r="C395" s="1" t="n">
        <v>46129</v>
      </c>
      <c r="D395" t="inlineStr">
        <is>
          <t>SKÅNE LÄN</t>
        </is>
      </c>
      <c r="E395" t="inlineStr">
        <is>
          <t>HÄSSLEHOLM</t>
        </is>
      </c>
      <c r="G395" t="n">
        <v>2.5</v>
      </c>
      <c r="H395" t="n">
        <v>0</v>
      </c>
      <c r="I395" t="n">
        <v>0</v>
      </c>
      <c r="J395" t="n">
        <v>0</v>
      </c>
      <c r="K395" t="n">
        <v>0</v>
      </c>
      <c r="L395" t="n">
        <v>0</v>
      </c>
      <c r="M395" t="n">
        <v>0</v>
      </c>
      <c r="N395" t="n">
        <v>0</v>
      </c>
      <c r="O395" t="n">
        <v>0</v>
      </c>
      <c r="P395" t="n">
        <v>0</v>
      </c>
      <c r="Q395" t="n">
        <v>0</v>
      </c>
      <c r="R395" s="2" t="inlineStr"/>
    </row>
    <row r="396" ht="15" customHeight="1">
      <c r="A396" t="inlineStr">
        <is>
          <t>A 23946-2023</t>
        </is>
      </c>
      <c r="B396" s="1" t="n">
        <v>45078.61601851852</v>
      </c>
      <c r="C396" s="1" t="n">
        <v>46129</v>
      </c>
      <c r="D396" t="inlineStr">
        <is>
          <t>SKÅNE LÄN</t>
        </is>
      </c>
      <c r="E396" t="inlineStr">
        <is>
          <t>HÄSSLEHOLM</t>
        </is>
      </c>
      <c r="G396" t="n">
        <v>0.2</v>
      </c>
      <c r="H396" t="n">
        <v>0</v>
      </c>
      <c r="I396" t="n">
        <v>0</v>
      </c>
      <c r="J396" t="n">
        <v>0</v>
      </c>
      <c r="K396" t="n">
        <v>0</v>
      </c>
      <c r="L396" t="n">
        <v>0</v>
      </c>
      <c r="M396" t="n">
        <v>0</v>
      </c>
      <c r="N396" t="n">
        <v>0</v>
      </c>
      <c r="O396" t="n">
        <v>0</v>
      </c>
      <c r="P396" t="n">
        <v>0</v>
      </c>
      <c r="Q396" t="n">
        <v>0</v>
      </c>
      <c r="R396" s="2" t="inlineStr"/>
    </row>
    <row r="397" ht="15" customHeight="1">
      <c r="A397" t="inlineStr">
        <is>
          <t>A 27393-2025</t>
        </is>
      </c>
      <c r="B397" s="1" t="n">
        <v>45812.68295138889</v>
      </c>
      <c r="C397" s="1" t="n">
        <v>46129</v>
      </c>
      <c r="D397" t="inlineStr">
        <is>
          <t>SKÅNE LÄN</t>
        </is>
      </c>
      <c r="E397" t="inlineStr">
        <is>
          <t>HÄSSLEHOLM</t>
        </is>
      </c>
      <c r="G397" t="n">
        <v>1</v>
      </c>
      <c r="H397" t="n">
        <v>0</v>
      </c>
      <c r="I397" t="n">
        <v>0</v>
      </c>
      <c r="J397" t="n">
        <v>0</v>
      </c>
      <c r="K397" t="n">
        <v>0</v>
      </c>
      <c r="L397" t="n">
        <v>0</v>
      </c>
      <c r="M397" t="n">
        <v>0</v>
      </c>
      <c r="N397" t="n">
        <v>0</v>
      </c>
      <c r="O397" t="n">
        <v>0</v>
      </c>
      <c r="P397" t="n">
        <v>0</v>
      </c>
      <c r="Q397" t="n">
        <v>0</v>
      </c>
      <c r="R397" s="2" t="inlineStr"/>
    </row>
    <row r="398" ht="15" customHeight="1">
      <c r="A398" t="inlineStr">
        <is>
          <t>A 41459-2022</t>
        </is>
      </c>
      <c r="B398" s="1" t="n">
        <v>44826.93372685185</v>
      </c>
      <c r="C398" s="1" t="n">
        <v>46129</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16368-2025</t>
        </is>
      </c>
      <c r="B399" s="1" t="n">
        <v>45751</v>
      </c>
      <c r="C399" s="1" t="n">
        <v>46129</v>
      </c>
      <c r="D399" t="inlineStr">
        <is>
          <t>SKÅNE LÄN</t>
        </is>
      </c>
      <c r="E399" t="inlineStr">
        <is>
          <t>HÄSSLEHOLM</t>
        </is>
      </c>
      <c r="G399" t="n">
        <v>5</v>
      </c>
      <c r="H399" t="n">
        <v>0</v>
      </c>
      <c r="I399" t="n">
        <v>0</v>
      </c>
      <c r="J399" t="n">
        <v>0</v>
      </c>
      <c r="K399" t="n">
        <v>0</v>
      </c>
      <c r="L399" t="n">
        <v>0</v>
      </c>
      <c r="M399" t="n">
        <v>0</v>
      </c>
      <c r="N399" t="n">
        <v>0</v>
      </c>
      <c r="O399" t="n">
        <v>0</v>
      </c>
      <c r="P399" t="n">
        <v>0</v>
      </c>
      <c r="Q399" t="n">
        <v>0</v>
      </c>
      <c r="R399" s="2" t="inlineStr"/>
    </row>
    <row r="400" ht="15" customHeight="1">
      <c r="A400" t="inlineStr">
        <is>
          <t>A 43516-2025</t>
        </is>
      </c>
      <c r="B400" s="1" t="n">
        <v>45911</v>
      </c>
      <c r="C400" s="1" t="n">
        <v>46129</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43332-2025</t>
        </is>
      </c>
      <c r="B401" s="1" t="n">
        <v>45910.70217592592</v>
      </c>
      <c r="C401" s="1" t="n">
        <v>46129</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43333-2025</t>
        </is>
      </c>
      <c r="B402" s="1" t="n">
        <v>45910</v>
      </c>
      <c r="C402" s="1" t="n">
        <v>46129</v>
      </c>
      <c r="D402" t="inlineStr">
        <is>
          <t>SKÅNE LÄN</t>
        </is>
      </c>
      <c r="E402" t="inlineStr">
        <is>
          <t>HÄSSLEHOLM</t>
        </is>
      </c>
      <c r="G402" t="n">
        <v>10.1</v>
      </c>
      <c r="H402" t="n">
        <v>0</v>
      </c>
      <c r="I402" t="n">
        <v>0</v>
      </c>
      <c r="J402" t="n">
        <v>0</v>
      </c>
      <c r="K402" t="n">
        <v>0</v>
      </c>
      <c r="L402" t="n">
        <v>0</v>
      </c>
      <c r="M402" t="n">
        <v>0</v>
      </c>
      <c r="N402" t="n">
        <v>0</v>
      </c>
      <c r="O402" t="n">
        <v>0</v>
      </c>
      <c r="P402" t="n">
        <v>0</v>
      </c>
      <c r="Q402" t="n">
        <v>0</v>
      </c>
      <c r="R402" s="2" t="inlineStr"/>
    </row>
    <row r="403" ht="15" customHeight="1">
      <c r="A403" t="inlineStr">
        <is>
          <t>A 28240-2025</t>
        </is>
      </c>
      <c r="B403" s="1" t="n">
        <v>45817</v>
      </c>
      <c r="C403" s="1" t="n">
        <v>46129</v>
      </c>
      <c r="D403" t="inlineStr">
        <is>
          <t>SKÅNE LÄN</t>
        </is>
      </c>
      <c r="E403" t="inlineStr">
        <is>
          <t>HÄSSLEHOLM</t>
        </is>
      </c>
      <c r="G403" t="n">
        <v>7.7</v>
      </c>
      <c r="H403" t="n">
        <v>0</v>
      </c>
      <c r="I403" t="n">
        <v>0</v>
      </c>
      <c r="J403" t="n">
        <v>0</v>
      </c>
      <c r="K403" t="n">
        <v>0</v>
      </c>
      <c r="L403" t="n">
        <v>0</v>
      </c>
      <c r="M403" t="n">
        <v>0</v>
      </c>
      <c r="N403" t="n">
        <v>0</v>
      </c>
      <c r="O403" t="n">
        <v>0</v>
      </c>
      <c r="P403" t="n">
        <v>0</v>
      </c>
      <c r="Q403" t="n">
        <v>0</v>
      </c>
      <c r="R403" s="2" t="inlineStr"/>
    </row>
    <row r="404" ht="15" customHeight="1">
      <c r="A404" t="inlineStr">
        <is>
          <t>A 29847-2024</t>
        </is>
      </c>
      <c r="B404" s="1" t="n">
        <v>45485.6278587963</v>
      </c>
      <c r="C404" s="1" t="n">
        <v>46129</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27940-2025</t>
        </is>
      </c>
      <c r="B405" s="1" t="n">
        <v>45817.50439814815</v>
      </c>
      <c r="C405" s="1" t="n">
        <v>46129</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27934-2025</t>
        </is>
      </c>
      <c r="B406" s="1" t="n">
        <v>45817.49761574074</v>
      </c>
      <c r="C406" s="1" t="n">
        <v>46129</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28251-2025</t>
        </is>
      </c>
      <c r="B407" s="1" t="n">
        <v>45817</v>
      </c>
      <c r="C407" s="1" t="n">
        <v>46129</v>
      </c>
      <c r="D407" t="inlineStr">
        <is>
          <t>SKÅNE LÄN</t>
        </is>
      </c>
      <c r="E407" t="inlineStr">
        <is>
          <t>HÄSSLEHOLM</t>
        </is>
      </c>
      <c r="G407" t="n">
        <v>7.2</v>
      </c>
      <c r="H407" t="n">
        <v>0</v>
      </c>
      <c r="I407" t="n">
        <v>0</v>
      </c>
      <c r="J407" t="n">
        <v>0</v>
      </c>
      <c r="K407" t="n">
        <v>0</v>
      </c>
      <c r="L407" t="n">
        <v>0</v>
      </c>
      <c r="M407" t="n">
        <v>0</v>
      </c>
      <c r="N407" t="n">
        <v>0</v>
      </c>
      <c r="O407" t="n">
        <v>0</v>
      </c>
      <c r="P407" t="n">
        <v>0</v>
      </c>
      <c r="Q407" t="n">
        <v>0</v>
      </c>
      <c r="R407" s="2" t="inlineStr"/>
    </row>
    <row r="408" ht="15" customHeight="1">
      <c r="A408" t="inlineStr">
        <is>
          <t>A 28122-2025</t>
        </is>
      </c>
      <c r="B408" s="1" t="n">
        <v>45817</v>
      </c>
      <c r="C408" s="1" t="n">
        <v>46129</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43869-2025</t>
        </is>
      </c>
      <c r="B409" s="1" t="n">
        <v>45912.66452546296</v>
      </c>
      <c r="C409" s="1" t="n">
        <v>46129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27887-2025</t>
        </is>
      </c>
      <c r="B410" s="1" t="n">
        <v>45817.45994212963</v>
      </c>
      <c r="C410" s="1" t="n">
        <v>46129</v>
      </c>
      <c r="D410" t="inlineStr">
        <is>
          <t>SKÅNE LÄN</t>
        </is>
      </c>
      <c r="E410" t="inlineStr">
        <is>
          <t>HÄSSLEHOLM</t>
        </is>
      </c>
      <c r="G410" t="n">
        <v>4.8</v>
      </c>
      <c r="H410" t="n">
        <v>0</v>
      </c>
      <c r="I410" t="n">
        <v>0</v>
      </c>
      <c r="J410" t="n">
        <v>0</v>
      </c>
      <c r="K410" t="n">
        <v>0</v>
      </c>
      <c r="L410" t="n">
        <v>0</v>
      </c>
      <c r="M410" t="n">
        <v>0</v>
      </c>
      <c r="N410" t="n">
        <v>0</v>
      </c>
      <c r="O410" t="n">
        <v>0</v>
      </c>
      <c r="P410" t="n">
        <v>0</v>
      </c>
      <c r="Q410" t="n">
        <v>0</v>
      </c>
      <c r="R410" s="2" t="inlineStr"/>
    </row>
    <row r="411" ht="15" customHeight="1">
      <c r="A411" t="inlineStr">
        <is>
          <t>A 22384-2024</t>
        </is>
      </c>
      <c r="B411" s="1" t="n">
        <v>45446.65592592592</v>
      </c>
      <c r="C411" s="1" t="n">
        <v>46129</v>
      </c>
      <c r="D411" t="inlineStr">
        <is>
          <t>SKÅNE LÄN</t>
        </is>
      </c>
      <c r="E411" t="inlineStr">
        <is>
          <t>HÄSSLEHOLM</t>
        </is>
      </c>
      <c r="G411" t="n">
        <v>2.4</v>
      </c>
      <c r="H411" t="n">
        <v>0</v>
      </c>
      <c r="I411" t="n">
        <v>0</v>
      </c>
      <c r="J411" t="n">
        <v>0</v>
      </c>
      <c r="K411" t="n">
        <v>0</v>
      </c>
      <c r="L411" t="n">
        <v>0</v>
      </c>
      <c r="M411" t="n">
        <v>0</v>
      </c>
      <c r="N411" t="n">
        <v>0</v>
      </c>
      <c r="O411" t="n">
        <v>0</v>
      </c>
      <c r="P411" t="n">
        <v>0</v>
      </c>
      <c r="Q411" t="n">
        <v>0</v>
      </c>
      <c r="R411" s="2" t="inlineStr"/>
    </row>
    <row r="412" ht="15" customHeight="1">
      <c r="A412" t="inlineStr">
        <is>
          <t>A 43741-2025</t>
        </is>
      </c>
      <c r="B412" s="1" t="n">
        <v>45912.45541666666</v>
      </c>
      <c r="C412" s="1" t="n">
        <v>46129</v>
      </c>
      <c r="D412" t="inlineStr">
        <is>
          <t>SKÅNE LÄN</t>
        </is>
      </c>
      <c r="E412" t="inlineStr">
        <is>
          <t>HÄSSLEHOLM</t>
        </is>
      </c>
      <c r="G412" t="n">
        <v>4.3</v>
      </c>
      <c r="H412" t="n">
        <v>0</v>
      </c>
      <c r="I412" t="n">
        <v>0</v>
      </c>
      <c r="J412" t="n">
        <v>0</v>
      </c>
      <c r="K412" t="n">
        <v>0</v>
      </c>
      <c r="L412" t="n">
        <v>0</v>
      </c>
      <c r="M412" t="n">
        <v>0</v>
      </c>
      <c r="N412" t="n">
        <v>0</v>
      </c>
      <c r="O412" t="n">
        <v>0</v>
      </c>
      <c r="P412" t="n">
        <v>0</v>
      </c>
      <c r="Q412" t="n">
        <v>0</v>
      </c>
      <c r="R412" s="2" t="inlineStr"/>
    </row>
    <row r="413" ht="15" customHeight="1">
      <c r="A413" t="inlineStr">
        <is>
          <t>A 28095-2025</t>
        </is>
      </c>
      <c r="B413" s="1" t="n">
        <v>45817</v>
      </c>
      <c r="C413" s="1" t="n">
        <v>46129</v>
      </c>
      <c r="D413" t="inlineStr">
        <is>
          <t>SKÅNE LÄN</t>
        </is>
      </c>
      <c r="E413" t="inlineStr">
        <is>
          <t>HÄSSLEHOLM</t>
        </is>
      </c>
      <c r="G413" t="n">
        <v>2.5</v>
      </c>
      <c r="H413" t="n">
        <v>0</v>
      </c>
      <c r="I413" t="n">
        <v>0</v>
      </c>
      <c r="J413" t="n">
        <v>0</v>
      </c>
      <c r="K413" t="n">
        <v>0</v>
      </c>
      <c r="L413" t="n">
        <v>0</v>
      </c>
      <c r="M413" t="n">
        <v>0</v>
      </c>
      <c r="N413" t="n">
        <v>0</v>
      </c>
      <c r="O413" t="n">
        <v>0</v>
      </c>
      <c r="P413" t="n">
        <v>0</v>
      </c>
      <c r="Q413" t="n">
        <v>0</v>
      </c>
      <c r="R413" s="2" t="inlineStr"/>
    </row>
    <row r="414" ht="15" customHeight="1">
      <c r="A414" t="inlineStr">
        <is>
          <t>A 43738-2025</t>
        </is>
      </c>
      <c r="B414" s="1" t="n">
        <v>45912.45037037037</v>
      </c>
      <c r="C414" s="1" t="n">
        <v>46129</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51571-2023</t>
        </is>
      </c>
      <c r="B415" s="1" t="n">
        <v>45222</v>
      </c>
      <c r="C415" s="1" t="n">
        <v>46129</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11753-2025</t>
        </is>
      </c>
      <c r="B416" s="1" t="n">
        <v>45727</v>
      </c>
      <c r="C416" s="1" t="n">
        <v>46129</v>
      </c>
      <c r="D416" t="inlineStr">
        <is>
          <t>SKÅNE LÄN</t>
        </is>
      </c>
      <c r="E416" t="inlineStr">
        <is>
          <t>HÄSSLEHOLM</t>
        </is>
      </c>
      <c r="G416" t="n">
        <v>2.7</v>
      </c>
      <c r="H416" t="n">
        <v>0</v>
      </c>
      <c r="I416" t="n">
        <v>0</v>
      </c>
      <c r="J416" t="n">
        <v>0</v>
      </c>
      <c r="K416" t="n">
        <v>0</v>
      </c>
      <c r="L416" t="n">
        <v>0</v>
      </c>
      <c r="M416" t="n">
        <v>0</v>
      </c>
      <c r="N416" t="n">
        <v>0</v>
      </c>
      <c r="O416" t="n">
        <v>0</v>
      </c>
      <c r="P416" t="n">
        <v>0</v>
      </c>
      <c r="Q416" t="n">
        <v>0</v>
      </c>
      <c r="R416" s="2" t="inlineStr"/>
    </row>
    <row r="417" ht="15" customHeight="1">
      <c r="A417" t="inlineStr">
        <is>
          <t>A 58933-2025</t>
        </is>
      </c>
      <c r="B417" s="1" t="n">
        <v>45987.56107638889</v>
      </c>
      <c r="C417" s="1" t="n">
        <v>46129</v>
      </c>
      <c r="D417" t="inlineStr">
        <is>
          <t>SKÅNE LÄN</t>
        </is>
      </c>
      <c r="E417" t="inlineStr">
        <is>
          <t>HÄSSLEHOLM</t>
        </is>
      </c>
      <c r="G417" t="n">
        <v>2.3</v>
      </c>
      <c r="H417" t="n">
        <v>0</v>
      </c>
      <c r="I417" t="n">
        <v>0</v>
      </c>
      <c r="J417" t="n">
        <v>0</v>
      </c>
      <c r="K417" t="n">
        <v>0</v>
      </c>
      <c r="L417" t="n">
        <v>0</v>
      </c>
      <c r="M417" t="n">
        <v>0</v>
      </c>
      <c r="N417" t="n">
        <v>0</v>
      </c>
      <c r="O417" t="n">
        <v>0</v>
      </c>
      <c r="P417" t="n">
        <v>0</v>
      </c>
      <c r="Q417" t="n">
        <v>0</v>
      </c>
      <c r="R417" s="2" t="inlineStr"/>
    </row>
    <row r="418" ht="15" customHeight="1">
      <c r="A418" t="inlineStr">
        <is>
          <t>A 49827-2022</t>
        </is>
      </c>
      <c r="B418" s="1" t="n">
        <v>44859</v>
      </c>
      <c r="C418" s="1" t="n">
        <v>46129</v>
      </c>
      <c r="D418" t="inlineStr">
        <is>
          <t>SKÅNE LÄN</t>
        </is>
      </c>
      <c r="E418" t="inlineStr">
        <is>
          <t>HÄSSLEHOLM</t>
        </is>
      </c>
      <c r="G418" t="n">
        <v>6.1</v>
      </c>
      <c r="H418" t="n">
        <v>0</v>
      </c>
      <c r="I418" t="n">
        <v>0</v>
      </c>
      <c r="J418" t="n">
        <v>0</v>
      </c>
      <c r="K418" t="n">
        <v>0</v>
      </c>
      <c r="L418" t="n">
        <v>0</v>
      </c>
      <c r="M418" t="n">
        <v>0</v>
      </c>
      <c r="N418" t="n">
        <v>0</v>
      </c>
      <c r="O418" t="n">
        <v>0</v>
      </c>
      <c r="P418" t="n">
        <v>0</v>
      </c>
      <c r="Q418" t="n">
        <v>0</v>
      </c>
      <c r="R418" s="2" t="inlineStr"/>
    </row>
    <row r="419" ht="15" customHeight="1">
      <c r="A419" t="inlineStr">
        <is>
          <t>A 44624-2025</t>
        </is>
      </c>
      <c r="B419" s="1" t="n">
        <v>45917.47152777778</v>
      </c>
      <c r="C419" s="1" t="n">
        <v>46129</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49181-2024</t>
        </is>
      </c>
      <c r="B420" s="1" t="n">
        <v>45595</v>
      </c>
      <c r="C420" s="1" t="n">
        <v>46129</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29170-2025</t>
        </is>
      </c>
      <c r="B421" s="1" t="n">
        <v>45821.69766203704</v>
      </c>
      <c r="C421" s="1" t="n">
        <v>46129</v>
      </c>
      <c r="D421" t="inlineStr">
        <is>
          <t>SKÅNE LÄN</t>
        </is>
      </c>
      <c r="E421" t="inlineStr">
        <is>
          <t>HÄSSLEHOLM</t>
        </is>
      </c>
      <c r="G421" t="n">
        <v>3.1</v>
      </c>
      <c r="H421" t="n">
        <v>0</v>
      </c>
      <c r="I421" t="n">
        <v>0</v>
      </c>
      <c r="J421" t="n">
        <v>0</v>
      </c>
      <c r="K421" t="n">
        <v>0</v>
      </c>
      <c r="L421" t="n">
        <v>0</v>
      </c>
      <c r="M421" t="n">
        <v>0</v>
      </c>
      <c r="N421" t="n">
        <v>0</v>
      </c>
      <c r="O421" t="n">
        <v>0</v>
      </c>
      <c r="P421" t="n">
        <v>0</v>
      </c>
      <c r="Q421" t="n">
        <v>0</v>
      </c>
      <c r="R421" s="2" t="inlineStr"/>
    </row>
    <row r="422" ht="15" customHeight="1">
      <c r="A422" t="inlineStr">
        <is>
          <t>A 44611-2025</t>
        </is>
      </c>
      <c r="B422" s="1" t="n">
        <v>45917.45109953704</v>
      </c>
      <c r="C422" s="1" t="n">
        <v>46129</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44330-2025</t>
        </is>
      </c>
      <c r="B423" s="1" t="n">
        <v>45916.42120370371</v>
      </c>
      <c r="C423" s="1" t="n">
        <v>46129</v>
      </c>
      <c r="D423" t="inlineStr">
        <is>
          <t>SKÅNE LÄN</t>
        </is>
      </c>
      <c r="E423" t="inlineStr">
        <is>
          <t>HÄSSLEHOLM</t>
        </is>
      </c>
      <c r="G423" t="n">
        <v>2.7</v>
      </c>
      <c r="H423" t="n">
        <v>0</v>
      </c>
      <c r="I423" t="n">
        <v>0</v>
      </c>
      <c r="J423" t="n">
        <v>0</v>
      </c>
      <c r="K423" t="n">
        <v>0</v>
      </c>
      <c r="L423" t="n">
        <v>0</v>
      </c>
      <c r="M423" t="n">
        <v>0</v>
      </c>
      <c r="N423" t="n">
        <v>0</v>
      </c>
      <c r="O423" t="n">
        <v>0</v>
      </c>
      <c r="P423" t="n">
        <v>0</v>
      </c>
      <c r="Q423" t="n">
        <v>0</v>
      </c>
      <c r="R423" s="2" t="inlineStr"/>
    </row>
    <row r="424" ht="15" customHeight="1">
      <c r="A424" t="inlineStr">
        <is>
          <t>A 44523-2025</t>
        </is>
      </c>
      <c r="B424" s="1" t="n">
        <v>45916</v>
      </c>
      <c r="C424" s="1" t="n">
        <v>46129</v>
      </c>
      <c r="D424" t="inlineStr">
        <is>
          <t>SKÅNE LÄN</t>
        </is>
      </c>
      <c r="E424" t="inlineStr">
        <is>
          <t>HÄSSLEHOLM</t>
        </is>
      </c>
      <c r="G424" t="n">
        <v>1.6</v>
      </c>
      <c r="H424" t="n">
        <v>0</v>
      </c>
      <c r="I424" t="n">
        <v>0</v>
      </c>
      <c r="J424" t="n">
        <v>0</v>
      </c>
      <c r="K424" t="n">
        <v>0</v>
      </c>
      <c r="L424" t="n">
        <v>0</v>
      </c>
      <c r="M424" t="n">
        <v>0</v>
      </c>
      <c r="N424" t="n">
        <v>0</v>
      </c>
      <c r="O424" t="n">
        <v>0</v>
      </c>
      <c r="P424" t="n">
        <v>0</v>
      </c>
      <c r="Q424" t="n">
        <v>0</v>
      </c>
      <c r="R424" s="2" t="inlineStr"/>
    </row>
    <row r="425" ht="15" customHeight="1">
      <c r="A425" t="inlineStr">
        <is>
          <t>A 32794-2023</t>
        </is>
      </c>
      <c r="B425" s="1" t="n">
        <v>45124.40446759259</v>
      </c>
      <c r="C425" s="1" t="n">
        <v>46129</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61436-2024</t>
        </is>
      </c>
      <c r="B426" s="1" t="n">
        <v>45646.46329861111</v>
      </c>
      <c r="C426" s="1" t="n">
        <v>46129</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29171-2025</t>
        </is>
      </c>
      <c r="B427" s="1" t="n">
        <v>45821.69863425926</v>
      </c>
      <c r="C427" s="1" t="n">
        <v>46129</v>
      </c>
      <c r="D427" t="inlineStr">
        <is>
          <t>SKÅNE LÄN</t>
        </is>
      </c>
      <c r="E427" t="inlineStr">
        <is>
          <t>HÄSSLEHOLM</t>
        </is>
      </c>
      <c r="G427" t="n">
        <v>2.6</v>
      </c>
      <c r="H427" t="n">
        <v>0</v>
      </c>
      <c r="I427" t="n">
        <v>0</v>
      </c>
      <c r="J427" t="n">
        <v>0</v>
      </c>
      <c r="K427" t="n">
        <v>0</v>
      </c>
      <c r="L427" t="n">
        <v>0</v>
      </c>
      <c r="M427" t="n">
        <v>0</v>
      </c>
      <c r="N427" t="n">
        <v>0</v>
      </c>
      <c r="O427" t="n">
        <v>0</v>
      </c>
      <c r="P427" t="n">
        <v>0</v>
      </c>
      <c r="Q427" t="n">
        <v>0</v>
      </c>
      <c r="R427" s="2" t="inlineStr"/>
    </row>
    <row r="428" ht="15" customHeight="1">
      <c r="A428" t="inlineStr">
        <is>
          <t>A 59722-2025</t>
        </is>
      </c>
      <c r="B428" s="1" t="n">
        <v>45992.5474537037</v>
      </c>
      <c r="C428" s="1" t="n">
        <v>46129</v>
      </c>
      <c r="D428" t="inlineStr">
        <is>
          <t>SKÅNE LÄN</t>
        </is>
      </c>
      <c r="E428" t="inlineStr">
        <is>
          <t>HÄSSLEHOLM</t>
        </is>
      </c>
      <c r="G428" t="n">
        <v>1.6</v>
      </c>
      <c r="H428" t="n">
        <v>0</v>
      </c>
      <c r="I428" t="n">
        <v>0</v>
      </c>
      <c r="J428" t="n">
        <v>0</v>
      </c>
      <c r="K428" t="n">
        <v>0</v>
      </c>
      <c r="L428" t="n">
        <v>0</v>
      </c>
      <c r="M428" t="n">
        <v>0</v>
      </c>
      <c r="N428" t="n">
        <v>0</v>
      </c>
      <c r="O428" t="n">
        <v>0</v>
      </c>
      <c r="P428" t="n">
        <v>0</v>
      </c>
      <c r="Q428" t="n">
        <v>0</v>
      </c>
      <c r="R428" s="2" t="inlineStr"/>
    </row>
    <row r="429" ht="15" customHeight="1">
      <c r="A429" t="inlineStr">
        <is>
          <t>A 1616-2025</t>
        </is>
      </c>
      <c r="B429" s="1" t="n">
        <v>45670</v>
      </c>
      <c r="C429" s="1" t="n">
        <v>46129</v>
      </c>
      <c r="D429" t="inlineStr">
        <is>
          <t>SKÅNE LÄN</t>
        </is>
      </c>
      <c r="E429" t="inlineStr">
        <is>
          <t>HÄSSLEHOLM</t>
        </is>
      </c>
      <c r="G429" t="n">
        <v>3.6</v>
      </c>
      <c r="H429" t="n">
        <v>0</v>
      </c>
      <c r="I429" t="n">
        <v>0</v>
      </c>
      <c r="J429" t="n">
        <v>0</v>
      </c>
      <c r="K429" t="n">
        <v>0</v>
      </c>
      <c r="L429" t="n">
        <v>0</v>
      </c>
      <c r="M429" t="n">
        <v>0</v>
      </c>
      <c r="N429" t="n">
        <v>0</v>
      </c>
      <c r="O429" t="n">
        <v>0</v>
      </c>
      <c r="P429" t="n">
        <v>0</v>
      </c>
      <c r="Q429" t="n">
        <v>0</v>
      </c>
      <c r="R429" s="2" t="inlineStr"/>
    </row>
    <row r="430" ht="15" customHeight="1">
      <c r="A430" t="inlineStr">
        <is>
          <t>A 53055-2021</t>
        </is>
      </c>
      <c r="B430" s="1" t="n">
        <v>44467</v>
      </c>
      <c r="C430" s="1" t="n">
        <v>46129</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29168-2025</t>
        </is>
      </c>
      <c r="B431" s="1" t="n">
        <v>45821.69547453704</v>
      </c>
      <c r="C431" s="1" t="n">
        <v>46129</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44515-2025</t>
        </is>
      </c>
      <c r="B432" s="1" t="n">
        <v>45916.7062037037</v>
      </c>
      <c r="C432" s="1" t="n">
        <v>46129</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37300-2023</t>
        </is>
      </c>
      <c r="B433" s="1" t="n">
        <v>45156</v>
      </c>
      <c r="C433" s="1" t="n">
        <v>46129</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35644-2023</t>
        </is>
      </c>
      <c r="B434" s="1" t="n">
        <v>45147</v>
      </c>
      <c r="C434" s="1" t="n">
        <v>46129</v>
      </c>
      <c r="D434" t="inlineStr">
        <is>
          <t>SKÅNE LÄN</t>
        </is>
      </c>
      <c r="E434" t="inlineStr">
        <is>
          <t>HÄSSLEHOLM</t>
        </is>
      </c>
      <c r="G434" t="n">
        <v>0.9</v>
      </c>
      <c r="H434" t="n">
        <v>0</v>
      </c>
      <c r="I434" t="n">
        <v>0</v>
      </c>
      <c r="J434" t="n">
        <v>0</v>
      </c>
      <c r="K434" t="n">
        <v>0</v>
      </c>
      <c r="L434" t="n">
        <v>0</v>
      </c>
      <c r="M434" t="n">
        <v>0</v>
      </c>
      <c r="N434" t="n">
        <v>0</v>
      </c>
      <c r="O434" t="n">
        <v>0</v>
      </c>
      <c r="P434" t="n">
        <v>0</v>
      </c>
      <c r="Q434" t="n">
        <v>0</v>
      </c>
      <c r="R434" s="2" t="inlineStr"/>
    </row>
    <row r="435" ht="15" customHeight="1">
      <c r="A435" t="inlineStr">
        <is>
          <t>A 44616-2025</t>
        </is>
      </c>
      <c r="B435" s="1" t="n">
        <v>45917.45572916666</v>
      </c>
      <c r="C435" s="1" t="n">
        <v>46129</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44614-2025</t>
        </is>
      </c>
      <c r="B436" s="1" t="n">
        <v>45917.45422453704</v>
      </c>
      <c r="C436" s="1" t="n">
        <v>46129</v>
      </c>
      <c r="D436" t="inlineStr">
        <is>
          <t>SKÅNE LÄN</t>
        </is>
      </c>
      <c r="E436" t="inlineStr">
        <is>
          <t>HÄSSLEHOLM</t>
        </is>
      </c>
      <c r="G436" t="n">
        <v>5.4</v>
      </c>
      <c r="H436" t="n">
        <v>0</v>
      </c>
      <c r="I436" t="n">
        <v>0</v>
      </c>
      <c r="J436" t="n">
        <v>0</v>
      </c>
      <c r="K436" t="n">
        <v>0</v>
      </c>
      <c r="L436" t="n">
        <v>0</v>
      </c>
      <c r="M436" t="n">
        <v>0</v>
      </c>
      <c r="N436" t="n">
        <v>0</v>
      </c>
      <c r="O436" t="n">
        <v>0</v>
      </c>
      <c r="P436" t="n">
        <v>0</v>
      </c>
      <c r="Q436" t="n">
        <v>0</v>
      </c>
      <c r="R436" s="2" t="inlineStr"/>
    </row>
    <row r="437" ht="15" customHeight="1">
      <c r="A437" t="inlineStr">
        <is>
          <t>A 45176-2025</t>
        </is>
      </c>
      <c r="B437" s="1" t="n">
        <v>45919.52307870371</v>
      </c>
      <c r="C437" s="1" t="n">
        <v>46129</v>
      </c>
      <c r="D437" t="inlineStr">
        <is>
          <t>SKÅNE LÄN</t>
        </is>
      </c>
      <c r="E437" t="inlineStr">
        <is>
          <t>HÄSSLEHOLM</t>
        </is>
      </c>
      <c r="G437" t="n">
        <v>2.6</v>
      </c>
      <c r="H437" t="n">
        <v>0</v>
      </c>
      <c r="I437" t="n">
        <v>0</v>
      </c>
      <c r="J437" t="n">
        <v>0</v>
      </c>
      <c r="K437" t="n">
        <v>0</v>
      </c>
      <c r="L437" t="n">
        <v>0</v>
      </c>
      <c r="M437" t="n">
        <v>0</v>
      </c>
      <c r="N437" t="n">
        <v>0</v>
      </c>
      <c r="O437" t="n">
        <v>0</v>
      </c>
      <c r="P437" t="n">
        <v>0</v>
      </c>
      <c r="Q437" t="n">
        <v>0</v>
      </c>
      <c r="R437" s="2" t="inlineStr"/>
    </row>
    <row r="438" ht="15" customHeight="1">
      <c r="A438" t="inlineStr">
        <is>
          <t>A 45221-2025</t>
        </is>
      </c>
      <c r="B438" s="1" t="n">
        <v>45919.57760416667</v>
      </c>
      <c r="C438" s="1" t="n">
        <v>46129</v>
      </c>
      <c r="D438" t="inlineStr">
        <is>
          <t>SKÅNE LÄN</t>
        </is>
      </c>
      <c r="E438" t="inlineStr">
        <is>
          <t>HÄSSLEHOLM</t>
        </is>
      </c>
      <c r="G438" t="n">
        <v>1.7</v>
      </c>
      <c r="H438" t="n">
        <v>0</v>
      </c>
      <c r="I438" t="n">
        <v>0</v>
      </c>
      <c r="J438" t="n">
        <v>0</v>
      </c>
      <c r="K438" t="n">
        <v>0</v>
      </c>
      <c r="L438" t="n">
        <v>0</v>
      </c>
      <c r="M438" t="n">
        <v>0</v>
      </c>
      <c r="N438" t="n">
        <v>0</v>
      </c>
      <c r="O438" t="n">
        <v>0</v>
      </c>
      <c r="P438" t="n">
        <v>0</v>
      </c>
      <c r="Q438" t="n">
        <v>0</v>
      </c>
      <c r="R438" s="2" t="inlineStr"/>
    </row>
    <row r="439" ht="15" customHeight="1">
      <c r="A439" t="inlineStr">
        <is>
          <t>A 3123-2023</t>
        </is>
      </c>
      <c r="B439" s="1" t="n">
        <v>44946.4925</v>
      </c>
      <c r="C439" s="1" t="n">
        <v>46129</v>
      </c>
      <c r="D439" t="inlineStr">
        <is>
          <t>SKÅNE LÄN</t>
        </is>
      </c>
      <c r="E439" t="inlineStr">
        <is>
          <t>HÄSSLEHOLM</t>
        </is>
      </c>
      <c r="G439" t="n">
        <v>3.5</v>
      </c>
      <c r="H439" t="n">
        <v>0</v>
      </c>
      <c r="I439" t="n">
        <v>0</v>
      </c>
      <c r="J439" t="n">
        <v>0</v>
      </c>
      <c r="K439" t="n">
        <v>0</v>
      </c>
      <c r="L439" t="n">
        <v>0</v>
      </c>
      <c r="M439" t="n">
        <v>0</v>
      </c>
      <c r="N439" t="n">
        <v>0</v>
      </c>
      <c r="O439" t="n">
        <v>0</v>
      </c>
      <c r="P439" t="n">
        <v>0</v>
      </c>
      <c r="Q439" t="n">
        <v>0</v>
      </c>
      <c r="R439" s="2" t="inlineStr"/>
    </row>
    <row r="440" ht="15" customHeight="1">
      <c r="A440" t="inlineStr">
        <is>
          <t>A 3126-2023</t>
        </is>
      </c>
      <c r="B440" s="1" t="n">
        <v>44946.49570601852</v>
      </c>
      <c r="C440" s="1" t="n">
        <v>46129</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45273-2025</t>
        </is>
      </c>
      <c r="B441" s="1" t="n">
        <v>45919.70486111111</v>
      </c>
      <c r="C441" s="1" t="n">
        <v>46129</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45084-2025</t>
        </is>
      </c>
      <c r="B442" s="1" t="n">
        <v>45918</v>
      </c>
      <c r="C442" s="1" t="n">
        <v>46129</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37318-2024</t>
        </is>
      </c>
      <c r="B443" s="1" t="n">
        <v>45540</v>
      </c>
      <c r="C443" s="1" t="n">
        <v>46129</v>
      </c>
      <c r="D443" t="inlineStr">
        <is>
          <t>SKÅNE LÄN</t>
        </is>
      </c>
      <c r="E443" t="inlineStr">
        <is>
          <t>HÄSSLEHOLM</t>
        </is>
      </c>
      <c r="G443" t="n">
        <v>3.9</v>
      </c>
      <c r="H443" t="n">
        <v>0</v>
      </c>
      <c r="I443" t="n">
        <v>0</v>
      </c>
      <c r="J443" t="n">
        <v>0</v>
      </c>
      <c r="K443" t="n">
        <v>0</v>
      </c>
      <c r="L443" t="n">
        <v>0</v>
      </c>
      <c r="M443" t="n">
        <v>0</v>
      </c>
      <c r="N443" t="n">
        <v>0</v>
      </c>
      <c r="O443" t="n">
        <v>0</v>
      </c>
      <c r="P443" t="n">
        <v>0</v>
      </c>
      <c r="Q443" t="n">
        <v>0</v>
      </c>
      <c r="R443" s="2" t="inlineStr"/>
    </row>
    <row r="444" ht="15" customHeight="1">
      <c r="A444" t="inlineStr">
        <is>
          <t>A 37324-2024</t>
        </is>
      </c>
      <c r="B444" s="1" t="n">
        <v>45540.50104166667</v>
      </c>
      <c r="C444" s="1" t="n">
        <v>46129</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57656-2022</t>
        </is>
      </c>
      <c r="B445" s="1" t="n">
        <v>44897.4325925926</v>
      </c>
      <c r="C445" s="1" t="n">
        <v>46129</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32881-2024</t>
        </is>
      </c>
      <c r="B446" s="1" t="n">
        <v>45516</v>
      </c>
      <c r="C446" s="1" t="n">
        <v>46129</v>
      </c>
      <c r="D446" t="inlineStr">
        <is>
          <t>SKÅNE LÄN</t>
        </is>
      </c>
      <c r="E446" t="inlineStr">
        <is>
          <t>HÄSSLEHOLM</t>
        </is>
      </c>
      <c r="G446" t="n">
        <v>6.3</v>
      </c>
      <c r="H446" t="n">
        <v>0</v>
      </c>
      <c r="I446" t="n">
        <v>0</v>
      </c>
      <c r="J446" t="n">
        <v>0</v>
      </c>
      <c r="K446" t="n">
        <v>0</v>
      </c>
      <c r="L446" t="n">
        <v>0</v>
      </c>
      <c r="M446" t="n">
        <v>0</v>
      </c>
      <c r="N446" t="n">
        <v>0</v>
      </c>
      <c r="O446" t="n">
        <v>0</v>
      </c>
      <c r="P446" t="n">
        <v>0</v>
      </c>
      <c r="Q446" t="n">
        <v>0</v>
      </c>
      <c r="R446" s="2" t="inlineStr"/>
    </row>
    <row r="447" ht="15" customHeight="1">
      <c r="A447" t="inlineStr">
        <is>
          <t>A 23860-2024</t>
        </is>
      </c>
      <c r="B447" s="1" t="n">
        <v>45455</v>
      </c>
      <c r="C447" s="1" t="n">
        <v>46129</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23864-2024</t>
        </is>
      </c>
      <c r="B448" s="1" t="n">
        <v>45455</v>
      </c>
      <c r="C448" s="1" t="n">
        <v>46129</v>
      </c>
      <c r="D448" t="inlineStr">
        <is>
          <t>SKÅNE LÄN</t>
        </is>
      </c>
      <c r="E448" t="inlineStr">
        <is>
          <t>HÄSSLEHOLM</t>
        </is>
      </c>
      <c r="G448" t="n">
        <v>6.2</v>
      </c>
      <c r="H448" t="n">
        <v>0</v>
      </c>
      <c r="I448" t="n">
        <v>0</v>
      </c>
      <c r="J448" t="n">
        <v>0</v>
      </c>
      <c r="K448" t="n">
        <v>0</v>
      </c>
      <c r="L448" t="n">
        <v>0</v>
      </c>
      <c r="M448" t="n">
        <v>0</v>
      </c>
      <c r="N448" t="n">
        <v>0</v>
      </c>
      <c r="O448" t="n">
        <v>0</v>
      </c>
      <c r="P448" t="n">
        <v>0</v>
      </c>
      <c r="Q448" t="n">
        <v>0</v>
      </c>
      <c r="R448" s="2" t="inlineStr"/>
    </row>
    <row r="449" ht="15" customHeight="1">
      <c r="A449" t="inlineStr">
        <is>
          <t>A 7192-2025</t>
        </is>
      </c>
      <c r="B449" s="1" t="n">
        <v>45702.44746527778</v>
      </c>
      <c r="C449" s="1" t="n">
        <v>46129</v>
      </c>
      <c r="D449" t="inlineStr">
        <is>
          <t>SKÅNE LÄN</t>
        </is>
      </c>
      <c r="E449" t="inlineStr">
        <is>
          <t>HÄSSLEHOLM</t>
        </is>
      </c>
      <c r="G449" t="n">
        <v>1.2</v>
      </c>
      <c r="H449" t="n">
        <v>0</v>
      </c>
      <c r="I449" t="n">
        <v>0</v>
      </c>
      <c r="J449" t="n">
        <v>0</v>
      </c>
      <c r="K449" t="n">
        <v>0</v>
      </c>
      <c r="L449" t="n">
        <v>0</v>
      </c>
      <c r="M449" t="n">
        <v>0</v>
      </c>
      <c r="N449" t="n">
        <v>0</v>
      </c>
      <c r="O449" t="n">
        <v>0</v>
      </c>
      <c r="P449" t="n">
        <v>0</v>
      </c>
      <c r="Q449" t="n">
        <v>0</v>
      </c>
      <c r="R449" s="2" t="inlineStr"/>
    </row>
    <row r="450" ht="15" customHeight="1">
      <c r="A450" t="inlineStr">
        <is>
          <t>A 30010-2025</t>
        </is>
      </c>
      <c r="B450" s="1" t="n">
        <v>45826</v>
      </c>
      <c r="C450" s="1" t="n">
        <v>46129</v>
      </c>
      <c r="D450" t="inlineStr">
        <is>
          <t>SKÅNE LÄN</t>
        </is>
      </c>
      <c r="E450" t="inlineStr">
        <is>
          <t>HÄSSLEHOLM</t>
        </is>
      </c>
      <c r="G450" t="n">
        <v>4.5</v>
      </c>
      <c r="H450" t="n">
        <v>0</v>
      </c>
      <c r="I450" t="n">
        <v>0</v>
      </c>
      <c r="J450" t="n">
        <v>0</v>
      </c>
      <c r="K450" t="n">
        <v>0</v>
      </c>
      <c r="L450" t="n">
        <v>0</v>
      </c>
      <c r="M450" t="n">
        <v>0</v>
      </c>
      <c r="N450" t="n">
        <v>0</v>
      </c>
      <c r="O450" t="n">
        <v>0</v>
      </c>
      <c r="P450" t="n">
        <v>0</v>
      </c>
      <c r="Q450" t="n">
        <v>0</v>
      </c>
      <c r="R450" s="2" t="inlineStr"/>
    </row>
    <row r="451" ht="15" customHeight="1">
      <c r="A451" t="inlineStr">
        <is>
          <t>A 45496-2025</t>
        </is>
      </c>
      <c r="B451" s="1" t="n">
        <v>45922</v>
      </c>
      <c r="C451" s="1" t="n">
        <v>46129</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45495-2025</t>
        </is>
      </c>
      <c r="B452" s="1" t="n">
        <v>45922.56369212963</v>
      </c>
      <c r="C452" s="1" t="n">
        <v>46129</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45314-2025</t>
        </is>
      </c>
      <c r="B453" s="1" t="n">
        <v>45921.81738425926</v>
      </c>
      <c r="C453" s="1" t="n">
        <v>46129</v>
      </c>
      <c r="D453" t="inlineStr">
        <is>
          <t>SKÅNE LÄN</t>
        </is>
      </c>
      <c r="E453" t="inlineStr">
        <is>
          <t>HÄSSLEHOLM</t>
        </is>
      </c>
      <c r="G453" t="n">
        <v>2.4</v>
      </c>
      <c r="H453" t="n">
        <v>0</v>
      </c>
      <c r="I453" t="n">
        <v>0</v>
      </c>
      <c r="J453" t="n">
        <v>0</v>
      </c>
      <c r="K453" t="n">
        <v>0</v>
      </c>
      <c r="L453" t="n">
        <v>0</v>
      </c>
      <c r="M453" t="n">
        <v>0</v>
      </c>
      <c r="N453" t="n">
        <v>0</v>
      </c>
      <c r="O453" t="n">
        <v>0</v>
      </c>
      <c r="P453" t="n">
        <v>0</v>
      </c>
      <c r="Q453" t="n">
        <v>0</v>
      </c>
      <c r="R453" s="2" t="inlineStr"/>
    </row>
    <row r="454" ht="15" customHeight="1">
      <c r="A454" t="inlineStr">
        <is>
          <t>A 45763-2025</t>
        </is>
      </c>
      <c r="B454" s="1" t="n">
        <v>45923.51778935185</v>
      </c>
      <c r="C454" s="1" t="n">
        <v>46129</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45764-2025</t>
        </is>
      </c>
      <c r="B455" s="1" t="n">
        <v>45923.52037037037</v>
      </c>
      <c r="C455" s="1" t="n">
        <v>46129</v>
      </c>
      <c r="D455" t="inlineStr">
        <is>
          <t>SKÅNE LÄN</t>
        </is>
      </c>
      <c r="E455" t="inlineStr">
        <is>
          <t>HÄSSLEHOLM</t>
        </is>
      </c>
      <c r="G455" t="n">
        <v>6.3</v>
      </c>
      <c r="H455" t="n">
        <v>0</v>
      </c>
      <c r="I455" t="n">
        <v>0</v>
      </c>
      <c r="J455" t="n">
        <v>0</v>
      </c>
      <c r="K455" t="n">
        <v>0</v>
      </c>
      <c r="L455" t="n">
        <v>0</v>
      </c>
      <c r="M455" t="n">
        <v>0</v>
      </c>
      <c r="N455" t="n">
        <v>0</v>
      </c>
      <c r="O455" t="n">
        <v>0</v>
      </c>
      <c r="P455" t="n">
        <v>0</v>
      </c>
      <c r="Q455" t="n">
        <v>0</v>
      </c>
      <c r="R455" s="2" t="inlineStr"/>
    </row>
    <row r="456" ht="15" customHeight="1">
      <c r="A456" t="inlineStr">
        <is>
          <t>A 11798-2022</t>
        </is>
      </c>
      <c r="B456" s="1" t="n">
        <v>44634.64900462963</v>
      </c>
      <c r="C456" s="1" t="n">
        <v>46129</v>
      </c>
      <c r="D456" t="inlineStr">
        <is>
          <t>SKÅNE LÄN</t>
        </is>
      </c>
      <c r="E456" t="inlineStr">
        <is>
          <t>HÄSSLEHOLM</t>
        </is>
      </c>
      <c r="G456" t="n">
        <v>2.8</v>
      </c>
      <c r="H456" t="n">
        <v>0</v>
      </c>
      <c r="I456" t="n">
        <v>0</v>
      </c>
      <c r="J456" t="n">
        <v>0</v>
      </c>
      <c r="K456" t="n">
        <v>0</v>
      </c>
      <c r="L456" t="n">
        <v>0</v>
      </c>
      <c r="M456" t="n">
        <v>0</v>
      </c>
      <c r="N456" t="n">
        <v>0</v>
      </c>
      <c r="O456" t="n">
        <v>0</v>
      </c>
      <c r="P456" t="n">
        <v>0</v>
      </c>
      <c r="Q456" t="n">
        <v>0</v>
      </c>
      <c r="R456" s="2" t="inlineStr"/>
    </row>
    <row r="457" ht="15" customHeight="1">
      <c r="A457" t="inlineStr">
        <is>
          <t>A 45443-2025</t>
        </is>
      </c>
      <c r="B457" s="1" t="n">
        <v>45920</v>
      </c>
      <c r="C457" s="1" t="n">
        <v>46129</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56881-2021</t>
        </is>
      </c>
      <c r="B458" s="1" t="n">
        <v>44481</v>
      </c>
      <c r="C458" s="1" t="n">
        <v>46129</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45458-2025</t>
        </is>
      </c>
      <c r="B459" s="1" t="n">
        <v>45920</v>
      </c>
      <c r="C459" s="1" t="n">
        <v>46129</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45465-2025</t>
        </is>
      </c>
      <c r="B460" s="1" t="n">
        <v>45920</v>
      </c>
      <c r="C460" s="1" t="n">
        <v>46129</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13673-2023</t>
        </is>
      </c>
      <c r="B461" s="1" t="n">
        <v>45006.87957175926</v>
      </c>
      <c r="C461" s="1" t="n">
        <v>46129</v>
      </c>
      <c r="D461" t="inlineStr">
        <is>
          <t>SKÅNE LÄN</t>
        </is>
      </c>
      <c r="E461" t="inlineStr">
        <is>
          <t>HÄSSLEHOLM</t>
        </is>
      </c>
      <c r="G461" t="n">
        <v>3.2</v>
      </c>
      <c r="H461" t="n">
        <v>0</v>
      </c>
      <c r="I461" t="n">
        <v>0</v>
      </c>
      <c r="J461" t="n">
        <v>0</v>
      </c>
      <c r="K461" t="n">
        <v>0</v>
      </c>
      <c r="L461" t="n">
        <v>0</v>
      </c>
      <c r="M461" t="n">
        <v>0</v>
      </c>
      <c r="N461" t="n">
        <v>0</v>
      </c>
      <c r="O461" t="n">
        <v>0</v>
      </c>
      <c r="P461" t="n">
        <v>0</v>
      </c>
      <c r="Q461" t="n">
        <v>0</v>
      </c>
      <c r="R461" s="2" t="inlineStr"/>
    </row>
    <row r="462" ht="15" customHeight="1">
      <c r="A462" t="inlineStr">
        <is>
          <t>A 45414-2025</t>
        </is>
      </c>
      <c r="B462" s="1" t="n">
        <v>45920</v>
      </c>
      <c r="C462" s="1" t="n">
        <v>46129</v>
      </c>
      <c r="D462" t="inlineStr">
        <is>
          <t>SKÅNE LÄN</t>
        </is>
      </c>
      <c r="E462" t="inlineStr">
        <is>
          <t>HÄSSLEHOLM</t>
        </is>
      </c>
      <c r="G462" t="n">
        <v>14.7</v>
      </c>
      <c r="H462" t="n">
        <v>0</v>
      </c>
      <c r="I462" t="n">
        <v>0</v>
      </c>
      <c r="J462" t="n">
        <v>0</v>
      </c>
      <c r="K462" t="n">
        <v>0</v>
      </c>
      <c r="L462" t="n">
        <v>0</v>
      </c>
      <c r="M462" t="n">
        <v>0</v>
      </c>
      <c r="N462" t="n">
        <v>0</v>
      </c>
      <c r="O462" t="n">
        <v>0</v>
      </c>
      <c r="P462" t="n">
        <v>0</v>
      </c>
      <c r="Q462" t="n">
        <v>0</v>
      </c>
      <c r="R462" s="2" t="inlineStr"/>
    </row>
    <row r="463" ht="15" customHeight="1">
      <c r="A463" t="inlineStr">
        <is>
          <t>A 45683-2025</t>
        </is>
      </c>
      <c r="B463" s="1" t="n">
        <v>45923.37590277778</v>
      </c>
      <c r="C463" s="1" t="n">
        <v>46129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45516-2025</t>
        </is>
      </c>
      <c r="B464" s="1" t="n">
        <v>45922</v>
      </c>
      <c r="C464" s="1" t="n">
        <v>46129</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45514-2025</t>
        </is>
      </c>
      <c r="B465" s="1" t="n">
        <v>45922</v>
      </c>
      <c r="C465" s="1" t="n">
        <v>46129</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38306-2022</t>
        </is>
      </c>
      <c r="B466" s="1" t="n">
        <v>44812.57515046297</v>
      </c>
      <c r="C466" s="1" t="n">
        <v>46129</v>
      </c>
      <c r="D466" t="inlineStr">
        <is>
          <t>SKÅNE LÄN</t>
        </is>
      </c>
      <c r="E466" t="inlineStr">
        <is>
          <t>HÄSSLEHOLM</t>
        </is>
      </c>
      <c r="G466" t="n">
        <v>2.2</v>
      </c>
      <c r="H466" t="n">
        <v>0</v>
      </c>
      <c r="I466" t="n">
        <v>0</v>
      </c>
      <c r="J466" t="n">
        <v>0</v>
      </c>
      <c r="K466" t="n">
        <v>0</v>
      </c>
      <c r="L466" t="n">
        <v>0</v>
      </c>
      <c r="M466" t="n">
        <v>0</v>
      </c>
      <c r="N466" t="n">
        <v>0</v>
      </c>
      <c r="O466" t="n">
        <v>0</v>
      </c>
      <c r="P466" t="n">
        <v>0</v>
      </c>
      <c r="Q466" t="n">
        <v>0</v>
      </c>
      <c r="R466" s="2" t="inlineStr"/>
    </row>
    <row r="467" ht="15" customHeight="1">
      <c r="A467" t="inlineStr">
        <is>
          <t>A 11121-2023</t>
        </is>
      </c>
      <c r="B467" s="1" t="n">
        <v>44986</v>
      </c>
      <c r="C467" s="1" t="n">
        <v>46129</v>
      </c>
      <c r="D467" t="inlineStr">
        <is>
          <t>SKÅNE LÄN</t>
        </is>
      </c>
      <c r="E467" t="inlineStr">
        <is>
          <t>HÄSSLEHOLM</t>
        </is>
      </c>
      <c r="F467" t="inlineStr">
        <is>
          <t>Kommuner</t>
        </is>
      </c>
      <c r="G467" t="n">
        <v>5.8</v>
      </c>
      <c r="H467" t="n">
        <v>0</v>
      </c>
      <c r="I467" t="n">
        <v>0</v>
      </c>
      <c r="J467" t="n">
        <v>0</v>
      </c>
      <c r="K467" t="n">
        <v>0</v>
      </c>
      <c r="L467" t="n">
        <v>0</v>
      </c>
      <c r="M467" t="n">
        <v>0</v>
      </c>
      <c r="N467" t="n">
        <v>0</v>
      </c>
      <c r="O467" t="n">
        <v>0</v>
      </c>
      <c r="P467" t="n">
        <v>0</v>
      </c>
      <c r="Q467" t="n">
        <v>0</v>
      </c>
      <c r="R467" s="2" t="inlineStr"/>
    </row>
    <row r="468" ht="15" customHeight="1">
      <c r="A468" t="inlineStr">
        <is>
          <t>A 11116-2023</t>
        </is>
      </c>
      <c r="B468" s="1" t="n">
        <v>44986</v>
      </c>
      <c r="C468" s="1" t="n">
        <v>46129</v>
      </c>
      <c r="D468" t="inlineStr">
        <is>
          <t>SKÅNE LÄN</t>
        </is>
      </c>
      <c r="E468" t="inlineStr">
        <is>
          <t>HÄSSLEHOLM</t>
        </is>
      </c>
      <c r="F468" t="inlineStr">
        <is>
          <t>Kommuner</t>
        </is>
      </c>
      <c r="G468" t="n">
        <v>15.1</v>
      </c>
      <c r="H468" t="n">
        <v>0</v>
      </c>
      <c r="I468" t="n">
        <v>0</v>
      </c>
      <c r="J468" t="n">
        <v>0</v>
      </c>
      <c r="K468" t="n">
        <v>0</v>
      </c>
      <c r="L468" t="n">
        <v>0</v>
      </c>
      <c r="M468" t="n">
        <v>0</v>
      </c>
      <c r="N468" t="n">
        <v>0</v>
      </c>
      <c r="O468" t="n">
        <v>0</v>
      </c>
      <c r="P468" t="n">
        <v>0</v>
      </c>
      <c r="Q468" t="n">
        <v>0</v>
      </c>
      <c r="R468" s="2" t="inlineStr"/>
    </row>
    <row r="469" ht="15" customHeight="1">
      <c r="A469" t="inlineStr">
        <is>
          <t>A 45762-2025</t>
        </is>
      </c>
      <c r="B469" s="1" t="n">
        <v>45923.51548611111</v>
      </c>
      <c r="C469" s="1" t="n">
        <v>46129</v>
      </c>
      <c r="D469" t="inlineStr">
        <is>
          <t>SKÅNE LÄN</t>
        </is>
      </c>
      <c r="E469" t="inlineStr">
        <is>
          <t>HÄSSLEHOLM</t>
        </is>
      </c>
      <c r="G469" t="n">
        <v>2.3</v>
      </c>
      <c r="H469" t="n">
        <v>0</v>
      </c>
      <c r="I469" t="n">
        <v>0</v>
      </c>
      <c r="J469" t="n">
        <v>0</v>
      </c>
      <c r="K469" t="n">
        <v>0</v>
      </c>
      <c r="L469" t="n">
        <v>0</v>
      </c>
      <c r="M469" t="n">
        <v>0</v>
      </c>
      <c r="N469" t="n">
        <v>0</v>
      </c>
      <c r="O469" t="n">
        <v>0</v>
      </c>
      <c r="P469" t="n">
        <v>0</v>
      </c>
      <c r="Q469" t="n">
        <v>0</v>
      </c>
      <c r="R469" s="2" t="inlineStr"/>
    </row>
    <row r="470" ht="15" customHeight="1">
      <c r="A470" t="inlineStr">
        <is>
          <t>A 38712-2024</t>
        </is>
      </c>
      <c r="B470" s="1" t="n">
        <v>45547</v>
      </c>
      <c r="C470" s="1" t="n">
        <v>46129</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13310-2025</t>
        </is>
      </c>
      <c r="B471" s="1" t="n">
        <v>45735.58814814815</v>
      </c>
      <c r="C471" s="1" t="n">
        <v>46129</v>
      </c>
      <c r="D471" t="inlineStr">
        <is>
          <t>SKÅNE LÄN</t>
        </is>
      </c>
      <c r="E471" t="inlineStr">
        <is>
          <t>HÄSSLEHOLM</t>
        </is>
      </c>
      <c r="G471" t="n">
        <v>2</v>
      </c>
      <c r="H471" t="n">
        <v>0</v>
      </c>
      <c r="I471" t="n">
        <v>0</v>
      </c>
      <c r="J471" t="n">
        <v>0</v>
      </c>
      <c r="K471" t="n">
        <v>0</v>
      </c>
      <c r="L471" t="n">
        <v>0</v>
      </c>
      <c r="M471" t="n">
        <v>0</v>
      </c>
      <c r="N471" t="n">
        <v>0</v>
      </c>
      <c r="O471" t="n">
        <v>0</v>
      </c>
      <c r="P471" t="n">
        <v>0</v>
      </c>
      <c r="Q471" t="n">
        <v>0</v>
      </c>
      <c r="R471" s="2" t="inlineStr"/>
    </row>
    <row r="472" ht="15" customHeight="1">
      <c r="A472" t="inlineStr">
        <is>
          <t>A 3746-2024</t>
        </is>
      </c>
      <c r="B472" s="1" t="n">
        <v>45321.50745370371</v>
      </c>
      <c r="C472" s="1" t="n">
        <v>46129</v>
      </c>
      <c r="D472" t="inlineStr">
        <is>
          <t>SKÅNE LÄN</t>
        </is>
      </c>
      <c r="E472" t="inlineStr">
        <is>
          <t>HÄSSLEHOLM</t>
        </is>
      </c>
      <c r="G472" t="n">
        <v>3.4</v>
      </c>
      <c r="H472" t="n">
        <v>0</v>
      </c>
      <c r="I472" t="n">
        <v>0</v>
      </c>
      <c r="J472" t="n">
        <v>0</v>
      </c>
      <c r="K472" t="n">
        <v>0</v>
      </c>
      <c r="L472" t="n">
        <v>0</v>
      </c>
      <c r="M472" t="n">
        <v>0</v>
      </c>
      <c r="N472" t="n">
        <v>0</v>
      </c>
      <c r="O472" t="n">
        <v>0</v>
      </c>
      <c r="P472" t="n">
        <v>0</v>
      </c>
      <c r="Q472" t="n">
        <v>0</v>
      </c>
      <c r="R472" s="2" t="inlineStr"/>
    </row>
    <row r="473" ht="15" customHeight="1">
      <c r="A473" t="inlineStr">
        <is>
          <t>A 57649-2022</t>
        </is>
      </c>
      <c r="B473" s="1" t="n">
        <v>44897.42755787037</v>
      </c>
      <c r="C473" s="1" t="n">
        <v>46129</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57665-2022</t>
        </is>
      </c>
      <c r="B474" s="1" t="n">
        <v>44897.4494212963</v>
      </c>
      <c r="C474" s="1" t="n">
        <v>46129</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57676-2022</t>
        </is>
      </c>
      <c r="B475" s="1" t="n">
        <v>44897</v>
      </c>
      <c r="C475" s="1" t="n">
        <v>46129</v>
      </c>
      <c r="D475" t="inlineStr">
        <is>
          <t>SKÅNE LÄN</t>
        </is>
      </c>
      <c r="E475" t="inlineStr">
        <is>
          <t>HÄSSLEHOLM</t>
        </is>
      </c>
      <c r="G475" t="n">
        <v>1</v>
      </c>
      <c r="H475" t="n">
        <v>0</v>
      </c>
      <c r="I475" t="n">
        <v>0</v>
      </c>
      <c r="J475" t="n">
        <v>0</v>
      </c>
      <c r="K475" t="n">
        <v>0</v>
      </c>
      <c r="L475" t="n">
        <v>0</v>
      </c>
      <c r="M475" t="n">
        <v>0</v>
      </c>
      <c r="N475" t="n">
        <v>0</v>
      </c>
      <c r="O475" t="n">
        <v>0</v>
      </c>
      <c r="P475" t="n">
        <v>0</v>
      </c>
      <c r="Q475" t="n">
        <v>0</v>
      </c>
      <c r="R475" s="2" t="inlineStr"/>
    </row>
    <row r="476" ht="15" customHeight="1">
      <c r="A476" t="inlineStr">
        <is>
          <t>A 14145-2023</t>
        </is>
      </c>
      <c r="B476" s="1" t="n">
        <v>45009</v>
      </c>
      <c r="C476" s="1" t="n">
        <v>46129</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8244-2023</t>
        </is>
      </c>
      <c r="B477" s="1" t="n">
        <v>44974</v>
      </c>
      <c r="C477" s="1" t="n">
        <v>46129</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8246-2023</t>
        </is>
      </c>
      <c r="B478" s="1" t="n">
        <v>44974</v>
      </c>
      <c r="C478" s="1" t="n">
        <v>46129</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31159-2025</t>
        </is>
      </c>
      <c r="B479" s="1" t="n">
        <v>45832.65322916667</v>
      </c>
      <c r="C479" s="1" t="n">
        <v>46129</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9668-2025</t>
        </is>
      </c>
      <c r="B480" s="1" t="n">
        <v>45716</v>
      </c>
      <c r="C480" s="1" t="n">
        <v>46129</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12584-2025</t>
        </is>
      </c>
      <c r="B481" s="1" t="n">
        <v>45732</v>
      </c>
      <c r="C481" s="1" t="n">
        <v>46129</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25606-2024</t>
        </is>
      </c>
      <c r="B482" s="1" t="n">
        <v>45463.63179398148</v>
      </c>
      <c r="C482" s="1" t="n">
        <v>46129</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9678-2025</t>
        </is>
      </c>
      <c r="B483" s="1" t="n">
        <v>45716</v>
      </c>
      <c r="C483" s="1" t="n">
        <v>46129</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14939-2023</t>
        </is>
      </c>
      <c r="B484" s="1" t="n">
        <v>45014</v>
      </c>
      <c r="C484" s="1" t="n">
        <v>46129</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13345-2025</t>
        </is>
      </c>
      <c r="B485" s="1" t="n">
        <v>45735.63017361111</v>
      </c>
      <c r="C485" s="1" t="n">
        <v>46129</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4945-2022</t>
        </is>
      </c>
      <c r="B486" s="1" t="n">
        <v>44593</v>
      </c>
      <c r="C486" s="1" t="n">
        <v>46129</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46786-2025</t>
        </is>
      </c>
      <c r="B487" s="1" t="n">
        <v>45926.64484953704</v>
      </c>
      <c r="C487" s="1" t="n">
        <v>46129</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47126-2025</t>
        </is>
      </c>
      <c r="B488" s="1" t="n">
        <v>45929.685625</v>
      </c>
      <c r="C488" s="1" t="n">
        <v>46129</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47127-2025</t>
        </is>
      </c>
      <c r="B489" s="1" t="n">
        <v>45929.6893287037</v>
      </c>
      <c r="C489" s="1" t="n">
        <v>46129</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12558-2023</t>
        </is>
      </c>
      <c r="B490" s="1" t="n">
        <v>45000.36103009259</v>
      </c>
      <c r="C490" s="1" t="n">
        <v>46129</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46761-2025</t>
        </is>
      </c>
      <c r="B491" s="1" t="n">
        <v>45926.62289351852</v>
      </c>
      <c r="C491" s="1" t="n">
        <v>46129</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46855-2025</t>
        </is>
      </c>
      <c r="B492" s="1" t="n">
        <v>45928.88497685185</v>
      </c>
      <c r="C492" s="1" t="n">
        <v>46129</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46605-2025</t>
        </is>
      </c>
      <c r="B493" s="1" t="n">
        <v>45926.41214120371</v>
      </c>
      <c r="C493" s="1" t="n">
        <v>46129</v>
      </c>
      <c r="D493" t="inlineStr">
        <is>
          <t>SKÅNE LÄN</t>
        </is>
      </c>
      <c r="E493" t="inlineStr">
        <is>
          <t>HÄSSLEHOLM</t>
        </is>
      </c>
      <c r="G493" t="n">
        <v>0.4</v>
      </c>
      <c r="H493" t="n">
        <v>0</v>
      </c>
      <c r="I493" t="n">
        <v>0</v>
      </c>
      <c r="J493" t="n">
        <v>0</v>
      </c>
      <c r="K493" t="n">
        <v>0</v>
      </c>
      <c r="L493" t="n">
        <v>0</v>
      </c>
      <c r="M493" t="n">
        <v>0</v>
      </c>
      <c r="N493" t="n">
        <v>0</v>
      </c>
      <c r="O493" t="n">
        <v>0</v>
      </c>
      <c r="P493" t="n">
        <v>0</v>
      </c>
      <c r="Q493" t="n">
        <v>0</v>
      </c>
      <c r="R493" s="2" t="inlineStr"/>
    </row>
    <row r="494" ht="15" customHeight="1">
      <c r="A494" t="inlineStr">
        <is>
          <t>A 4119-2024</t>
        </is>
      </c>
      <c r="B494" s="1" t="n">
        <v>45323.67920138889</v>
      </c>
      <c r="C494" s="1" t="n">
        <v>46129</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6835-2023</t>
        </is>
      </c>
      <c r="B495" s="1" t="n">
        <v>44967</v>
      </c>
      <c r="C495" s="1" t="n">
        <v>46129</v>
      </c>
      <c r="D495" t="inlineStr">
        <is>
          <t>SKÅNE LÄN</t>
        </is>
      </c>
      <c r="E495" t="inlineStr">
        <is>
          <t>HÄSSLEHOLM</t>
        </is>
      </c>
      <c r="G495" t="n">
        <v>4.8</v>
      </c>
      <c r="H495" t="n">
        <v>0</v>
      </c>
      <c r="I495" t="n">
        <v>0</v>
      </c>
      <c r="J495" t="n">
        <v>0</v>
      </c>
      <c r="K495" t="n">
        <v>0</v>
      </c>
      <c r="L495" t="n">
        <v>0</v>
      </c>
      <c r="M495" t="n">
        <v>0</v>
      </c>
      <c r="N495" t="n">
        <v>0</v>
      </c>
      <c r="O495" t="n">
        <v>0</v>
      </c>
      <c r="P495" t="n">
        <v>0</v>
      </c>
      <c r="Q495" t="n">
        <v>0</v>
      </c>
      <c r="R495" s="2" t="inlineStr"/>
    </row>
    <row r="496" ht="15" customHeight="1">
      <c r="A496" t="inlineStr">
        <is>
          <t>A 47757-2024</t>
        </is>
      </c>
      <c r="B496" s="1" t="n">
        <v>45588.55075231481</v>
      </c>
      <c r="C496" s="1" t="n">
        <v>46129</v>
      </c>
      <c r="D496" t="inlineStr">
        <is>
          <t>SKÅNE LÄN</t>
        </is>
      </c>
      <c r="E496" t="inlineStr">
        <is>
          <t>HÄSSLEHOLM</t>
        </is>
      </c>
      <c r="G496" t="n">
        <v>5.5</v>
      </c>
      <c r="H496" t="n">
        <v>0</v>
      </c>
      <c r="I496" t="n">
        <v>0</v>
      </c>
      <c r="J496" t="n">
        <v>0</v>
      </c>
      <c r="K496" t="n">
        <v>0</v>
      </c>
      <c r="L496" t="n">
        <v>0</v>
      </c>
      <c r="M496" t="n">
        <v>0</v>
      </c>
      <c r="N496" t="n">
        <v>0</v>
      </c>
      <c r="O496" t="n">
        <v>0</v>
      </c>
      <c r="P496" t="n">
        <v>0</v>
      </c>
      <c r="Q496" t="n">
        <v>0</v>
      </c>
      <c r="R496" s="2" t="inlineStr"/>
    </row>
    <row r="497" ht="15" customHeight="1">
      <c r="A497" t="inlineStr">
        <is>
          <t>A 16550-2025</t>
        </is>
      </c>
      <c r="B497" s="1" t="n">
        <v>45751.69412037037</v>
      </c>
      <c r="C497" s="1" t="n">
        <v>46129</v>
      </c>
      <c r="D497" t="inlineStr">
        <is>
          <t>SKÅNE LÄN</t>
        </is>
      </c>
      <c r="E497" t="inlineStr">
        <is>
          <t>HÄSSLEHOLM</t>
        </is>
      </c>
      <c r="G497" t="n">
        <v>0.7</v>
      </c>
      <c r="H497" t="n">
        <v>0</v>
      </c>
      <c r="I497" t="n">
        <v>0</v>
      </c>
      <c r="J497" t="n">
        <v>0</v>
      </c>
      <c r="K497" t="n">
        <v>0</v>
      </c>
      <c r="L497" t="n">
        <v>0</v>
      </c>
      <c r="M497" t="n">
        <v>0</v>
      </c>
      <c r="N497" t="n">
        <v>0</v>
      </c>
      <c r="O497" t="n">
        <v>0</v>
      </c>
      <c r="P497" t="n">
        <v>0</v>
      </c>
      <c r="Q497" t="n">
        <v>0</v>
      </c>
      <c r="R497" s="2" t="inlineStr"/>
    </row>
    <row r="498" ht="15" customHeight="1">
      <c r="A498" t="inlineStr">
        <is>
          <t>A 29649-2025</t>
        </is>
      </c>
      <c r="B498" s="1" t="n">
        <v>45825.47446759259</v>
      </c>
      <c r="C498" s="1" t="n">
        <v>46129</v>
      </c>
      <c r="D498" t="inlineStr">
        <is>
          <t>SKÅNE LÄN</t>
        </is>
      </c>
      <c r="E498" t="inlineStr">
        <is>
          <t>HÄSSLEHOLM</t>
        </is>
      </c>
      <c r="G498" t="n">
        <v>2.6</v>
      </c>
      <c r="H498" t="n">
        <v>0</v>
      </c>
      <c r="I498" t="n">
        <v>0</v>
      </c>
      <c r="J498" t="n">
        <v>0</v>
      </c>
      <c r="K498" t="n">
        <v>0</v>
      </c>
      <c r="L498" t="n">
        <v>0</v>
      </c>
      <c r="M498" t="n">
        <v>0</v>
      </c>
      <c r="N498" t="n">
        <v>0</v>
      </c>
      <c r="O498" t="n">
        <v>0</v>
      </c>
      <c r="P498" t="n">
        <v>0</v>
      </c>
      <c r="Q498" t="n">
        <v>0</v>
      </c>
      <c r="R498" s="2" t="inlineStr"/>
    </row>
    <row r="499" ht="15" customHeight="1">
      <c r="A499" t="inlineStr">
        <is>
          <t>A 26536-2022</t>
        </is>
      </c>
      <c r="B499" s="1" t="n">
        <v>44739.45496527778</v>
      </c>
      <c r="C499" s="1" t="n">
        <v>46129</v>
      </c>
      <c r="D499" t="inlineStr">
        <is>
          <t>SKÅNE LÄN</t>
        </is>
      </c>
      <c r="E499" t="inlineStr">
        <is>
          <t>HÄSSLEHOLM</t>
        </is>
      </c>
      <c r="G499" t="n">
        <v>3.1</v>
      </c>
      <c r="H499" t="n">
        <v>0</v>
      </c>
      <c r="I499" t="n">
        <v>0</v>
      </c>
      <c r="J499" t="n">
        <v>0</v>
      </c>
      <c r="K499" t="n">
        <v>0</v>
      </c>
      <c r="L499" t="n">
        <v>0</v>
      </c>
      <c r="M499" t="n">
        <v>0</v>
      </c>
      <c r="N499" t="n">
        <v>0</v>
      </c>
      <c r="O499" t="n">
        <v>0</v>
      </c>
      <c r="P499" t="n">
        <v>0</v>
      </c>
      <c r="Q499" t="n">
        <v>0</v>
      </c>
      <c r="R499" s="2" t="inlineStr"/>
    </row>
    <row r="500" ht="15" customHeight="1">
      <c r="A500" t="inlineStr">
        <is>
          <t>A 25057-2024</t>
        </is>
      </c>
      <c r="B500" s="1" t="n">
        <v>45462</v>
      </c>
      <c r="C500" s="1" t="n">
        <v>46129</v>
      </c>
      <c r="D500" t="inlineStr">
        <is>
          <t>SKÅNE LÄN</t>
        </is>
      </c>
      <c r="E500" t="inlineStr">
        <is>
          <t>HÄSSLEHOLM</t>
        </is>
      </c>
      <c r="G500" t="n">
        <v>4.3</v>
      </c>
      <c r="H500" t="n">
        <v>0</v>
      </c>
      <c r="I500" t="n">
        <v>0</v>
      </c>
      <c r="J500" t="n">
        <v>0</v>
      </c>
      <c r="K500" t="n">
        <v>0</v>
      </c>
      <c r="L500" t="n">
        <v>0</v>
      </c>
      <c r="M500" t="n">
        <v>0</v>
      </c>
      <c r="N500" t="n">
        <v>0</v>
      </c>
      <c r="O500" t="n">
        <v>0</v>
      </c>
      <c r="P500" t="n">
        <v>0</v>
      </c>
      <c r="Q500" t="n">
        <v>0</v>
      </c>
      <c r="R500" s="2" t="inlineStr"/>
    </row>
    <row r="501" ht="15" customHeight="1">
      <c r="A501" t="inlineStr">
        <is>
          <t>A 25726-2025</t>
        </is>
      </c>
      <c r="B501" s="1" t="n">
        <v>45803</v>
      </c>
      <c r="C501" s="1" t="n">
        <v>46129</v>
      </c>
      <c r="D501" t="inlineStr">
        <is>
          <t>SKÅNE LÄN</t>
        </is>
      </c>
      <c r="E501" t="inlineStr">
        <is>
          <t>HÄSSLEHOLM</t>
        </is>
      </c>
      <c r="G501" t="n">
        <v>5.5</v>
      </c>
      <c r="H501" t="n">
        <v>0</v>
      </c>
      <c r="I501" t="n">
        <v>0</v>
      </c>
      <c r="J501" t="n">
        <v>0</v>
      </c>
      <c r="K501" t="n">
        <v>0</v>
      </c>
      <c r="L501" t="n">
        <v>0</v>
      </c>
      <c r="M501" t="n">
        <v>0</v>
      </c>
      <c r="N501" t="n">
        <v>0</v>
      </c>
      <c r="O501" t="n">
        <v>0</v>
      </c>
      <c r="P501" t="n">
        <v>0</v>
      </c>
      <c r="Q501" t="n">
        <v>0</v>
      </c>
      <c r="R501" s="2" t="inlineStr"/>
    </row>
    <row r="502" ht="15" customHeight="1">
      <c r="A502" t="inlineStr">
        <is>
          <t>A 32585-2025</t>
        </is>
      </c>
      <c r="B502" s="1" t="n">
        <v>45838.60021990741</v>
      </c>
      <c r="C502" s="1" t="n">
        <v>46129</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32592-2025</t>
        </is>
      </c>
      <c r="B503" s="1" t="n">
        <v>45838.61020833333</v>
      </c>
      <c r="C503" s="1" t="n">
        <v>46129</v>
      </c>
      <c r="D503" t="inlineStr">
        <is>
          <t>SKÅNE LÄN</t>
        </is>
      </c>
      <c r="E503" t="inlineStr">
        <is>
          <t>HÄSSLEHOLM</t>
        </is>
      </c>
      <c r="G503" t="n">
        <v>2.1</v>
      </c>
      <c r="H503" t="n">
        <v>0</v>
      </c>
      <c r="I503" t="n">
        <v>0</v>
      </c>
      <c r="J503" t="n">
        <v>0</v>
      </c>
      <c r="K503" t="n">
        <v>0</v>
      </c>
      <c r="L503" t="n">
        <v>0</v>
      </c>
      <c r="M503" t="n">
        <v>0</v>
      </c>
      <c r="N503" t="n">
        <v>0</v>
      </c>
      <c r="O503" t="n">
        <v>0</v>
      </c>
      <c r="P503" t="n">
        <v>0</v>
      </c>
      <c r="Q503" t="n">
        <v>0</v>
      </c>
      <c r="R503" s="2" t="inlineStr"/>
    </row>
    <row r="504" ht="15" customHeight="1">
      <c r="A504" t="inlineStr">
        <is>
          <t>A 7494-2023</t>
        </is>
      </c>
      <c r="B504" s="1" t="n">
        <v>44971.70835648148</v>
      </c>
      <c r="C504" s="1" t="n">
        <v>46129</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47259-2025</t>
        </is>
      </c>
      <c r="B505" s="1" t="n">
        <v>45930</v>
      </c>
      <c r="C505" s="1" t="n">
        <v>46129</v>
      </c>
      <c r="D505" t="inlineStr">
        <is>
          <t>SKÅNE LÄN</t>
        </is>
      </c>
      <c r="E505" t="inlineStr">
        <is>
          <t>HÄSSLEHOLM</t>
        </is>
      </c>
      <c r="G505" t="n">
        <v>1.6</v>
      </c>
      <c r="H505" t="n">
        <v>0</v>
      </c>
      <c r="I505" t="n">
        <v>0</v>
      </c>
      <c r="J505" t="n">
        <v>0</v>
      </c>
      <c r="K505" t="n">
        <v>0</v>
      </c>
      <c r="L505" t="n">
        <v>0</v>
      </c>
      <c r="M505" t="n">
        <v>0</v>
      </c>
      <c r="N505" t="n">
        <v>0</v>
      </c>
      <c r="O505" t="n">
        <v>0</v>
      </c>
      <c r="P505" t="n">
        <v>0</v>
      </c>
      <c r="Q505" t="n">
        <v>0</v>
      </c>
      <c r="R505" s="2" t="inlineStr"/>
    </row>
    <row r="506" ht="15" customHeight="1">
      <c r="A506" t="inlineStr">
        <is>
          <t>A 10115-2024</t>
        </is>
      </c>
      <c r="B506" s="1" t="n">
        <v>45364.55339120371</v>
      </c>
      <c r="C506" s="1" t="n">
        <v>46129</v>
      </c>
      <c r="D506" t="inlineStr">
        <is>
          <t>SKÅNE LÄN</t>
        </is>
      </c>
      <c r="E506" t="inlineStr">
        <is>
          <t>HÄSSLEHOLM</t>
        </is>
      </c>
      <c r="G506" t="n">
        <v>7</v>
      </c>
      <c r="H506" t="n">
        <v>0</v>
      </c>
      <c r="I506" t="n">
        <v>0</v>
      </c>
      <c r="J506" t="n">
        <v>0</v>
      </c>
      <c r="K506" t="n">
        <v>0</v>
      </c>
      <c r="L506" t="n">
        <v>0</v>
      </c>
      <c r="M506" t="n">
        <v>0</v>
      </c>
      <c r="N506" t="n">
        <v>0</v>
      </c>
      <c r="O506" t="n">
        <v>0</v>
      </c>
      <c r="P506" t="n">
        <v>0</v>
      </c>
      <c r="Q506" t="n">
        <v>0</v>
      </c>
      <c r="R506" s="2" t="inlineStr"/>
    </row>
    <row r="507" ht="15" customHeight="1">
      <c r="A507" t="inlineStr">
        <is>
          <t>A 47473-2025</t>
        </is>
      </c>
      <c r="B507" s="1" t="n">
        <v>45930.67763888889</v>
      </c>
      <c r="C507" s="1" t="n">
        <v>46129</v>
      </c>
      <c r="D507" t="inlineStr">
        <is>
          <t>SKÅNE LÄN</t>
        </is>
      </c>
      <c r="E507" t="inlineStr">
        <is>
          <t>HÄSSLEHOLM</t>
        </is>
      </c>
      <c r="G507" t="n">
        <v>4.7</v>
      </c>
      <c r="H507" t="n">
        <v>0</v>
      </c>
      <c r="I507" t="n">
        <v>0</v>
      </c>
      <c r="J507" t="n">
        <v>0</v>
      </c>
      <c r="K507" t="n">
        <v>0</v>
      </c>
      <c r="L507" t="n">
        <v>0</v>
      </c>
      <c r="M507" t="n">
        <v>0</v>
      </c>
      <c r="N507" t="n">
        <v>0</v>
      </c>
      <c r="O507" t="n">
        <v>0</v>
      </c>
      <c r="P507" t="n">
        <v>0</v>
      </c>
      <c r="Q507" t="n">
        <v>0</v>
      </c>
      <c r="R507" s="2" t="inlineStr"/>
    </row>
    <row r="508" ht="15" customHeight="1">
      <c r="A508" t="inlineStr">
        <is>
          <t>A 47466-2025</t>
        </is>
      </c>
      <c r="B508" s="1" t="n">
        <v>45930.66677083333</v>
      </c>
      <c r="C508" s="1" t="n">
        <v>46129</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33562-2025</t>
        </is>
      </c>
      <c r="B509" s="1" t="n">
        <v>45841.57803240741</v>
      </c>
      <c r="C509" s="1" t="n">
        <v>46129</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48184-2025</t>
        </is>
      </c>
      <c r="B510" s="1" t="n">
        <v>45933.46131944445</v>
      </c>
      <c r="C510" s="1" t="n">
        <v>46129</v>
      </c>
      <c r="D510" t="inlineStr">
        <is>
          <t>SKÅNE LÄN</t>
        </is>
      </c>
      <c r="E510" t="inlineStr">
        <is>
          <t>HÄSSLEHOLM</t>
        </is>
      </c>
      <c r="G510" t="n">
        <v>3</v>
      </c>
      <c r="H510" t="n">
        <v>0</v>
      </c>
      <c r="I510" t="n">
        <v>0</v>
      </c>
      <c r="J510" t="n">
        <v>0</v>
      </c>
      <c r="K510" t="n">
        <v>0</v>
      </c>
      <c r="L510" t="n">
        <v>0</v>
      </c>
      <c r="M510" t="n">
        <v>0</v>
      </c>
      <c r="N510" t="n">
        <v>0</v>
      </c>
      <c r="O510" t="n">
        <v>0</v>
      </c>
      <c r="P510" t="n">
        <v>0</v>
      </c>
      <c r="Q510" t="n">
        <v>0</v>
      </c>
      <c r="R510" s="2" t="inlineStr"/>
    </row>
    <row r="511" ht="15" customHeight="1">
      <c r="A511" t="inlineStr">
        <is>
          <t>A 48185-2025</t>
        </is>
      </c>
      <c r="B511" s="1" t="n">
        <v>45933.46434027778</v>
      </c>
      <c r="C511" s="1" t="n">
        <v>46129</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21328-2023</t>
        </is>
      </c>
      <c r="B512" s="1" t="n">
        <v>45062</v>
      </c>
      <c r="C512" s="1" t="n">
        <v>46129</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12570-2023</t>
        </is>
      </c>
      <c r="B513" s="1" t="n">
        <v>44999</v>
      </c>
      <c r="C513" s="1" t="n">
        <v>46129</v>
      </c>
      <c r="D513" t="inlineStr">
        <is>
          <t>SKÅNE LÄN</t>
        </is>
      </c>
      <c r="E513" t="inlineStr">
        <is>
          <t>HÄSSLEHOLM</t>
        </is>
      </c>
      <c r="G513" t="n">
        <v>3.4</v>
      </c>
      <c r="H513" t="n">
        <v>0</v>
      </c>
      <c r="I513" t="n">
        <v>0</v>
      </c>
      <c r="J513" t="n">
        <v>0</v>
      </c>
      <c r="K513" t="n">
        <v>0</v>
      </c>
      <c r="L513" t="n">
        <v>0</v>
      </c>
      <c r="M513" t="n">
        <v>0</v>
      </c>
      <c r="N513" t="n">
        <v>0</v>
      </c>
      <c r="O513" t="n">
        <v>0</v>
      </c>
      <c r="P513" t="n">
        <v>0</v>
      </c>
      <c r="Q513" t="n">
        <v>0</v>
      </c>
      <c r="R513" s="2" t="inlineStr"/>
    </row>
    <row r="514" ht="15" customHeight="1">
      <c r="A514" t="inlineStr">
        <is>
          <t>A 20435-2021</t>
        </is>
      </c>
      <c r="B514" s="1" t="n">
        <v>44315.5793287037</v>
      </c>
      <c r="C514" s="1" t="n">
        <v>46129</v>
      </c>
      <c r="D514" t="inlineStr">
        <is>
          <t>SKÅNE LÄN</t>
        </is>
      </c>
      <c r="E514" t="inlineStr">
        <is>
          <t>HÄSSLEHOLM</t>
        </is>
      </c>
      <c r="G514" t="n">
        <v>4.8</v>
      </c>
      <c r="H514" t="n">
        <v>0</v>
      </c>
      <c r="I514" t="n">
        <v>0</v>
      </c>
      <c r="J514" t="n">
        <v>0</v>
      </c>
      <c r="K514" t="n">
        <v>0</v>
      </c>
      <c r="L514" t="n">
        <v>0</v>
      </c>
      <c r="M514" t="n">
        <v>0</v>
      </c>
      <c r="N514" t="n">
        <v>0</v>
      </c>
      <c r="O514" t="n">
        <v>0</v>
      </c>
      <c r="P514" t="n">
        <v>0</v>
      </c>
      <c r="Q514" t="n">
        <v>0</v>
      </c>
      <c r="R514" s="2" t="inlineStr"/>
    </row>
    <row r="515" ht="15" customHeight="1">
      <c r="A515" t="inlineStr">
        <is>
          <t>A 25219-2023</t>
        </is>
      </c>
      <c r="B515" s="1" t="n">
        <v>45086.60541666667</v>
      </c>
      <c r="C515" s="1" t="n">
        <v>46129</v>
      </c>
      <c r="D515" t="inlineStr">
        <is>
          <t>SKÅNE LÄN</t>
        </is>
      </c>
      <c r="E515" t="inlineStr">
        <is>
          <t>HÄSSLEHOLM</t>
        </is>
      </c>
      <c r="G515" t="n">
        <v>6.9</v>
      </c>
      <c r="H515" t="n">
        <v>0</v>
      </c>
      <c r="I515" t="n">
        <v>0</v>
      </c>
      <c r="J515" t="n">
        <v>0</v>
      </c>
      <c r="K515" t="n">
        <v>0</v>
      </c>
      <c r="L515" t="n">
        <v>0</v>
      </c>
      <c r="M515" t="n">
        <v>0</v>
      </c>
      <c r="N515" t="n">
        <v>0</v>
      </c>
      <c r="O515" t="n">
        <v>0</v>
      </c>
      <c r="P515" t="n">
        <v>0</v>
      </c>
      <c r="Q515" t="n">
        <v>0</v>
      </c>
      <c r="R515" s="2" t="inlineStr"/>
    </row>
    <row r="516" ht="15" customHeight="1">
      <c r="A516" t="inlineStr">
        <is>
          <t>A 33875-2025</t>
        </is>
      </c>
      <c r="B516" s="1" t="n">
        <v>45842.55300925926</v>
      </c>
      <c r="C516" s="1" t="n">
        <v>46129</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33877-2025</t>
        </is>
      </c>
      <c r="B517" s="1" t="n">
        <v>45842.55564814815</v>
      </c>
      <c r="C517" s="1" t="n">
        <v>46129</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33879-2025</t>
        </is>
      </c>
      <c r="B518" s="1" t="n">
        <v>45842.55766203703</v>
      </c>
      <c r="C518" s="1" t="n">
        <v>46129</v>
      </c>
      <c r="D518" t="inlineStr">
        <is>
          <t>SKÅNE LÄN</t>
        </is>
      </c>
      <c r="E518" t="inlineStr">
        <is>
          <t>HÄSSLEHOLM</t>
        </is>
      </c>
      <c r="G518" t="n">
        <v>6.1</v>
      </c>
      <c r="H518" t="n">
        <v>0</v>
      </c>
      <c r="I518" t="n">
        <v>0</v>
      </c>
      <c r="J518" t="n">
        <v>0</v>
      </c>
      <c r="K518" t="n">
        <v>0</v>
      </c>
      <c r="L518" t="n">
        <v>0</v>
      </c>
      <c r="M518" t="n">
        <v>0</v>
      </c>
      <c r="N518" t="n">
        <v>0</v>
      </c>
      <c r="O518" t="n">
        <v>0</v>
      </c>
      <c r="P518" t="n">
        <v>0</v>
      </c>
      <c r="Q518" t="n">
        <v>0</v>
      </c>
      <c r="R518" s="2" t="inlineStr"/>
    </row>
    <row r="519" ht="15" customHeight="1">
      <c r="A519" t="inlineStr">
        <is>
          <t>A 7306-2025</t>
        </is>
      </c>
      <c r="B519" s="1" t="n">
        <v>45702</v>
      </c>
      <c r="C519" s="1" t="n">
        <v>46129</v>
      </c>
      <c r="D519" t="inlineStr">
        <is>
          <t>SKÅNE LÄN</t>
        </is>
      </c>
      <c r="E519" t="inlineStr">
        <is>
          <t>HÄSSLEHOLM</t>
        </is>
      </c>
      <c r="F519" t="inlineStr">
        <is>
          <t>Övriga Aktiebolag</t>
        </is>
      </c>
      <c r="G519" t="n">
        <v>3.3</v>
      </c>
      <c r="H519" t="n">
        <v>0</v>
      </c>
      <c r="I519" t="n">
        <v>0</v>
      </c>
      <c r="J519" t="n">
        <v>0</v>
      </c>
      <c r="K519" t="n">
        <v>0</v>
      </c>
      <c r="L519" t="n">
        <v>0</v>
      </c>
      <c r="M519" t="n">
        <v>0</v>
      </c>
      <c r="N519" t="n">
        <v>0</v>
      </c>
      <c r="O519" t="n">
        <v>0</v>
      </c>
      <c r="P519" t="n">
        <v>0</v>
      </c>
      <c r="Q519" t="n">
        <v>0</v>
      </c>
      <c r="R519" s="2" t="inlineStr"/>
    </row>
    <row r="520" ht="15" customHeight="1">
      <c r="A520" t="inlineStr">
        <is>
          <t>A 7308-2025</t>
        </is>
      </c>
      <c r="B520" s="1" t="n">
        <v>45702</v>
      </c>
      <c r="C520" s="1" t="n">
        <v>46129</v>
      </c>
      <c r="D520" t="inlineStr">
        <is>
          <t>SKÅNE LÄN</t>
        </is>
      </c>
      <c r="E520" t="inlineStr">
        <is>
          <t>HÄSSLEHOLM</t>
        </is>
      </c>
      <c r="F520" t="inlineStr">
        <is>
          <t>Övriga Aktiebolag</t>
        </is>
      </c>
      <c r="G520" t="n">
        <v>4.8</v>
      </c>
      <c r="H520" t="n">
        <v>0</v>
      </c>
      <c r="I520" t="n">
        <v>0</v>
      </c>
      <c r="J520" t="n">
        <v>0</v>
      </c>
      <c r="K520" t="n">
        <v>0</v>
      </c>
      <c r="L520" t="n">
        <v>0</v>
      </c>
      <c r="M520" t="n">
        <v>0</v>
      </c>
      <c r="N520" t="n">
        <v>0</v>
      </c>
      <c r="O520" t="n">
        <v>0</v>
      </c>
      <c r="P520" t="n">
        <v>0</v>
      </c>
      <c r="Q520" t="n">
        <v>0</v>
      </c>
      <c r="R520" s="2" t="inlineStr"/>
    </row>
    <row r="521" ht="15" customHeight="1">
      <c r="A521" t="inlineStr">
        <is>
          <t>A 58250-2024</t>
        </is>
      </c>
      <c r="B521" s="1" t="n">
        <v>45632.55643518519</v>
      </c>
      <c r="C521" s="1" t="n">
        <v>46129</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33948-2025</t>
        </is>
      </c>
      <c r="B522" s="1" t="n">
        <v>45842.65945601852</v>
      </c>
      <c r="C522" s="1" t="n">
        <v>46129</v>
      </c>
      <c r="D522" t="inlineStr">
        <is>
          <t>SKÅNE LÄN</t>
        </is>
      </c>
      <c r="E522" t="inlineStr">
        <is>
          <t>HÄSSLEHOLM</t>
        </is>
      </c>
      <c r="G522" t="n">
        <v>8.5</v>
      </c>
      <c r="H522" t="n">
        <v>0</v>
      </c>
      <c r="I522" t="n">
        <v>0</v>
      </c>
      <c r="J522" t="n">
        <v>0</v>
      </c>
      <c r="K522" t="n">
        <v>0</v>
      </c>
      <c r="L522" t="n">
        <v>0</v>
      </c>
      <c r="M522" t="n">
        <v>0</v>
      </c>
      <c r="N522" t="n">
        <v>0</v>
      </c>
      <c r="O522" t="n">
        <v>0</v>
      </c>
      <c r="P522" t="n">
        <v>0</v>
      </c>
      <c r="Q522" t="n">
        <v>0</v>
      </c>
      <c r="R522" s="2" t="inlineStr"/>
    </row>
    <row r="523" ht="15" customHeight="1">
      <c r="A523" t="inlineStr">
        <is>
          <t>A 22678-2025</t>
        </is>
      </c>
      <c r="B523" s="1" t="n">
        <v>45789.49725694444</v>
      </c>
      <c r="C523" s="1" t="n">
        <v>46129</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54671-2022</t>
        </is>
      </c>
      <c r="B524" s="1" t="n">
        <v>44883</v>
      </c>
      <c r="C524" s="1" t="n">
        <v>46129</v>
      </c>
      <c r="D524" t="inlineStr">
        <is>
          <t>SKÅNE LÄN</t>
        </is>
      </c>
      <c r="E524" t="inlineStr">
        <is>
          <t>HÄSSLEHOLM</t>
        </is>
      </c>
      <c r="G524" t="n">
        <v>1.4</v>
      </c>
      <c r="H524" t="n">
        <v>0</v>
      </c>
      <c r="I524" t="n">
        <v>0</v>
      </c>
      <c r="J524" t="n">
        <v>0</v>
      </c>
      <c r="K524" t="n">
        <v>0</v>
      </c>
      <c r="L524" t="n">
        <v>0</v>
      </c>
      <c r="M524" t="n">
        <v>0</v>
      </c>
      <c r="N524" t="n">
        <v>0</v>
      </c>
      <c r="O524" t="n">
        <v>0</v>
      </c>
      <c r="P524" t="n">
        <v>0</v>
      </c>
      <c r="Q524" t="n">
        <v>0</v>
      </c>
      <c r="R524" s="2" t="inlineStr"/>
    </row>
    <row r="525" ht="15" customHeight="1">
      <c r="A525" t="inlineStr">
        <is>
          <t>A 32958-2023</t>
        </is>
      </c>
      <c r="B525" s="1" t="n">
        <v>45125.52142361111</v>
      </c>
      <c r="C525" s="1" t="n">
        <v>46129</v>
      </c>
      <c r="D525" t="inlineStr">
        <is>
          <t>SKÅNE LÄN</t>
        </is>
      </c>
      <c r="E525" t="inlineStr">
        <is>
          <t>HÄSSLEHOLM</t>
        </is>
      </c>
      <c r="G525" t="n">
        <v>7.9</v>
      </c>
      <c r="H525" t="n">
        <v>0</v>
      </c>
      <c r="I525" t="n">
        <v>0</v>
      </c>
      <c r="J525" t="n">
        <v>0</v>
      </c>
      <c r="K525" t="n">
        <v>0</v>
      </c>
      <c r="L525" t="n">
        <v>0</v>
      </c>
      <c r="M525" t="n">
        <v>0</v>
      </c>
      <c r="N525" t="n">
        <v>0</v>
      </c>
      <c r="O525" t="n">
        <v>0</v>
      </c>
      <c r="P525" t="n">
        <v>0</v>
      </c>
      <c r="Q525" t="n">
        <v>0</v>
      </c>
      <c r="R525" s="2" t="inlineStr"/>
    </row>
    <row r="526" ht="15" customHeight="1">
      <c r="A526" t="inlineStr">
        <is>
          <t>A 40739-2024</t>
        </is>
      </c>
      <c r="B526" s="1" t="n">
        <v>45558</v>
      </c>
      <c r="C526" s="1" t="n">
        <v>46129</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34174-2025</t>
        </is>
      </c>
      <c r="B527" s="1" t="n">
        <v>45844</v>
      </c>
      <c r="C527" s="1" t="n">
        <v>46129</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34177-2025</t>
        </is>
      </c>
      <c r="B528" s="1" t="n">
        <v>45844</v>
      </c>
      <c r="C528" s="1" t="n">
        <v>46129</v>
      </c>
      <c r="D528" t="inlineStr">
        <is>
          <t>SKÅNE LÄN</t>
        </is>
      </c>
      <c r="E528" t="inlineStr">
        <is>
          <t>HÄSSLEHOLM</t>
        </is>
      </c>
      <c r="G528" t="n">
        <v>3</v>
      </c>
      <c r="H528" t="n">
        <v>0</v>
      </c>
      <c r="I528" t="n">
        <v>0</v>
      </c>
      <c r="J528" t="n">
        <v>0</v>
      </c>
      <c r="K528" t="n">
        <v>0</v>
      </c>
      <c r="L528" t="n">
        <v>0</v>
      </c>
      <c r="M528" t="n">
        <v>0</v>
      </c>
      <c r="N528" t="n">
        <v>0</v>
      </c>
      <c r="O528" t="n">
        <v>0</v>
      </c>
      <c r="P528" t="n">
        <v>0</v>
      </c>
      <c r="Q528" t="n">
        <v>0</v>
      </c>
      <c r="R528" s="2" t="inlineStr"/>
    </row>
    <row r="529" ht="15" customHeight="1">
      <c r="A529" t="inlineStr">
        <is>
          <t>A 33950-2025</t>
        </is>
      </c>
      <c r="B529" s="1" t="n">
        <v>45842</v>
      </c>
      <c r="C529" s="1" t="n">
        <v>46129</v>
      </c>
      <c r="D529" t="inlineStr">
        <is>
          <t>SKÅNE LÄN</t>
        </is>
      </c>
      <c r="E529" t="inlineStr">
        <is>
          <t>HÄSSLEHOLM</t>
        </is>
      </c>
      <c r="G529" t="n">
        <v>5.7</v>
      </c>
      <c r="H529" t="n">
        <v>0</v>
      </c>
      <c r="I529" t="n">
        <v>0</v>
      </c>
      <c r="J529" t="n">
        <v>0</v>
      </c>
      <c r="K529" t="n">
        <v>0</v>
      </c>
      <c r="L529" t="n">
        <v>0</v>
      </c>
      <c r="M529" t="n">
        <v>0</v>
      </c>
      <c r="N529" t="n">
        <v>0</v>
      </c>
      <c r="O529" t="n">
        <v>0</v>
      </c>
      <c r="P529" t="n">
        <v>0</v>
      </c>
      <c r="Q529" t="n">
        <v>0</v>
      </c>
      <c r="R529" s="2" t="inlineStr"/>
    </row>
    <row r="530" ht="15" customHeight="1">
      <c r="A530" t="inlineStr">
        <is>
          <t>A 13932-2023</t>
        </is>
      </c>
      <c r="B530" s="1" t="n">
        <v>45008.43935185186</v>
      </c>
      <c r="C530" s="1" t="n">
        <v>46129</v>
      </c>
      <c r="D530" t="inlineStr">
        <is>
          <t>SKÅNE LÄN</t>
        </is>
      </c>
      <c r="E530" t="inlineStr">
        <is>
          <t>HÄSSLEHOLM</t>
        </is>
      </c>
      <c r="G530" t="n">
        <v>3.3</v>
      </c>
      <c r="H530" t="n">
        <v>0</v>
      </c>
      <c r="I530" t="n">
        <v>0</v>
      </c>
      <c r="J530" t="n">
        <v>0</v>
      </c>
      <c r="K530" t="n">
        <v>0</v>
      </c>
      <c r="L530" t="n">
        <v>0</v>
      </c>
      <c r="M530" t="n">
        <v>0</v>
      </c>
      <c r="N530" t="n">
        <v>0</v>
      </c>
      <c r="O530" t="n">
        <v>0</v>
      </c>
      <c r="P530" t="n">
        <v>0</v>
      </c>
      <c r="Q530" t="n">
        <v>0</v>
      </c>
      <c r="R530" s="2" t="inlineStr"/>
    </row>
    <row r="531" ht="15" customHeight="1">
      <c r="A531" t="inlineStr">
        <is>
          <t>A 35889-2023</t>
        </is>
      </c>
      <c r="B531" s="1" t="n">
        <v>45148</v>
      </c>
      <c r="C531" s="1" t="n">
        <v>46129</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35894-2023</t>
        </is>
      </c>
      <c r="B532" s="1" t="n">
        <v>45148</v>
      </c>
      <c r="C532" s="1" t="n">
        <v>46129</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48722-2025</t>
        </is>
      </c>
      <c r="B533" s="1" t="n">
        <v>45935</v>
      </c>
      <c r="C533" s="1" t="n">
        <v>46129</v>
      </c>
      <c r="D533" t="inlineStr">
        <is>
          <t>SKÅNE LÄN</t>
        </is>
      </c>
      <c r="E533" t="inlineStr">
        <is>
          <t>HÄSSLEHOLM</t>
        </is>
      </c>
      <c r="G533" t="n">
        <v>4.3</v>
      </c>
      <c r="H533" t="n">
        <v>0</v>
      </c>
      <c r="I533" t="n">
        <v>0</v>
      </c>
      <c r="J533" t="n">
        <v>0</v>
      </c>
      <c r="K533" t="n">
        <v>0</v>
      </c>
      <c r="L533" t="n">
        <v>0</v>
      </c>
      <c r="M533" t="n">
        <v>0</v>
      </c>
      <c r="N533" t="n">
        <v>0</v>
      </c>
      <c r="O533" t="n">
        <v>0</v>
      </c>
      <c r="P533" t="n">
        <v>0</v>
      </c>
      <c r="Q533" t="n">
        <v>0</v>
      </c>
      <c r="R533" s="2" t="inlineStr"/>
    </row>
    <row r="534" ht="15" customHeight="1">
      <c r="A534" t="inlineStr">
        <is>
          <t>A 45299-2024</t>
        </is>
      </c>
      <c r="B534" s="1" t="n">
        <v>45576.40599537037</v>
      </c>
      <c r="C534" s="1" t="n">
        <v>46129</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25176-2024</t>
        </is>
      </c>
      <c r="B535" s="1" t="n">
        <v>45462.54582175926</v>
      </c>
      <c r="C535" s="1" t="n">
        <v>46129</v>
      </c>
      <c r="D535" t="inlineStr">
        <is>
          <t>SKÅNE LÄN</t>
        </is>
      </c>
      <c r="E535" t="inlineStr">
        <is>
          <t>HÄSSLEHOLM</t>
        </is>
      </c>
      <c r="G535" t="n">
        <v>3.8</v>
      </c>
      <c r="H535" t="n">
        <v>0</v>
      </c>
      <c r="I535" t="n">
        <v>0</v>
      </c>
      <c r="J535" t="n">
        <v>0</v>
      </c>
      <c r="K535" t="n">
        <v>0</v>
      </c>
      <c r="L535" t="n">
        <v>0</v>
      </c>
      <c r="M535" t="n">
        <v>0</v>
      </c>
      <c r="N535" t="n">
        <v>0</v>
      </c>
      <c r="O535" t="n">
        <v>0</v>
      </c>
      <c r="P535" t="n">
        <v>0</v>
      </c>
      <c r="Q535" t="n">
        <v>0</v>
      </c>
      <c r="R535" s="2" t="inlineStr"/>
    </row>
    <row r="536" ht="15" customHeight="1">
      <c r="A536" t="inlineStr">
        <is>
          <t>A 44741-2023</t>
        </is>
      </c>
      <c r="B536" s="1" t="n">
        <v>45190.38804398148</v>
      </c>
      <c r="C536" s="1" t="n">
        <v>46129</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7476-2025</t>
        </is>
      </c>
      <c r="B537" s="1" t="n">
        <v>45702</v>
      </c>
      <c r="C537" s="1" t="n">
        <v>46129</v>
      </c>
      <c r="D537" t="inlineStr">
        <is>
          <t>SKÅNE LÄN</t>
        </is>
      </c>
      <c r="E537" t="inlineStr">
        <is>
          <t>HÄSSLEHOLM</t>
        </is>
      </c>
      <c r="F537" t="inlineStr">
        <is>
          <t>Övriga Aktiebolag</t>
        </is>
      </c>
      <c r="G537" t="n">
        <v>2.1</v>
      </c>
      <c r="H537" t="n">
        <v>0</v>
      </c>
      <c r="I537" t="n">
        <v>0</v>
      </c>
      <c r="J537" t="n">
        <v>0</v>
      </c>
      <c r="K537" t="n">
        <v>0</v>
      </c>
      <c r="L537" t="n">
        <v>0</v>
      </c>
      <c r="M537" t="n">
        <v>0</v>
      </c>
      <c r="N537" t="n">
        <v>0</v>
      </c>
      <c r="O537" t="n">
        <v>0</v>
      </c>
      <c r="P537" t="n">
        <v>0</v>
      </c>
      <c r="Q537" t="n">
        <v>0</v>
      </c>
      <c r="R537" s="2" t="inlineStr"/>
    </row>
    <row r="538" ht="15" customHeight="1">
      <c r="A538" t="inlineStr">
        <is>
          <t>A 7513-2025</t>
        </is>
      </c>
      <c r="B538" s="1" t="n">
        <v>45702</v>
      </c>
      <c r="C538" s="1" t="n">
        <v>46129</v>
      </c>
      <c r="D538" t="inlineStr">
        <is>
          <t>SKÅNE LÄN</t>
        </is>
      </c>
      <c r="E538" t="inlineStr">
        <is>
          <t>HÄSSLEHOLM</t>
        </is>
      </c>
      <c r="F538" t="inlineStr">
        <is>
          <t>Övriga Aktiebolag</t>
        </is>
      </c>
      <c r="G538" t="n">
        <v>2.4</v>
      </c>
      <c r="H538" t="n">
        <v>0</v>
      </c>
      <c r="I538" t="n">
        <v>0</v>
      </c>
      <c r="J538" t="n">
        <v>0</v>
      </c>
      <c r="K538" t="n">
        <v>0</v>
      </c>
      <c r="L538" t="n">
        <v>0</v>
      </c>
      <c r="M538" t="n">
        <v>0</v>
      </c>
      <c r="N538" t="n">
        <v>0</v>
      </c>
      <c r="O538" t="n">
        <v>0</v>
      </c>
      <c r="P538" t="n">
        <v>0</v>
      </c>
      <c r="Q538" t="n">
        <v>0</v>
      </c>
      <c r="R538" s="2" t="inlineStr"/>
    </row>
    <row r="539" ht="15" customHeight="1">
      <c r="A539" t="inlineStr">
        <is>
          <t>A 31161-2024</t>
        </is>
      </c>
      <c r="B539" s="1" t="n">
        <v>45503</v>
      </c>
      <c r="C539" s="1" t="n">
        <v>46129</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34869-2025</t>
        </is>
      </c>
      <c r="B540" s="1" t="n">
        <v>45849</v>
      </c>
      <c r="C540" s="1" t="n">
        <v>46129</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22157-2024</t>
        </is>
      </c>
      <c r="B541" s="1" t="n">
        <v>45445.85290509259</v>
      </c>
      <c r="C541" s="1" t="n">
        <v>46129</v>
      </c>
      <c r="D541" t="inlineStr">
        <is>
          <t>SKÅNE LÄN</t>
        </is>
      </c>
      <c r="E541" t="inlineStr">
        <is>
          <t>HÄSSLEHOLM</t>
        </is>
      </c>
      <c r="G541" t="n">
        <v>1</v>
      </c>
      <c r="H541" t="n">
        <v>0</v>
      </c>
      <c r="I541" t="n">
        <v>0</v>
      </c>
      <c r="J541" t="n">
        <v>0</v>
      </c>
      <c r="K541" t="n">
        <v>0</v>
      </c>
      <c r="L541" t="n">
        <v>0</v>
      </c>
      <c r="M541" t="n">
        <v>0</v>
      </c>
      <c r="N541" t="n">
        <v>0</v>
      </c>
      <c r="O541" t="n">
        <v>0</v>
      </c>
      <c r="P541" t="n">
        <v>0</v>
      </c>
      <c r="Q541" t="n">
        <v>0</v>
      </c>
      <c r="R541" s="2" t="inlineStr"/>
    </row>
    <row r="542" ht="15" customHeight="1">
      <c r="A542" t="inlineStr">
        <is>
          <t>A 13316-2023</t>
        </is>
      </c>
      <c r="B542" s="1" t="n">
        <v>45005.39013888889</v>
      </c>
      <c r="C542" s="1" t="n">
        <v>46129</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13358-2023</t>
        </is>
      </c>
      <c r="B543" s="1" t="n">
        <v>45005</v>
      </c>
      <c r="C543" s="1" t="n">
        <v>46129</v>
      </c>
      <c r="D543" t="inlineStr">
        <is>
          <t>SKÅNE LÄN</t>
        </is>
      </c>
      <c r="E543" t="inlineStr">
        <is>
          <t>HÄSSLEHOLM</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3245-2022</t>
        </is>
      </c>
      <c r="B544" s="1" t="n">
        <v>44583.39136574074</v>
      </c>
      <c r="C544" s="1" t="n">
        <v>46129</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49135-2025</t>
        </is>
      </c>
      <c r="B545" s="1" t="n">
        <v>45938.00990740741</v>
      </c>
      <c r="C545" s="1" t="n">
        <v>46129</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49136-2025</t>
        </is>
      </c>
      <c r="B546" s="1" t="n">
        <v>45938.01277777777</v>
      </c>
      <c r="C546" s="1" t="n">
        <v>46129</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49137-2025</t>
        </is>
      </c>
      <c r="B547" s="1" t="n">
        <v>45938.05672453704</v>
      </c>
      <c r="C547" s="1" t="n">
        <v>46129</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38228-2021</t>
        </is>
      </c>
      <c r="B548" s="1" t="n">
        <v>44405</v>
      </c>
      <c r="C548" s="1" t="n">
        <v>46129</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3248-2022</t>
        </is>
      </c>
      <c r="B549" s="1" t="n">
        <v>44583</v>
      </c>
      <c r="C549" s="1" t="n">
        <v>46129</v>
      </c>
      <c r="D549" t="inlineStr">
        <is>
          <t>SKÅNE LÄN</t>
        </is>
      </c>
      <c r="E549" t="inlineStr">
        <is>
          <t>HÄSSLEHOLM</t>
        </is>
      </c>
      <c r="G549" t="n">
        <v>3</v>
      </c>
      <c r="H549" t="n">
        <v>0</v>
      </c>
      <c r="I549" t="n">
        <v>0</v>
      </c>
      <c r="J549" t="n">
        <v>0</v>
      </c>
      <c r="K549" t="n">
        <v>0</v>
      </c>
      <c r="L549" t="n">
        <v>0</v>
      </c>
      <c r="M549" t="n">
        <v>0</v>
      </c>
      <c r="N549" t="n">
        <v>0</v>
      </c>
      <c r="O549" t="n">
        <v>0</v>
      </c>
      <c r="P549" t="n">
        <v>0</v>
      </c>
      <c r="Q549" t="n">
        <v>0</v>
      </c>
      <c r="R549" s="2" t="inlineStr"/>
    </row>
    <row r="550" ht="15" customHeight="1">
      <c r="A550" t="inlineStr">
        <is>
          <t>A 20970-2025</t>
        </is>
      </c>
      <c r="B550" s="1" t="n">
        <v>45777.45417824074</v>
      </c>
      <c r="C550" s="1" t="n">
        <v>46129</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25538-2024</t>
        </is>
      </c>
      <c r="B551" s="1" t="n">
        <v>45463</v>
      </c>
      <c r="C551" s="1" t="n">
        <v>46129</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35259-2025</t>
        </is>
      </c>
      <c r="B552" s="1" t="n">
        <v>45853.76912037037</v>
      </c>
      <c r="C552" s="1" t="n">
        <v>46129</v>
      </c>
      <c r="D552" t="inlineStr">
        <is>
          <t>SKÅNE LÄN</t>
        </is>
      </c>
      <c r="E552" t="inlineStr">
        <is>
          <t>HÄSSLEHOLM</t>
        </is>
      </c>
      <c r="G552" t="n">
        <v>1.9</v>
      </c>
      <c r="H552" t="n">
        <v>0</v>
      </c>
      <c r="I552" t="n">
        <v>0</v>
      </c>
      <c r="J552" t="n">
        <v>0</v>
      </c>
      <c r="K552" t="n">
        <v>0</v>
      </c>
      <c r="L552" t="n">
        <v>0</v>
      </c>
      <c r="M552" t="n">
        <v>0</v>
      </c>
      <c r="N552" t="n">
        <v>0</v>
      </c>
      <c r="O552" t="n">
        <v>0</v>
      </c>
      <c r="P552" t="n">
        <v>0</v>
      </c>
      <c r="Q552" t="n">
        <v>0</v>
      </c>
      <c r="R552" s="2" t="inlineStr"/>
    </row>
    <row r="553" ht="15" customHeight="1">
      <c r="A553" t="inlineStr">
        <is>
          <t>A 36733-2023</t>
        </is>
      </c>
      <c r="B553" s="1" t="n">
        <v>45153.69989583334</v>
      </c>
      <c r="C553" s="1" t="n">
        <v>46129</v>
      </c>
      <c r="D553" t="inlineStr">
        <is>
          <t>SKÅNE LÄN</t>
        </is>
      </c>
      <c r="E553" t="inlineStr">
        <is>
          <t>HÄSSLEHOLM</t>
        </is>
      </c>
      <c r="G553" t="n">
        <v>4.8</v>
      </c>
      <c r="H553" t="n">
        <v>0</v>
      </c>
      <c r="I553" t="n">
        <v>0</v>
      </c>
      <c r="J553" t="n">
        <v>0</v>
      </c>
      <c r="K553" t="n">
        <v>0</v>
      </c>
      <c r="L553" t="n">
        <v>0</v>
      </c>
      <c r="M553" t="n">
        <v>0</v>
      </c>
      <c r="N553" t="n">
        <v>0</v>
      </c>
      <c r="O553" t="n">
        <v>0</v>
      </c>
      <c r="P553" t="n">
        <v>0</v>
      </c>
      <c r="Q553" t="n">
        <v>0</v>
      </c>
      <c r="R553" s="2" t="inlineStr"/>
    </row>
    <row r="554" ht="15" customHeight="1">
      <c r="A554" t="inlineStr">
        <is>
          <t>A 17413-2025</t>
        </is>
      </c>
      <c r="B554" s="1" t="n">
        <v>45757.37480324074</v>
      </c>
      <c r="C554" s="1" t="n">
        <v>46129</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61322-2025</t>
        </is>
      </c>
      <c r="B555" s="1" t="n">
        <v>46000</v>
      </c>
      <c r="C555" s="1" t="n">
        <v>46129</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60509-2023</t>
        </is>
      </c>
      <c r="B556" s="1" t="n">
        <v>45259</v>
      </c>
      <c r="C556" s="1" t="n">
        <v>46129</v>
      </c>
      <c r="D556" t="inlineStr">
        <is>
          <t>SKÅNE LÄN</t>
        </is>
      </c>
      <c r="E556" t="inlineStr">
        <is>
          <t>HÄSSLEHOLM</t>
        </is>
      </c>
      <c r="F556" t="inlineStr">
        <is>
          <t>Övriga Aktiebolag</t>
        </is>
      </c>
      <c r="G556" t="n">
        <v>0.5</v>
      </c>
      <c r="H556" t="n">
        <v>0</v>
      </c>
      <c r="I556" t="n">
        <v>0</v>
      </c>
      <c r="J556" t="n">
        <v>0</v>
      </c>
      <c r="K556" t="n">
        <v>0</v>
      </c>
      <c r="L556" t="n">
        <v>0</v>
      </c>
      <c r="M556" t="n">
        <v>0</v>
      </c>
      <c r="N556" t="n">
        <v>0</v>
      </c>
      <c r="O556" t="n">
        <v>0</v>
      </c>
      <c r="P556" t="n">
        <v>0</v>
      </c>
      <c r="Q556" t="n">
        <v>0</v>
      </c>
      <c r="R556" s="2" t="inlineStr"/>
    </row>
    <row r="557" ht="15" customHeight="1">
      <c r="A557" t="inlineStr">
        <is>
          <t>A 1562-2023</t>
        </is>
      </c>
      <c r="B557" s="1" t="n">
        <v>44937.60450231482</v>
      </c>
      <c r="C557" s="1" t="n">
        <v>46129</v>
      </c>
      <c r="D557" t="inlineStr">
        <is>
          <t>SKÅNE LÄN</t>
        </is>
      </c>
      <c r="E557" t="inlineStr">
        <is>
          <t>HÄSSLEHOLM</t>
        </is>
      </c>
      <c r="G557" t="n">
        <v>2.7</v>
      </c>
      <c r="H557" t="n">
        <v>0</v>
      </c>
      <c r="I557" t="n">
        <v>0</v>
      </c>
      <c r="J557" t="n">
        <v>0</v>
      </c>
      <c r="K557" t="n">
        <v>0</v>
      </c>
      <c r="L557" t="n">
        <v>0</v>
      </c>
      <c r="M557" t="n">
        <v>0</v>
      </c>
      <c r="N557" t="n">
        <v>0</v>
      </c>
      <c r="O557" t="n">
        <v>0</v>
      </c>
      <c r="P557" t="n">
        <v>0</v>
      </c>
      <c r="Q557" t="n">
        <v>0</v>
      </c>
      <c r="R557" s="2" t="inlineStr"/>
    </row>
    <row r="558" ht="15" customHeight="1">
      <c r="A558" t="inlineStr">
        <is>
          <t>A 45220-2023</t>
        </is>
      </c>
      <c r="B558" s="1" t="n">
        <v>45191</v>
      </c>
      <c r="C558" s="1" t="n">
        <v>46129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32967-2023</t>
        </is>
      </c>
      <c r="B559" s="1" t="n">
        <v>45125</v>
      </c>
      <c r="C559" s="1" t="n">
        <v>46129</v>
      </c>
      <c r="D559" t="inlineStr">
        <is>
          <t>SKÅNE LÄN</t>
        </is>
      </c>
      <c r="E559" t="inlineStr">
        <is>
          <t>HÄSSLEHOLM</t>
        </is>
      </c>
      <c r="G559" t="n">
        <v>1.4</v>
      </c>
      <c r="H559" t="n">
        <v>0</v>
      </c>
      <c r="I559" t="n">
        <v>0</v>
      </c>
      <c r="J559" t="n">
        <v>0</v>
      </c>
      <c r="K559" t="n">
        <v>0</v>
      </c>
      <c r="L559" t="n">
        <v>0</v>
      </c>
      <c r="M559" t="n">
        <v>0</v>
      </c>
      <c r="N559" t="n">
        <v>0</v>
      </c>
      <c r="O559" t="n">
        <v>0</v>
      </c>
      <c r="P559" t="n">
        <v>0</v>
      </c>
      <c r="Q559" t="n">
        <v>0</v>
      </c>
      <c r="R559" s="2" t="inlineStr"/>
    </row>
    <row r="560" ht="15" customHeight="1">
      <c r="A560" t="inlineStr">
        <is>
          <t>A 32968-2023</t>
        </is>
      </c>
      <c r="B560" s="1" t="n">
        <v>45125</v>
      </c>
      <c r="C560" s="1" t="n">
        <v>46129</v>
      </c>
      <c r="D560" t="inlineStr">
        <is>
          <t>SKÅNE LÄN</t>
        </is>
      </c>
      <c r="E560" t="inlineStr">
        <is>
          <t>HÄSSLEHOLM</t>
        </is>
      </c>
      <c r="G560" t="n">
        <v>1.7</v>
      </c>
      <c r="H560" t="n">
        <v>0</v>
      </c>
      <c r="I560" t="n">
        <v>0</v>
      </c>
      <c r="J560" t="n">
        <v>0</v>
      </c>
      <c r="K560" t="n">
        <v>0</v>
      </c>
      <c r="L560" t="n">
        <v>0</v>
      </c>
      <c r="M560" t="n">
        <v>0</v>
      </c>
      <c r="N560" t="n">
        <v>0</v>
      </c>
      <c r="O560" t="n">
        <v>0</v>
      </c>
      <c r="P560" t="n">
        <v>0</v>
      </c>
      <c r="Q560" t="n">
        <v>0</v>
      </c>
      <c r="R560" s="2" t="inlineStr"/>
    </row>
    <row r="561" ht="15" customHeight="1">
      <c r="A561" t="inlineStr">
        <is>
          <t>A 10277-2023</t>
        </is>
      </c>
      <c r="B561" s="1" t="n">
        <v>44986</v>
      </c>
      <c r="C561" s="1" t="n">
        <v>46129</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10290-2023</t>
        </is>
      </c>
      <c r="B562" s="1" t="n">
        <v>44986</v>
      </c>
      <c r="C562" s="1" t="n">
        <v>46129</v>
      </c>
      <c r="D562" t="inlineStr">
        <is>
          <t>SKÅNE LÄN</t>
        </is>
      </c>
      <c r="E562" t="inlineStr">
        <is>
          <t>HÄSSLEHOLM</t>
        </is>
      </c>
      <c r="G562" t="n">
        <v>1</v>
      </c>
      <c r="H562" t="n">
        <v>0</v>
      </c>
      <c r="I562" t="n">
        <v>0</v>
      </c>
      <c r="J562" t="n">
        <v>0</v>
      </c>
      <c r="K562" t="n">
        <v>0</v>
      </c>
      <c r="L562" t="n">
        <v>0</v>
      </c>
      <c r="M562" t="n">
        <v>0</v>
      </c>
      <c r="N562" t="n">
        <v>0</v>
      </c>
      <c r="O562" t="n">
        <v>0</v>
      </c>
      <c r="P562" t="n">
        <v>0</v>
      </c>
      <c r="Q562" t="n">
        <v>0</v>
      </c>
      <c r="R562" s="2" t="inlineStr"/>
    </row>
    <row r="563" ht="15" customHeight="1">
      <c r="A563" t="inlineStr">
        <is>
          <t>A 49845-2025</t>
        </is>
      </c>
      <c r="B563" s="1" t="n">
        <v>45940.48015046296</v>
      </c>
      <c r="C563" s="1" t="n">
        <v>46129</v>
      </c>
      <c r="D563" t="inlineStr">
        <is>
          <t>SKÅNE LÄN</t>
        </is>
      </c>
      <c r="E563" t="inlineStr">
        <is>
          <t>HÄSSLEHOLM</t>
        </is>
      </c>
      <c r="G563" t="n">
        <v>1.1</v>
      </c>
      <c r="H563" t="n">
        <v>0</v>
      </c>
      <c r="I563" t="n">
        <v>0</v>
      </c>
      <c r="J563" t="n">
        <v>0</v>
      </c>
      <c r="K563" t="n">
        <v>0</v>
      </c>
      <c r="L563" t="n">
        <v>0</v>
      </c>
      <c r="M563" t="n">
        <v>0</v>
      </c>
      <c r="N563" t="n">
        <v>0</v>
      </c>
      <c r="O563" t="n">
        <v>0</v>
      </c>
      <c r="P563" t="n">
        <v>0</v>
      </c>
      <c r="Q563" t="n">
        <v>0</v>
      </c>
      <c r="R563" s="2" t="inlineStr"/>
    </row>
    <row r="564" ht="15" customHeight="1">
      <c r="A564" t="inlineStr">
        <is>
          <t>A 35237-2023</t>
        </is>
      </c>
      <c r="B564" s="1" t="n">
        <v>45145.74532407407</v>
      </c>
      <c r="C564" s="1" t="n">
        <v>46129</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1886-2025</t>
        </is>
      </c>
      <c r="B565" s="1" t="n">
        <v>45671</v>
      </c>
      <c r="C565" s="1" t="n">
        <v>46129</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15536-2025</t>
        </is>
      </c>
      <c r="B566" s="1" t="n">
        <v>45747</v>
      </c>
      <c r="C566" s="1" t="n">
        <v>46129</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24904-2025</t>
        </is>
      </c>
      <c r="B567" s="1" t="n">
        <v>45799</v>
      </c>
      <c r="C567" s="1" t="n">
        <v>46129</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36259-2025</t>
        </is>
      </c>
      <c r="B568" s="1" t="n">
        <v>45867.59799768519</v>
      </c>
      <c r="C568" s="1" t="n">
        <v>46129</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36130-2025</t>
        </is>
      </c>
      <c r="B569" s="1" t="n">
        <v>45866.62273148148</v>
      </c>
      <c r="C569" s="1" t="n">
        <v>46129</v>
      </c>
      <c r="D569" t="inlineStr">
        <is>
          <t>SKÅNE LÄN</t>
        </is>
      </c>
      <c r="E569" t="inlineStr">
        <is>
          <t>HÄSSLEHOLM</t>
        </is>
      </c>
      <c r="G569" t="n">
        <v>4.7</v>
      </c>
      <c r="H569" t="n">
        <v>0</v>
      </c>
      <c r="I569" t="n">
        <v>0</v>
      </c>
      <c r="J569" t="n">
        <v>0</v>
      </c>
      <c r="K569" t="n">
        <v>0</v>
      </c>
      <c r="L569" t="n">
        <v>0</v>
      </c>
      <c r="M569" t="n">
        <v>0</v>
      </c>
      <c r="N569" t="n">
        <v>0</v>
      </c>
      <c r="O569" t="n">
        <v>0</v>
      </c>
      <c r="P569" t="n">
        <v>0</v>
      </c>
      <c r="Q569" t="n">
        <v>0</v>
      </c>
      <c r="R569" s="2" t="inlineStr"/>
    </row>
    <row r="570" ht="15" customHeight="1">
      <c r="A570" t="inlineStr">
        <is>
          <t>A 49824-2024</t>
        </is>
      </c>
      <c r="B570" s="1" t="n">
        <v>45597</v>
      </c>
      <c r="C570" s="1" t="n">
        <v>46129</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50676-2025</t>
        </is>
      </c>
      <c r="B571" s="1" t="n">
        <v>45945</v>
      </c>
      <c r="C571" s="1" t="n">
        <v>46129</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50678-2025</t>
        </is>
      </c>
      <c r="B572" s="1" t="n">
        <v>45945</v>
      </c>
      <c r="C572" s="1" t="n">
        <v>46129</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50677-2025</t>
        </is>
      </c>
      <c r="B573" s="1" t="n">
        <v>45945</v>
      </c>
      <c r="C573" s="1" t="n">
        <v>46129</v>
      </c>
      <c r="D573" t="inlineStr">
        <is>
          <t>SKÅNE LÄN</t>
        </is>
      </c>
      <c r="E573" t="inlineStr">
        <is>
          <t>HÄSSLEHOLM</t>
        </is>
      </c>
      <c r="G573" t="n">
        <v>2.3</v>
      </c>
      <c r="H573" t="n">
        <v>0</v>
      </c>
      <c r="I573" t="n">
        <v>0</v>
      </c>
      <c r="J573" t="n">
        <v>0</v>
      </c>
      <c r="K573" t="n">
        <v>0</v>
      </c>
      <c r="L573" t="n">
        <v>0</v>
      </c>
      <c r="M573" t="n">
        <v>0</v>
      </c>
      <c r="N573" t="n">
        <v>0</v>
      </c>
      <c r="O573" t="n">
        <v>0</v>
      </c>
      <c r="P573" t="n">
        <v>0</v>
      </c>
      <c r="Q573" t="n">
        <v>0</v>
      </c>
      <c r="R573" s="2" t="inlineStr"/>
    </row>
    <row r="574" ht="15" customHeight="1">
      <c r="A574" t="inlineStr">
        <is>
          <t>A 19666-2025</t>
        </is>
      </c>
      <c r="B574" s="1" t="n">
        <v>45770.69326388889</v>
      </c>
      <c r="C574" s="1" t="n">
        <v>46129</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57967-2023</t>
        </is>
      </c>
      <c r="B575" s="1" t="n">
        <v>45247.57984953704</v>
      </c>
      <c r="C575" s="1" t="n">
        <v>46129</v>
      </c>
      <c r="D575" t="inlineStr">
        <is>
          <t>SKÅNE LÄN</t>
        </is>
      </c>
      <c r="E575" t="inlineStr">
        <is>
          <t>HÄSSLEHOLM</t>
        </is>
      </c>
      <c r="G575" t="n">
        <v>8.6</v>
      </c>
      <c r="H575" t="n">
        <v>0</v>
      </c>
      <c r="I575" t="n">
        <v>0</v>
      </c>
      <c r="J575" t="n">
        <v>0</v>
      </c>
      <c r="K575" t="n">
        <v>0</v>
      </c>
      <c r="L575" t="n">
        <v>0</v>
      </c>
      <c r="M575" t="n">
        <v>0</v>
      </c>
      <c r="N575" t="n">
        <v>0</v>
      </c>
      <c r="O575" t="n">
        <v>0</v>
      </c>
      <c r="P575" t="n">
        <v>0</v>
      </c>
      <c r="Q575" t="n">
        <v>0</v>
      </c>
      <c r="R575" s="2" t="inlineStr"/>
    </row>
    <row r="576" ht="15" customHeight="1">
      <c r="A576" t="inlineStr">
        <is>
          <t>A 36359-2025</t>
        </is>
      </c>
      <c r="B576" s="1" t="n">
        <v>45867</v>
      </c>
      <c r="C576" s="1" t="n">
        <v>46129</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36361-2025</t>
        </is>
      </c>
      <c r="B577" s="1" t="n">
        <v>45867</v>
      </c>
      <c r="C577" s="1" t="n">
        <v>46129</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61474-2025</t>
        </is>
      </c>
      <c r="B578" s="1" t="n">
        <v>46001.61886574074</v>
      </c>
      <c r="C578" s="1" t="n">
        <v>46129</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36085-2025</t>
        </is>
      </c>
      <c r="B579" s="1" t="n">
        <v>45866.46190972222</v>
      </c>
      <c r="C579" s="1" t="n">
        <v>46129</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62041-2022</t>
        </is>
      </c>
      <c r="B580" s="1" t="n">
        <v>44918.55743055556</v>
      </c>
      <c r="C580" s="1" t="n">
        <v>46129</v>
      </c>
      <c r="D580" t="inlineStr">
        <is>
          <t>SKÅNE LÄN</t>
        </is>
      </c>
      <c r="E580" t="inlineStr">
        <is>
          <t>HÄSSLEHOLM</t>
        </is>
      </c>
      <c r="G580" t="n">
        <v>2.8</v>
      </c>
      <c r="H580" t="n">
        <v>0</v>
      </c>
      <c r="I580" t="n">
        <v>0</v>
      </c>
      <c r="J580" t="n">
        <v>0</v>
      </c>
      <c r="K580" t="n">
        <v>0</v>
      </c>
      <c r="L580" t="n">
        <v>0</v>
      </c>
      <c r="M580" t="n">
        <v>0</v>
      </c>
      <c r="N580" t="n">
        <v>0</v>
      </c>
      <c r="O580" t="n">
        <v>0</v>
      </c>
      <c r="P580" t="n">
        <v>0</v>
      </c>
      <c r="Q580" t="n">
        <v>0</v>
      </c>
      <c r="R580" s="2" t="inlineStr"/>
    </row>
    <row r="581" ht="15" customHeight="1">
      <c r="A581" t="inlineStr">
        <is>
          <t>A 50834-2025</t>
        </is>
      </c>
      <c r="B581" s="1" t="n">
        <v>45946.55746527778</v>
      </c>
      <c r="C581" s="1" t="n">
        <v>46129</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12468-2024</t>
        </is>
      </c>
      <c r="B582" s="1" t="n">
        <v>45379</v>
      </c>
      <c r="C582" s="1" t="n">
        <v>46129</v>
      </c>
      <c r="D582" t="inlineStr">
        <is>
          <t>SKÅNE LÄN</t>
        </is>
      </c>
      <c r="E582" t="inlineStr">
        <is>
          <t>HÄSSLEHOLM</t>
        </is>
      </c>
      <c r="G582" t="n">
        <v>15.5</v>
      </c>
      <c r="H582" t="n">
        <v>0</v>
      </c>
      <c r="I582" t="n">
        <v>0</v>
      </c>
      <c r="J582" t="n">
        <v>0</v>
      </c>
      <c r="K582" t="n">
        <v>0</v>
      </c>
      <c r="L582" t="n">
        <v>0</v>
      </c>
      <c r="M582" t="n">
        <v>0</v>
      </c>
      <c r="N582" t="n">
        <v>0</v>
      </c>
      <c r="O582" t="n">
        <v>0</v>
      </c>
      <c r="P582" t="n">
        <v>0</v>
      </c>
      <c r="Q582" t="n">
        <v>0</v>
      </c>
      <c r="R582" s="2" t="inlineStr"/>
    </row>
    <row r="583" ht="15" customHeight="1">
      <c r="A583" t="inlineStr">
        <is>
          <t>A 36358-2025</t>
        </is>
      </c>
      <c r="B583" s="1" t="n">
        <v>45867</v>
      </c>
      <c r="C583" s="1" t="n">
        <v>46129</v>
      </c>
      <c r="D583" t="inlineStr">
        <is>
          <t>SKÅNE LÄN</t>
        </is>
      </c>
      <c r="E583" t="inlineStr">
        <is>
          <t>HÄSSLEHOLM</t>
        </is>
      </c>
      <c r="G583" t="n">
        <v>2.8</v>
      </c>
      <c r="H583" t="n">
        <v>0</v>
      </c>
      <c r="I583" t="n">
        <v>0</v>
      </c>
      <c r="J583" t="n">
        <v>0</v>
      </c>
      <c r="K583" t="n">
        <v>0</v>
      </c>
      <c r="L583" t="n">
        <v>0</v>
      </c>
      <c r="M583" t="n">
        <v>0</v>
      </c>
      <c r="N583" t="n">
        <v>0</v>
      </c>
      <c r="O583" t="n">
        <v>0</v>
      </c>
      <c r="P583" t="n">
        <v>0</v>
      </c>
      <c r="Q583" t="n">
        <v>0</v>
      </c>
      <c r="R583" s="2" t="inlineStr"/>
    </row>
    <row r="584" ht="15" customHeight="1">
      <c r="A584" t="inlineStr">
        <is>
          <t>A 51024-2025</t>
        </is>
      </c>
      <c r="B584" s="1" t="n">
        <v>45947.395</v>
      </c>
      <c r="C584" s="1" t="n">
        <v>46129</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1553-2023</t>
        </is>
      </c>
      <c r="B585" s="1" t="n">
        <v>44937</v>
      </c>
      <c r="C585" s="1" t="n">
        <v>46129</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22690-2022</t>
        </is>
      </c>
      <c r="B586" s="1" t="n">
        <v>44714.5421875</v>
      </c>
      <c r="C586" s="1" t="n">
        <v>46129</v>
      </c>
      <c r="D586" t="inlineStr">
        <is>
          <t>SKÅNE LÄN</t>
        </is>
      </c>
      <c r="E586" t="inlineStr">
        <is>
          <t>HÄSSLEHOLM</t>
        </is>
      </c>
      <c r="G586" t="n">
        <v>1.7</v>
      </c>
      <c r="H586" t="n">
        <v>0</v>
      </c>
      <c r="I586" t="n">
        <v>0</v>
      </c>
      <c r="J586" t="n">
        <v>0</v>
      </c>
      <c r="K586" t="n">
        <v>0</v>
      </c>
      <c r="L586" t="n">
        <v>0</v>
      </c>
      <c r="M586" t="n">
        <v>0</v>
      </c>
      <c r="N586" t="n">
        <v>0</v>
      </c>
      <c r="O586" t="n">
        <v>0</v>
      </c>
      <c r="P586" t="n">
        <v>0</v>
      </c>
      <c r="Q586" t="n">
        <v>0</v>
      </c>
      <c r="R586" s="2" t="inlineStr"/>
    </row>
    <row r="587" ht="15" customHeight="1">
      <c r="A587" t="inlineStr">
        <is>
          <t>A 50839-2025</t>
        </is>
      </c>
      <c r="B587" s="1" t="n">
        <v>45946</v>
      </c>
      <c r="C587" s="1" t="n">
        <v>46129</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53897-2023</t>
        </is>
      </c>
      <c r="B588" s="1" t="n">
        <v>45231.53934027778</v>
      </c>
      <c r="C588" s="1" t="n">
        <v>46129</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1170-2025</t>
        </is>
      </c>
      <c r="B589" s="1" t="n">
        <v>45667.29226851852</v>
      </c>
      <c r="C589" s="1" t="n">
        <v>46129</v>
      </c>
      <c r="D589" t="inlineStr">
        <is>
          <t>SKÅNE LÄN</t>
        </is>
      </c>
      <c r="E589" t="inlineStr">
        <is>
          <t>HÄSSLEHOLM</t>
        </is>
      </c>
      <c r="G589" t="n">
        <v>4.3</v>
      </c>
      <c r="H589" t="n">
        <v>0</v>
      </c>
      <c r="I589" t="n">
        <v>0</v>
      </c>
      <c r="J589" t="n">
        <v>0</v>
      </c>
      <c r="K589" t="n">
        <v>0</v>
      </c>
      <c r="L589" t="n">
        <v>0</v>
      </c>
      <c r="M589" t="n">
        <v>0</v>
      </c>
      <c r="N589" t="n">
        <v>0</v>
      </c>
      <c r="O589" t="n">
        <v>0</v>
      </c>
      <c r="P589" t="n">
        <v>0</v>
      </c>
      <c r="Q589" t="n">
        <v>0</v>
      </c>
      <c r="R589" s="2" t="inlineStr"/>
    </row>
    <row r="590" ht="15" customHeight="1">
      <c r="A590" t="inlineStr">
        <is>
          <t>A 50829-2025</t>
        </is>
      </c>
      <c r="B590" s="1" t="n">
        <v>45946.55309027778</v>
      </c>
      <c r="C590" s="1" t="n">
        <v>46129</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51097-2025</t>
        </is>
      </c>
      <c r="B591" s="1" t="n">
        <v>45947.48018518519</v>
      </c>
      <c r="C591" s="1" t="n">
        <v>46129</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22132-2024</t>
        </is>
      </c>
      <c r="B592" s="1" t="n">
        <v>45444.37234953704</v>
      </c>
      <c r="C592" s="1" t="n">
        <v>46129</v>
      </c>
      <c r="D592" t="inlineStr">
        <is>
          <t>SKÅNE LÄN</t>
        </is>
      </c>
      <c r="E592" t="inlineStr">
        <is>
          <t>HÄSSLEHOLM</t>
        </is>
      </c>
      <c r="G592" t="n">
        <v>3.1</v>
      </c>
      <c r="H592" t="n">
        <v>0</v>
      </c>
      <c r="I592" t="n">
        <v>0</v>
      </c>
      <c r="J592" t="n">
        <v>0</v>
      </c>
      <c r="K592" t="n">
        <v>0</v>
      </c>
      <c r="L592" t="n">
        <v>0</v>
      </c>
      <c r="M592" t="n">
        <v>0</v>
      </c>
      <c r="N592" t="n">
        <v>0</v>
      </c>
      <c r="O592" t="n">
        <v>0</v>
      </c>
      <c r="P592" t="n">
        <v>0</v>
      </c>
      <c r="Q592" t="n">
        <v>0</v>
      </c>
      <c r="R592" s="2" t="inlineStr"/>
    </row>
    <row r="593" ht="15" customHeight="1">
      <c r="A593" t="inlineStr">
        <is>
          <t>A 51597-2025</t>
        </is>
      </c>
      <c r="B593" s="1" t="n">
        <v>45951.37163194444</v>
      </c>
      <c r="C593" s="1" t="n">
        <v>46129</v>
      </c>
      <c r="D593" t="inlineStr">
        <is>
          <t>SKÅNE LÄN</t>
        </is>
      </c>
      <c r="E593" t="inlineStr">
        <is>
          <t>HÄSSLEHOLM</t>
        </is>
      </c>
      <c r="G593" t="n">
        <v>3.5</v>
      </c>
      <c r="H593" t="n">
        <v>0</v>
      </c>
      <c r="I593" t="n">
        <v>0</v>
      </c>
      <c r="J593" t="n">
        <v>0</v>
      </c>
      <c r="K593" t="n">
        <v>0</v>
      </c>
      <c r="L593" t="n">
        <v>0</v>
      </c>
      <c r="M593" t="n">
        <v>0</v>
      </c>
      <c r="N593" t="n">
        <v>0</v>
      </c>
      <c r="O593" t="n">
        <v>0</v>
      </c>
      <c r="P593" t="n">
        <v>0</v>
      </c>
      <c r="Q593" t="n">
        <v>0</v>
      </c>
      <c r="R593" s="2" t="inlineStr"/>
    </row>
    <row r="594" ht="15" customHeight="1">
      <c r="A594" t="inlineStr">
        <is>
          <t>A 32210-2024</t>
        </is>
      </c>
      <c r="B594" s="1" t="n">
        <v>45511.67777777778</v>
      </c>
      <c r="C594" s="1" t="n">
        <v>46129</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51795-2025</t>
        </is>
      </c>
      <c r="B595" s="1" t="n">
        <v>45951</v>
      </c>
      <c r="C595" s="1" t="n">
        <v>46129</v>
      </c>
      <c r="D595" t="inlineStr">
        <is>
          <t>SKÅNE LÄN</t>
        </is>
      </c>
      <c r="E595" t="inlineStr">
        <is>
          <t>HÄSSLEHOLM</t>
        </is>
      </c>
      <c r="G595" t="n">
        <v>2.4</v>
      </c>
      <c r="H595" t="n">
        <v>0</v>
      </c>
      <c r="I595" t="n">
        <v>0</v>
      </c>
      <c r="J595" t="n">
        <v>0</v>
      </c>
      <c r="K595" t="n">
        <v>0</v>
      </c>
      <c r="L595" t="n">
        <v>0</v>
      </c>
      <c r="M595" t="n">
        <v>0</v>
      </c>
      <c r="N595" t="n">
        <v>0</v>
      </c>
      <c r="O595" t="n">
        <v>0</v>
      </c>
      <c r="P595" t="n">
        <v>0</v>
      </c>
      <c r="Q595" t="n">
        <v>0</v>
      </c>
      <c r="R595" s="2" t="inlineStr"/>
    </row>
    <row r="596" ht="15" customHeight="1">
      <c r="A596" t="inlineStr">
        <is>
          <t>A 51796-2025</t>
        </is>
      </c>
      <c r="B596" s="1" t="n">
        <v>45951.74546296296</v>
      </c>
      <c r="C596" s="1" t="n">
        <v>46129</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51640-2025</t>
        </is>
      </c>
      <c r="B597" s="1" t="n">
        <v>45951.44361111111</v>
      </c>
      <c r="C597" s="1" t="n">
        <v>46129</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2743-2023</t>
        </is>
      </c>
      <c r="B598" s="1" t="n">
        <v>44944</v>
      </c>
      <c r="C598" s="1" t="n">
        <v>46129</v>
      </c>
      <c r="D598" t="inlineStr">
        <is>
          <t>SKÅNE LÄN</t>
        </is>
      </c>
      <c r="E598" t="inlineStr">
        <is>
          <t>HÄSSLEHOLM</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8749-2024</t>
        </is>
      </c>
      <c r="B599" s="1" t="n">
        <v>45356.50387731481</v>
      </c>
      <c r="C599" s="1" t="n">
        <v>46129</v>
      </c>
      <c r="D599" t="inlineStr">
        <is>
          <t>SKÅNE LÄN</t>
        </is>
      </c>
      <c r="E599" t="inlineStr">
        <is>
          <t>HÄSSLEHOLM</t>
        </is>
      </c>
      <c r="G599" t="n">
        <v>2.9</v>
      </c>
      <c r="H599" t="n">
        <v>0</v>
      </c>
      <c r="I599" t="n">
        <v>0</v>
      </c>
      <c r="J599" t="n">
        <v>0</v>
      </c>
      <c r="K599" t="n">
        <v>0</v>
      </c>
      <c r="L599" t="n">
        <v>0</v>
      </c>
      <c r="M599" t="n">
        <v>0</v>
      </c>
      <c r="N599" t="n">
        <v>0</v>
      </c>
      <c r="O599" t="n">
        <v>0</v>
      </c>
      <c r="P599" t="n">
        <v>0</v>
      </c>
      <c r="Q599" t="n">
        <v>0</v>
      </c>
      <c r="R599" s="2" t="inlineStr"/>
    </row>
    <row r="600" ht="15" customHeight="1">
      <c r="A600" t="inlineStr">
        <is>
          <t>A 8752-2024</t>
        </is>
      </c>
      <c r="B600" s="1" t="n">
        <v>45356</v>
      </c>
      <c r="C600" s="1" t="n">
        <v>46129</v>
      </c>
      <c r="D600" t="inlineStr">
        <is>
          <t>SKÅNE LÄN</t>
        </is>
      </c>
      <c r="E600" t="inlineStr">
        <is>
          <t>HÄSSLEHOLM</t>
        </is>
      </c>
      <c r="G600" t="n">
        <v>3.4</v>
      </c>
      <c r="H600" t="n">
        <v>0</v>
      </c>
      <c r="I600" t="n">
        <v>0</v>
      </c>
      <c r="J600" t="n">
        <v>0</v>
      </c>
      <c r="K600" t="n">
        <v>0</v>
      </c>
      <c r="L600" t="n">
        <v>0</v>
      </c>
      <c r="M600" t="n">
        <v>0</v>
      </c>
      <c r="N600" t="n">
        <v>0</v>
      </c>
      <c r="O600" t="n">
        <v>0</v>
      </c>
      <c r="P600" t="n">
        <v>0</v>
      </c>
      <c r="Q600" t="n">
        <v>0</v>
      </c>
      <c r="R600" s="2" t="inlineStr"/>
    </row>
    <row r="601" ht="15" customHeight="1">
      <c r="A601" t="inlineStr">
        <is>
          <t>A 8759-2024</t>
        </is>
      </c>
      <c r="B601" s="1" t="n">
        <v>45356.52271990741</v>
      </c>
      <c r="C601" s="1" t="n">
        <v>46129</v>
      </c>
      <c r="D601" t="inlineStr">
        <is>
          <t>SKÅNE LÄN</t>
        </is>
      </c>
      <c r="E601" t="inlineStr">
        <is>
          <t>HÄSSLEHOLM</t>
        </is>
      </c>
      <c r="G601" t="n">
        <v>5.7</v>
      </c>
      <c r="H601" t="n">
        <v>0</v>
      </c>
      <c r="I601" t="n">
        <v>0</v>
      </c>
      <c r="J601" t="n">
        <v>0</v>
      </c>
      <c r="K601" t="n">
        <v>0</v>
      </c>
      <c r="L601" t="n">
        <v>0</v>
      </c>
      <c r="M601" t="n">
        <v>0</v>
      </c>
      <c r="N601" t="n">
        <v>0</v>
      </c>
      <c r="O601" t="n">
        <v>0</v>
      </c>
      <c r="P601" t="n">
        <v>0</v>
      </c>
      <c r="Q601" t="n">
        <v>0</v>
      </c>
      <c r="R601" s="2" t="inlineStr"/>
    </row>
    <row r="602" ht="15" customHeight="1">
      <c r="A602" t="inlineStr">
        <is>
          <t>A 48624-2021</t>
        </is>
      </c>
      <c r="B602" s="1" t="n">
        <v>44452</v>
      </c>
      <c r="C602" s="1" t="n">
        <v>46129</v>
      </c>
      <c r="D602" t="inlineStr">
        <is>
          <t>SKÅNE LÄN</t>
        </is>
      </c>
      <c r="E602" t="inlineStr">
        <is>
          <t>HÄSSLEHOLM</t>
        </is>
      </c>
      <c r="G602" t="n">
        <v>2.2</v>
      </c>
      <c r="H602" t="n">
        <v>0</v>
      </c>
      <c r="I602" t="n">
        <v>0</v>
      </c>
      <c r="J602" t="n">
        <v>0</v>
      </c>
      <c r="K602" t="n">
        <v>0</v>
      </c>
      <c r="L602" t="n">
        <v>0</v>
      </c>
      <c r="M602" t="n">
        <v>0</v>
      </c>
      <c r="N602" t="n">
        <v>0</v>
      </c>
      <c r="O602" t="n">
        <v>0</v>
      </c>
      <c r="P602" t="n">
        <v>0</v>
      </c>
      <c r="Q602" t="n">
        <v>0</v>
      </c>
      <c r="R602" s="2" t="inlineStr"/>
    </row>
    <row r="603" ht="15" customHeight="1">
      <c r="A603" t="inlineStr">
        <is>
          <t>A 8209-2025</t>
        </is>
      </c>
      <c r="B603" s="1" t="n">
        <v>45708.44244212963</v>
      </c>
      <c r="C603" s="1" t="n">
        <v>46129</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59434-2023</t>
        </is>
      </c>
      <c r="B604" s="1" t="n">
        <v>45254.30440972222</v>
      </c>
      <c r="C604" s="1" t="n">
        <v>46129</v>
      </c>
      <c r="D604" t="inlineStr">
        <is>
          <t>SKÅNE LÄN</t>
        </is>
      </c>
      <c r="E604" t="inlineStr">
        <is>
          <t>HÄSSLEHOLM</t>
        </is>
      </c>
      <c r="G604" t="n">
        <v>3.6</v>
      </c>
      <c r="H604" t="n">
        <v>0</v>
      </c>
      <c r="I604" t="n">
        <v>0</v>
      </c>
      <c r="J604" t="n">
        <v>0</v>
      </c>
      <c r="K604" t="n">
        <v>0</v>
      </c>
      <c r="L604" t="n">
        <v>0</v>
      </c>
      <c r="M604" t="n">
        <v>0</v>
      </c>
      <c r="N604" t="n">
        <v>0</v>
      </c>
      <c r="O604" t="n">
        <v>0</v>
      </c>
      <c r="P604" t="n">
        <v>0</v>
      </c>
      <c r="Q604" t="n">
        <v>0</v>
      </c>
      <c r="R604" s="2" t="inlineStr"/>
    </row>
    <row r="605" ht="15" customHeight="1">
      <c r="A605" t="inlineStr">
        <is>
          <t>A 2290-2024</t>
        </is>
      </c>
      <c r="B605" s="1" t="n">
        <v>45310</v>
      </c>
      <c r="C605" s="1" t="n">
        <v>46129</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52126-2025</t>
        </is>
      </c>
      <c r="B606" s="1" t="n">
        <v>45952.72109953704</v>
      </c>
      <c r="C606" s="1" t="n">
        <v>46129</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36938-2025</t>
        </is>
      </c>
      <c r="B607" s="1" t="n">
        <v>45874.58476851852</v>
      </c>
      <c r="C607" s="1" t="n">
        <v>46129</v>
      </c>
      <c r="D607" t="inlineStr">
        <is>
          <t>SKÅNE LÄN</t>
        </is>
      </c>
      <c r="E607" t="inlineStr">
        <is>
          <t>HÄSSLEHOLM</t>
        </is>
      </c>
      <c r="G607" t="n">
        <v>3.7</v>
      </c>
      <c r="H607" t="n">
        <v>0</v>
      </c>
      <c r="I607" t="n">
        <v>0</v>
      </c>
      <c r="J607" t="n">
        <v>0</v>
      </c>
      <c r="K607" t="n">
        <v>0</v>
      </c>
      <c r="L607" t="n">
        <v>0</v>
      </c>
      <c r="M607" t="n">
        <v>0</v>
      </c>
      <c r="N607" t="n">
        <v>0</v>
      </c>
      <c r="O607" t="n">
        <v>0</v>
      </c>
      <c r="P607" t="n">
        <v>0</v>
      </c>
      <c r="Q607" t="n">
        <v>0</v>
      </c>
      <c r="R607" s="2" t="inlineStr"/>
    </row>
    <row r="608" ht="15" customHeight="1">
      <c r="A608" t="inlineStr">
        <is>
          <t>A 33067-2024</t>
        </is>
      </c>
      <c r="B608" s="1" t="n">
        <v>45517.6520949074</v>
      </c>
      <c r="C608" s="1" t="n">
        <v>46129</v>
      </c>
      <c r="D608" t="inlineStr">
        <is>
          <t>SKÅNE LÄN</t>
        </is>
      </c>
      <c r="E608" t="inlineStr">
        <is>
          <t>HÄSSLEHOLM</t>
        </is>
      </c>
      <c r="G608" t="n">
        <v>0.4</v>
      </c>
      <c r="H608" t="n">
        <v>0</v>
      </c>
      <c r="I608" t="n">
        <v>0</v>
      </c>
      <c r="J608" t="n">
        <v>0</v>
      </c>
      <c r="K608" t="n">
        <v>0</v>
      </c>
      <c r="L608" t="n">
        <v>0</v>
      </c>
      <c r="M608" t="n">
        <v>0</v>
      </c>
      <c r="N608" t="n">
        <v>0</v>
      </c>
      <c r="O608" t="n">
        <v>0</v>
      </c>
      <c r="P608" t="n">
        <v>0</v>
      </c>
      <c r="Q608" t="n">
        <v>0</v>
      </c>
      <c r="R608" s="2" t="inlineStr"/>
    </row>
    <row r="609" ht="15" customHeight="1">
      <c r="A609" t="inlineStr">
        <is>
          <t>A 28236-2022</t>
        </is>
      </c>
      <c r="B609" s="1" t="n">
        <v>44746</v>
      </c>
      <c r="C609" s="1" t="n">
        <v>46129</v>
      </c>
      <c r="D609" t="inlineStr">
        <is>
          <t>SKÅNE LÄN</t>
        </is>
      </c>
      <c r="E609" t="inlineStr">
        <is>
          <t>HÄSSLEHOLM</t>
        </is>
      </c>
      <c r="G609" t="n">
        <v>3.5</v>
      </c>
      <c r="H609" t="n">
        <v>0</v>
      </c>
      <c r="I609" t="n">
        <v>0</v>
      </c>
      <c r="J609" t="n">
        <v>0</v>
      </c>
      <c r="K609" t="n">
        <v>0</v>
      </c>
      <c r="L609" t="n">
        <v>0</v>
      </c>
      <c r="M609" t="n">
        <v>0</v>
      </c>
      <c r="N609" t="n">
        <v>0</v>
      </c>
      <c r="O609" t="n">
        <v>0</v>
      </c>
      <c r="P609" t="n">
        <v>0</v>
      </c>
      <c r="Q609" t="n">
        <v>0</v>
      </c>
      <c r="R609" s="2" t="inlineStr"/>
    </row>
    <row r="610" ht="15" customHeight="1">
      <c r="A610" t="inlineStr">
        <is>
          <t>A 61625-2022</t>
        </is>
      </c>
      <c r="B610" s="1" t="n">
        <v>44916</v>
      </c>
      <c r="C610" s="1" t="n">
        <v>46129</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38829-2024</t>
        </is>
      </c>
      <c r="B611" s="1" t="n">
        <v>45547.57247685185</v>
      </c>
      <c r="C611" s="1" t="n">
        <v>46129</v>
      </c>
      <c r="D611" t="inlineStr">
        <is>
          <t>SKÅNE LÄN</t>
        </is>
      </c>
      <c r="E611" t="inlineStr">
        <is>
          <t>HÄSSLEHOLM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37286-2025</t>
        </is>
      </c>
      <c r="B612" s="1" t="n">
        <v>45876.50116898148</v>
      </c>
      <c r="C612" s="1" t="n">
        <v>46129</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13890-2024</t>
        </is>
      </c>
      <c r="B613" s="1" t="n">
        <v>45391</v>
      </c>
      <c r="C613" s="1" t="n">
        <v>46129</v>
      </c>
      <c r="D613" t="inlineStr">
        <is>
          <t>SKÅNE LÄN</t>
        </is>
      </c>
      <c r="E613" t="inlineStr">
        <is>
          <t>HÄSSLEHOLM</t>
        </is>
      </c>
      <c r="F613" t="inlineStr">
        <is>
          <t>Kommuner</t>
        </is>
      </c>
      <c r="G613" t="n">
        <v>1.4</v>
      </c>
      <c r="H613" t="n">
        <v>0</v>
      </c>
      <c r="I613" t="n">
        <v>0</v>
      </c>
      <c r="J613" t="n">
        <v>0</v>
      </c>
      <c r="K613" t="n">
        <v>0</v>
      </c>
      <c r="L613" t="n">
        <v>0</v>
      </c>
      <c r="M613" t="n">
        <v>0</v>
      </c>
      <c r="N613" t="n">
        <v>0</v>
      </c>
      <c r="O613" t="n">
        <v>0</v>
      </c>
      <c r="P613" t="n">
        <v>0</v>
      </c>
      <c r="Q613" t="n">
        <v>0</v>
      </c>
      <c r="R613" s="2" t="inlineStr"/>
    </row>
    <row r="614" ht="15" customHeight="1">
      <c r="A614" t="inlineStr">
        <is>
          <t>A 37271-2025</t>
        </is>
      </c>
      <c r="B614" s="1" t="n">
        <v>45876.47828703704</v>
      </c>
      <c r="C614" s="1" t="n">
        <v>46129</v>
      </c>
      <c r="D614" t="inlineStr">
        <is>
          <t>SKÅNE LÄN</t>
        </is>
      </c>
      <c r="E614" t="inlineStr">
        <is>
          <t>HÄSSLEHOLM</t>
        </is>
      </c>
      <c r="G614" t="n">
        <v>4.1</v>
      </c>
      <c r="H614" t="n">
        <v>0</v>
      </c>
      <c r="I614" t="n">
        <v>0</v>
      </c>
      <c r="J614" t="n">
        <v>0</v>
      </c>
      <c r="K614" t="n">
        <v>0</v>
      </c>
      <c r="L614" t="n">
        <v>0</v>
      </c>
      <c r="M614" t="n">
        <v>0</v>
      </c>
      <c r="N614" t="n">
        <v>0</v>
      </c>
      <c r="O614" t="n">
        <v>0</v>
      </c>
      <c r="P614" t="n">
        <v>0</v>
      </c>
      <c r="Q614" t="n">
        <v>0</v>
      </c>
      <c r="R614" s="2" t="inlineStr"/>
    </row>
    <row r="615" ht="15" customHeight="1">
      <c r="A615" t="inlineStr">
        <is>
          <t>A 55218-2023</t>
        </is>
      </c>
      <c r="B615" s="1" t="n">
        <v>45237</v>
      </c>
      <c r="C615" s="1" t="n">
        <v>46129</v>
      </c>
      <c r="D615" t="inlineStr">
        <is>
          <t>SKÅNE LÄN</t>
        </is>
      </c>
      <c r="E615" t="inlineStr">
        <is>
          <t>HÄSSLEHOLM</t>
        </is>
      </c>
      <c r="G615" t="n">
        <v>2</v>
      </c>
      <c r="H615" t="n">
        <v>0</v>
      </c>
      <c r="I615" t="n">
        <v>0</v>
      </c>
      <c r="J615" t="n">
        <v>0</v>
      </c>
      <c r="K615" t="n">
        <v>0</v>
      </c>
      <c r="L615" t="n">
        <v>0</v>
      </c>
      <c r="M615" t="n">
        <v>0</v>
      </c>
      <c r="N615" t="n">
        <v>0</v>
      </c>
      <c r="O615" t="n">
        <v>0</v>
      </c>
      <c r="P615" t="n">
        <v>0</v>
      </c>
      <c r="Q615" t="n">
        <v>0</v>
      </c>
      <c r="R615" s="2" t="inlineStr"/>
    </row>
    <row r="616" ht="15" customHeight="1">
      <c r="A616" t="inlineStr">
        <is>
          <t>A 46288-2023</t>
        </is>
      </c>
      <c r="B616" s="1" t="n">
        <v>45197.30221064815</v>
      </c>
      <c r="C616" s="1" t="n">
        <v>46129</v>
      </c>
      <c r="D616" t="inlineStr">
        <is>
          <t>SKÅNE LÄN</t>
        </is>
      </c>
      <c r="E616" t="inlineStr">
        <is>
          <t>HÄSSLEHOLM</t>
        </is>
      </c>
      <c r="G616" t="n">
        <v>3</v>
      </c>
      <c r="H616" t="n">
        <v>0</v>
      </c>
      <c r="I616" t="n">
        <v>0</v>
      </c>
      <c r="J616" t="n">
        <v>0</v>
      </c>
      <c r="K616" t="n">
        <v>0</v>
      </c>
      <c r="L616" t="n">
        <v>0</v>
      </c>
      <c r="M616" t="n">
        <v>0</v>
      </c>
      <c r="N616" t="n">
        <v>0</v>
      </c>
      <c r="O616" t="n">
        <v>0</v>
      </c>
      <c r="P616" t="n">
        <v>0</v>
      </c>
      <c r="Q616" t="n">
        <v>0</v>
      </c>
      <c r="R616" s="2" t="inlineStr"/>
    </row>
    <row r="617" ht="15" customHeight="1">
      <c r="A617" t="inlineStr">
        <is>
          <t>A 32981-2025</t>
        </is>
      </c>
      <c r="B617" s="1" t="n">
        <v>45839.86820601852</v>
      </c>
      <c r="C617" s="1" t="n">
        <v>46129</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49106-2023</t>
        </is>
      </c>
      <c r="B618" s="1" t="n">
        <v>45210</v>
      </c>
      <c r="C618" s="1" t="n">
        <v>46129</v>
      </c>
      <c r="D618" t="inlineStr">
        <is>
          <t>SKÅNE LÄN</t>
        </is>
      </c>
      <c r="E618" t="inlineStr">
        <is>
          <t>HÄSSLEHOLM</t>
        </is>
      </c>
      <c r="G618" t="n">
        <v>0.3</v>
      </c>
      <c r="H618" t="n">
        <v>0</v>
      </c>
      <c r="I618" t="n">
        <v>0</v>
      </c>
      <c r="J618" t="n">
        <v>0</v>
      </c>
      <c r="K618" t="n">
        <v>0</v>
      </c>
      <c r="L618" t="n">
        <v>0</v>
      </c>
      <c r="M618" t="n">
        <v>0</v>
      </c>
      <c r="N618" t="n">
        <v>0</v>
      </c>
      <c r="O618" t="n">
        <v>0</v>
      </c>
      <c r="P618" t="n">
        <v>0</v>
      </c>
      <c r="Q618" t="n">
        <v>0</v>
      </c>
      <c r="R618" s="2" t="inlineStr"/>
    </row>
    <row r="619" ht="15" customHeight="1">
      <c r="A619" t="inlineStr">
        <is>
          <t>A 16862-2025</t>
        </is>
      </c>
      <c r="B619" s="1" t="n">
        <v>45751</v>
      </c>
      <c r="C619" s="1" t="n">
        <v>46129</v>
      </c>
      <c r="D619" t="inlineStr">
        <is>
          <t>SKÅNE LÄN</t>
        </is>
      </c>
      <c r="E619" t="inlineStr">
        <is>
          <t>HÄSSLEHOLM</t>
        </is>
      </c>
      <c r="G619" t="n">
        <v>2.3</v>
      </c>
      <c r="H619" t="n">
        <v>0</v>
      </c>
      <c r="I619" t="n">
        <v>0</v>
      </c>
      <c r="J619" t="n">
        <v>0</v>
      </c>
      <c r="K619" t="n">
        <v>0</v>
      </c>
      <c r="L619" t="n">
        <v>0</v>
      </c>
      <c r="M619" t="n">
        <v>0</v>
      </c>
      <c r="N619" t="n">
        <v>0</v>
      </c>
      <c r="O619" t="n">
        <v>0</v>
      </c>
      <c r="P619" t="n">
        <v>0</v>
      </c>
      <c r="Q619" t="n">
        <v>0</v>
      </c>
      <c r="R619" s="2" t="inlineStr"/>
    </row>
    <row r="620" ht="15" customHeight="1">
      <c r="A620" t="inlineStr">
        <is>
          <t>A 18109-2025</t>
        </is>
      </c>
      <c r="B620" s="1" t="n">
        <v>45761</v>
      </c>
      <c r="C620" s="1" t="n">
        <v>46129</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10409-2024</t>
        </is>
      </c>
      <c r="B621" s="1" t="n">
        <v>45365.6978125</v>
      </c>
      <c r="C621" s="1" t="n">
        <v>46129</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47248-2023</t>
        </is>
      </c>
      <c r="B622" s="1" t="n">
        <v>45202</v>
      </c>
      <c r="C622" s="1" t="n">
        <v>46129</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20990-2023</t>
        </is>
      </c>
      <c r="B623" s="1" t="n">
        <v>45061.46186342592</v>
      </c>
      <c r="C623" s="1" t="n">
        <v>46129</v>
      </c>
      <c r="D623" t="inlineStr">
        <is>
          <t>SKÅNE LÄN</t>
        </is>
      </c>
      <c r="E623" t="inlineStr">
        <is>
          <t>HÄSSLEHOLM</t>
        </is>
      </c>
      <c r="G623" t="n">
        <v>2.8</v>
      </c>
      <c r="H623" t="n">
        <v>0</v>
      </c>
      <c r="I623" t="n">
        <v>0</v>
      </c>
      <c r="J623" t="n">
        <v>0</v>
      </c>
      <c r="K623" t="n">
        <v>0</v>
      </c>
      <c r="L623" t="n">
        <v>0</v>
      </c>
      <c r="M623" t="n">
        <v>0</v>
      </c>
      <c r="N623" t="n">
        <v>0</v>
      </c>
      <c r="O623" t="n">
        <v>0</v>
      </c>
      <c r="P623" t="n">
        <v>0</v>
      </c>
      <c r="Q623" t="n">
        <v>0</v>
      </c>
      <c r="R623" s="2" t="inlineStr"/>
    </row>
    <row r="624" ht="15" customHeight="1">
      <c r="A624" t="inlineStr">
        <is>
          <t>A 53020-2025</t>
        </is>
      </c>
      <c r="B624" s="1" t="n">
        <v>45957.90707175926</v>
      </c>
      <c r="C624" s="1" t="n">
        <v>46129</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53424-2025</t>
        </is>
      </c>
      <c r="B625" s="1" t="n">
        <v>45959</v>
      </c>
      <c r="C625" s="1" t="n">
        <v>46129</v>
      </c>
      <c r="D625" t="inlineStr">
        <is>
          <t>SKÅNE LÄN</t>
        </is>
      </c>
      <c r="E625" t="inlineStr">
        <is>
          <t>HÄSSLEHOLM</t>
        </is>
      </c>
      <c r="G625" t="n">
        <v>3.4</v>
      </c>
      <c r="H625" t="n">
        <v>0</v>
      </c>
      <c r="I625" t="n">
        <v>0</v>
      </c>
      <c r="J625" t="n">
        <v>0</v>
      </c>
      <c r="K625" t="n">
        <v>0</v>
      </c>
      <c r="L625" t="n">
        <v>0</v>
      </c>
      <c r="M625" t="n">
        <v>0</v>
      </c>
      <c r="N625" t="n">
        <v>0</v>
      </c>
      <c r="O625" t="n">
        <v>0</v>
      </c>
      <c r="P625" t="n">
        <v>0</v>
      </c>
      <c r="Q625" t="n">
        <v>0</v>
      </c>
      <c r="R625" s="2" t="inlineStr"/>
    </row>
    <row r="626" ht="15" customHeight="1">
      <c r="A626" t="inlineStr">
        <is>
          <t>A 53018-2025</t>
        </is>
      </c>
      <c r="B626" s="1" t="n">
        <v>45957.90064814815</v>
      </c>
      <c r="C626" s="1" t="n">
        <v>46129</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54171-2022</t>
        </is>
      </c>
      <c r="B627" s="1" t="n">
        <v>44881</v>
      </c>
      <c r="C627" s="1" t="n">
        <v>46129</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57277-2023</t>
        </is>
      </c>
      <c r="B628" s="1" t="n">
        <v>45245.59104166667</v>
      </c>
      <c r="C628" s="1" t="n">
        <v>46129</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53056-2025</t>
        </is>
      </c>
      <c r="B629" s="1" t="n">
        <v>45958.36518518518</v>
      </c>
      <c r="C629" s="1" t="n">
        <v>46129</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62376-2025</t>
        </is>
      </c>
      <c r="B630" s="1" t="n">
        <v>46006</v>
      </c>
      <c r="C630" s="1" t="n">
        <v>46129</v>
      </c>
      <c r="D630" t="inlineStr">
        <is>
          <t>SKÅNE LÄN</t>
        </is>
      </c>
      <c r="E630" t="inlineStr">
        <is>
          <t>HÄSSLEHOLM</t>
        </is>
      </c>
      <c r="G630" t="n">
        <v>1.2</v>
      </c>
      <c r="H630" t="n">
        <v>0</v>
      </c>
      <c r="I630" t="n">
        <v>0</v>
      </c>
      <c r="J630" t="n">
        <v>0</v>
      </c>
      <c r="K630" t="n">
        <v>0</v>
      </c>
      <c r="L630" t="n">
        <v>0</v>
      </c>
      <c r="M630" t="n">
        <v>0</v>
      </c>
      <c r="N630" t="n">
        <v>0</v>
      </c>
      <c r="O630" t="n">
        <v>0</v>
      </c>
      <c r="P630" t="n">
        <v>0</v>
      </c>
      <c r="Q630" t="n">
        <v>0</v>
      </c>
      <c r="R630" s="2" t="inlineStr"/>
    </row>
    <row r="631" ht="15" customHeight="1">
      <c r="A631" t="inlineStr">
        <is>
          <t>A 62271-2025</t>
        </is>
      </c>
      <c r="B631" s="1" t="n">
        <v>46006.62256944444</v>
      </c>
      <c r="C631" s="1" t="n">
        <v>46129</v>
      </c>
      <c r="D631" t="inlineStr">
        <is>
          <t>SKÅNE LÄN</t>
        </is>
      </c>
      <c r="E631" t="inlineStr">
        <is>
          <t>HÄSSLEHOLM</t>
        </is>
      </c>
      <c r="G631" t="n">
        <v>1</v>
      </c>
      <c r="H631" t="n">
        <v>0</v>
      </c>
      <c r="I631" t="n">
        <v>0</v>
      </c>
      <c r="J631" t="n">
        <v>0</v>
      </c>
      <c r="K631" t="n">
        <v>0</v>
      </c>
      <c r="L631" t="n">
        <v>0</v>
      </c>
      <c r="M631" t="n">
        <v>0</v>
      </c>
      <c r="N631" t="n">
        <v>0</v>
      </c>
      <c r="O631" t="n">
        <v>0</v>
      </c>
      <c r="P631" t="n">
        <v>0</v>
      </c>
      <c r="Q631" t="n">
        <v>0</v>
      </c>
      <c r="R631" s="2" t="inlineStr"/>
    </row>
    <row r="632" ht="15" customHeight="1">
      <c r="A632" t="inlineStr">
        <is>
          <t>A 62264-2025</t>
        </is>
      </c>
      <c r="B632" s="1" t="n">
        <v>46006.61644675926</v>
      </c>
      <c r="C632" s="1" t="n">
        <v>46129</v>
      </c>
      <c r="D632" t="inlineStr">
        <is>
          <t>SKÅNE LÄN</t>
        </is>
      </c>
      <c r="E632" t="inlineStr">
        <is>
          <t>HÄSSLEHOLM</t>
        </is>
      </c>
      <c r="G632" t="n">
        <v>7.5</v>
      </c>
      <c r="H632" t="n">
        <v>0</v>
      </c>
      <c r="I632" t="n">
        <v>0</v>
      </c>
      <c r="J632" t="n">
        <v>0</v>
      </c>
      <c r="K632" t="n">
        <v>0</v>
      </c>
      <c r="L632" t="n">
        <v>0</v>
      </c>
      <c r="M632" t="n">
        <v>0</v>
      </c>
      <c r="N632" t="n">
        <v>0</v>
      </c>
      <c r="O632" t="n">
        <v>0</v>
      </c>
      <c r="P632" t="n">
        <v>0</v>
      </c>
      <c r="Q632" t="n">
        <v>0</v>
      </c>
      <c r="R632" s="2" t="inlineStr"/>
    </row>
    <row r="633" ht="15" customHeight="1">
      <c r="A633" t="inlineStr">
        <is>
          <t>A 46813-2024</t>
        </is>
      </c>
      <c r="B633" s="1" t="n">
        <v>45583</v>
      </c>
      <c r="C633" s="1" t="n">
        <v>46129</v>
      </c>
      <c r="D633" t="inlineStr">
        <is>
          <t>SKÅNE LÄN</t>
        </is>
      </c>
      <c r="E633" t="inlineStr">
        <is>
          <t>HÄSSLEHOLM</t>
        </is>
      </c>
      <c r="G633" t="n">
        <v>14.9</v>
      </c>
      <c r="H633" t="n">
        <v>0</v>
      </c>
      <c r="I633" t="n">
        <v>0</v>
      </c>
      <c r="J633" t="n">
        <v>0</v>
      </c>
      <c r="K633" t="n">
        <v>0</v>
      </c>
      <c r="L633" t="n">
        <v>0</v>
      </c>
      <c r="M633" t="n">
        <v>0</v>
      </c>
      <c r="N633" t="n">
        <v>0</v>
      </c>
      <c r="O633" t="n">
        <v>0</v>
      </c>
      <c r="P633" t="n">
        <v>0</v>
      </c>
      <c r="Q633" t="n">
        <v>0</v>
      </c>
      <c r="R633" s="2" t="inlineStr"/>
    </row>
    <row r="634" ht="15" customHeight="1">
      <c r="A634" t="inlineStr">
        <is>
          <t>A 35150-2023</t>
        </is>
      </c>
      <c r="B634" s="1" t="n">
        <v>45145</v>
      </c>
      <c r="C634" s="1" t="n">
        <v>46129</v>
      </c>
      <c r="D634" t="inlineStr">
        <is>
          <t>SKÅNE LÄN</t>
        </is>
      </c>
      <c r="E634" t="inlineStr">
        <is>
          <t>HÄSSLEHOLM</t>
        </is>
      </c>
      <c r="G634" t="n">
        <v>4.9</v>
      </c>
      <c r="H634" t="n">
        <v>0</v>
      </c>
      <c r="I634" t="n">
        <v>0</v>
      </c>
      <c r="J634" t="n">
        <v>0</v>
      </c>
      <c r="K634" t="n">
        <v>0</v>
      </c>
      <c r="L634" t="n">
        <v>0</v>
      </c>
      <c r="M634" t="n">
        <v>0</v>
      </c>
      <c r="N634" t="n">
        <v>0</v>
      </c>
      <c r="O634" t="n">
        <v>0</v>
      </c>
      <c r="P634" t="n">
        <v>0</v>
      </c>
      <c r="Q634" t="n">
        <v>0</v>
      </c>
      <c r="R634" s="2" t="inlineStr"/>
    </row>
    <row r="635" ht="15" customHeight="1">
      <c r="A635" t="inlineStr">
        <is>
          <t>A 47161-2025</t>
        </is>
      </c>
      <c r="B635" s="1" t="n">
        <v>45929</v>
      </c>
      <c r="C635" s="1" t="n">
        <v>46129</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18041-2023</t>
        </is>
      </c>
      <c r="B636" s="1" t="n">
        <v>45040</v>
      </c>
      <c r="C636" s="1" t="n">
        <v>46129</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49250-2022</t>
        </is>
      </c>
      <c r="B637" s="1" t="n">
        <v>44858</v>
      </c>
      <c r="C637" s="1" t="n">
        <v>46129</v>
      </c>
      <c r="D637" t="inlineStr">
        <is>
          <t>SKÅNE LÄN</t>
        </is>
      </c>
      <c r="E637" t="inlineStr">
        <is>
          <t>HÄSSLEHOLM</t>
        </is>
      </c>
      <c r="F637" t="inlineStr">
        <is>
          <t>Kyrkan</t>
        </is>
      </c>
      <c r="G637" t="n">
        <v>1.5</v>
      </c>
      <c r="H637" t="n">
        <v>0</v>
      </c>
      <c r="I637" t="n">
        <v>0</v>
      </c>
      <c r="J637" t="n">
        <v>0</v>
      </c>
      <c r="K637" t="n">
        <v>0</v>
      </c>
      <c r="L637" t="n">
        <v>0</v>
      </c>
      <c r="M637" t="n">
        <v>0</v>
      </c>
      <c r="N637" t="n">
        <v>0</v>
      </c>
      <c r="O637" t="n">
        <v>0</v>
      </c>
      <c r="P637" t="n">
        <v>0</v>
      </c>
      <c r="Q637" t="n">
        <v>0</v>
      </c>
      <c r="R637" s="2" t="inlineStr"/>
    </row>
    <row r="638" ht="15" customHeight="1">
      <c r="A638" t="inlineStr">
        <is>
          <t>A 54798-2025</t>
        </is>
      </c>
      <c r="B638" s="1" t="n">
        <v>45966</v>
      </c>
      <c r="C638" s="1" t="n">
        <v>46129</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54771-2025</t>
        </is>
      </c>
      <c r="B639" s="1" t="n">
        <v>45966.60829861111</v>
      </c>
      <c r="C639" s="1" t="n">
        <v>46129</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54664-2025</t>
        </is>
      </c>
      <c r="B640" s="1" t="n">
        <v>45966.40738425926</v>
      </c>
      <c r="C640" s="1" t="n">
        <v>46129</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27197-2021</t>
        </is>
      </c>
      <c r="B641" s="1" t="n">
        <v>44350</v>
      </c>
      <c r="C641" s="1" t="n">
        <v>46129</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45222-2023</t>
        </is>
      </c>
      <c r="B642" s="1" t="n">
        <v>45191</v>
      </c>
      <c r="C642" s="1" t="n">
        <v>46129</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35890-2023</t>
        </is>
      </c>
      <c r="B643" s="1" t="n">
        <v>45148</v>
      </c>
      <c r="C643" s="1" t="n">
        <v>46129</v>
      </c>
      <c r="D643" t="inlineStr">
        <is>
          <t>SKÅNE LÄN</t>
        </is>
      </c>
      <c r="E643" t="inlineStr">
        <is>
          <t>HÄSSLEHOLM</t>
        </is>
      </c>
      <c r="G643" t="n">
        <v>2</v>
      </c>
      <c r="H643" t="n">
        <v>0</v>
      </c>
      <c r="I643" t="n">
        <v>0</v>
      </c>
      <c r="J643" t="n">
        <v>0</v>
      </c>
      <c r="K643" t="n">
        <v>0</v>
      </c>
      <c r="L643" t="n">
        <v>0</v>
      </c>
      <c r="M643" t="n">
        <v>0</v>
      </c>
      <c r="N643" t="n">
        <v>0</v>
      </c>
      <c r="O643" t="n">
        <v>0</v>
      </c>
      <c r="P643" t="n">
        <v>0</v>
      </c>
      <c r="Q643" t="n">
        <v>0</v>
      </c>
      <c r="R643" s="2" t="inlineStr"/>
    </row>
    <row r="644" ht="15" customHeight="1">
      <c r="A644" t="inlineStr">
        <is>
          <t>A 35895-2023</t>
        </is>
      </c>
      <c r="B644" s="1" t="n">
        <v>45148</v>
      </c>
      <c r="C644" s="1" t="n">
        <v>46129</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61569-2023</t>
        </is>
      </c>
      <c r="B645" s="1" t="n">
        <v>45265</v>
      </c>
      <c r="C645" s="1" t="n">
        <v>46129</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54763-2025</t>
        </is>
      </c>
      <c r="B646" s="1" t="n">
        <v>45966.60167824074</v>
      </c>
      <c r="C646" s="1" t="n">
        <v>46129</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52235-2021</t>
        </is>
      </c>
      <c r="B647" s="1" t="n">
        <v>44463.60085648148</v>
      </c>
      <c r="C647" s="1" t="n">
        <v>46129</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27297-2023</t>
        </is>
      </c>
      <c r="B648" s="1" t="n">
        <v>45096</v>
      </c>
      <c r="C648" s="1" t="n">
        <v>46129</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62417-2025</t>
        </is>
      </c>
      <c r="B649" s="1" t="n">
        <v>46007</v>
      </c>
      <c r="C649" s="1" t="n">
        <v>46129</v>
      </c>
      <c r="D649" t="inlineStr">
        <is>
          <t>SKÅNE LÄN</t>
        </is>
      </c>
      <c r="E649" t="inlineStr">
        <is>
          <t>HÄSSLEHOLM</t>
        </is>
      </c>
      <c r="G649" t="n">
        <v>2</v>
      </c>
      <c r="H649" t="n">
        <v>0</v>
      </c>
      <c r="I649" t="n">
        <v>0</v>
      </c>
      <c r="J649" t="n">
        <v>0</v>
      </c>
      <c r="K649" t="n">
        <v>0</v>
      </c>
      <c r="L649" t="n">
        <v>0</v>
      </c>
      <c r="M649" t="n">
        <v>0</v>
      </c>
      <c r="N649" t="n">
        <v>0</v>
      </c>
      <c r="O649" t="n">
        <v>0</v>
      </c>
      <c r="P649" t="n">
        <v>0</v>
      </c>
      <c r="Q649" t="n">
        <v>0</v>
      </c>
      <c r="R649" s="2" t="inlineStr"/>
    </row>
    <row r="650" ht="15" customHeight="1">
      <c r="A650" t="inlineStr">
        <is>
          <t>A 54668-2025</t>
        </is>
      </c>
      <c r="B650" s="1" t="n">
        <v>45966.40803240741</v>
      </c>
      <c r="C650" s="1" t="n">
        <v>46129</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9747-2024</t>
        </is>
      </c>
      <c r="B651" s="1" t="n">
        <v>45362</v>
      </c>
      <c r="C651" s="1" t="n">
        <v>46129</v>
      </c>
      <c r="D651" t="inlineStr">
        <is>
          <t>SKÅNE LÄN</t>
        </is>
      </c>
      <c r="E651" t="inlineStr">
        <is>
          <t>HÄSSLEHOLM</t>
        </is>
      </c>
      <c r="G651" t="n">
        <v>1.8</v>
      </c>
      <c r="H651" t="n">
        <v>0</v>
      </c>
      <c r="I651" t="n">
        <v>0</v>
      </c>
      <c r="J651" t="n">
        <v>0</v>
      </c>
      <c r="K651" t="n">
        <v>0</v>
      </c>
      <c r="L651" t="n">
        <v>0</v>
      </c>
      <c r="M651" t="n">
        <v>0</v>
      </c>
      <c r="N651" t="n">
        <v>0</v>
      </c>
      <c r="O651" t="n">
        <v>0</v>
      </c>
      <c r="P651" t="n">
        <v>0</v>
      </c>
      <c r="Q651" t="n">
        <v>0</v>
      </c>
      <c r="R651" s="2" t="inlineStr"/>
    </row>
    <row r="652" ht="15" customHeight="1">
      <c r="A652" t="inlineStr">
        <is>
          <t>A 54471-2023</t>
        </is>
      </c>
      <c r="B652" s="1" t="n">
        <v>45233.4640162037</v>
      </c>
      <c r="C652" s="1" t="n">
        <v>46129</v>
      </c>
      <c r="D652" t="inlineStr">
        <is>
          <t>SKÅNE LÄN</t>
        </is>
      </c>
      <c r="E652" t="inlineStr">
        <is>
          <t>HÄSSLEHOLM</t>
        </is>
      </c>
      <c r="G652" t="n">
        <v>1.4</v>
      </c>
      <c r="H652" t="n">
        <v>0</v>
      </c>
      <c r="I652" t="n">
        <v>0</v>
      </c>
      <c r="J652" t="n">
        <v>0</v>
      </c>
      <c r="K652" t="n">
        <v>0</v>
      </c>
      <c r="L652" t="n">
        <v>0</v>
      </c>
      <c r="M652" t="n">
        <v>0</v>
      </c>
      <c r="N652" t="n">
        <v>0</v>
      </c>
      <c r="O652" t="n">
        <v>0</v>
      </c>
      <c r="P652" t="n">
        <v>0</v>
      </c>
      <c r="Q652" t="n">
        <v>0</v>
      </c>
      <c r="R652" s="2" t="inlineStr"/>
    </row>
    <row r="653" ht="15" customHeight="1">
      <c r="A653" t="inlineStr">
        <is>
          <t>A 55268-2025</t>
        </is>
      </c>
      <c r="B653" s="1" t="n">
        <v>45968.6715625</v>
      </c>
      <c r="C653" s="1" t="n">
        <v>46129</v>
      </c>
      <c r="D653" t="inlineStr">
        <is>
          <t>SKÅNE LÄN</t>
        </is>
      </c>
      <c r="E653" t="inlineStr">
        <is>
          <t>HÄSSLEHOLM</t>
        </is>
      </c>
      <c r="G653" t="n">
        <v>2.8</v>
      </c>
      <c r="H653" t="n">
        <v>0</v>
      </c>
      <c r="I653" t="n">
        <v>0</v>
      </c>
      <c r="J653" t="n">
        <v>0</v>
      </c>
      <c r="K653" t="n">
        <v>0</v>
      </c>
      <c r="L653" t="n">
        <v>0</v>
      </c>
      <c r="M653" t="n">
        <v>0</v>
      </c>
      <c r="N653" t="n">
        <v>0</v>
      </c>
      <c r="O653" t="n">
        <v>0</v>
      </c>
      <c r="P653" t="n">
        <v>0</v>
      </c>
      <c r="Q653" t="n">
        <v>0</v>
      </c>
      <c r="R653" s="2" t="inlineStr"/>
    </row>
    <row r="654" ht="15" customHeight="1">
      <c r="A654" t="inlineStr">
        <is>
          <t>A 55549-2025</t>
        </is>
      </c>
      <c r="B654" s="1" t="n">
        <v>45971.63805555556</v>
      </c>
      <c r="C654" s="1" t="n">
        <v>46129</v>
      </c>
      <c r="D654" t="inlineStr">
        <is>
          <t>SKÅNE LÄN</t>
        </is>
      </c>
      <c r="E654" t="inlineStr">
        <is>
          <t>HÄSSLEHOLM</t>
        </is>
      </c>
      <c r="G654" t="n">
        <v>2.6</v>
      </c>
      <c r="H654" t="n">
        <v>0</v>
      </c>
      <c r="I654" t="n">
        <v>0</v>
      </c>
      <c r="J654" t="n">
        <v>0</v>
      </c>
      <c r="K654" t="n">
        <v>0</v>
      </c>
      <c r="L654" t="n">
        <v>0</v>
      </c>
      <c r="M654" t="n">
        <v>0</v>
      </c>
      <c r="N654" t="n">
        <v>0</v>
      </c>
      <c r="O654" t="n">
        <v>0</v>
      </c>
      <c r="P654" t="n">
        <v>0</v>
      </c>
      <c r="Q654" t="n">
        <v>0</v>
      </c>
      <c r="R654" s="2" t="inlineStr"/>
    </row>
    <row r="655" ht="15" customHeight="1">
      <c r="A655" t="inlineStr">
        <is>
          <t>A 50607-2023</t>
        </is>
      </c>
      <c r="B655" s="1" t="n">
        <v>45210</v>
      </c>
      <c r="C655" s="1" t="n">
        <v>46129</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38148-2022</t>
        </is>
      </c>
      <c r="B656" s="1" t="n">
        <v>44811</v>
      </c>
      <c r="C656" s="1" t="n">
        <v>46129</v>
      </c>
      <c r="D656" t="inlineStr">
        <is>
          <t>SKÅNE LÄN</t>
        </is>
      </c>
      <c r="E656" t="inlineStr">
        <is>
          <t>HÄSSLEHOLM</t>
        </is>
      </c>
      <c r="G656" t="n">
        <v>0.5</v>
      </c>
      <c r="H656" t="n">
        <v>0</v>
      </c>
      <c r="I656" t="n">
        <v>0</v>
      </c>
      <c r="J656" t="n">
        <v>0</v>
      </c>
      <c r="K656" t="n">
        <v>0</v>
      </c>
      <c r="L656" t="n">
        <v>0</v>
      </c>
      <c r="M656" t="n">
        <v>0</v>
      </c>
      <c r="N656" t="n">
        <v>0</v>
      </c>
      <c r="O656" t="n">
        <v>0</v>
      </c>
      <c r="P656" t="n">
        <v>0</v>
      </c>
      <c r="Q656" t="n">
        <v>0</v>
      </c>
      <c r="R656" s="2" t="inlineStr"/>
    </row>
    <row r="657" ht="15" customHeight="1">
      <c r="A657" t="inlineStr">
        <is>
          <t>A 27349-2025</t>
        </is>
      </c>
      <c r="B657" s="1" t="n">
        <v>45812</v>
      </c>
      <c r="C657" s="1" t="n">
        <v>46129</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34342-2021</t>
        </is>
      </c>
      <c r="B658" s="1" t="n">
        <v>44379</v>
      </c>
      <c r="C658" s="1" t="n">
        <v>46129</v>
      </c>
      <c r="D658" t="inlineStr">
        <is>
          <t>SKÅNE LÄN</t>
        </is>
      </c>
      <c r="E658" t="inlineStr">
        <is>
          <t>HÄSSLEHOLM</t>
        </is>
      </c>
      <c r="G658" t="n">
        <v>7</v>
      </c>
      <c r="H658" t="n">
        <v>0</v>
      </c>
      <c r="I658" t="n">
        <v>0</v>
      </c>
      <c r="J658" t="n">
        <v>0</v>
      </c>
      <c r="K658" t="n">
        <v>0</v>
      </c>
      <c r="L658" t="n">
        <v>0</v>
      </c>
      <c r="M658" t="n">
        <v>0</v>
      </c>
      <c r="N658" t="n">
        <v>0</v>
      </c>
      <c r="O658" t="n">
        <v>0</v>
      </c>
      <c r="P658" t="n">
        <v>0</v>
      </c>
      <c r="Q658" t="n">
        <v>0</v>
      </c>
      <c r="R658" s="2" t="inlineStr"/>
    </row>
    <row r="659" ht="15" customHeight="1">
      <c r="A659" t="inlineStr">
        <is>
          <t>A 31944-2023</t>
        </is>
      </c>
      <c r="B659" s="1" t="n">
        <v>45119.34895833334</v>
      </c>
      <c r="C659" s="1" t="n">
        <v>46129</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1706-2025</t>
        </is>
      </c>
      <c r="B660" s="1" t="n">
        <v>45670</v>
      </c>
      <c r="C660" s="1" t="n">
        <v>46129</v>
      </c>
      <c r="D660" t="inlineStr">
        <is>
          <t>SKÅNE LÄN</t>
        </is>
      </c>
      <c r="E660" t="inlineStr">
        <is>
          <t>HÄSSLEHOLM</t>
        </is>
      </c>
      <c r="G660" t="n">
        <v>5</v>
      </c>
      <c r="H660" t="n">
        <v>0</v>
      </c>
      <c r="I660" t="n">
        <v>0</v>
      </c>
      <c r="J660" t="n">
        <v>0</v>
      </c>
      <c r="K660" t="n">
        <v>0</v>
      </c>
      <c r="L660" t="n">
        <v>0</v>
      </c>
      <c r="M660" t="n">
        <v>0</v>
      </c>
      <c r="N660" t="n">
        <v>0</v>
      </c>
      <c r="O660" t="n">
        <v>0</v>
      </c>
      <c r="P660" t="n">
        <v>0</v>
      </c>
      <c r="Q660" t="n">
        <v>0</v>
      </c>
      <c r="R660" s="2" t="inlineStr"/>
    </row>
    <row r="661" ht="15" customHeight="1">
      <c r="A661" t="inlineStr">
        <is>
          <t>A 1557-2023</t>
        </is>
      </c>
      <c r="B661" s="1" t="n">
        <v>44937</v>
      </c>
      <c r="C661" s="1" t="n">
        <v>46129</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63415-2025</t>
        </is>
      </c>
      <c r="B662" s="1" t="n">
        <v>46013.32163194445</v>
      </c>
      <c r="C662" s="1" t="n">
        <v>46129</v>
      </c>
      <c r="D662" t="inlineStr">
        <is>
          <t>SKÅNE LÄN</t>
        </is>
      </c>
      <c r="E662" t="inlineStr">
        <is>
          <t>HÄSSLEHOLM</t>
        </is>
      </c>
      <c r="G662" t="n">
        <v>1.3</v>
      </c>
      <c r="H662" t="n">
        <v>0</v>
      </c>
      <c r="I662" t="n">
        <v>0</v>
      </c>
      <c r="J662" t="n">
        <v>0</v>
      </c>
      <c r="K662" t="n">
        <v>0</v>
      </c>
      <c r="L662" t="n">
        <v>0</v>
      </c>
      <c r="M662" t="n">
        <v>0</v>
      </c>
      <c r="N662" t="n">
        <v>0</v>
      </c>
      <c r="O662" t="n">
        <v>0</v>
      </c>
      <c r="P662" t="n">
        <v>0</v>
      </c>
      <c r="Q662" t="n">
        <v>0</v>
      </c>
      <c r="R662" s="2" t="inlineStr"/>
    </row>
    <row r="663" ht="15" customHeight="1">
      <c r="A663" t="inlineStr">
        <is>
          <t>A 63416-2025</t>
        </is>
      </c>
      <c r="B663" s="1" t="n">
        <v>46013.3232175926</v>
      </c>
      <c r="C663" s="1" t="n">
        <v>46129</v>
      </c>
      <c r="D663" t="inlineStr">
        <is>
          <t>SKÅNE LÄN</t>
        </is>
      </c>
      <c r="E663" t="inlineStr">
        <is>
          <t>HÄSSLEHOLM</t>
        </is>
      </c>
      <c r="G663" t="n">
        <v>1.9</v>
      </c>
      <c r="H663" t="n">
        <v>0</v>
      </c>
      <c r="I663" t="n">
        <v>0</v>
      </c>
      <c r="J663" t="n">
        <v>0</v>
      </c>
      <c r="K663" t="n">
        <v>0</v>
      </c>
      <c r="L663" t="n">
        <v>0</v>
      </c>
      <c r="M663" t="n">
        <v>0</v>
      </c>
      <c r="N663" t="n">
        <v>0</v>
      </c>
      <c r="O663" t="n">
        <v>0</v>
      </c>
      <c r="P663" t="n">
        <v>0</v>
      </c>
      <c r="Q663" t="n">
        <v>0</v>
      </c>
      <c r="R663" s="2" t="inlineStr"/>
    </row>
    <row r="664" ht="15" customHeight="1">
      <c r="A664" t="inlineStr">
        <is>
          <t>A 63510-2025</t>
        </is>
      </c>
      <c r="B664" s="1" t="n">
        <v>46013.49172453704</v>
      </c>
      <c r="C664" s="1" t="n">
        <v>46129</v>
      </c>
      <c r="D664" t="inlineStr">
        <is>
          <t>SKÅNE LÄN</t>
        </is>
      </c>
      <c r="E664" t="inlineStr">
        <is>
          <t>HÄSSLEHOLM</t>
        </is>
      </c>
      <c r="F664" t="inlineStr">
        <is>
          <t>Kommuner</t>
        </is>
      </c>
      <c r="G664" t="n">
        <v>2</v>
      </c>
      <c r="H664" t="n">
        <v>0</v>
      </c>
      <c r="I664" t="n">
        <v>0</v>
      </c>
      <c r="J664" t="n">
        <v>0</v>
      </c>
      <c r="K664" t="n">
        <v>0</v>
      </c>
      <c r="L664" t="n">
        <v>0</v>
      </c>
      <c r="M664" t="n">
        <v>0</v>
      </c>
      <c r="N664" t="n">
        <v>0</v>
      </c>
      <c r="O664" t="n">
        <v>0</v>
      </c>
      <c r="P664" t="n">
        <v>0</v>
      </c>
      <c r="Q664" t="n">
        <v>0</v>
      </c>
      <c r="R664" s="2" t="inlineStr"/>
    </row>
    <row r="665" ht="15" customHeight="1">
      <c r="A665" t="inlineStr">
        <is>
          <t>A 55056-2021</t>
        </is>
      </c>
      <c r="B665" s="1" t="n">
        <v>44474.62072916667</v>
      </c>
      <c r="C665" s="1" t="n">
        <v>46129</v>
      </c>
      <c r="D665" t="inlineStr">
        <is>
          <t>SKÅNE LÄN</t>
        </is>
      </c>
      <c r="E665" t="inlineStr">
        <is>
          <t>HÄSSLEHOLM</t>
        </is>
      </c>
      <c r="G665" t="n">
        <v>2.5</v>
      </c>
      <c r="H665" t="n">
        <v>0</v>
      </c>
      <c r="I665" t="n">
        <v>0</v>
      </c>
      <c r="J665" t="n">
        <v>0</v>
      </c>
      <c r="K665" t="n">
        <v>0</v>
      </c>
      <c r="L665" t="n">
        <v>0</v>
      </c>
      <c r="M665" t="n">
        <v>0</v>
      </c>
      <c r="N665" t="n">
        <v>0</v>
      </c>
      <c r="O665" t="n">
        <v>0</v>
      </c>
      <c r="P665" t="n">
        <v>0</v>
      </c>
      <c r="Q665" t="n">
        <v>0</v>
      </c>
      <c r="R665" s="2" t="inlineStr"/>
    </row>
    <row r="666" ht="15" customHeight="1">
      <c r="A666" t="inlineStr">
        <is>
          <t>A 63354-2025</t>
        </is>
      </c>
      <c r="B666" s="1" t="n">
        <v>46010.66957175926</v>
      </c>
      <c r="C666" s="1" t="n">
        <v>46129</v>
      </c>
      <c r="D666" t="inlineStr">
        <is>
          <t>SKÅNE LÄN</t>
        </is>
      </c>
      <c r="E666" t="inlineStr">
        <is>
          <t>HÄSSLEHOLM</t>
        </is>
      </c>
      <c r="G666" t="n">
        <v>1.3</v>
      </c>
      <c r="H666" t="n">
        <v>0</v>
      </c>
      <c r="I666" t="n">
        <v>0</v>
      </c>
      <c r="J666" t="n">
        <v>0</v>
      </c>
      <c r="K666" t="n">
        <v>0</v>
      </c>
      <c r="L666" t="n">
        <v>0</v>
      </c>
      <c r="M666" t="n">
        <v>0</v>
      </c>
      <c r="N666" t="n">
        <v>0</v>
      </c>
      <c r="O666" t="n">
        <v>0</v>
      </c>
      <c r="P666" t="n">
        <v>0</v>
      </c>
      <c r="Q666" t="n">
        <v>0</v>
      </c>
      <c r="R666" s="2" t="inlineStr"/>
    </row>
    <row r="667" ht="15" customHeight="1">
      <c r="A667" t="inlineStr">
        <is>
          <t>A 63487-2025</t>
        </is>
      </c>
      <c r="B667" s="1" t="n">
        <v>46013.46878472222</v>
      </c>
      <c r="C667" s="1" t="n">
        <v>46129</v>
      </c>
      <c r="D667" t="inlineStr">
        <is>
          <t>SKÅNE LÄN</t>
        </is>
      </c>
      <c r="E667" t="inlineStr">
        <is>
          <t>HÄSSLEHOLM</t>
        </is>
      </c>
      <c r="F667" t="inlineStr">
        <is>
          <t>Kommuner</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63414-2025</t>
        </is>
      </c>
      <c r="B668" s="1" t="n">
        <v>46013.32008101852</v>
      </c>
      <c r="C668" s="1" t="n">
        <v>46129</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63284-2025</t>
        </is>
      </c>
      <c r="B669" s="1" t="n">
        <v>46010</v>
      </c>
      <c r="C669" s="1" t="n">
        <v>46129</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13544-2025</t>
        </is>
      </c>
      <c r="B670" s="1" t="n">
        <v>45736</v>
      </c>
      <c r="C670" s="1" t="n">
        <v>46129</v>
      </c>
      <c r="D670" t="inlineStr">
        <is>
          <t>SKÅNE LÄN</t>
        </is>
      </c>
      <c r="E670" t="inlineStr">
        <is>
          <t>HÄSSLEHOLM</t>
        </is>
      </c>
      <c r="G670" t="n">
        <v>2.5</v>
      </c>
      <c r="H670" t="n">
        <v>0</v>
      </c>
      <c r="I670" t="n">
        <v>0</v>
      </c>
      <c r="J670" t="n">
        <v>0</v>
      </c>
      <c r="K670" t="n">
        <v>0</v>
      </c>
      <c r="L670" t="n">
        <v>0</v>
      </c>
      <c r="M670" t="n">
        <v>0</v>
      </c>
      <c r="N670" t="n">
        <v>0</v>
      </c>
      <c r="O670" t="n">
        <v>0</v>
      </c>
      <c r="P670" t="n">
        <v>0</v>
      </c>
      <c r="Q670" t="n">
        <v>0</v>
      </c>
      <c r="R670" s="2" t="inlineStr"/>
    </row>
    <row r="671" ht="15" customHeight="1">
      <c r="A671" t="inlineStr">
        <is>
          <t>A 47422-2025</t>
        </is>
      </c>
      <c r="B671" s="1" t="n">
        <v>45930</v>
      </c>
      <c r="C671" s="1" t="n">
        <v>46129</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8755-2024</t>
        </is>
      </c>
      <c r="B672" s="1" t="n">
        <v>45356</v>
      </c>
      <c r="C672" s="1" t="n">
        <v>46129</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8760-2024</t>
        </is>
      </c>
      <c r="B673" s="1" t="n">
        <v>45356.53420138889</v>
      </c>
      <c r="C673" s="1" t="n">
        <v>46129</v>
      </c>
      <c r="D673" t="inlineStr">
        <is>
          <t>SKÅNE LÄN</t>
        </is>
      </c>
      <c r="E673" t="inlineStr">
        <is>
          <t>HÄSSLEHOLM</t>
        </is>
      </c>
      <c r="G673" t="n">
        <v>6.1</v>
      </c>
      <c r="H673" t="n">
        <v>0</v>
      </c>
      <c r="I673" t="n">
        <v>0</v>
      </c>
      <c r="J673" t="n">
        <v>0</v>
      </c>
      <c r="K673" t="n">
        <v>0</v>
      </c>
      <c r="L673" t="n">
        <v>0</v>
      </c>
      <c r="M673" t="n">
        <v>0</v>
      </c>
      <c r="N673" t="n">
        <v>0</v>
      </c>
      <c r="O673" t="n">
        <v>0</v>
      </c>
      <c r="P673" t="n">
        <v>0</v>
      </c>
      <c r="Q673" t="n">
        <v>0</v>
      </c>
      <c r="R673" s="2" t="inlineStr"/>
    </row>
    <row r="674" ht="15" customHeight="1">
      <c r="A674" t="inlineStr">
        <is>
          <t>A 47432-2025</t>
        </is>
      </c>
      <c r="B674" s="1" t="n">
        <v>45930</v>
      </c>
      <c r="C674" s="1" t="n">
        <v>46129</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47450-2025</t>
        </is>
      </c>
      <c r="B675" s="1" t="n">
        <v>45930</v>
      </c>
      <c r="C675" s="1" t="n">
        <v>46129</v>
      </c>
      <c r="D675" t="inlineStr">
        <is>
          <t>SKÅNE LÄN</t>
        </is>
      </c>
      <c r="E675" t="inlineStr">
        <is>
          <t>HÄSSLEHOLM</t>
        </is>
      </c>
      <c r="G675" t="n">
        <v>3.2</v>
      </c>
      <c r="H675" t="n">
        <v>0</v>
      </c>
      <c r="I675" t="n">
        <v>0</v>
      </c>
      <c r="J675" t="n">
        <v>0</v>
      </c>
      <c r="K675" t="n">
        <v>0</v>
      </c>
      <c r="L675" t="n">
        <v>0</v>
      </c>
      <c r="M675" t="n">
        <v>0</v>
      </c>
      <c r="N675" t="n">
        <v>0</v>
      </c>
      <c r="O675" t="n">
        <v>0</v>
      </c>
      <c r="P675" t="n">
        <v>0</v>
      </c>
      <c r="Q675" t="n">
        <v>0</v>
      </c>
      <c r="R675" s="2" t="inlineStr"/>
    </row>
    <row r="676" ht="15" customHeight="1">
      <c r="A676" t="inlineStr">
        <is>
          <t>A 63710-2025</t>
        </is>
      </c>
      <c r="B676" s="1" t="n">
        <v>46014.62143518519</v>
      </c>
      <c r="C676" s="1" t="n">
        <v>46129</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63712-2025</t>
        </is>
      </c>
      <c r="B677" s="1" t="n">
        <v>46014.63092592593</v>
      </c>
      <c r="C677" s="1" t="n">
        <v>46129</v>
      </c>
      <c r="D677" t="inlineStr">
        <is>
          <t>SKÅNE LÄN</t>
        </is>
      </c>
      <c r="E677" t="inlineStr">
        <is>
          <t>HÄSSLEHOLM</t>
        </is>
      </c>
      <c r="G677" t="n">
        <v>3.9</v>
      </c>
      <c r="H677" t="n">
        <v>0</v>
      </c>
      <c r="I677" t="n">
        <v>0</v>
      </c>
      <c r="J677" t="n">
        <v>0</v>
      </c>
      <c r="K677" t="n">
        <v>0</v>
      </c>
      <c r="L677" t="n">
        <v>0</v>
      </c>
      <c r="M677" t="n">
        <v>0</v>
      </c>
      <c r="N677" t="n">
        <v>0</v>
      </c>
      <c r="O677" t="n">
        <v>0</v>
      </c>
      <c r="P677" t="n">
        <v>0</v>
      </c>
      <c r="Q677" t="n">
        <v>0</v>
      </c>
      <c r="R677" s="2" t="inlineStr"/>
    </row>
    <row r="678" ht="15" customHeight="1">
      <c r="A678" t="inlineStr">
        <is>
          <t>A 63709-2025</t>
        </is>
      </c>
      <c r="B678" s="1" t="n">
        <v>46014.61700231482</v>
      </c>
      <c r="C678" s="1" t="n">
        <v>46129</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33257-2024</t>
        </is>
      </c>
      <c r="B679" s="1" t="n">
        <v>45518</v>
      </c>
      <c r="C679" s="1" t="n">
        <v>46129</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8160-2024</t>
        </is>
      </c>
      <c r="B680" s="1" t="n">
        <v>45351</v>
      </c>
      <c r="C680" s="1" t="n">
        <v>46129</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6316-2026</t>
        </is>
      </c>
      <c r="B681" s="1" t="n">
        <v>46055</v>
      </c>
      <c r="C681" s="1" t="n">
        <v>46129</v>
      </c>
      <c r="D681" t="inlineStr">
        <is>
          <t>SKÅNE LÄN</t>
        </is>
      </c>
      <c r="E681" t="inlineStr">
        <is>
          <t>HÄSSLEHOLM</t>
        </is>
      </c>
      <c r="G681" t="n">
        <v>2.3</v>
      </c>
      <c r="H681" t="n">
        <v>0</v>
      </c>
      <c r="I681" t="n">
        <v>0</v>
      </c>
      <c r="J681" t="n">
        <v>0</v>
      </c>
      <c r="K681" t="n">
        <v>0</v>
      </c>
      <c r="L681" t="n">
        <v>0</v>
      </c>
      <c r="M681" t="n">
        <v>0</v>
      </c>
      <c r="N681" t="n">
        <v>0</v>
      </c>
      <c r="O681" t="n">
        <v>0</v>
      </c>
      <c r="P681" t="n">
        <v>0</v>
      </c>
      <c r="Q681" t="n">
        <v>0</v>
      </c>
      <c r="R681" s="2" t="inlineStr"/>
    </row>
    <row r="682" ht="15" customHeight="1">
      <c r="A682" t="inlineStr">
        <is>
          <t>A 6328-2026</t>
        </is>
      </c>
      <c r="B682" s="1" t="n">
        <v>46055</v>
      </c>
      <c r="C682" s="1" t="n">
        <v>46129</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24865-2024</t>
        </is>
      </c>
      <c r="B683" s="1" t="n">
        <v>45461.48974537037</v>
      </c>
      <c r="C683" s="1" t="n">
        <v>46129</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58272-2024</t>
        </is>
      </c>
      <c r="B684" s="1" t="n">
        <v>45632.57025462963</v>
      </c>
      <c r="C684" s="1" t="n">
        <v>46129</v>
      </c>
      <c r="D684" t="inlineStr">
        <is>
          <t>SKÅNE LÄN</t>
        </is>
      </c>
      <c r="E684" t="inlineStr">
        <is>
          <t>HÄSSLEHOLM</t>
        </is>
      </c>
      <c r="G684" t="n">
        <v>2.3</v>
      </c>
      <c r="H684" t="n">
        <v>0</v>
      </c>
      <c r="I684" t="n">
        <v>0</v>
      </c>
      <c r="J684" t="n">
        <v>0</v>
      </c>
      <c r="K684" t="n">
        <v>0</v>
      </c>
      <c r="L684" t="n">
        <v>0</v>
      </c>
      <c r="M684" t="n">
        <v>0</v>
      </c>
      <c r="N684" t="n">
        <v>0</v>
      </c>
      <c r="O684" t="n">
        <v>0</v>
      </c>
      <c r="P684" t="n">
        <v>0</v>
      </c>
      <c r="Q684" t="n">
        <v>0</v>
      </c>
      <c r="R684" s="2" t="inlineStr"/>
    </row>
    <row r="685" ht="15" customHeight="1">
      <c r="A685" t="inlineStr">
        <is>
          <t>A 18580-2023</t>
        </is>
      </c>
      <c r="B685" s="1" t="n">
        <v>45043.37037037037</v>
      </c>
      <c r="C685" s="1" t="n">
        <v>46129</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9611-2025</t>
        </is>
      </c>
      <c r="B686" s="1" t="n">
        <v>45715</v>
      </c>
      <c r="C686" s="1" t="n">
        <v>46129</v>
      </c>
      <c r="D686" t="inlineStr">
        <is>
          <t>SKÅNE LÄN</t>
        </is>
      </c>
      <c r="E686" t="inlineStr">
        <is>
          <t>HÄSSLEHOLM</t>
        </is>
      </c>
      <c r="G686" t="n">
        <v>2.1</v>
      </c>
      <c r="H686" t="n">
        <v>0</v>
      </c>
      <c r="I686" t="n">
        <v>0</v>
      </c>
      <c r="J686" t="n">
        <v>0</v>
      </c>
      <c r="K686" t="n">
        <v>0</v>
      </c>
      <c r="L686" t="n">
        <v>0</v>
      </c>
      <c r="M686" t="n">
        <v>0</v>
      </c>
      <c r="N686" t="n">
        <v>0</v>
      </c>
      <c r="O686" t="n">
        <v>0</v>
      </c>
      <c r="P686" t="n">
        <v>0</v>
      </c>
      <c r="Q686" t="n">
        <v>0</v>
      </c>
      <c r="R686" s="2" t="inlineStr"/>
    </row>
    <row r="687" ht="15" customHeight="1">
      <c r="A687" t="inlineStr">
        <is>
          <t>A 24906-2022</t>
        </is>
      </c>
      <c r="B687" s="1" t="n">
        <v>44728</v>
      </c>
      <c r="C687" s="1" t="n">
        <v>46129</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3890-2024</t>
        </is>
      </c>
      <c r="B688" s="1" t="n">
        <v>45322.45366898148</v>
      </c>
      <c r="C688" s="1" t="n">
        <v>46129</v>
      </c>
      <c r="D688" t="inlineStr">
        <is>
          <t>SKÅNE LÄN</t>
        </is>
      </c>
      <c r="E688" t="inlineStr">
        <is>
          <t>HÄSSLEHOLM</t>
        </is>
      </c>
      <c r="G688" t="n">
        <v>3</v>
      </c>
      <c r="H688" t="n">
        <v>0</v>
      </c>
      <c r="I688" t="n">
        <v>0</v>
      </c>
      <c r="J688" t="n">
        <v>0</v>
      </c>
      <c r="K688" t="n">
        <v>0</v>
      </c>
      <c r="L688" t="n">
        <v>0</v>
      </c>
      <c r="M688" t="n">
        <v>0</v>
      </c>
      <c r="N688" t="n">
        <v>0</v>
      </c>
      <c r="O688" t="n">
        <v>0</v>
      </c>
      <c r="P688" t="n">
        <v>0</v>
      </c>
      <c r="Q688" t="n">
        <v>0</v>
      </c>
      <c r="R688" s="2" t="inlineStr"/>
    </row>
    <row r="689" ht="15" customHeight="1">
      <c r="A689" t="inlineStr">
        <is>
          <t>A 15800-2025</t>
        </is>
      </c>
      <c r="B689" s="1" t="n">
        <v>45748.64831018518</v>
      </c>
      <c r="C689" s="1" t="n">
        <v>46129</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47394-2025</t>
        </is>
      </c>
      <c r="B690" s="1" t="n">
        <v>45930</v>
      </c>
      <c r="C690" s="1" t="n">
        <v>46129</v>
      </c>
      <c r="D690" t="inlineStr">
        <is>
          <t>SKÅNE LÄN</t>
        </is>
      </c>
      <c r="E690" t="inlineStr">
        <is>
          <t>HÄSSLEHOLM</t>
        </is>
      </c>
      <c r="G690" t="n">
        <v>2.4</v>
      </c>
      <c r="H690" t="n">
        <v>0</v>
      </c>
      <c r="I690" t="n">
        <v>0</v>
      </c>
      <c r="J690" t="n">
        <v>0</v>
      </c>
      <c r="K690" t="n">
        <v>0</v>
      </c>
      <c r="L690" t="n">
        <v>0</v>
      </c>
      <c r="M690" t="n">
        <v>0</v>
      </c>
      <c r="N690" t="n">
        <v>0</v>
      </c>
      <c r="O690" t="n">
        <v>0</v>
      </c>
      <c r="P690" t="n">
        <v>0</v>
      </c>
      <c r="Q690" t="n">
        <v>0</v>
      </c>
      <c r="R690" s="2" t="inlineStr"/>
    </row>
    <row r="691" ht="15" customHeight="1">
      <c r="A691" t="inlineStr">
        <is>
          <t>A 54426-2025</t>
        </is>
      </c>
      <c r="B691" s="1" t="n">
        <v>45965</v>
      </c>
      <c r="C691" s="1" t="n">
        <v>46129</v>
      </c>
      <c r="D691" t="inlineStr">
        <is>
          <t>SKÅNE LÄN</t>
        </is>
      </c>
      <c r="E691" t="inlineStr">
        <is>
          <t>HÄSSLEHOLM</t>
        </is>
      </c>
      <c r="G691" t="n">
        <v>3.7</v>
      </c>
      <c r="H691" t="n">
        <v>0</v>
      </c>
      <c r="I691" t="n">
        <v>0</v>
      </c>
      <c r="J691" t="n">
        <v>0</v>
      </c>
      <c r="K691" t="n">
        <v>0</v>
      </c>
      <c r="L691" t="n">
        <v>0</v>
      </c>
      <c r="M691" t="n">
        <v>0</v>
      </c>
      <c r="N691" t="n">
        <v>0</v>
      </c>
      <c r="O691" t="n">
        <v>0</v>
      </c>
      <c r="P691" t="n">
        <v>0</v>
      </c>
      <c r="Q691" t="n">
        <v>0</v>
      </c>
      <c r="R691" s="2" t="inlineStr"/>
    </row>
    <row r="692" ht="15" customHeight="1">
      <c r="A692" t="inlineStr">
        <is>
          <t>A 13897-2024</t>
        </is>
      </c>
      <c r="B692" s="1" t="n">
        <v>45391</v>
      </c>
      <c r="C692" s="1" t="n">
        <v>46129</v>
      </c>
      <c r="D692" t="inlineStr">
        <is>
          <t>SKÅNE LÄN</t>
        </is>
      </c>
      <c r="E692" t="inlineStr">
        <is>
          <t>HÄSSLEHOLM</t>
        </is>
      </c>
      <c r="F692" t="inlineStr">
        <is>
          <t>Kommuner</t>
        </is>
      </c>
      <c r="G692" t="n">
        <v>4</v>
      </c>
      <c r="H692" t="n">
        <v>0</v>
      </c>
      <c r="I692" t="n">
        <v>0</v>
      </c>
      <c r="J692" t="n">
        <v>0</v>
      </c>
      <c r="K692" t="n">
        <v>0</v>
      </c>
      <c r="L692" t="n">
        <v>0</v>
      </c>
      <c r="M692" t="n">
        <v>0</v>
      </c>
      <c r="N692" t="n">
        <v>0</v>
      </c>
      <c r="O692" t="n">
        <v>0</v>
      </c>
      <c r="P692" t="n">
        <v>0</v>
      </c>
      <c r="Q692" t="n">
        <v>0</v>
      </c>
      <c r="R692" s="2" t="inlineStr"/>
    </row>
    <row r="693" ht="15" customHeight="1">
      <c r="A693" t="inlineStr">
        <is>
          <t>A 56355-2023</t>
        </is>
      </c>
      <c r="B693" s="1" t="n">
        <v>45243.3702662037</v>
      </c>
      <c r="C693" s="1" t="n">
        <v>46129</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706-2026</t>
        </is>
      </c>
      <c r="B694" s="1" t="n">
        <v>46029.61739583333</v>
      </c>
      <c r="C694" s="1" t="n">
        <v>46129</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47352-2025</t>
        </is>
      </c>
      <c r="B695" s="1" t="n">
        <v>45930</v>
      </c>
      <c r="C695" s="1" t="n">
        <v>46129</v>
      </c>
      <c r="D695" t="inlineStr">
        <is>
          <t>SKÅNE LÄN</t>
        </is>
      </c>
      <c r="E695" t="inlineStr">
        <is>
          <t>HÄSSLEHOLM</t>
        </is>
      </c>
      <c r="G695" t="n">
        <v>16.6</v>
      </c>
      <c r="H695" t="n">
        <v>0</v>
      </c>
      <c r="I695" t="n">
        <v>0</v>
      </c>
      <c r="J695" t="n">
        <v>0</v>
      </c>
      <c r="K695" t="n">
        <v>0</v>
      </c>
      <c r="L695" t="n">
        <v>0</v>
      </c>
      <c r="M695" t="n">
        <v>0</v>
      </c>
      <c r="N695" t="n">
        <v>0</v>
      </c>
      <c r="O695" t="n">
        <v>0</v>
      </c>
      <c r="P695" t="n">
        <v>0</v>
      </c>
      <c r="Q695" t="n">
        <v>0</v>
      </c>
      <c r="R695" s="2" t="inlineStr"/>
    </row>
    <row r="696" ht="15" customHeight="1">
      <c r="A696" t="inlineStr">
        <is>
          <t>A 59246-2024</t>
        </is>
      </c>
      <c r="B696" s="1" t="n">
        <v>45636</v>
      </c>
      <c r="C696" s="1" t="n">
        <v>46129</v>
      </c>
      <c r="D696" t="inlineStr">
        <is>
          <t>SKÅNE LÄN</t>
        </is>
      </c>
      <c r="E696" t="inlineStr">
        <is>
          <t>HÄSSLEHOLM</t>
        </is>
      </c>
      <c r="G696" t="n">
        <v>2.6</v>
      </c>
      <c r="H696" t="n">
        <v>0</v>
      </c>
      <c r="I696" t="n">
        <v>0</v>
      </c>
      <c r="J696" t="n">
        <v>0</v>
      </c>
      <c r="K696" t="n">
        <v>0</v>
      </c>
      <c r="L696" t="n">
        <v>0</v>
      </c>
      <c r="M696" t="n">
        <v>0</v>
      </c>
      <c r="N696" t="n">
        <v>0</v>
      </c>
      <c r="O696" t="n">
        <v>0</v>
      </c>
      <c r="P696" t="n">
        <v>0</v>
      </c>
      <c r="Q696" t="n">
        <v>0</v>
      </c>
      <c r="R696" s="2" t="inlineStr"/>
    </row>
    <row r="697" ht="15" customHeight="1">
      <c r="A697" t="inlineStr">
        <is>
          <t>A 20800-2023</t>
        </is>
      </c>
      <c r="B697" s="1" t="n">
        <v>45058.61640046296</v>
      </c>
      <c r="C697" s="1" t="n">
        <v>46129</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11019-2025</t>
        </is>
      </c>
      <c r="B698" s="1" t="n">
        <v>45723</v>
      </c>
      <c r="C698" s="1" t="n">
        <v>46129</v>
      </c>
      <c r="D698" t="inlineStr">
        <is>
          <t>SKÅNE LÄN</t>
        </is>
      </c>
      <c r="E698" t="inlineStr">
        <is>
          <t>HÄSSLEHOLM</t>
        </is>
      </c>
      <c r="G698" t="n">
        <v>3.2</v>
      </c>
      <c r="H698" t="n">
        <v>0</v>
      </c>
      <c r="I698" t="n">
        <v>0</v>
      </c>
      <c r="J698" t="n">
        <v>0</v>
      </c>
      <c r="K698" t="n">
        <v>0</v>
      </c>
      <c r="L698" t="n">
        <v>0</v>
      </c>
      <c r="M698" t="n">
        <v>0</v>
      </c>
      <c r="N698" t="n">
        <v>0</v>
      </c>
      <c r="O698" t="n">
        <v>0</v>
      </c>
      <c r="P698" t="n">
        <v>0</v>
      </c>
      <c r="Q698" t="n">
        <v>0</v>
      </c>
      <c r="R698" s="2" t="inlineStr"/>
    </row>
    <row r="699" ht="15" customHeight="1">
      <c r="A699" t="inlineStr">
        <is>
          <t>A 11681-2023</t>
        </is>
      </c>
      <c r="B699" s="1" t="n">
        <v>44992</v>
      </c>
      <c r="C699" s="1" t="n">
        <v>46129</v>
      </c>
      <c r="D699" t="inlineStr">
        <is>
          <t>SKÅNE LÄN</t>
        </is>
      </c>
      <c r="E699" t="inlineStr">
        <is>
          <t>HÄSSLEHOLM</t>
        </is>
      </c>
      <c r="F699" t="inlineStr">
        <is>
          <t>Övriga Aktiebolag</t>
        </is>
      </c>
      <c r="G699" t="n">
        <v>1.6</v>
      </c>
      <c r="H699" t="n">
        <v>0</v>
      </c>
      <c r="I699" t="n">
        <v>0</v>
      </c>
      <c r="J699" t="n">
        <v>0</v>
      </c>
      <c r="K699" t="n">
        <v>0</v>
      </c>
      <c r="L699" t="n">
        <v>0</v>
      </c>
      <c r="M699" t="n">
        <v>0</v>
      </c>
      <c r="N699" t="n">
        <v>0</v>
      </c>
      <c r="O699" t="n">
        <v>0</v>
      </c>
      <c r="P699" t="n">
        <v>0</v>
      </c>
      <c r="Q699" t="n">
        <v>0</v>
      </c>
      <c r="R699" s="2" t="inlineStr"/>
    </row>
    <row r="700" ht="15" customHeight="1">
      <c r="A700" t="inlineStr">
        <is>
          <t>A 33927-2021</t>
        </is>
      </c>
      <c r="B700" s="1" t="n">
        <v>44378</v>
      </c>
      <c r="C700" s="1" t="n">
        <v>46129</v>
      </c>
      <c r="D700" t="inlineStr">
        <is>
          <t>SKÅNE LÄN</t>
        </is>
      </c>
      <c r="E700" t="inlineStr">
        <is>
          <t>HÄSSLEHOLM</t>
        </is>
      </c>
      <c r="G700" t="n">
        <v>16.7</v>
      </c>
      <c r="H700" t="n">
        <v>0</v>
      </c>
      <c r="I700" t="n">
        <v>0</v>
      </c>
      <c r="J700" t="n">
        <v>0</v>
      </c>
      <c r="K700" t="n">
        <v>0</v>
      </c>
      <c r="L700" t="n">
        <v>0</v>
      </c>
      <c r="M700" t="n">
        <v>0</v>
      </c>
      <c r="N700" t="n">
        <v>0</v>
      </c>
      <c r="O700" t="n">
        <v>0</v>
      </c>
      <c r="P700" t="n">
        <v>0</v>
      </c>
      <c r="Q700" t="n">
        <v>0</v>
      </c>
      <c r="R700" s="2" t="inlineStr"/>
    </row>
    <row r="701" ht="15" customHeight="1">
      <c r="A701" t="inlineStr">
        <is>
          <t>A 7305-2025</t>
        </is>
      </c>
      <c r="B701" s="1" t="n">
        <v>45702</v>
      </c>
      <c r="C701" s="1" t="n">
        <v>46129</v>
      </c>
      <c r="D701" t="inlineStr">
        <is>
          <t>SKÅNE LÄN</t>
        </is>
      </c>
      <c r="E701" t="inlineStr">
        <is>
          <t>HÄSSLEHOLM</t>
        </is>
      </c>
      <c r="F701" t="inlineStr">
        <is>
          <t>Övriga Aktiebolag</t>
        </is>
      </c>
      <c r="G701" t="n">
        <v>2.2</v>
      </c>
      <c r="H701" t="n">
        <v>0</v>
      </c>
      <c r="I701" t="n">
        <v>0</v>
      </c>
      <c r="J701" t="n">
        <v>0</v>
      </c>
      <c r="K701" t="n">
        <v>0</v>
      </c>
      <c r="L701" t="n">
        <v>0</v>
      </c>
      <c r="M701" t="n">
        <v>0</v>
      </c>
      <c r="N701" t="n">
        <v>0</v>
      </c>
      <c r="O701" t="n">
        <v>0</v>
      </c>
      <c r="P701" t="n">
        <v>0</v>
      </c>
      <c r="Q701" t="n">
        <v>0</v>
      </c>
      <c r="R701" s="2" t="inlineStr"/>
    </row>
    <row r="702" ht="15" customHeight="1">
      <c r="A702" t="inlineStr">
        <is>
          <t>A 5116-2023</t>
        </is>
      </c>
      <c r="B702" s="1" t="n">
        <v>44958.67546296296</v>
      </c>
      <c r="C702" s="1" t="n">
        <v>46129</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42364-2023</t>
        </is>
      </c>
      <c r="B703" s="1" t="n">
        <v>45180.54754629629</v>
      </c>
      <c r="C703" s="1" t="n">
        <v>46129</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54408-2024</t>
        </is>
      </c>
      <c r="B704" s="1" t="n">
        <v>45617.47263888889</v>
      </c>
      <c r="C704" s="1" t="n">
        <v>46129</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931-2026</t>
        </is>
      </c>
      <c r="B705" s="1" t="n">
        <v>46030.51495370371</v>
      </c>
      <c r="C705" s="1" t="n">
        <v>46129</v>
      </c>
      <c r="D705" t="inlineStr">
        <is>
          <t>SKÅNE LÄN</t>
        </is>
      </c>
      <c r="E705" t="inlineStr">
        <is>
          <t>HÄSSLEHOLM</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1645-2026</t>
        </is>
      </c>
      <c r="B706" s="1" t="n">
        <v>46034.5069212963</v>
      </c>
      <c r="C706" s="1" t="n">
        <v>46129</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5780-2024</t>
        </is>
      </c>
      <c r="B707" s="1" t="n">
        <v>45335.41983796296</v>
      </c>
      <c r="C707" s="1" t="n">
        <v>46129</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1659-2026</t>
        </is>
      </c>
      <c r="B708" s="1" t="n">
        <v>46034.55335648148</v>
      </c>
      <c r="C708" s="1" t="n">
        <v>46129</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2306-2026</t>
        </is>
      </c>
      <c r="B709" s="1" t="n">
        <v>46034</v>
      </c>
      <c r="C709" s="1" t="n">
        <v>46129</v>
      </c>
      <c r="D709" t="inlineStr">
        <is>
          <t>SKÅNE LÄN</t>
        </is>
      </c>
      <c r="E709" t="inlineStr">
        <is>
          <t>HÄSSLEHOLM</t>
        </is>
      </c>
      <c r="G709" t="n">
        <v>3.4</v>
      </c>
      <c r="H709" t="n">
        <v>0</v>
      </c>
      <c r="I709" t="n">
        <v>0</v>
      </c>
      <c r="J709" t="n">
        <v>0</v>
      </c>
      <c r="K709" t="n">
        <v>0</v>
      </c>
      <c r="L709" t="n">
        <v>0</v>
      </c>
      <c r="M709" t="n">
        <v>0</v>
      </c>
      <c r="N709" t="n">
        <v>0</v>
      </c>
      <c r="O709" t="n">
        <v>0</v>
      </c>
      <c r="P709" t="n">
        <v>0</v>
      </c>
      <c r="Q709" t="n">
        <v>0</v>
      </c>
      <c r="R709" s="2" t="inlineStr"/>
    </row>
    <row r="710" ht="15" customHeight="1">
      <c r="A710" t="inlineStr">
        <is>
          <t>A 7481-2023</t>
        </is>
      </c>
      <c r="B710" s="1" t="n">
        <v>44971</v>
      </c>
      <c r="C710" s="1" t="n">
        <v>46129</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1640-2026</t>
        </is>
      </c>
      <c r="B711" s="1" t="n">
        <v>46034.4961574074</v>
      </c>
      <c r="C711" s="1" t="n">
        <v>46129</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1656-2026</t>
        </is>
      </c>
      <c r="B712" s="1" t="n">
        <v>46034.54035879629</v>
      </c>
      <c r="C712" s="1" t="n">
        <v>46129</v>
      </c>
      <c r="D712" t="inlineStr">
        <is>
          <t>SKÅNE LÄN</t>
        </is>
      </c>
      <c r="E712" t="inlineStr">
        <is>
          <t>HÄSSLEHOLM</t>
        </is>
      </c>
      <c r="G712" t="n">
        <v>1.7</v>
      </c>
      <c r="H712" t="n">
        <v>0</v>
      </c>
      <c r="I712" t="n">
        <v>0</v>
      </c>
      <c r="J712" t="n">
        <v>0</v>
      </c>
      <c r="K712" t="n">
        <v>0</v>
      </c>
      <c r="L712" t="n">
        <v>0</v>
      </c>
      <c r="M712" t="n">
        <v>0</v>
      </c>
      <c r="N712" t="n">
        <v>0</v>
      </c>
      <c r="O712" t="n">
        <v>0</v>
      </c>
      <c r="P712" t="n">
        <v>0</v>
      </c>
      <c r="Q712" t="n">
        <v>0</v>
      </c>
      <c r="R712" s="2" t="inlineStr"/>
    </row>
    <row r="713" ht="15" customHeight="1">
      <c r="A713" t="inlineStr">
        <is>
          <t>A 59728-2022</t>
        </is>
      </c>
      <c r="B713" s="1" t="n">
        <v>44900</v>
      </c>
      <c r="C713" s="1" t="n">
        <v>46129</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2617-2026</t>
        </is>
      </c>
      <c r="B714" s="1" t="n">
        <v>46035</v>
      </c>
      <c r="C714" s="1" t="n">
        <v>46129</v>
      </c>
      <c r="D714" t="inlineStr">
        <is>
          <t>SKÅNE LÄN</t>
        </is>
      </c>
      <c r="E714" t="inlineStr">
        <is>
          <t>HÄSSLEHOLM</t>
        </is>
      </c>
      <c r="F714" t="inlineStr">
        <is>
          <t>Kyrkan</t>
        </is>
      </c>
      <c r="G714" t="n">
        <v>5.5</v>
      </c>
      <c r="H714" t="n">
        <v>0</v>
      </c>
      <c r="I714" t="n">
        <v>0</v>
      </c>
      <c r="J714" t="n">
        <v>0</v>
      </c>
      <c r="K714" t="n">
        <v>0</v>
      </c>
      <c r="L714" t="n">
        <v>0</v>
      </c>
      <c r="M714" t="n">
        <v>0</v>
      </c>
      <c r="N714" t="n">
        <v>0</v>
      </c>
      <c r="O714" t="n">
        <v>0</v>
      </c>
      <c r="P714" t="n">
        <v>0</v>
      </c>
      <c r="Q714" t="n">
        <v>0</v>
      </c>
      <c r="R714" s="2" t="inlineStr"/>
    </row>
    <row r="715" ht="15" customHeight="1">
      <c r="A715" t="inlineStr">
        <is>
          <t>A 23683-2023</t>
        </is>
      </c>
      <c r="B715" s="1" t="n">
        <v>45077</v>
      </c>
      <c r="C715" s="1" t="n">
        <v>46129</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2618-2026</t>
        </is>
      </c>
      <c r="B716" s="1" t="n">
        <v>46035</v>
      </c>
      <c r="C716" s="1" t="n">
        <v>46129</v>
      </c>
      <c r="D716" t="inlineStr">
        <is>
          <t>SKÅNE LÄN</t>
        </is>
      </c>
      <c r="E716" t="inlineStr">
        <is>
          <t>HÄSSLEHOLM</t>
        </is>
      </c>
      <c r="F716" t="inlineStr">
        <is>
          <t>Kyrkan</t>
        </is>
      </c>
      <c r="G716" t="n">
        <v>4.8</v>
      </c>
      <c r="H716" t="n">
        <v>0</v>
      </c>
      <c r="I716" t="n">
        <v>0</v>
      </c>
      <c r="J716" t="n">
        <v>0</v>
      </c>
      <c r="K716" t="n">
        <v>0</v>
      </c>
      <c r="L716" t="n">
        <v>0</v>
      </c>
      <c r="M716" t="n">
        <v>0</v>
      </c>
      <c r="N716" t="n">
        <v>0</v>
      </c>
      <c r="O716" t="n">
        <v>0</v>
      </c>
      <c r="P716" t="n">
        <v>0</v>
      </c>
      <c r="Q716" t="n">
        <v>0</v>
      </c>
      <c r="R716" s="2" t="inlineStr"/>
    </row>
    <row r="717" ht="15" customHeight="1">
      <c r="A717" t="inlineStr">
        <is>
          <t>A 2663-2023</t>
        </is>
      </c>
      <c r="B717" s="1" t="n">
        <v>44942</v>
      </c>
      <c r="C717" s="1" t="n">
        <v>46129</v>
      </c>
      <c r="D717" t="inlineStr">
        <is>
          <t>SKÅNE LÄN</t>
        </is>
      </c>
      <c r="E717" t="inlineStr">
        <is>
          <t>HÄSSLEHOLM</t>
        </is>
      </c>
      <c r="F717" t="inlineStr">
        <is>
          <t>Kyrkan</t>
        </is>
      </c>
      <c r="G717" t="n">
        <v>0.8</v>
      </c>
      <c r="H717" t="n">
        <v>0</v>
      </c>
      <c r="I717" t="n">
        <v>0</v>
      </c>
      <c r="J717" t="n">
        <v>0</v>
      </c>
      <c r="K717" t="n">
        <v>0</v>
      </c>
      <c r="L717" t="n">
        <v>0</v>
      </c>
      <c r="M717" t="n">
        <v>0</v>
      </c>
      <c r="N717" t="n">
        <v>0</v>
      </c>
      <c r="O717" t="n">
        <v>0</v>
      </c>
      <c r="P717" t="n">
        <v>0</v>
      </c>
      <c r="Q717" t="n">
        <v>0</v>
      </c>
      <c r="R717" s="2" t="inlineStr"/>
    </row>
    <row r="718" ht="15" customHeight="1">
      <c r="A718" t="inlineStr">
        <is>
          <t>A 23172-2022</t>
        </is>
      </c>
      <c r="B718" s="1" t="n">
        <v>44719</v>
      </c>
      <c r="C718" s="1" t="n">
        <v>46129</v>
      </c>
      <c r="D718" t="inlineStr">
        <is>
          <t>SKÅNE LÄN</t>
        </is>
      </c>
      <c r="E718" t="inlineStr">
        <is>
          <t>HÄSSLEHOLM</t>
        </is>
      </c>
      <c r="F718" t="inlineStr">
        <is>
          <t>Övriga Aktiebolag</t>
        </is>
      </c>
      <c r="G718" t="n">
        <v>0.9</v>
      </c>
      <c r="H718" t="n">
        <v>0</v>
      </c>
      <c r="I718" t="n">
        <v>0</v>
      </c>
      <c r="J718" t="n">
        <v>0</v>
      </c>
      <c r="K718" t="n">
        <v>0</v>
      </c>
      <c r="L718" t="n">
        <v>0</v>
      </c>
      <c r="M718" t="n">
        <v>0</v>
      </c>
      <c r="N718" t="n">
        <v>0</v>
      </c>
      <c r="O718" t="n">
        <v>0</v>
      </c>
      <c r="P718" t="n">
        <v>0</v>
      </c>
      <c r="Q718" t="n">
        <v>0</v>
      </c>
      <c r="R718" s="2" t="inlineStr"/>
    </row>
    <row r="719" ht="15" customHeight="1">
      <c r="A719" t="inlineStr">
        <is>
          <t>A 23173-2022</t>
        </is>
      </c>
      <c r="B719" s="1" t="n">
        <v>44719.72155092593</v>
      </c>
      <c r="C719" s="1" t="n">
        <v>46129</v>
      </c>
      <c r="D719" t="inlineStr">
        <is>
          <t>SKÅNE LÄN</t>
        </is>
      </c>
      <c r="E719" t="inlineStr">
        <is>
          <t>HÄSSLEHOLM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17492-2025</t>
        </is>
      </c>
      <c r="B720" s="1" t="n">
        <v>45747</v>
      </c>
      <c r="C720" s="1" t="n">
        <v>46129</v>
      </c>
      <c r="D720" t="inlineStr">
        <is>
          <t>SKÅNE LÄN</t>
        </is>
      </c>
      <c r="E720" t="inlineStr">
        <is>
          <t>HÄSSLEHOLM</t>
        </is>
      </c>
      <c r="G720" t="n">
        <v>1.4</v>
      </c>
      <c r="H720" t="n">
        <v>0</v>
      </c>
      <c r="I720" t="n">
        <v>0</v>
      </c>
      <c r="J720" t="n">
        <v>0</v>
      </c>
      <c r="K720" t="n">
        <v>0</v>
      </c>
      <c r="L720" t="n">
        <v>0</v>
      </c>
      <c r="M720" t="n">
        <v>0</v>
      </c>
      <c r="N720" t="n">
        <v>0</v>
      </c>
      <c r="O720" t="n">
        <v>0</v>
      </c>
      <c r="P720" t="n">
        <v>0</v>
      </c>
      <c r="Q720" t="n">
        <v>0</v>
      </c>
      <c r="R720" s="2" t="inlineStr"/>
    </row>
    <row r="721" ht="15" customHeight="1">
      <c r="A721" t="inlineStr">
        <is>
          <t>A 50664-2023</t>
        </is>
      </c>
      <c r="B721" s="1" t="n">
        <v>45217</v>
      </c>
      <c r="C721" s="1" t="n">
        <v>46129</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3298-2026</t>
        </is>
      </c>
      <c r="B722" s="1" t="n">
        <v>46041</v>
      </c>
      <c r="C722" s="1" t="n">
        <v>46129</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42428-2022</t>
        </is>
      </c>
      <c r="B723" s="1" t="n">
        <v>44831</v>
      </c>
      <c r="C723" s="1" t="n">
        <v>46129</v>
      </c>
      <c r="D723" t="inlineStr">
        <is>
          <t>SKÅNE LÄN</t>
        </is>
      </c>
      <c r="E723" t="inlineStr">
        <is>
          <t>HÄSSLEHOLM</t>
        </is>
      </c>
      <c r="G723" t="n">
        <v>2.8</v>
      </c>
      <c r="H723" t="n">
        <v>0</v>
      </c>
      <c r="I723" t="n">
        <v>0</v>
      </c>
      <c r="J723" t="n">
        <v>0</v>
      </c>
      <c r="K723" t="n">
        <v>0</v>
      </c>
      <c r="L723" t="n">
        <v>0</v>
      </c>
      <c r="M723" t="n">
        <v>0</v>
      </c>
      <c r="N723" t="n">
        <v>0</v>
      </c>
      <c r="O723" t="n">
        <v>0</v>
      </c>
      <c r="P723" t="n">
        <v>0</v>
      </c>
      <c r="Q723" t="n">
        <v>0</v>
      </c>
      <c r="R723" s="2" t="inlineStr"/>
    </row>
    <row r="724" ht="15" customHeight="1">
      <c r="A724" t="inlineStr">
        <is>
          <t>A 62171-2022</t>
        </is>
      </c>
      <c r="B724" s="1" t="n">
        <v>44915</v>
      </c>
      <c r="C724" s="1" t="n">
        <v>46129</v>
      </c>
      <c r="D724" t="inlineStr">
        <is>
          <t>SKÅNE LÄN</t>
        </is>
      </c>
      <c r="E724" t="inlineStr">
        <is>
          <t>HÄSSLEHOLM</t>
        </is>
      </c>
      <c r="F724" t="inlineStr">
        <is>
          <t>Kyrkan</t>
        </is>
      </c>
      <c r="G724" t="n">
        <v>9</v>
      </c>
      <c r="H724" t="n">
        <v>0</v>
      </c>
      <c r="I724" t="n">
        <v>0</v>
      </c>
      <c r="J724" t="n">
        <v>0</v>
      </c>
      <c r="K724" t="n">
        <v>0</v>
      </c>
      <c r="L724" t="n">
        <v>0</v>
      </c>
      <c r="M724" t="n">
        <v>0</v>
      </c>
      <c r="N724" t="n">
        <v>0</v>
      </c>
      <c r="O724" t="n">
        <v>0</v>
      </c>
      <c r="P724" t="n">
        <v>0</v>
      </c>
      <c r="Q724" t="n">
        <v>0</v>
      </c>
      <c r="R724" s="2" t="inlineStr"/>
    </row>
    <row r="725" ht="15" customHeight="1">
      <c r="A725" t="inlineStr">
        <is>
          <t>A 56956-2024</t>
        </is>
      </c>
      <c r="B725" s="1" t="n">
        <v>45626</v>
      </c>
      <c r="C725" s="1" t="n">
        <v>46129</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3904-2026</t>
        </is>
      </c>
      <c r="B726" s="1" t="n">
        <v>46043.69711805556</v>
      </c>
      <c r="C726" s="1" t="n">
        <v>46129</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35711-2024</t>
        </is>
      </c>
      <c r="B727" s="1" t="n">
        <v>45532</v>
      </c>
      <c r="C727" s="1" t="n">
        <v>46129</v>
      </c>
      <c r="D727" t="inlineStr">
        <is>
          <t>SKÅNE LÄN</t>
        </is>
      </c>
      <c r="E727" t="inlineStr">
        <is>
          <t>HÄSSLEHOLM</t>
        </is>
      </c>
      <c r="G727" t="n">
        <v>1.4</v>
      </c>
      <c r="H727" t="n">
        <v>0</v>
      </c>
      <c r="I727" t="n">
        <v>0</v>
      </c>
      <c r="J727" t="n">
        <v>0</v>
      </c>
      <c r="K727" t="n">
        <v>0</v>
      </c>
      <c r="L727" t="n">
        <v>0</v>
      </c>
      <c r="M727" t="n">
        <v>0</v>
      </c>
      <c r="N727" t="n">
        <v>0</v>
      </c>
      <c r="O727" t="n">
        <v>0</v>
      </c>
      <c r="P727" t="n">
        <v>0</v>
      </c>
      <c r="Q727" t="n">
        <v>0</v>
      </c>
      <c r="R727" s="2" t="inlineStr"/>
    </row>
    <row r="728" ht="15" customHeight="1">
      <c r="A728" t="inlineStr">
        <is>
          <t>A 56490-2021</t>
        </is>
      </c>
      <c r="B728" s="1" t="n">
        <v>44480</v>
      </c>
      <c r="C728" s="1" t="n">
        <v>46129</v>
      </c>
      <c r="D728" t="inlineStr">
        <is>
          <t>SKÅNE LÄN</t>
        </is>
      </c>
      <c r="E728" t="inlineStr">
        <is>
          <t>HÄSSLEHOLM</t>
        </is>
      </c>
      <c r="F728" t="inlineStr">
        <is>
          <t>Kyrkan</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3715-2026</t>
        </is>
      </c>
      <c r="B729" s="1" t="n">
        <v>46043.48746527778</v>
      </c>
      <c r="C729" s="1" t="n">
        <v>46129</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3862-2026</t>
        </is>
      </c>
      <c r="B730" s="1" t="n">
        <v>46043.62646990741</v>
      </c>
      <c r="C730" s="1" t="n">
        <v>46129</v>
      </c>
      <c r="D730" t="inlineStr">
        <is>
          <t>SKÅNE LÄN</t>
        </is>
      </c>
      <c r="E730" t="inlineStr">
        <is>
          <t>HÄSSLEHOLM</t>
        </is>
      </c>
      <c r="G730" t="n">
        <v>1</v>
      </c>
      <c r="H730" t="n">
        <v>0</v>
      </c>
      <c r="I730" t="n">
        <v>0</v>
      </c>
      <c r="J730" t="n">
        <v>0</v>
      </c>
      <c r="K730" t="n">
        <v>0</v>
      </c>
      <c r="L730" t="n">
        <v>0</v>
      </c>
      <c r="M730" t="n">
        <v>0</v>
      </c>
      <c r="N730" t="n">
        <v>0</v>
      </c>
      <c r="O730" t="n">
        <v>0</v>
      </c>
      <c r="P730" t="n">
        <v>0</v>
      </c>
      <c r="Q730" t="n">
        <v>0</v>
      </c>
      <c r="R730" s="2" t="inlineStr"/>
    </row>
    <row r="731" ht="15" customHeight="1">
      <c r="A731" t="inlineStr">
        <is>
          <t>A 61680-2022</t>
        </is>
      </c>
      <c r="B731" s="1" t="n">
        <v>44917.36372685185</v>
      </c>
      <c r="C731" s="1" t="n">
        <v>46129</v>
      </c>
      <c r="D731" t="inlineStr">
        <is>
          <t>SKÅNE LÄN</t>
        </is>
      </c>
      <c r="E731" t="inlineStr">
        <is>
          <t>HÄSSLEHOLM</t>
        </is>
      </c>
      <c r="G731" t="n">
        <v>2.4</v>
      </c>
      <c r="H731" t="n">
        <v>0</v>
      </c>
      <c r="I731" t="n">
        <v>0</v>
      </c>
      <c r="J731" t="n">
        <v>0</v>
      </c>
      <c r="K731" t="n">
        <v>0</v>
      </c>
      <c r="L731" t="n">
        <v>0</v>
      </c>
      <c r="M731" t="n">
        <v>0</v>
      </c>
      <c r="N731" t="n">
        <v>0</v>
      </c>
      <c r="O731" t="n">
        <v>0</v>
      </c>
      <c r="P731" t="n">
        <v>0</v>
      </c>
      <c r="Q731" t="n">
        <v>0</v>
      </c>
      <c r="R731" s="2" t="inlineStr"/>
    </row>
    <row r="732" ht="15" customHeight="1">
      <c r="A732" t="inlineStr">
        <is>
          <t>A 61489-2024</t>
        </is>
      </c>
      <c r="B732" s="1" t="n">
        <v>45646.54875</v>
      </c>
      <c r="C732" s="1" t="n">
        <v>46129</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17699-2024</t>
        </is>
      </c>
      <c r="B733" s="1" t="n">
        <v>45418.46094907408</v>
      </c>
      <c r="C733" s="1" t="n">
        <v>46129</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17702-2024</t>
        </is>
      </c>
      <c r="B734" s="1" t="n">
        <v>45418.46534722222</v>
      </c>
      <c r="C734" s="1" t="n">
        <v>46129</v>
      </c>
      <c r="D734" t="inlineStr">
        <is>
          <t>SKÅNE LÄN</t>
        </is>
      </c>
      <c r="E734" t="inlineStr">
        <is>
          <t>HÄSSLEHOLM</t>
        </is>
      </c>
      <c r="G734" t="n">
        <v>0.8</v>
      </c>
      <c r="H734" t="n">
        <v>0</v>
      </c>
      <c r="I734" t="n">
        <v>0</v>
      </c>
      <c r="J734" t="n">
        <v>0</v>
      </c>
      <c r="K734" t="n">
        <v>0</v>
      </c>
      <c r="L734" t="n">
        <v>0</v>
      </c>
      <c r="M734" t="n">
        <v>0</v>
      </c>
      <c r="N734" t="n">
        <v>0</v>
      </c>
      <c r="O734" t="n">
        <v>0</v>
      </c>
      <c r="P734" t="n">
        <v>0</v>
      </c>
      <c r="Q734" t="n">
        <v>0</v>
      </c>
      <c r="R734" s="2" t="inlineStr"/>
    </row>
    <row r="735" ht="15" customHeight="1">
      <c r="A735" t="inlineStr">
        <is>
          <t>A 6101-2022</t>
        </is>
      </c>
      <c r="B735" s="1" t="n">
        <v>44599.63016203704</v>
      </c>
      <c r="C735" s="1" t="n">
        <v>46129</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54807-2025</t>
        </is>
      </c>
      <c r="B736" s="1" t="n">
        <v>45966</v>
      </c>
      <c r="C736" s="1" t="n">
        <v>46129</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16951-2025</t>
        </is>
      </c>
      <c r="B737" s="1" t="n">
        <v>45755</v>
      </c>
      <c r="C737" s="1" t="n">
        <v>46129</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16614-2025</t>
        </is>
      </c>
      <c r="B738" s="1" t="n">
        <v>45754.283125</v>
      </c>
      <c r="C738" s="1" t="n">
        <v>46129</v>
      </c>
      <c r="D738" t="inlineStr">
        <is>
          <t>SKÅNE LÄN</t>
        </is>
      </c>
      <c r="E738" t="inlineStr">
        <is>
          <t>HÄSSLEHOLM</t>
        </is>
      </c>
      <c r="G738" t="n">
        <v>1</v>
      </c>
      <c r="H738" t="n">
        <v>0</v>
      </c>
      <c r="I738" t="n">
        <v>0</v>
      </c>
      <c r="J738" t="n">
        <v>0</v>
      </c>
      <c r="K738" t="n">
        <v>0</v>
      </c>
      <c r="L738" t="n">
        <v>0</v>
      </c>
      <c r="M738" t="n">
        <v>0</v>
      </c>
      <c r="N738" t="n">
        <v>0</v>
      </c>
      <c r="O738" t="n">
        <v>0</v>
      </c>
      <c r="P738" t="n">
        <v>0</v>
      </c>
      <c r="Q738" t="n">
        <v>0</v>
      </c>
      <c r="R738" s="2" t="inlineStr"/>
    </row>
    <row r="739" ht="15" customHeight="1">
      <c r="A739" t="inlineStr">
        <is>
          <t>A 3888-2024</t>
        </is>
      </c>
      <c r="B739" s="1" t="n">
        <v>45322.45089120371</v>
      </c>
      <c r="C739" s="1" t="n">
        <v>46129</v>
      </c>
      <c r="D739" t="inlineStr">
        <is>
          <t>SKÅNE LÄN</t>
        </is>
      </c>
      <c r="E739" t="inlineStr">
        <is>
          <t>HÄSSLEHOLM</t>
        </is>
      </c>
      <c r="G739" t="n">
        <v>2.4</v>
      </c>
      <c r="H739" t="n">
        <v>0</v>
      </c>
      <c r="I739" t="n">
        <v>0</v>
      </c>
      <c r="J739" t="n">
        <v>0</v>
      </c>
      <c r="K739" t="n">
        <v>0</v>
      </c>
      <c r="L739" t="n">
        <v>0</v>
      </c>
      <c r="M739" t="n">
        <v>0</v>
      </c>
      <c r="N739" t="n">
        <v>0</v>
      </c>
      <c r="O739" t="n">
        <v>0</v>
      </c>
      <c r="P739" t="n">
        <v>0</v>
      </c>
      <c r="Q739" t="n">
        <v>0</v>
      </c>
      <c r="R739" s="2" t="inlineStr"/>
    </row>
    <row r="740" ht="15" customHeight="1">
      <c r="A740" t="inlineStr">
        <is>
          <t>A 3889-2024</t>
        </is>
      </c>
      <c r="B740" s="1" t="n">
        <v>45322.45234953704</v>
      </c>
      <c r="C740" s="1" t="n">
        <v>46129</v>
      </c>
      <c r="D740" t="inlineStr">
        <is>
          <t>SKÅNE LÄN</t>
        </is>
      </c>
      <c r="E740" t="inlineStr">
        <is>
          <t>HÄSSLEHOLM</t>
        </is>
      </c>
      <c r="G740" t="n">
        <v>1.4</v>
      </c>
      <c r="H740" t="n">
        <v>0</v>
      </c>
      <c r="I740" t="n">
        <v>0</v>
      </c>
      <c r="J740" t="n">
        <v>0</v>
      </c>
      <c r="K740" t="n">
        <v>0</v>
      </c>
      <c r="L740" t="n">
        <v>0</v>
      </c>
      <c r="M740" t="n">
        <v>0</v>
      </c>
      <c r="N740" t="n">
        <v>0</v>
      </c>
      <c r="O740" t="n">
        <v>0</v>
      </c>
      <c r="P740" t="n">
        <v>0</v>
      </c>
      <c r="Q740" t="n">
        <v>0</v>
      </c>
      <c r="R740" s="2" t="inlineStr"/>
    </row>
    <row r="741" ht="15" customHeight="1">
      <c r="A741" t="inlineStr">
        <is>
          <t>A 3294-2025</t>
        </is>
      </c>
      <c r="B741" s="1" t="n">
        <v>45679.64125</v>
      </c>
      <c r="C741" s="1" t="n">
        <v>46129</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9669-2025</t>
        </is>
      </c>
      <c r="B742" s="1" t="n">
        <v>45716.32921296296</v>
      </c>
      <c r="C742" s="1" t="n">
        <v>46129</v>
      </c>
      <c r="D742" t="inlineStr">
        <is>
          <t>SKÅNE LÄN</t>
        </is>
      </c>
      <c r="E742" t="inlineStr">
        <is>
          <t>HÄSSLEHOLM</t>
        </is>
      </c>
      <c r="G742" t="n">
        <v>0.5</v>
      </c>
      <c r="H742" t="n">
        <v>0</v>
      </c>
      <c r="I742" t="n">
        <v>0</v>
      </c>
      <c r="J742" t="n">
        <v>0</v>
      </c>
      <c r="K742" t="n">
        <v>0</v>
      </c>
      <c r="L742" t="n">
        <v>0</v>
      </c>
      <c r="M742" t="n">
        <v>0</v>
      </c>
      <c r="N742" t="n">
        <v>0</v>
      </c>
      <c r="O742" t="n">
        <v>0</v>
      </c>
      <c r="P742" t="n">
        <v>0</v>
      </c>
      <c r="Q742" t="n">
        <v>0</v>
      </c>
      <c r="R742" s="2" t="inlineStr"/>
    </row>
    <row r="743" ht="15" customHeight="1">
      <c r="A743" t="inlineStr">
        <is>
          <t>A 31995-2023</t>
        </is>
      </c>
      <c r="B743" s="1" t="n">
        <v>45107</v>
      </c>
      <c r="C743" s="1" t="n">
        <v>46129</v>
      </c>
      <c r="D743" t="inlineStr">
        <is>
          <t>SKÅNE LÄN</t>
        </is>
      </c>
      <c r="E743" t="inlineStr">
        <is>
          <t>HÄSSLEHOLM</t>
        </is>
      </c>
      <c r="G743" t="n">
        <v>7.3</v>
      </c>
      <c r="H743" t="n">
        <v>0</v>
      </c>
      <c r="I743" t="n">
        <v>0</v>
      </c>
      <c r="J743" t="n">
        <v>0</v>
      </c>
      <c r="K743" t="n">
        <v>0</v>
      </c>
      <c r="L743" t="n">
        <v>0</v>
      </c>
      <c r="M743" t="n">
        <v>0</v>
      </c>
      <c r="N743" t="n">
        <v>0</v>
      </c>
      <c r="O743" t="n">
        <v>0</v>
      </c>
      <c r="P743" t="n">
        <v>0</v>
      </c>
      <c r="Q743" t="n">
        <v>0</v>
      </c>
      <c r="R743" s="2" t="inlineStr"/>
    </row>
    <row r="744" ht="15" customHeight="1">
      <c r="A744" t="inlineStr">
        <is>
          <t>A 31998-2023</t>
        </is>
      </c>
      <c r="B744" s="1" t="n">
        <v>45119</v>
      </c>
      <c r="C744" s="1" t="n">
        <v>46129</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7150-2025</t>
        </is>
      </c>
      <c r="B745" s="1" t="n">
        <v>45702.38239583333</v>
      </c>
      <c r="C745" s="1" t="n">
        <v>46129</v>
      </c>
      <c r="D745" t="inlineStr">
        <is>
          <t>SKÅNE LÄN</t>
        </is>
      </c>
      <c r="E745" t="inlineStr">
        <is>
          <t>HÄSSLEHOLM</t>
        </is>
      </c>
      <c r="G745" t="n">
        <v>2.3</v>
      </c>
      <c r="H745" t="n">
        <v>0</v>
      </c>
      <c r="I745" t="n">
        <v>0</v>
      </c>
      <c r="J745" t="n">
        <v>0</v>
      </c>
      <c r="K745" t="n">
        <v>0</v>
      </c>
      <c r="L745" t="n">
        <v>0</v>
      </c>
      <c r="M745" t="n">
        <v>0</v>
      </c>
      <c r="N745" t="n">
        <v>0</v>
      </c>
      <c r="O745" t="n">
        <v>0</v>
      </c>
      <c r="P745" t="n">
        <v>0</v>
      </c>
      <c r="Q745" t="n">
        <v>0</v>
      </c>
      <c r="R745" s="2" t="inlineStr"/>
    </row>
    <row r="746" ht="15" customHeight="1">
      <c r="A746" t="inlineStr">
        <is>
          <t>A 20185-2023</t>
        </is>
      </c>
      <c r="B746" s="1" t="n">
        <v>45055.56795138889</v>
      </c>
      <c r="C746" s="1" t="n">
        <v>46129</v>
      </c>
      <c r="D746" t="inlineStr">
        <is>
          <t>SKÅNE LÄN</t>
        </is>
      </c>
      <c r="E746" t="inlineStr">
        <is>
          <t>HÄSSLEHOLM</t>
        </is>
      </c>
      <c r="G746" t="n">
        <v>3.5</v>
      </c>
      <c r="H746" t="n">
        <v>0</v>
      </c>
      <c r="I746" t="n">
        <v>0</v>
      </c>
      <c r="J746" t="n">
        <v>0</v>
      </c>
      <c r="K746" t="n">
        <v>0</v>
      </c>
      <c r="L746" t="n">
        <v>0</v>
      </c>
      <c r="M746" t="n">
        <v>0</v>
      </c>
      <c r="N746" t="n">
        <v>0</v>
      </c>
      <c r="O746" t="n">
        <v>0</v>
      </c>
      <c r="P746" t="n">
        <v>0</v>
      </c>
      <c r="Q746" t="n">
        <v>0</v>
      </c>
      <c r="R746" s="2" t="inlineStr"/>
    </row>
    <row r="747" ht="15" customHeight="1">
      <c r="A747" t="inlineStr">
        <is>
          <t>A 61170-2022</t>
        </is>
      </c>
      <c r="B747" s="1" t="n">
        <v>44915.48543981482</v>
      </c>
      <c r="C747" s="1" t="n">
        <v>46129</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12493-2026</t>
        </is>
      </c>
      <c r="B748" s="1" t="n">
        <v>46090</v>
      </c>
      <c r="C748" s="1" t="n">
        <v>46129</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43629-2023</t>
        </is>
      </c>
      <c r="B749" s="1" t="n">
        <v>45184</v>
      </c>
      <c r="C749" s="1" t="n">
        <v>46129</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13990-2022</t>
        </is>
      </c>
      <c r="B750" s="1" t="n">
        <v>44650</v>
      </c>
      <c r="C750" s="1" t="n">
        <v>46129</v>
      </c>
      <c r="D750" t="inlineStr">
        <is>
          <t>SKÅNE LÄN</t>
        </is>
      </c>
      <c r="E750" t="inlineStr">
        <is>
          <t>HÄSSLEHOLM</t>
        </is>
      </c>
      <c r="G750" t="n">
        <v>3.6</v>
      </c>
      <c r="H750" t="n">
        <v>0</v>
      </c>
      <c r="I750" t="n">
        <v>0</v>
      </c>
      <c r="J750" t="n">
        <v>0</v>
      </c>
      <c r="K750" t="n">
        <v>0</v>
      </c>
      <c r="L750" t="n">
        <v>0</v>
      </c>
      <c r="M750" t="n">
        <v>0</v>
      </c>
      <c r="N750" t="n">
        <v>0</v>
      </c>
      <c r="O750" t="n">
        <v>0</v>
      </c>
      <c r="P750" t="n">
        <v>0</v>
      </c>
      <c r="Q750" t="n">
        <v>0</v>
      </c>
      <c r="R750" s="2" t="inlineStr"/>
    </row>
    <row r="751" ht="15" customHeight="1">
      <c r="A751" t="inlineStr">
        <is>
          <t>A 5103-2026</t>
        </is>
      </c>
      <c r="B751" s="1" t="n">
        <v>46049.56725694444</v>
      </c>
      <c r="C751" s="1" t="n">
        <v>46129</v>
      </c>
      <c r="D751" t="inlineStr">
        <is>
          <t>SKÅNE LÄN</t>
        </is>
      </c>
      <c r="E751" t="inlineStr">
        <is>
          <t>HÄSSLEHOLM</t>
        </is>
      </c>
      <c r="G751" t="n">
        <v>5.4</v>
      </c>
      <c r="H751" t="n">
        <v>0</v>
      </c>
      <c r="I751" t="n">
        <v>0</v>
      </c>
      <c r="J751" t="n">
        <v>0</v>
      </c>
      <c r="K751" t="n">
        <v>0</v>
      </c>
      <c r="L751" t="n">
        <v>0</v>
      </c>
      <c r="M751" t="n">
        <v>0</v>
      </c>
      <c r="N751" t="n">
        <v>0</v>
      </c>
      <c r="O751" t="n">
        <v>0</v>
      </c>
      <c r="P751" t="n">
        <v>0</v>
      </c>
      <c r="Q751" t="n">
        <v>0</v>
      </c>
      <c r="R751" s="2" t="inlineStr"/>
    </row>
    <row r="752" ht="15" customHeight="1">
      <c r="A752" t="inlineStr">
        <is>
          <t>A 50564-2023</t>
        </is>
      </c>
      <c r="B752" s="1" t="n">
        <v>45217.37957175926</v>
      </c>
      <c r="C752" s="1" t="n">
        <v>46129</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43061-2024</t>
        </is>
      </c>
      <c r="B753" s="1" t="n">
        <v>45567</v>
      </c>
      <c r="C753" s="1" t="n">
        <v>46129</v>
      </c>
      <c r="D753" t="inlineStr">
        <is>
          <t>SKÅNE LÄN</t>
        </is>
      </c>
      <c r="E753" t="inlineStr">
        <is>
          <t>HÄSSLEHOLM</t>
        </is>
      </c>
      <c r="G753" t="n">
        <v>4.5</v>
      </c>
      <c r="H753" t="n">
        <v>0</v>
      </c>
      <c r="I753" t="n">
        <v>0</v>
      </c>
      <c r="J753" t="n">
        <v>0</v>
      </c>
      <c r="K753" t="n">
        <v>0</v>
      </c>
      <c r="L753" t="n">
        <v>0</v>
      </c>
      <c r="M753" t="n">
        <v>0</v>
      </c>
      <c r="N753" t="n">
        <v>0</v>
      </c>
      <c r="O753" t="n">
        <v>0</v>
      </c>
      <c r="P753" t="n">
        <v>0</v>
      </c>
      <c r="Q753" t="n">
        <v>0</v>
      </c>
      <c r="R753" s="2" t="inlineStr"/>
    </row>
    <row r="754" ht="15" customHeight="1">
      <c r="A754" t="inlineStr">
        <is>
          <t>A 4981-2026</t>
        </is>
      </c>
      <c r="B754" s="1" t="n">
        <v>46049.37100694444</v>
      </c>
      <c r="C754" s="1" t="n">
        <v>46129</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4994-2026</t>
        </is>
      </c>
      <c r="B755" s="1" t="n">
        <v>46049</v>
      </c>
      <c r="C755" s="1" t="n">
        <v>46129</v>
      </c>
      <c r="D755" t="inlineStr">
        <is>
          <t>SKÅNE LÄN</t>
        </is>
      </c>
      <c r="E755" t="inlineStr">
        <is>
          <t>HÄSSLEHOLM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54171-2021</t>
        </is>
      </c>
      <c r="B756" s="1" t="n">
        <v>44470</v>
      </c>
      <c r="C756" s="1" t="n">
        <v>46129</v>
      </c>
      <c r="D756" t="inlineStr">
        <is>
          <t>SKÅNE LÄN</t>
        </is>
      </c>
      <c r="E756" t="inlineStr">
        <is>
          <t>HÄSSLEHOLM</t>
        </is>
      </c>
      <c r="G756" t="n">
        <v>1</v>
      </c>
      <c r="H756" t="n">
        <v>0</v>
      </c>
      <c r="I756" t="n">
        <v>0</v>
      </c>
      <c r="J756" t="n">
        <v>0</v>
      </c>
      <c r="K756" t="n">
        <v>0</v>
      </c>
      <c r="L756" t="n">
        <v>0</v>
      </c>
      <c r="M756" t="n">
        <v>0</v>
      </c>
      <c r="N756" t="n">
        <v>0</v>
      </c>
      <c r="O756" t="n">
        <v>0</v>
      </c>
      <c r="P756" t="n">
        <v>0</v>
      </c>
      <c r="Q756" t="n">
        <v>0</v>
      </c>
      <c r="R756" s="2" t="inlineStr"/>
    </row>
    <row r="757" ht="15" customHeight="1">
      <c r="A757" t="inlineStr">
        <is>
          <t>A 24640-2023</t>
        </is>
      </c>
      <c r="B757" s="1" t="n">
        <v>45084.43181712963</v>
      </c>
      <c r="C757" s="1" t="n">
        <v>46129</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51618-2024</t>
        </is>
      </c>
      <c r="B758" s="1" t="n">
        <v>45604.82615740741</v>
      </c>
      <c r="C758" s="1" t="n">
        <v>46129</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5757-2026</t>
        </is>
      </c>
      <c r="B759" s="1" t="n">
        <v>46051.61309027778</v>
      </c>
      <c r="C759" s="1" t="n">
        <v>46129</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8249-2023</t>
        </is>
      </c>
      <c r="B760" s="1" t="n">
        <v>44974</v>
      </c>
      <c r="C760" s="1" t="n">
        <v>46129</v>
      </c>
      <c r="D760" t="inlineStr">
        <is>
          <t>SKÅNE LÄN</t>
        </is>
      </c>
      <c r="E760" t="inlineStr">
        <is>
          <t>HÄSSLEHOLM</t>
        </is>
      </c>
      <c r="G760" t="n">
        <v>5.8</v>
      </c>
      <c r="H760" t="n">
        <v>0</v>
      </c>
      <c r="I760" t="n">
        <v>0</v>
      </c>
      <c r="J760" t="n">
        <v>0</v>
      </c>
      <c r="K760" t="n">
        <v>0</v>
      </c>
      <c r="L760" t="n">
        <v>0</v>
      </c>
      <c r="M760" t="n">
        <v>0</v>
      </c>
      <c r="N760" t="n">
        <v>0</v>
      </c>
      <c r="O760" t="n">
        <v>0</v>
      </c>
      <c r="P760" t="n">
        <v>0</v>
      </c>
      <c r="Q760" t="n">
        <v>0</v>
      </c>
      <c r="R760" s="2" t="inlineStr"/>
    </row>
    <row r="761" ht="15" customHeight="1">
      <c r="A761" t="inlineStr">
        <is>
          <t>A 58632-2025</t>
        </is>
      </c>
      <c r="B761" s="1" t="n">
        <v>45986</v>
      </c>
      <c r="C761" s="1" t="n">
        <v>46129</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5497-2026</t>
        </is>
      </c>
      <c r="B762" s="1" t="n">
        <v>46050.61875</v>
      </c>
      <c r="C762" s="1" t="n">
        <v>46129</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5503-2026</t>
        </is>
      </c>
      <c r="B763" s="1" t="n">
        <v>46050.62509259259</v>
      </c>
      <c r="C763" s="1" t="n">
        <v>46129</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13280-2026</t>
        </is>
      </c>
      <c r="B764" s="1" t="n">
        <v>46093.74789351852</v>
      </c>
      <c r="C764" s="1" t="n">
        <v>46129</v>
      </c>
      <c r="D764" t="inlineStr">
        <is>
          <t>SKÅNE LÄN</t>
        </is>
      </c>
      <c r="E764" t="inlineStr">
        <is>
          <t>HÄSSLEHOLM</t>
        </is>
      </c>
      <c r="G764" t="n">
        <v>4.4</v>
      </c>
      <c r="H764" t="n">
        <v>0</v>
      </c>
      <c r="I764" t="n">
        <v>0</v>
      </c>
      <c r="J764" t="n">
        <v>0</v>
      </c>
      <c r="K764" t="n">
        <v>0</v>
      </c>
      <c r="L764" t="n">
        <v>0</v>
      </c>
      <c r="M764" t="n">
        <v>0</v>
      </c>
      <c r="N764" t="n">
        <v>0</v>
      </c>
      <c r="O764" t="n">
        <v>0</v>
      </c>
      <c r="P764" t="n">
        <v>0</v>
      </c>
      <c r="Q764" t="n">
        <v>0</v>
      </c>
      <c r="R764" s="2" t="inlineStr"/>
    </row>
    <row r="765" ht="15" customHeight="1">
      <c r="A765" t="inlineStr">
        <is>
          <t>A 47840-2023</t>
        </is>
      </c>
      <c r="B765" s="1" t="n">
        <v>45204</v>
      </c>
      <c r="C765" s="1" t="n">
        <v>46129</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62277-2023</t>
        </is>
      </c>
      <c r="B766" s="1" t="n">
        <v>45266</v>
      </c>
      <c r="C766" s="1" t="n">
        <v>46129</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34369-2023</t>
        </is>
      </c>
      <c r="B767" s="1" t="n">
        <v>45139.47817129629</v>
      </c>
      <c r="C767" s="1" t="n">
        <v>46129</v>
      </c>
      <c r="D767" t="inlineStr">
        <is>
          <t>SKÅNE LÄN</t>
        </is>
      </c>
      <c r="E767" t="inlineStr">
        <is>
          <t>HÄSSLEHOLM</t>
        </is>
      </c>
      <c r="G767" t="n">
        <v>2</v>
      </c>
      <c r="H767" t="n">
        <v>0</v>
      </c>
      <c r="I767" t="n">
        <v>0</v>
      </c>
      <c r="J767" t="n">
        <v>0</v>
      </c>
      <c r="K767" t="n">
        <v>0</v>
      </c>
      <c r="L767" t="n">
        <v>0</v>
      </c>
      <c r="M767" t="n">
        <v>0</v>
      </c>
      <c r="N767" t="n">
        <v>0</v>
      </c>
      <c r="O767" t="n">
        <v>0</v>
      </c>
      <c r="P767" t="n">
        <v>0</v>
      </c>
      <c r="Q767" t="n">
        <v>0</v>
      </c>
      <c r="R767" s="2" t="inlineStr"/>
    </row>
    <row r="768" ht="15" customHeight="1">
      <c r="A768" t="inlineStr">
        <is>
          <t>A 34834-2023</t>
        </is>
      </c>
      <c r="B768" s="1" t="n">
        <v>45141.7199537037</v>
      </c>
      <c r="C768" s="1" t="n">
        <v>46129</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5516-2026</t>
        </is>
      </c>
      <c r="B769" s="1" t="n">
        <v>46050.64197916666</v>
      </c>
      <c r="C769" s="1" t="n">
        <v>46129</v>
      </c>
      <c r="D769" t="inlineStr">
        <is>
          <t>SKÅNE LÄN</t>
        </is>
      </c>
      <c r="E769" t="inlineStr">
        <is>
          <t>HÄSSLEHOLM</t>
        </is>
      </c>
      <c r="G769" t="n">
        <v>1.9</v>
      </c>
      <c r="H769" t="n">
        <v>0</v>
      </c>
      <c r="I769" t="n">
        <v>0</v>
      </c>
      <c r="J769" t="n">
        <v>0</v>
      </c>
      <c r="K769" t="n">
        <v>0</v>
      </c>
      <c r="L769" t="n">
        <v>0</v>
      </c>
      <c r="M769" t="n">
        <v>0</v>
      </c>
      <c r="N769" t="n">
        <v>0</v>
      </c>
      <c r="O769" t="n">
        <v>0</v>
      </c>
      <c r="P769" t="n">
        <v>0</v>
      </c>
      <c r="Q769" t="n">
        <v>0</v>
      </c>
      <c r="R769" s="2" t="inlineStr"/>
    </row>
    <row r="770" ht="15" customHeight="1">
      <c r="A770" t="inlineStr">
        <is>
          <t>A 48627-2023</t>
        </is>
      </c>
      <c r="B770" s="1" t="n">
        <v>45208.57371527778</v>
      </c>
      <c r="C770" s="1" t="n">
        <v>46129</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11607-2025</t>
        </is>
      </c>
      <c r="B771" s="1" t="n">
        <v>45727</v>
      </c>
      <c r="C771" s="1" t="n">
        <v>46129</v>
      </c>
      <c r="D771" t="inlineStr">
        <is>
          <t>SKÅNE LÄN</t>
        </is>
      </c>
      <c r="E771" t="inlineStr">
        <is>
          <t>HÄSSLEHOLM</t>
        </is>
      </c>
      <c r="G771" t="n">
        <v>4.1</v>
      </c>
      <c r="H771" t="n">
        <v>0</v>
      </c>
      <c r="I771" t="n">
        <v>0</v>
      </c>
      <c r="J771" t="n">
        <v>0</v>
      </c>
      <c r="K771" t="n">
        <v>0</v>
      </c>
      <c r="L771" t="n">
        <v>0</v>
      </c>
      <c r="M771" t="n">
        <v>0</v>
      </c>
      <c r="N771" t="n">
        <v>0</v>
      </c>
      <c r="O771" t="n">
        <v>0</v>
      </c>
      <c r="P771" t="n">
        <v>0</v>
      </c>
      <c r="Q771" t="n">
        <v>0</v>
      </c>
      <c r="R771" s="2" t="inlineStr"/>
    </row>
    <row r="772" ht="15" customHeight="1">
      <c r="A772" t="inlineStr">
        <is>
          <t>A 5759-2026</t>
        </is>
      </c>
      <c r="B772" s="1" t="n">
        <v>46051.61814814815</v>
      </c>
      <c r="C772" s="1" t="n">
        <v>46129</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720-2025</t>
        </is>
      </c>
      <c r="B773" s="1" t="n">
        <v>45665.3744212963</v>
      </c>
      <c r="C773" s="1" t="n">
        <v>46129</v>
      </c>
      <c r="D773" t="inlineStr">
        <is>
          <t>SKÅNE LÄN</t>
        </is>
      </c>
      <c r="E773" t="inlineStr">
        <is>
          <t>HÄSSLEHOLM</t>
        </is>
      </c>
      <c r="G773" t="n">
        <v>1.3</v>
      </c>
      <c r="H773" t="n">
        <v>0</v>
      </c>
      <c r="I773" t="n">
        <v>0</v>
      </c>
      <c r="J773" t="n">
        <v>0</v>
      </c>
      <c r="K773" t="n">
        <v>0</v>
      </c>
      <c r="L773" t="n">
        <v>0</v>
      </c>
      <c r="M773" t="n">
        <v>0</v>
      </c>
      <c r="N773" t="n">
        <v>0</v>
      </c>
      <c r="O773" t="n">
        <v>0</v>
      </c>
      <c r="P773" t="n">
        <v>0</v>
      </c>
      <c r="Q773" t="n">
        <v>0</v>
      </c>
      <c r="R773" s="2" t="inlineStr"/>
    </row>
    <row r="774" ht="15" customHeight="1">
      <c r="A774" t="inlineStr">
        <is>
          <t>A 13282-2026</t>
        </is>
      </c>
      <c r="B774" s="1" t="n">
        <v>46093.75166666666</v>
      </c>
      <c r="C774" s="1" t="n">
        <v>46129</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12182-2025</t>
        </is>
      </c>
      <c r="B775" s="1" t="n">
        <v>45729</v>
      </c>
      <c r="C775" s="1" t="n">
        <v>46129</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6309-2026</t>
        </is>
      </c>
      <c r="B776" s="1" t="n">
        <v>46055.57369212963</v>
      </c>
      <c r="C776" s="1" t="n">
        <v>46129</v>
      </c>
      <c r="D776" t="inlineStr">
        <is>
          <t>SKÅNE LÄN</t>
        </is>
      </c>
      <c r="E776" t="inlineStr">
        <is>
          <t>HÄSSLEHOLM</t>
        </is>
      </c>
      <c r="G776" t="n">
        <v>3.5</v>
      </c>
      <c r="H776" t="n">
        <v>0</v>
      </c>
      <c r="I776" t="n">
        <v>0</v>
      </c>
      <c r="J776" t="n">
        <v>0</v>
      </c>
      <c r="K776" t="n">
        <v>0</v>
      </c>
      <c r="L776" t="n">
        <v>0</v>
      </c>
      <c r="M776" t="n">
        <v>0</v>
      </c>
      <c r="N776" t="n">
        <v>0</v>
      </c>
      <c r="O776" t="n">
        <v>0</v>
      </c>
      <c r="P776" t="n">
        <v>0</v>
      </c>
      <c r="Q776" t="n">
        <v>0</v>
      </c>
      <c r="R776" s="2" t="inlineStr"/>
    </row>
    <row r="777" ht="15" customHeight="1">
      <c r="A777" t="inlineStr">
        <is>
          <t>A 60848-2022</t>
        </is>
      </c>
      <c r="B777" s="1" t="n">
        <v>44914</v>
      </c>
      <c r="C777" s="1" t="n">
        <v>46129</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6164-2023</t>
        </is>
      </c>
      <c r="B778" s="1" t="n">
        <v>44964.66871527778</v>
      </c>
      <c r="C778" s="1" t="n">
        <v>46129</v>
      </c>
      <c r="D778" t="inlineStr">
        <is>
          <t>SKÅNE LÄN</t>
        </is>
      </c>
      <c r="E778" t="inlineStr">
        <is>
          <t>HÄSSLEHOLM</t>
        </is>
      </c>
      <c r="G778" t="n">
        <v>0.7</v>
      </c>
      <c r="H778" t="n">
        <v>0</v>
      </c>
      <c r="I778" t="n">
        <v>0</v>
      </c>
      <c r="J778" t="n">
        <v>0</v>
      </c>
      <c r="K778" t="n">
        <v>0</v>
      </c>
      <c r="L778" t="n">
        <v>0</v>
      </c>
      <c r="M778" t="n">
        <v>0</v>
      </c>
      <c r="N778" t="n">
        <v>0</v>
      </c>
      <c r="O778" t="n">
        <v>0</v>
      </c>
      <c r="P778" t="n">
        <v>0</v>
      </c>
      <c r="Q778" t="n">
        <v>0</v>
      </c>
      <c r="R778" s="2" t="inlineStr"/>
    </row>
    <row r="779" ht="15" customHeight="1">
      <c r="A779" t="inlineStr">
        <is>
          <t>A 6299-2026</t>
        </is>
      </c>
      <c r="B779" s="1" t="n">
        <v>46055.56623842593</v>
      </c>
      <c r="C779" s="1" t="n">
        <v>46129</v>
      </c>
      <c r="D779" t="inlineStr">
        <is>
          <t>SKÅNE LÄN</t>
        </is>
      </c>
      <c r="E779" t="inlineStr">
        <is>
          <t>HÄSSLEHOLM</t>
        </is>
      </c>
      <c r="G779" t="n">
        <v>5.2</v>
      </c>
      <c r="H779" t="n">
        <v>0</v>
      </c>
      <c r="I779" t="n">
        <v>0</v>
      </c>
      <c r="J779" t="n">
        <v>0</v>
      </c>
      <c r="K779" t="n">
        <v>0</v>
      </c>
      <c r="L779" t="n">
        <v>0</v>
      </c>
      <c r="M779" t="n">
        <v>0</v>
      </c>
      <c r="N779" t="n">
        <v>0</v>
      </c>
      <c r="O779" t="n">
        <v>0</v>
      </c>
      <c r="P779" t="n">
        <v>0</v>
      </c>
      <c r="Q779" t="n">
        <v>0</v>
      </c>
      <c r="R779" s="2" t="inlineStr"/>
    </row>
    <row r="780" ht="15" customHeight="1">
      <c r="A780" t="inlineStr">
        <is>
          <t>A 45392-2024</t>
        </is>
      </c>
      <c r="B780" s="1" t="n">
        <v>45576.55008101852</v>
      </c>
      <c r="C780" s="1" t="n">
        <v>46129</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16454-2023</t>
        </is>
      </c>
      <c r="B781" s="1" t="n">
        <v>45029.48425925926</v>
      </c>
      <c r="C781" s="1" t="n">
        <v>46129</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17335-2024</t>
        </is>
      </c>
      <c r="B782" s="1" t="n">
        <v>45414.5687962963</v>
      </c>
      <c r="C782" s="1" t="n">
        <v>46129</v>
      </c>
      <c r="D782" t="inlineStr">
        <is>
          <t>SKÅNE LÄN</t>
        </is>
      </c>
      <c r="E782" t="inlineStr">
        <is>
          <t>HÄSSLEHOLM</t>
        </is>
      </c>
      <c r="G782" t="n">
        <v>1.5</v>
      </c>
      <c r="H782" t="n">
        <v>0</v>
      </c>
      <c r="I782" t="n">
        <v>0</v>
      </c>
      <c r="J782" t="n">
        <v>0</v>
      </c>
      <c r="K782" t="n">
        <v>0</v>
      </c>
      <c r="L782" t="n">
        <v>0</v>
      </c>
      <c r="M782" t="n">
        <v>0</v>
      </c>
      <c r="N782" t="n">
        <v>0</v>
      </c>
      <c r="O782" t="n">
        <v>0</v>
      </c>
      <c r="P782" t="n">
        <v>0</v>
      </c>
      <c r="Q782" t="n">
        <v>0</v>
      </c>
      <c r="R782" s="2" t="inlineStr"/>
    </row>
    <row r="783" ht="15" customHeight="1">
      <c r="A783" t="inlineStr">
        <is>
          <t>A 6295-2026</t>
        </is>
      </c>
      <c r="B783" s="1" t="n">
        <v>46055.56115740741</v>
      </c>
      <c r="C783" s="1" t="n">
        <v>46129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6363-2026</t>
        </is>
      </c>
      <c r="B784" s="1" t="n">
        <v>46055.62319444444</v>
      </c>
      <c r="C784" s="1" t="n">
        <v>46129</v>
      </c>
      <c r="D784" t="inlineStr">
        <is>
          <t>SKÅNE LÄN</t>
        </is>
      </c>
      <c r="E784" t="inlineStr">
        <is>
          <t>HÄSSLEHOLM</t>
        </is>
      </c>
      <c r="G784" t="n">
        <v>4.4</v>
      </c>
      <c r="H784" t="n">
        <v>0</v>
      </c>
      <c r="I784" t="n">
        <v>0</v>
      </c>
      <c r="J784" t="n">
        <v>0</v>
      </c>
      <c r="K784" t="n">
        <v>0</v>
      </c>
      <c r="L784" t="n">
        <v>0</v>
      </c>
      <c r="M784" t="n">
        <v>0</v>
      </c>
      <c r="N784" t="n">
        <v>0</v>
      </c>
      <c r="O784" t="n">
        <v>0</v>
      </c>
      <c r="P784" t="n">
        <v>0</v>
      </c>
      <c r="Q784" t="n">
        <v>0</v>
      </c>
      <c r="R784" s="2" t="inlineStr"/>
    </row>
    <row r="785" ht="15" customHeight="1">
      <c r="A785" t="inlineStr">
        <is>
          <t>A 13588-2026</t>
        </is>
      </c>
      <c r="B785" s="1" t="n">
        <v>46095.80452546296</v>
      </c>
      <c r="C785" s="1" t="n">
        <v>46129</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24246-2023</t>
        </is>
      </c>
      <c r="B786" s="1" t="n">
        <v>45079</v>
      </c>
      <c r="C786" s="1" t="n">
        <v>46129</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24249-2023</t>
        </is>
      </c>
      <c r="B787" s="1" t="n">
        <v>45079.62466435185</v>
      </c>
      <c r="C787" s="1" t="n">
        <v>46129</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31989-2024</t>
        </is>
      </c>
      <c r="B788" s="1" t="n">
        <v>45510.58085648148</v>
      </c>
      <c r="C788" s="1" t="n">
        <v>46129</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1120-2024</t>
        </is>
      </c>
      <c r="B789" s="1" t="n">
        <v>45302.4452662037</v>
      </c>
      <c r="C789" s="1" t="n">
        <v>46129</v>
      </c>
      <c r="D789" t="inlineStr">
        <is>
          <t>SKÅNE LÄN</t>
        </is>
      </c>
      <c r="E789" t="inlineStr">
        <is>
          <t>HÄSSLEHOLM</t>
        </is>
      </c>
      <c r="G789" t="n">
        <v>2.7</v>
      </c>
      <c r="H789" t="n">
        <v>0</v>
      </c>
      <c r="I789" t="n">
        <v>0</v>
      </c>
      <c r="J789" t="n">
        <v>0</v>
      </c>
      <c r="K789" t="n">
        <v>0</v>
      </c>
      <c r="L789" t="n">
        <v>0</v>
      </c>
      <c r="M789" t="n">
        <v>0</v>
      </c>
      <c r="N789" t="n">
        <v>0</v>
      </c>
      <c r="O789" t="n">
        <v>0</v>
      </c>
      <c r="P789" t="n">
        <v>0</v>
      </c>
      <c r="Q789" t="n">
        <v>0</v>
      </c>
      <c r="R789" s="2" t="inlineStr"/>
    </row>
    <row r="790" ht="15" customHeight="1">
      <c r="A790" t="inlineStr">
        <is>
          <t>A 60973-2024</t>
        </is>
      </c>
      <c r="B790" s="1" t="n">
        <v>45644</v>
      </c>
      <c r="C790" s="1" t="n">
        <v>46129</v>
      </c>
      <c r="D790" t="inlineStr">
        <is>
          <t>SKÅNE LÄN</t>
        </is>
      </c>
      <c r="E790" t="inlineStr">
        <is>
          <t>HÄSSLEHOLM</t>
        </is>
      </c>
      <c r="G790" t="n">
        <v>3.6</v>
      </c>
      <c r="H790" t="n">
        <v>0</v>
      </c>
      <c r="I790" t="n">
        <v>0</v>
      </c>
      <c r="J790" t="n">
        <v>0</v>
      </c>
      <c r="K790" t="n">
        <v>0</v>
      </c>
      <c r="L790" t="n">
        <v>0</v>
      </c>
      <c r="M790" t="n">
        <v>0</v>
      </c>
      <c r="N790" t="n">
        <v>0</v>
      </c>
      <c r="O790" t="n">
        <v>0</v>
      </c>
      <c r="P790" t="n">
        <v>0</v>
      </c>
      <c r="Q790" t="n">
        <v>0</v>
      </c>
      <c r="R790" s="2" t="inlineStr"/>
    </row>
    <row r="791" ht="15" customHeight="1">
      <c r="A791" t="inlineStr">
        <is>
          <t>A 27478-2023</t>
        </is>
      </c>
      <c r="B791" s="1" t="n">
        <v>45092</v>
      </c>
      <c r="C791" s="1" t="n">
        <v>46129</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37898-2021</t>
        </is>
      </c>
      <c r="B792" s="1" t="n">
        <v>44403</v>
      </c>
      <c r="C792" s="1" t="n">
        <v>46129</v>
      </c>
      <c r="D792" t="inlineStr">
        <is>
          <t>SKÅNE LÄN</t>
        </is>
      </c>
      <c r="E792" t="inlineStr">
        <is>
          <t>HÄSSLEHOLM</t>
        </is>
      </c>
      <c r="F792" t="inlineStr">
        <is>
          <t>Kommuner</t>
        </is>
      </c>
      <c r="G792" t="n">
        <v>8.4</v>
      </c>
      <c r="H792" t="n">
        <v>0</v>
      </c>
      <c r="I792" t="n">
        <v>0</v>
      </c>
      <c r="J792" t="n">
        <v>0</v>
      </c>
      <c r="K792" t="n">
        <v>0</v>
      </c>
      <c r="L792" t="n">
        <v>0</v>
      </c>
      <c r="M792" t="n">
        <v>0</v>
      </c>
      <c r="N792" t="n">
        <v>0</v>
      </c>
      <c r="O792" t="n">
        <v>0</v>
      </c>
      <c r="P792" t="n">
        <v>0</v>
      </c>
      <c r="Q792" t="n">
        <v>0</v>
      </c>
      <c r="R792" s="2" t="inlineStr"/>
    </row>
    <row r="793" ht="15" customHeight="1">
      <c r="A793" t="inlineStr">
        <is>
          <t>A 13199-2026</t>
        </is>
      </c>
      <c r="B793" s="1" t="n">
        <v>46093</v>
      </c>
      <c r="C793" s="1" t="n">
        <v>46129</v>
      </c>
      <c r="D793" t="inlineStr">
        <is>
          <t>SKÅNE LÄN</t>
        </is>
      </c>
      <c r="E793" t="inlineStr">
        <is>
          <t>HÄSSLEHOLM</t>
        </is>
      </c>
      <c r="G793" t="n">
        <v>1.4</v>
      </c>
      <c r="H793" t="n">
        <v>0</v>
      </c>
      <c r="I793" t="n">
        <v>0</v>
      </c>
      <c r="J793" t="n">
        <v>0</v>
      </c>
      <c r="K793" t="n">
        <v>0</v>
      </c>
      <c r="L793" t="n">
        <v>0</v>
      </c>
      <c r="M793" t="n">
        <v>0</v>
      </c>
      <c r="N793" t="n">
        <v>0</v>
      </c>
      <c r="O793" t="n">
        <v>0</v>
      </c>
      <c r="P793" t="n">
        <v>0</v>
      </c>
      <c r="Q793" t="n">
        <v>0</v>
      </c>
      <c r="R793" s="2" t="inlineStr"/>
    </row>
    <row r="794" ht="15" customHeight="1">
      <c r="A794" t="inlineStr">
        <is>
          <t>A 26641-2023</t>
        </is>
      </c>
      <c r="B794" s="1" t="n">
        <v>45092.89619212963</v>
      </c>
      <c r="C794" s="1" t="n">
        <v>46129</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6877-2026</t>
        </is>
      </c>
      <c r="B795" s="1" t="n">
        <v>46057.45768518518</v>
      </c>
      <c r="C795" s="1" t="n">
        <v>46129</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16397-2022</t>
        </is>
      </c>
      <c r="B796" s="1" t="n">
        <v>44671</v>
      </c>
      <c r="C796" s="1" t="n">
        <v>46129</v>
      </c>
      <c r="D796" t="inlineStr">
        <is>
          <t>SKÅNE LÄN</t>
        </is>
      </c>
      <c r="E796" t="inlineStr">
        <is>
          <t>HÄSSLEHOLM</t>
        </is>
      </c>
      <c r="G796" t="n">
        <v>2.7</v>
      </c>
      <c r="H796" t="n">
        <v>0</v>
      </c>
      <c r="I796" t="n">
        <v>0</v>
      </c>
      <c r="J796" t="n">
        <v>0</v>
      </c>
      <c r="K796" t="n">
        <v>0</v>
      </c>
      <c r="L796" t="n">
        <v>0</v>
      </c>
      <c r="M796" t="n">
        <v>0</v>
      </c>
      <c r="N796" t="n">
        <v>0</v>
      </c>
      <c r="O796" t="n">
        <v>0</v>
      </c>
      <c r="P796" t="n">
        <v>0</v>
      </c>
      <c r="Q796" t="n">
        <v>0</v>
      </c>
      <c r="R796" s="2" t="inlineStr"/>
    </row>
    <row r="797" ht="15" customHeight="1">
      <c r="A797" t="inlineStr">
        <is>
          <t>A 16398-2022</t>
        </is>
      </c>
      <c r="B797" s="1" t="n">
        <v>44671</v>
      </c>
      <c r="C797" s="1" t="n">
        <v>46129</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13894-2026</t>
        </is>
      </c>
      <c r="B798" s="1" t="n">
        <v>46098</v>
      </c>
      <c r="C798" s="1" t="n">
        <v>46129</v>
      </c>
      <c r="D798" t="inlineStr">
        <is>
          <t>SKÅNE LÄN</t>
        </is>
      </c>
      <c r="E798" t="inlineStr">
        <is>
          <t>HÄSSLEHOLM</t>
        </is>
      </c>
      <c r="G798" t="n">
        <v>2.6</v>
      </c>
      <c r="H798" t="n">
        <v>0</v>
      </c>
      <c r="I798" t="n">
        <v>0</v>
      </c>
      <c r="J798" t="n">
        <v>0</v>
      </c>
      <c r="K798" t="n">
        <v>0</v>
      </c>
      <c r="L798" t="n">
        <v>0</v>
      </c>
      <c r="M798" t="n">
        <v>0</v>
      </c>
      <c r="N798" t="n">
        <v>0</v>
      </c>
      <c r="O798" t="n">
        <v>0</v>
      </c>
      <c r="P798" t="n">
        <v>0</v>
      </c>
      <c r="Q798" t="n">
        <v>0</v>
      </c>
      <c r="R798" s="2" t="inlineStr"/>
    </row>
    <row r="799" ht="15" customHeight="1">
      <c r="A799" t="inlineStr">
        <is>
          <t>A 13906-2026</t>
        </is>
      </c>
      <c r="B799" s="1" t="n">
        <v>46098</v>
      </c>
      <c r="C799" s="1" t="n">
        <v>46129</v>
      </c>
      <c r="D799" t="inlineStr">
        <is>
          <t>SKÅNE LÄN</t>
        </is>
      </c>
      <c r="E799" t="inlineStr">
        <is>
          <t>HÄSSLEHOLM</t>
        </is>
      </c>
      <c r="G799" t="n">
        <v>1.4</v>
      </c>
      <c r="H799" t="n">
        <v>0</v>
      </c>
      <c r="I799" t="n">
        <v>0</v>
      </c>
      <c r="J799" t="n">
        <v>0</v>
      </c>
      <c r="K799" t="n">
        <v>0</v>
      </c>
      <c r="L799" t="n">
        <v>0</v>
      </c>
      <c r="M799" t="n">
        <v>0</v>
      </c>
      <c r="N799" t="n">
        <v>0</v>
      </c>
      <c r="O799" t="n">
        <v>0</v>
      </c>
      <c r="P799" t="n">
        <v>0</v>
      </c>
      <c r="Q799" t="n">
        <v>0</v>
      </c>
      <c r="R799" s="2" t="inlineStr"/>
    </row>
    <row r="800" ht="15" customHeight="1">
      <c r="A800" t="inlineStr">
        <is>
          <t>A 4512-2024</t>
        </is>
      </c>
      <c r="B800" s="1" t="n">
        <v>45327.6312962963</v>
      </c>
      <c r="C800" s="1" t="n">
        <v>46129</v>
      </c>
      <c r="D800" t="inlineStr">
        <is>
          <t>SKÅNE LÄN</t>
        </is>
      </c>
      <c r="E800" t="inlineStr">
        <is>
          <t>HÄSSLEHOLM</t>
        </is>
      </c>
      <c r="G800" t="n">
        <v>2</v>
      </c>
      <c r="H800" t="n">
        <v>0</v>
      </c>
      <c r="I800" t="n">
        <v>0</v>
      </c>
      <c r="J800" t="n">
        <v>0</v>
      </c>
      <c r="K800" t="n">
        <v>0</v>
      </c>
      <c r="L800" t="n">
        <v>0</v>
      </c>
      <c r="M800" t="n">
        <v>0</v>
      </c>
      <c r="N800" t="n">
        <v>0</v>
      </c>
      <c r="O800" t="n">
        <v>0</v>
      </c>
      <c r="P800" t="n">
        <v>0</v>
      </c>
      <c r="Q800" t="n">
        <v>0</v>
      </c>
      <c r="R800" s="2" t="inlineStr"/>
    </row>
    <row r="801" ht="15" customHeight="1">
      <c r="A801" t="inlineStr">
        <is>
          <t>A 15512-2025</t>
        </is>
      </c>
      <c r="B801" s="1" t="n">
        <v>45747</v>
      </c>
      <c r="C801" s="1" t="n">
        <v>46129</v>
      </c>
      <c r="D801" t="inlineStr">
        <is>
          <t>SKÅNE LÄN</t>
        </is>
      </c>
      <c r="E801" t="inlineStr">
        <is>
          <t>HÄSSLEHOLM</t>
        </is>
      </c>
      <c r="G801" t="n">
        <v>3.5</v>
      </c>
      <c r="H801" t="n">
        <v>0</v>
      </c>
      <c r="I801" t="n">
        <v>0</v>
      </c>
      <c r="J801" t="n">
        <v>0</v>
      </c>
      <c r="K801" t="n">
        <v>0</v>
      </c>
      <c r="L801" t="n">
        <v>0</v>
      </c>
      <c r="M801" t="n">
        <v>0</v>
      </c>
      <c r="N801" t="n">
        <v>0</v>
      </c>
      <c r="O801" t="n">
        <v>0</v>
      </c>
      <c r="P801" t="n">
        <v>0</v>
      </c>
      <c r="Q801" t="n">
        <v>0</v>
      </c>
      <c r="R801" s="2" t="inlineStr"/>
    </row>
    <row r="802" ht="15" customHeight="1">
      <c r="A802" t="inlineStr">
        <is>
          <t>A 39044-2024</t>
        </is>
      </c>
      <c r="B802" s="1" t="n">
        <v>45548.47707175926</v>
      </c>
      <c r="C802" s="1" t="n">
        <v>46129</v>
      </c>
      <c r="D802" t="inlineStr">
        <is>
          <t>SKÅNE LÄN</t>
        </is>
      </c>
      <c r="E802" t="inlineStr">
        <is>
          <t>HÄSSLEHOLM</t>
        </is>
      </c>
      <c r="G802" t="n">
        <v>2.8</v>
      </c>
      <c r="H802" t="n">
        <v>0</v>
      </c>
      <c r="I802" t="n">
        <v>0</v>
      </c>
      <c r="J802" t="n">
        <v>0</v>
      </c>
      <c r="K802" t="n">
        <v>0</v>
      </c>
      <c r="L802" t="n">
        <v>0</v>
      </c>
      <c r="M802" t="n">
        <v>0</v>
      </c>
      <c r="N802" t="n">
        <v>0</v>
      </c>
      <c r="O802" t="n">
        <v>0</v>
      </c>
      <c r="P802" t="n">
        <v>0</v>
      </c>
      <c r="Q802" t="n">
        <v>0</v>
      </c>
      <c r="R802" s="2" t="inlineStr"/>
    </row>
    <row r="803" ht="15" customHeight="1">
      <c r="A803" t="inlineStr">
        <is>
          <t>A 13886-2026</t>
        </is>
      </c>
      <c r="B803" s="1" t="n">
        <v>46098</v>
      </c>
      <c r="C803" s="1" t="n">
        <v>46129</v>
      </c>
      <c r="D803" t="inlineStr">
        <is>
          <t>SKÅNE LÄN</t>
        </is>
      </c>
      <c r="E803" t="inlineStr">
        <is>
          <t>HÄSSLEHOLM</t>
        </is>
      </c>
      <c r="G803" t="n">
        <v>1.6</v>
      </c>
      <c r="H803" t="n">
        <v>0</v>
      </c>
      <c r="I803" t="n">
        <v>0</v>
      </c>
      <c r="J803" t="n">
        <v>0</v>
      </c>
      <c r="K803" t="n">
        <v>0</v>
      </c>
      <c r="L803" t="n">
        <v>0</v>
      </c>
      <c r="M803" t="n">
        <v>0</v>
      </c>
      <c r="N803" t="n">
        <v>0</v>
      </c>
      <c r="O803" t="n">
        <v>0</v>
      </c>
      <c r="P803" t="n">
        <v>0</v>
      </c>
      <c r="Q803" t="n">
        <v>0</v>
      </c>
      <c r="R803" s="2" t="inlineStr"/>
    </row>
    <row r="804" ht="15" customHeight="1">
      <c r="A804" t="inlineStr">
        <is>
          <t>A 6449-2026</t>
        </is>
      </c>
      <c r="B804" s="1" t="n">
        <v>46055.87239583334</v>
      </c>
      <c r="C804" s="1" t="n">
        <v>46129</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13842-2026</t>
        </is>
      </c>
      <c r="B805" s="1" t="n">
        <v>46098.37758101852</v>
      </c>
      <c r="C805" s="1" t="n">
        <v>46129</v>
      </c>
      <c r="D805" t="inlineStr">
        <is>
          <t>SKÅNE LÄN</t>
        </is>
      </c>
      <c r="E805" t="inlineStr">
        <is>
          <t>HÄSSLEHOLM</t>
        </is>
      </c>
      <c r="G805" t="n">
        <v>10</v>
      </c>
      <c r="H805" t="n">
        <v>0</v>
      </c>
      <c r="I805" t="n">
        <v>0</v>
      </c>
      <c r="J805" t="n">
        <v>0</v>
      </c>
      <c r="K805" t="n">
        <v>0</v>
      </c>
      <c r="L805" t="n">
        <v>0</v>
      </c>
      <c r="M805" t="n">
        <v>0</v>
      </c>
      <c r="N805" t="n">
        <v>0</v>
      </c>
      <c r="O805" t="n">
        <v>0</v>
      </c>
      <c r="P805" t="n">
        <v>0</v>
      </c>
      <c r="Q805" t="n">
        <v>0</v>
      </c>
      <c r="R805" s="2" t="inlineStr"/>
    </row>
    <row r="806" ht="15" customHeight="1">
      <c r="A806" t="inlineStr">
        <is>
          <t>A 19020-2024</t>
        </is>
      </c>
      <c r="B806" s="1" t="n">
        <v>45427.66167824074</v>
      </c>
      <c r="C806" s="1" t="n">
        <v>46129</v>
      </c>
      <c r="D806" t="inlineStr">
        <is>
          <t>SKÅNE LÄN</t>
        </is>
      </c>
      <c r="E806" t="inlineStr">
        <is>
          <t>HÄSSLEHOLM</t>
        </is>
      </c>
      <c r="G806" t="n">
        <v>2.3</v>
      </c>
      <c r="H806" t="n">
        <v>0</v>
      </c>
      <c r="I806" t="n">
        <v>0</v>
      </c>
      <c r="J806" t="n">
        <v>0</v>
      </c>
      <c r="K806" t="n">
        <v>0</v>
      </c>
      <c r="L806" t="n">
        <v>0</v>
      </c>
      <c r="M806" t="n">
        <v>0</v>
      </c>
      <c r="N806" t="n">
        <v>0</v>
      </c>
      <c r="O806" t="n">
        <v>0</v>
      </c>
      <c r="P806" t="n">
        <v>0</v>
      </c>
      <c r="Q806" t="n">
        <v>0</v>
      </c>
      <c r="R806" s="2" t="inlineStr"/>
    </row>
    <row r="807" ht="15" customHeight="1">
      <c r="A807" t="inlineStr">
        <is>
          <t>A 40734-2024</t>
        </is>
      </c>
      <c r="B807" s="1" t="n">
        <v>45558</v>
      </c>
      <c r="C807" s="1" t="n">
        <v>46129</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40738-2024</t>
        </is>
      </c>
      <c r="B808" s="1" t="n">
        <v>45558</v>
      </c>
      <c r="C808" s="1" t="n">
        <v>46129</v>
      </c>
      <c r="D808" t="inlineStr">
        <is>
          <t>SKÅNE LÄN</t>
        </is>
      </c>
      <c r="E808" t="inlineStr">
        <is>
          <t>HÄSSLEHOLM</t>
        </is>
      </c>
      <c r="G808" t="n">
        <v>2.6</v>
      </c>
      <c r="H808" t="n">
        <v>0</v>
      </c>
      <c r="I808" t="n">
        <v>0</v>
      </c>
      <c r="J808" t="n">
        <v>0</v>
      </c>
      <c r="K808" t="n">
        <v>0</v>
      </c>
      <c r="L808" t="n">
        <v>0</v>
      </c>
      <c r="M808" t="n">
        <v>0</v>
      </c>
      <c r="N808" t="n">
        <v>0</v>
      </c>
      <c r="O808" t="n">
        <v>0</v>
      </c>
      <c r="P808" t="n">
        <v>0</v>
      </c>
      <c r="Q808" t="n">
        <v>0</v>
      </c>
      <c r="R808" s="2" t="inlineStr"/>
    </row>
    <row r="809" ht="15" customHeight="1">
      <c r="A809" t="inlineStr">
        <is>
          <t>A 49199-2024</t>
        </is>
      </c>
      <c r="B809" s="1" t="n">
        <v>45595</v>
      </c>
      <c r="C809" s="1" t="n">
        <v>46129</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13910-2026</t>
        </is>
      </c>
      <c r="B810" s="1" t="n">
        <v>46098</v>
      </c>
      <c r="C810" s="1" t="n">
        <v>46129</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2712-2024</t>
        </is>
      </c>
      <c r="B811" s="1" t="n">
        <v>45314</v>
      </c>
      <c r="C811" s="1" t="n">
        <v>46129</v>
      </c>
      <c r="D811" t="inlineStr">
        <is>
          <t>SKÅNE LÄN</t>
        </is>
      </c>
      <c r="E811" t="inlineStr">
        <is>
          <t>HÄSSLEHOLM</t>
        </is>
      </c>
      <c r="G811" t="n">
        <v>11.3</v>
      </c>
      <c r="H811" t="n">
        <v>0</v>
      </c>
      <c r="I811" t="n">
        <v>0</v>
      </c>
      <c r="J811" t="n">
        <v>0</v>
      </c>
      <c r="K811" t="n">
        <v>0</v>
      </c>
      <c r="L811" t="n">
        <v>0</v>
      </c>
      <c r="M811" t="n">
        <v>0</v>
      </c>
      <c r="N811" t="n">
        <v>0</v>
      </c>
      <c r="O811" t="n">
        <v>0</v>
      </c>
      <c r="P811" t="n">
        <v>0</v>
      </c>
      <c r="Q811" t="n">
        <v>0</v>
      </c>
      <c r="R811" s="2" t="inlineStr"/>
    </row>
    <row r="812" ht="15" customHeight="1">
      <c r="A812" t="inlineStr">
        <is>
          <t>A 14191-2026</t>
        </is>
      </c>
      <c r="B812" s="1" t="n">
        <v>46099.528125</v>
      </c>
      <c r="C812" s="1" t="n">
        <v>46129</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56986-2024</t>
        </is>
      </c>
      <c r="B813" s="1" t="n">
        <v>45626</v>
      </c>
      <c r="C813" s="1" t="n">
        <v>46129</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14471-2026</t>
        </is>
      </c>
      <c r="B814" s="1" t="n">
        <v>46100.56711805556</v>
      </c>
      <c r="C814" s="1" t="n">
        <v>46129</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46222-2022</t>
        </is>
      </c>
      <c r="B815" s="1" t="n">
        <v>44847.58725694445</v>
      </c>
      <c r="C815" s="1" t="n">
        <v>46129</v>
      </c>
      <c r="D815" t="inlineStr">
        <is>
          <t>SKÅNE LÄN</t>
        </is>
      </c>
      <c r="E815" t="inlineStr">
        <is>
          <t>HÄSSLEHOLM</t>
        </is>
      </c>
      <c r="G815" t="n">
        <v>6.3</v>
      </c>
      <c r="H815" t="n">
        <v>0</v>
      </c>
      <c r="I815" t="n">
        <v>0</v>
      </c>
      <c r="J815" t="n">
        <v>0</v>
      </c>
      <c r="K815" t="n">
        <v>0</v>
      </c>
      <c r="L815" t="n">
        <v>0</v>
      </c>
      <c r="M815" t="n">
        <v>0</v>
      </c>
      <c r="N815" t="n">
        <v>0</v>
      </c>
      <c r="O815" t="n">
        <v>0</v>
      </c>
      <c r="P815" t="n">
        <v>0</v>
      </c>
      <c r="Q815" t="n">
        <v>0</v>
      </c>
      <c r="R815" s="2" t="inlineStr"/>
    </row>
    <row r="816" ht="15" customHeight="1">
      <c r="A816" t="inlineStr">
        <is>
          <t>A 2567-2024</t>
        </is>
      </c>
      <c r="B816" s="1" t="n">
        <v>45313.62460648148</v>
      </c>
      <c r="C816" s="1" t="n">
        <v>46129</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14538-2026</t>
        </is>
      </c>
      <c r="B817" s="1" t="n">
        <v>46100.67711805556</v>
      </c>
      <c r="C817" s="1" t="n">
        <v>46129</v>
      </c>
      <c r="D817" t="inlineStr">
        <is>
          <t>SKÅNE LÄN</t>
        </is>
      </c>
      <c r="E817" t="inlineStr">
        <is>
          <t>HÄSSLEHOLM</t>
        </is>
      </c>
      <c r="G817" t="n">
        <v>1.4</v>
      </c>
      <c r="H817" t="n">
        <v>0</v>
      </c>
      <c r="I817" t="n">
        <v>0</v>
      </c>
      <c r="J817" t="n">
        <v>0</v>
      </c>
      <c r="K817" t="n">
        <v>0</v>
      </c>
      <c r="L817" t="n">
        <v>0</v>
      </c>
      <c r="M817" t="n">
        <v>0</v>
      </c>
      <c r="N817" t="n">
        <v>0</v>
      </c>
      <c r="O817" t="n">
        <v>0</v>
      </c>
      <c r="P817" t="n">
        <v>0</v>
      </c>
      <c r="Q817" t="n">
        <v>0</v>
      </c>
      <c r="R817" s="2" t="inlineStr"/>
    </row>
    <row r="818" ht="15" customHeight="1">
      <c r="A818" t="inlineStr">
        <is>
          <t>A 14540-2026</t>
        </is>
      </c>
      <c r="B818" s="1" t="n">
        <v>46100.67826388889</v>
      </c>
      <c r="C818" s="1" t="n">
        <v>46129</v>
      </c>
      <c r="D818" t="inlineStr">
        <is>
          <t>SKÅNE LÄN</t>
        </is>
      </c>
      <c r="E818" t="inlineStr">
        <is>
          <t>HÄSSLEHOLM</t>
        </is>
      </c>
      <c r="G818" t="n">
        <v>0.5</v>
      </c>
      <c r="H818" t="n">
        <v>0</v>
      </c>
      <c r="I818" t="n">
        <v>0</v>
      </c>
      <c r="J818" t="n">
        <v>0</v>
      </c>
      <c r="K818" t="n">
        <v>0</v>
      </c>
      <c r="L818" t="n">
        <v>0</v>
      </c>
      <c r="M818" t="n">
        <v>0</v>
      </c>
      <c r="N818" t="n">
        <v>0</v>
      </c>
      <c r="O818" t="n">
        <v>0</v>
      </c>
      <c r="P818" t="n">
        <v>0</v>
      </c>
      <c r="Q818" t="n">
        <v>0</v>
      </c>
      <c r="R818" s="2" t="inlineStr"/>
    </row>
    <row r="819" ht="15" customHeight="1">
      <c r="A819" t="inlineStr">
        <is>
          <t>A 28632-2024</t>
        </is>
      </c>
      <c r="B819" s="1" t="n">
        <v>45478</v>
      </c>
      <c r="C819" s="1" t="n">
        <v>46129</v>
      </c>
      <c r="D819" t="inlineStr">
        <is>
          <t>SKÅNE LÄN</t>
        </is>
      </c>
      <c r="E819" t="inlineStr">
        <is>
          <t>HÄSSLEHOLM</t>
        </is>
      </c>
      <c r="G819" t="n">
        <v>4</v>
      </c>
      <c r="H819" t="n">
        <v>0</v>
      </c>
      <c r="I819" t="n">
        <v>0</v>
      </c>
      <c r="J819" t="n">
        <v>0</v>
      </c>
      <c r="K819" t="n">
        <v>0</v>
      </c>
      <c r="L819" t="n">
        <v>0</v>
      </c>
      <c r="M819" t="n">
        <v>0</v>
      </c>
      <c r="N819" t="n">
        <v>0</v>
      </c>
      <c r="O819" t="n">
        <v>0</v>
      </c>
      <c r="P819" t="n">
        <v>0</v>
      </c>
      <c r="Q819" t="n">
        <v>0</v>
      </c>
      <c r="R819" s="2" t="inlineStr"/>
    </row>
    <row r="820" ht="15" customHeight="1">
      <c r="A820" t="inlineStr">
        <is>
          <t>A 11708-2025</t>
        </is>
      </c>
      <c r="B820" s="1" t="n">
        <v>45727.58626157408</v>
      </c>
      <c r="C820" s="1" t="n">
        <v>46129</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21028-2021</t>
        </is>
      </c>
      <c r="B821" s="1" t="n">
        <v>44319</v>
      </c>
      <c r="C821" s="1" t="n">
        <v>46129</v>
      </c>
      <c r="D821" t="inlineStr">
        <is>
          <t>SKÅNE LÄN</t>
        </is>
      </c>
      <c r="E821" t="inlineStr">
        <is>
          <t>HÄSSLEHOLM</t>
        </is>
      </c>
      <c r="G821" t="n">
        <v>3.1</v>
      </c>
      <c r="H821" t="n">
        <v>0</v>
      </c>
      <c r="I821" t="n">
        <v>0</v>
      </c>
      <c r="J821" t="n">
        <v>0</v>
      </c>
      <c r="K821" t="n">
        <v>0</v>
      </c>
      <c r="L821" t="n">
        <v>0</v>
      </c>
      <c r="M821" t="n">
        <v>0</v>
      </c>
      <c r="N821" t="n">
        <v>0</v>
      </c>
      <c r="O821" t="n">
        <v>0</v>
      </c>
      <c r="P821" t="n">
        <v>0</v>
      </c>
      <c r="Q821" t="n">
        <v>0</v>
      </c>
      <c r="R821" s="2" t="inlineStr"/>
    </row>
    <row r="822" ht="15" customHeight="1">
      <c r="A822" t="inlineStr">
        <is>
          <t>A 69357-2021</t>
        </is>
      </c>
      <c r="B822" s="1" t="n">
        <v>44531</v>
      </c>
      <c r="C822" s="1" t="n">
        <v>46129</v>
      </c>
      <c r="D822" t="inlineStr">
        <is>
          <t>SKÅNE LÄN</t>
        </is>
      </c>
      <c r="E822" t="inlineStr">
        <is>
          <t>HÄSSLEHOLM</t>
        </is>
      </c>
      <c r="G822" t="n">
        <v>1.6</v>
      </c>
      <c r="H822" t="n">
        <v>0</v>
      </c>
      <c r="I822" t="n">
        <v>0</v>
      </c>
      <c r="J822" t="n">
        <v>0</v>
      </c>
      <c r="K822" t="n">
        <v>0</v>
      </c>
      <c r="L822" t="n">
        <v>0</v>
      </c>
      <c r="M822" t="n">
        <v>0</v>
      </c>
      <c r="N822" t="n">
        <v>0</v>
      </c>
      <c r="O822" t="n">
        <v>0</v>
      </c>
      <c r="P822" t="n">
        <v>0</v>
      </c>
      <c r="Q822" t="n">
        <v>0</v>
      </c>
      <c r="R822" s="2" t="inlineStr"/>
    </row>
    <row r="823" ht="15" customHeight="1">
      <c r="A823" t="inlineStr">
        <is>
          <t>A 7244-2026</t>
        </is>
      </c>
      <c r="B823" s="1" t="n">
        <v>46058.58646990741</v>
      </c>
      <c r="C823" s="1" t="n">
        <v>46129</v>
      </c>
      <c r="D823" t="inlineStr">
        <is>
          <t>SKÅNE LÄN</t>
        </is>
      </c>
      <c r="E823" t="inlineStr">
        <is>
          <t>HÄSSLEHOLM</t>
        </is>
      </c>
      <c r="G823" t="n">
        <v>7</v>
      </c>
      <c r="H823" t="n">
        <v>0</v>
      </c>
      <c r="I823" t="n">
        <v>0</v>
      </c>
      <c r="J823" t="n">
        <v>0</v>
      </c>
      <c r="K823" t="n">
        <v>0</v>
      </c>
      <c r="L823" t="n">
        <v>0</v>
      </c>
      <c r="M823" t="n">
        <v>0</v>
      </c>
      <c r="N823" t="n">
        <v>0</v>
      </c>
      <c r="O823" t="n">
        <v>0</v>
      </c>
      <c r="P823" t="n">
        <v>0</v>
      </c>
      <c r="Q823" t="n">
        <v>0</v>
      </c>
      <c r="R823" s="2" t="inlineStr"/>
    </row>
    <row r="824" ht="15" customHeight="1">
      <c r="A824" t="inlineStr">
        <is>
          <t>A 3855-2023</t>
        </is>
      </c>
      <c r="B824" s="1" t="n">
        <v>44951.69708333333</v>
      </c>
      <c r="C824" s="1" t="n">
        <v>46129</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33481-2024</t>
        </is>
      </c>
      <c r="B825" s="1" t="n">
        <v>45519</v>
      </c>
      <c r="C825" s="1" t="n">
        <v>46129</v>
      </c>
      <c r="D825" t="inlineStr">
        <is>
          <t>SKÅNE LÄN</t>
        </is>
      </c>
      <c r="E825" t="inlineStr">
        <is>
          <t>HÄSSLEHOLM</t>
        </is>
      </c>
      <c r="G825" t="n">
        <v>3</v>
      </c>
      <c r="H825" t="n">
        <v>0</v>
      </c>
      <c r="I825" t="n">
        <v>0</v>
      </c>
      <c r="J825" t="n">
        <v>0</v>
      </c>
      <c r="K825" t="n">
        <v>0</v>
      </c>
      <c r="L825" t="n">
        <v>0</v>
      </c>
      <c r="M825" t="n">
        <v>0</v>
      </c>
      <c r="N825" t="n">
        <v>0</v>
      </c>
      <c r="O825" t="n">
        <v>0</v>
      </c>
      <c r="P825" t="n">
        <v>0</v>
      </c>
      <c r="Q825" t="n">
        <v>0</v>
      </c>
      <c r="R825" s="2" t="inlineStr"/>
    </row>
    <row r="826" ht="15" customHeight="1">
      <c r="A826" t="inlineStr">
        <is>
          <t>A 7721-2026</t>
        </is>
      </c>
      <c r="B826" s="1" t="n">
        <v>46059</v>
      </c>
      <c r="C826" s="1" t="n">
        <v>46129</v>
      </c>
      <c r="D826" t="inlineStr">
        <is>
          <t>SKÅNE LÄN</t>
        </is>
      </c>
      <c r="E826" t="inlineStr">
        <is>
          <t>HÄSSLEHOLM</t>
        </is>
      </c>
      <c r="G826" t="n">
        <v>3.3</v>
      </c>
      <c r="H826" t="n">
        <v>0</v>
      </c>
      <c r="I826" t="n">
        <v>0</v>
      </c>
      <c r="J826" t="n">
        <v>0</v>
      </c>
      <c r="K826" t="n">
        <v>0</v>
      </c>
      <c r="L826" t="n">
        <v>0</v>
      </c>
      <c r="M826" t="n">
        <v>0</v>
      </c>
      <c r="N826" t="n">
        <v>0</v>
      </c>
      <c r="O826" t="n">
        <v>0</v>
      </c>
      <c r="P826" t="n">
        <v>0</v>
      </c>
      <c r="Q826" t="n">
        <v>0</v>
      </c>
      <c r="R826" s="2" t="inlineStr"/>
    </row>
    <row r="827" ht="15" customHeight="1">
      <c r="A827" t="inlineStr">
        <is>
          <t>A 1289-2024</t>
        </is>
      </c>
      <c r="B827" s="1" t="n">
        <v>45303.32234953704</v>
      </c>
      <c r="C827" s="1" t="n">
        <v>46129</v>
      </c>
      <c r="D827" t="inlineStr">
        <is>
          <t>SKÅNE LÄN</t>
        </is>
      </c>
      <c r="E827" t="inlineStr">
        <is>
          <t>HÄSSLEHOLM</t>
        </is>
      </c>
      <c r="G827" t="n">
        <v>4.6</v>
      </c>
      <c r="H827" t="n">
        <v>0</v>
      </c>
      <c r="I827" t="n">
        <v>0</v>
      </c>
      <c r="J827" t="n">
        <v>0</v>
      </c>
      <c r="K827" t="n">
        <v>0</v>
      </c>
      <c r="L827" t="n">
        <v>0</v>
      </c>
      <c r="M827" t="n">
        <v>0</v>
      </c>
      <c r="N827" t="n">
        <v>0</v>
      </c>
      <c r="O827" t="n">
        <v>0</v>
      </c>
      <c r="P827" t="n">
        <v>0</v>
      </c>
      <c r="Q827" t="n">
        <v>0</v>
      </c>
      <c r="R827" s="2" t="inlineStr"/>
    </row>
    <row r="828" ht="15" customHeight="1">
      <c r="A828" t="inlineStr">
        <is>
          <t>A 54176-2022</t>
        </is>
      </c>
      <c r="B828" s="1" t="n">
        <v>44881</v>
      </c>
      <c r="C828" s="1" t="n">
        <v>46129</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7152-2025</t>
        </is>
      </c>
      <c r="B829" s="1" t="n">
        <v>45702.3837037037</v>
      </c>
      <c r="C829" s="1" t="n">
        <v>46129</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7160-2025</t>
        </is>
      </c>
      <c r="B830" s="1" t="n">
        <v>45702.3875462963</v>
      </c>
      <c r="C830" s="1" t="n">
        <v>46129</v>
      </c>
      <c r="D830" t="inlineStr">
        <is>
          <t>SKÅNE LÄN</t>
        </is>
      </c>
      <c r="E830" t="inlineStr">
        <is>
          <t>HÄSSLEHOLM</t>
        </is>
      </c>
      <c r="G830" t="n">
        <v>2.5</v>
      </c>
      <c r="H830" t="n">
        <v>0</v>
      </c>
      <c r="I830" t="n">
        <v>0</v>
      </c>
      <c r="J830" t="n">
        <v>0</v>
      </c>
      <c r="K830" t="n">
        <v>0</v>
      </c>
      <c r="L830" t="n">
        <v>0</v>
      </c>
      <c r="M830" t="n">
        <v>0</v>
      </c>
      <c r="N830" t="n">
        <v>0</v>
      </c>
      <c r="O830" t="n">
        <v>0</v>
      </c>
      <c r="P830" t="n">
        <v>0</v>
      </c>
      <c r="Q830" t="n">
        <v>0</v>
      </c>
      <c r="R830" s="2" t="inlineStr"/>
    </row>
    <row r="831" ht="15" customHeight="1">
      <c r="A831" t="inlineStr">
        <is>
          <t>A 14541-2026</t>
        </is>
      </c>
      <c r="B831" s="1" t="n">
        <v>46100.67851851852</v>
      </c>
      <c r="C831" s="1" t="n">
        <v>46129</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27291-2023</t>
        </is>
      </c>
      <c r="B832" s="1" t="n">
        <v>45096</v>
      </c>
      <c r="C832" s="1" t="n">
        <v>46129</v>
      </c>
      <c r="D832" t="inlineStr">
        <is>
          <t>SKÅNE LÄN</t>
        </is>
      </c>
      <c r="E832" t="inlineStr">
        <is>
          <t>HÄSSLEHOLM</t>
        </is>
      </c>
      <c r="G832" t="n">
        <v>3.5</v>
      </c>
      <c r="H832" t="n">
        <v>0</v>
      </c>
      <c r="I832" t="n">
        <v>0</v>
      </c>
      <c r="J832" t="n">
        <v>0</v>
      </c>
      <c r="K832" t="n">
        <v>0</v>
      </c>
      <c r="L832" t="n">
        <v>0</v>
      </c>
      <c r="M832" t="n">
        <v>0</v>
      </c>
      <c r="N832" t="n">
        <v>0</v>
      </c>
      <c r="O832" t="n">
        <v>0</v>
      </c>
      <c r="P832" t="n">
        <v>0</v>
      </c>
      <c r="Q832" t="n">
        <v>0</v>
      </c>
      <c r="R832" s="2" t="inlineStr"/>
    </row>
    <row r="833" ht="15" customHeight="1">
      <c r="A833" t="inlineStr">
        <is>
          <t>A 441-2022</t>
        </is>
      </c>
      <c r="B833" s="1" t="n">
        <v>44565.97125</v>
      </c>
      <c r="C833" s="1" t="n">
        <v>46129</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14971-2026</t>
        </is>
      </c>
      <c r="B834" s="1" t="n">
        <v>46104.56393518519</v>
      </c>
      <c r="C834" s="1" t="n">
        <v>46129</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14981-2026</t>
        </is>
      </c>
      <c r="B835" s="1" t="n">
        <v>46104</v>
      </c>
      <c r="C835" s="1" t="n">
        <v>46129</v>
      </c>
      <c r="D835" t="inlineStr">
        <is>
          <t>SKÅNE LÄN</t>
        </is>
      </c>
      <c r="E835" t="inlineStr">
        <is>
          <t>HÄSSLEHOLM</t>
        </is>
      </c>
      <c r="G835" t="n">
        <v>7.7</v>
      </c>
      <c r="H835" t="n">
        <v>0</v>
      </c>
      <c r="I835" t="n">
        <v>0</v>
      </c>
      <c r="J835" t="n">
        <v>0</v>
      </c>
      <c r="K835" t="n">
        <v>0</v>
      </c>
      <c r="L835" t="n">
        <v>0</v>
      </c>
      <c r="M835" t="n">
        <v>0</v>
      </c>
      <c r="N835" t="n">
        <v>0</v>
      </c>
      <c r="O835" t="n">
        <v>0</v>
      </c>
      <c r="P835" t="n">
        <v>0</v>
      </c>
      <c r="Q835" t="n">
        <v>0</v>
      </c>
      <c r="R835" s="2" t="inlineStr"/>
    </row>
    <row r="836" ht="15" customHeight="1">
      <c r="A836" t="inlineStr">
        <is>
          <t>A 5887-2025</t>
        </is>
      </c>
      <c r="B836" s="1" t="n">
        <v>45695.37925925926</v>
      </c>
      <c r="C836" s="1" t="n">
        <v>46129</v>
      </c>
      <c r="D836" t="inlineStr">
        <is>
          <t>SKÅNE LÄN</t>
        </is>
      </c>
      <c r="E836" t="inlineStr">
        <is>
          <t>HÄSSLEHOLM</t>
        </is>
      </c>
      <c r="G836" t="n">
        <v>4.8</v>
      </c>
      <c r="H836" t="n">
        <v>0</v>
      </c>
      <c r="I836" t="n">
        <v>0</v>
      </c>
      <c r="J836" t="n">
        <v>0</v>
      </c>
      <c r="K836" t="n">
        <v>0</v>
      </c>
      <c r="L836" t="n">
        <v>0</v>
      </c>
      <c r="M836" t="n">
        <v>0</v>
      </c>
      <c r="N836" t="n">
        <v>0</v>
      </c>
      <c r="O836" t="n">
        <v>0</v>
      </c>
      <c r="P836" t="n">
        <v>0</v>
      </c>
      <c r="Q836" t="n">
        <v>0</v>
      </c>
      <c r="R836" s="2" t="inlineStr"/>
    </row>
    <row r="837" ht="15" customHeight="1">
      <c r="A837" t="inlineStr">
        <is>
          <t>A 7785-2026</t>
        </is>
      </c>
      <c r="B837" s="1" t="n">
        <v>46062.58422453704</v>
      </c>
      <c r="C837" s="1" t="n">
        <v>46129</v>
      </c>
      <c r="D837" t="inlineStr">
        <is>
          <t>SKÅNE LÄN</t>
        </is>
      </c>
      <c r="E837" t="inlineStr">
        <is>
          <t>HÄSSLEHOLM</t>
        </is>
      </c>
      <c r="G837" t="n">
        <v>2.3</v>
      </c>
      <c r="H837" t="n">
        <v>0</v>
      </c>
      <c r="I837" t="n">
        <v>0</v>
      </c>
      <c r="J837" t="n">
        <v>0</v>
      </c>
      <c r="K837" t="n">
        <v>0</v>
      </c>
      <c r="L837" t="n">
        <v>0</v>
      </c>
      <c r="M837" t="n">
        <v>0</v>
      </c>
      <c r="N837" t="n">
        <v>0</v>
      </c>
      <c r="O837" t="n">
        <v>0</v>
      </c>
      <c r="P837" t="n">
        <v>0</v>
      </c>
      <c r="Q837" t="n">
        <v>0</v>
      </c>
      <c r="R837" s="2" t="inlineStr"/>
    </row>
    <row r="838" ht="15" customHeight="1">
      <c r="A838" t="inlineStr">
        <is>
          <t>A 54874-2022</t>
        </is>
      </c>
      <c r="B838" s="1" t="n">
        <v>44881</v>
      </c>
      <c r="C838" s="1" t="n">
        <v>46129</v>
      </c>
      <c r="D838" t="inlineStr">
        <is>
          <t>SKÅNE LÄN</t>
        </is>
      </c>
      <c r="E838" t="inlineStr">
        <is>
          <t>HÄSSLEHOLM</t>
        </is>
      </c>
      <c r="G838" t="n">
        <v>8.1</v>
      </c>
      <c r="H838" t="n">
        <v>0</v>
      </c>
      <c r="I838" t="n">
        <v>0</v>
      </c>
      <c r="J838" t="n">
        <v>0</v>
      </c>
      <c r="K838" t="n">
        <v>0</v>
      </c>
      <c r="L838" t="n">
        <v>0</v>
      </c>
      <c r="M838" t="n">
        <v>0</v>
      </c>
      <c r="N838" t="n">
        <v>0</v>
      </c>
      <c r="O838" t="n">
        <v>0</v>
      </c>
      <c r="P838" t="n">
        <v>0</v>
      </c>
      <c r="Q838" t="n">
        <v>0</v>
      </c>
      <c r="R838" s="2" t="inlineStr"/>
    </row>
    <row r="839" ht="15" customHeight="1">
      <c r="A839" t="inlineStr">
        <is>
          <t>A 17152-2025</t>
        </is>
      </c>
      <c r="B839" s="1" t="n">
        <v>45756.33318287037</v>
      </c>
      <c r="C839" s="1" t="n">
        <v>46129</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34301-2024</t>
        </is>
      </c>
      <c r="B840" s="1" t="n">
        <v>45524</v>
      </c>
      <c r="C840" s="1" t="n">
        <v>46129</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27242-2022</t>
        </is>
      </c>
      <c r="B841" s="1" t="n">
        <v>44741</v>
      </c>
      <c r="C841" s="1" t="n">
        <v>46129</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61158-2022</t>
        </is>
      </c>
      <c r="B842" s="1" t="n">
        <v>44915.47112268519</v>
      </c>
      <c r="C842" s="1" t="n">
        <v>46129</v>
      </c>
      <c r="D842" t="inlineStr">
        <is>
          <t>SKÅNE LÄN</t>
        </is>
      </c>
      <c r="E842" t="inlineStr">
        <is>
          <t>HÄSSLEHOLM</t>
        </is>
      </c>
      <c r="G842" t="n">
        <v>8.4</v>
      </c>
      <c r="H842" t="n">
        <v>0</v>
      </c>
      <c r="I842" t="n">
        <v>0</v>
      </c>
      <c r="J842" t="n">
        <v>0</v>
      </c>
      <c r="K842" t="n">
        <v>0</v>
      </c>
      <c r="L842" t="n">
        <v>0</v>
      </c>
      <c r="M842" t="n">
        <v>0</v>
      </c>
      <c r="N842" t="n">
        <v>0</v>
      </c>
      <c r="O842" t="n">
        <v>0</v>
      </c>
      <c r="P842" t="n">
        <v>0</v>
      </c>
      <c r="Q842" t="n">
        <v>0</v>
      </c>
      <c r="R842" s="2" t="inlineStr"/>
    </row>
    <row r="843" ht="15" customHeight="1">
      <c r="A843" t="inlineStr">
        <is>
          <t>A 61186-2022</t>
        </is>
      </c>
      <c r="B843" s="1" t="n">
        <v>44915.50745370371</v>
      </c>
      <c r="C843" s="1" t="n">
        <v>46129</v>
      </c>
      <c r="D843" t="inlineStr">
        <is>
          <t>SKÅNE LÄN</t>
        </is>
      </c>
      <c r="E843" t="inlineStr">
        <is>
          <t>HÄSSLEHOLM</t>
        </is>
      </c>
      <c r="G843" t="n">
        <v>2.9</v>
      </c>
      <c r="H843" t="n">
        <v>0</v>
      </c>
      <c r="I843" t="n">
        <v>0</v>
      </c>
      <c r="J843" t="n">
        <v>0</v>
      </c>
      <c r="K843" t="n">
        <v>0</v>
      </c>
      <c r="L843" t="n">
        <v>0</v>
      </c>
      <c r="M843" t="n">
        <v>0</v>
      </c>
      <c r="N843" t="n">
        <v>0</v>
      </c>
      <c r="O843" t="n">
        <v>0</v>
      </c>
      <c r="P843" t="n">
        <v>0</v>
      </c>
      <c r="Q843" t="n">
        <v>0</v>
      </c>
      <c r="R843" s="2" t="inlineStr"/>
    </row>
    <row r="844" ht="15" customHeight="1">
      <c r="A844" t="inlineStr">
        <is>
          <t>A 62055-2023</t>
        </is>
      </c>
      <c r="B844" s="1" t="n">
        <v>45266.70287037037</v>
      </c>
      <c r="C844" s="1" t="n">
        <v>46129</v>
      </c>
      <c r="D844" t="inlineStr">
        <is>
          <t>SKÅNE LÄN</t>
        </is>
      </c>
      <c r="E844" t="inlineStr">
        <is>
          <t>HÄSSLEHOLM</t>
        </is>
      </c>
      <c r="G844" t="n">
        <v>5.2</v>
      </c>
      <c r="H844" t="n">
        <v>0</v>
      </c>
      <c r="I844" t="n">
        <v>0</v>
      </c>
      <c r="J844" t="n">
        <v>0</v>
      </c>
      <c r="K844" t="n">
        <v>0</v>
      </c>
      <c r="L844" t="n">
        <v>0</v>
      </c>
      <c r="M844" t="n">
        <v>0</v>
      </c>
      <c r="N844" t="n">
        <v>0</v>
      </c>
      <c r="O844" t="n">
        <v>0</v>
      </c>
      <c r="P844" t="n">
        <v>0</v>
      </c>
      <c r="Q844" t="n">
        <v>0</v>
      </c>
      <c r="R844" s="2" t="inlineStr"/>
    </row>
    <row r="845" ht="15" customHeight="1">
      <c r="A845" t="inlineStr">
        <is>
          <t>A 14549-2026</t>
        </is>
      </c>
      <c r="B845" s="1" t="n">
        <v>46100</v>
      </c>
      <c r="C845" s="1" t="n">
        <v>46129</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14965-2026</t>
        </is>
      </c>
      <c r="B846" s="1" t="n">
        <v>46104.56096064814</v>
      </c>
      <c r="C846" s="1" t="n">
        <v>46129</v>
      </c>
      <c r="D846" t="inlineStr">
        <is>
          <t>SKÅNE LÄN</t>
        </is>
      </c>
      <c r="E846" t="inlineStr">
        <is>
          <t>HÄSSLEHOLM</t>
        </is>
      </c>
      <c r="G846" t="n">
        <v>2.7</v>
      </c>
      <c r="H846" t="n">
        <v>0</v>
      </c>
      <c r="I846" t="n">
        <v>0</v>
      </c>
      <c r="J846" t="n">
        <v>0</v>
      </c>
      <c r="K846" t="n">
        <v>0</v>
      </c>
      <c r="L846" t="n">
        <v>0</v>
      </c>
      <c r="M846" t="n">
        <v>0</v>
      </c>
      <c r="N846" t="n">
        <v>0</v>
      </c>
      <c r="O846" t="n">
        <v>0</v>
      </c>
      <c r="P846" t="n">
        <v>0</v>
      </c>
      <c r="Q846" t="n">
        <v>0</v>
      </c>
      <c r="R846" s="2" t="inlineStr"/>
    </row>
    <row r="847" ht="15" customHeight="1">
      <c r="A847" t="inlineStr">
        <is>
          <t>A 33465-2024</t>
        </is>
      </c>
      <c r="B847" s="1" t="n">
        <v>45519.59619212963</v>
      </c>
      <c r="C847" s="1" t="n">
        <v>46129</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26642-2023</t>
        </is>
      </c>
      <c r="B848" s="1" t="n">
        <v>45092.8975</v>
      </c>
      <c r="C848" s="1" t="n">
        <v>46129</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63473-2025</t>
        </is>
      </c>
      <c r="B849" s="1" t="n">
        <v>46013.44364583334</v>
      </c>
      <c r="C849" s="1" t="n">
        <v>46129</v>
      </c>
      <c r="D849" t="inlineStr">
        <is>
          <t>SKÅNE LÄN</t>
        </is>
      </c>
      <c r="E849" t="inlineStr">
        <is>
          <t>HÄSSLEHOLM</t>
        </is>
      </c>
      <c r="F849" t="inlineStr">
        <is>
          <t>Kommuner</t>
        </is>
      </c>
      <c r="G849" t="n">
        <v>5.9</v>
      </c>
      <c r="H849" t="n">
        <v>0</v>
      </c>
      <c r="I849" t="n">
        <v>0</v>
      </c>
      <c r="J849" t="n">
        <v>0</v>
      </c>
      <c r="K849" t="n">
        <v>0</v>
      </c>
      <c r="L849" t="n">
        <v>0</v>
      </c>
      <c r="M849" t="n">
        <v>0</v>
      </c>
      <c r="N849" t="n">
        <v>0</v>
      </c>
      <c r="O849" t="n">
        <v>0</v>
      </c>
      <c r="P849" t="n">
        <v>0</v>
      </c>
      <c r="Q849" t="n">
        <v>0</v>
      </c>
      <c r="R849" s="2" t="inlineStr"/>
    </row>
    <row r="850" ht="15" customHeight="1">
      <c r="A850" t="inlineStr">
        <is>
          <t>A 15882-2026</t>
        </is>
      </c>
      <c r="B850" s="1" t="n">
        <v>46107</v>
      </c>
      <c r="C850" s="1" t="n">
        <v>46129</v>
      </c>
      <c r="D850" t="inlineStr">
        <is>
          <t>SKÅNE LÄN</t>
        </is>
      </c>
      <c r="E850" t="inlineStr">
        <is>
          <t>HÄSSLEHOLM</t>
        </is>
      </c>
      <c r="F850" t="inlineStr">
        <is>
          <t>Kyrkan</t>
        </is>
      </c>
      <c r="G850" t="n">
        <v>0.7</v>
      </c>
      <c r="H850" t="n">
        <v>0</v>
      </c>
      <c r="I850" t="n">
        <v>0</v>
      </c>
      <c r="J850" t="n">
        <v>0</v>
      </c>
      <c r="K850" t="n">
        <v>0</v>
      </c>
      <c r="L850" t="n">
        <v>0</v>
      </c>
      <c r="M850" t="n">
        <v>0</v>
      </c>
      <c r="N850" t="n">
        <v>0</v>
      </c>
      <c r="O850" t="n">
        <v>0</v>
      </c>
      <c r="P850" t="n">
        <v>0</v>
      </c>
      <c r="Q850" t="n">
        <v>0</v>
      </c>
      <c r="R850" s="2" t="inlineStr"/>
    </row>
    <row r="851" ht="15" customHeight="1">
      <c r="A851" t="inlineStr">
        <is>
          <t>A 66321-2021</t>
        </is>
      </c>
      <c r="B851" s="1" t="n">
        <v>44518</v>
      </c>
      <c r="C851" s="1" t="n">
        <v>46129</v>
      </c>
      <c r="D851" t="inlineStr">
        <is>
          <t>SKÅNE LÄN</t>
        </is>
      </c>
      <c r="E851" t="inlineStr">
        <is>
          <t>HÄSSLEHOLM</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16668-2025</t>
        </is>
      </c>
      <c r="B852" s="1" t="n">
        <v>45754.43009259259</v>
      </c>
      <c r="C852" s="1" t="n">
        <v>46129</v>
      </c>
      <c r="D852" t="inlineStr">
        <is>
          <t>SKÅNE LÄN</t>
        </is>
      </c>
      <c r="E852" t="inlineStr">
        <is>
          <t>HÄSSLEHOLM</t>
        </is>
      </c>
      <c r="G852" t="n">
        <v>4</v>
      </c>
      <c r="H852" t="n">
        <v>0</v>
      </c>
      <c r="I852" t="n">
        <v>0</v>
      </c>
      <c r="J852" t="n">
        <v>0</v>
      </c>
      <c r="K852" t="n">
        <v>0</v>
      </c>
      <c r="L852" t="n">
        <v>0</v>
      </c>
      <c r="M852" t="n">
        <v>0</v>
      </c>
      <c r="N852" t="n">
        <v>0</v>
      </c>
      <c r="O852" t="n">
        <v>0</v>
      </c>
      <c r="P852" t="n">
        <v>0</v>
      </c>
      <c r="Q852" t="n">
        <v>0</v>
      </c>
      <c r="R852" s="2" t="inlineStr"/>
    </row>
    <row r="853" ht="15" customHeight="1">
      <c r="A853" t="inlineStr">
        <is>
          <t>A 23857-2024</t>
        </is>
      </c>
      <c r="B853" s="1" t="n">
        <v>45455</v>
      </c>
      <c r="C853" s="1" t="n">
        <v>46129</v>
      </c>
      <c r="D853" t="inlineStr">
        <is>
          <t>SKÅNE LÄN</t>
        </is>
      </c>
      <c r="E853" t="inlineStr">
        <is>
          <t>HÄSSLEHOLM</t>
        </is>
      </c>
      <c r="G853" t="n">
        <v>3</v>
      </c>
      <c r="H853" t="n">
        <v>0</v>
      </c>
      <c r="I853" t="n">
        <v>0</v>
      </c>
      <c r="J853" t="n">
        <v>0</v>
      </c>
      <c r="K853" t="n">
        <v>0</v>
      </c>
      <c r="L853" t="n">
        <v>0</v>
      </c>
      <c r="M853" t="n">
        <v>0</v>
      </c>
      <c r="N853" t="n">
        <v>0</v>
      </c>
      <c r="O853" t="n">
        <v>0</v>
      </c>
      <c r="P853" t="n">
        <v>0</v>
      </c>
      <c r="Q853" t="n">
        <v>0</v>
      </c>
      <c r="R853" s="2" t="inlineStr"/>
    </row>
    <row r="854" ht="15" customHeight="1">
      <c r="A854" t="inlineStr">
        <is>
          <t>A 31268-2024</t>
        </is>
      </c>
      <c r="B854" s="1" t="n">
        <v>45504</v>
      </c>
      <c r="C854" s="1" t="n">
        <v>46129</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51287-2022</t>
        </is>
      </c>
      <c r="B855" s="1" t="n">
        <v>44868.83146990741</v>
      </c>
      <c r="C855" s="1" t="n">
        <v>46129</v>
      </c>
      <c r="D855" t="inlineStr">
        <is>
          <t>SKÅNE LÄN</t>
        </is>
      </c>
      <c r="E855" t="inlineStr">
        <is>
          <t>HÄSSLEHOLM</t>
        </is>
      </c>
      <c r="G855" t="n">
        <v>2.2</v>
      </c>
      <c r="H855" t="n">
        <v>0</v>
      </c>
      <c r="I855" t="n">
        <v>0</v>
      </c>
      <c r="J855" t="n">
        <v>0</v>
      </c>
      <c r="K855" t="n">
        <v>0</v>
      </c>
      <c r="L855" t="n">
        <v>0</v>
      </c>
      <c r="M855" t="n">
        <v>0</v>
      </c>
      <c r="N855" t="n">
        <v>0</v>
      </c>
      <c r="O855" t="n">
        <v>0</v>
      </c>
      <c r="P855" t="n">
        <v>0</v>
      </c>
      <c r="Q855" t="n">
        <v>0</v>
      </c>
      <c r="R855" s="2" t="inlineStr"/>
    </row>
    <row r="856" ht="15" customHeight="1">
      <c r="A856" t="inlineStr">
        <is>
          <t>A 8538-2026</t>
        </is>
      </c>
      <c r="B856" s="1" t="n">
        <v>46064</v>
      </c>
      <c r="C856" s="1" t="n">
        <v>46129</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20494-2024</t>
        </is>
      </c>
      <c r="B857" s="1" t="n">
        <v>45435</v>
      </c>
      <c r="C857" s="1" t="n">
        <v>46129</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55454-2021</t>
        </is>
      </c>
      <c r="B858" s="1" t="n">
        <v>44475</v>
      </c>
      <c r="C858" s="1" t="n">
        <v>46129</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31572-2022</t>
        </is>
      </c>
      <c r="B859" s="1" t="n">
        <v>44775</v>
      </c>
      <c r="C859" s="1" t="n">
        <v>46129</v>
      </c>
      <c r="D859" t="inlineStr">
        <is>
          <t>SKÅNE LÄN</t>
        </is>
      </c>
      <c r="E859" t="inlineStr">
        <is>
          <t>HÄSSLEHOLM</t>
        </is>
      </c>
      <c r="F859" t="inlineStr">
        <is>
          <t>Kommuner</t>
        </is>
      </c>
      <c r="G859" t="n">
        <v>1.2</v>
      </c>
      <c r="H859" t="n">
        <v>0</v>
      </c>
      <c r="I859" t="n">
        <v>0</v>
      </c>
      <c r="J859" t="n">
        <v>0</v>
      </c>
      <c r="K859" t="n">
        <v>0</v>
      </c>
      <c r="L859" t="n">
        <v>0</v>
      </c>
      <c r="M859" t="n">
        <v>0</v>
      </c>
      <c r="N859" t="n">
        <v>0</v>
      </c>
      <c r="O859" t="n">
        <v>0</v>
      </c>
      <c r="P859" t="n">
        <v>0</v>
      </c>
      <c r="Q859" t="n">
        <v>0</v>
      </c>
      <c r="R859" s="2" t="inlineStr"/>
    </row>
    <row r="860" ht="15" customHeight="1">
      <c r="A860" t="inlineStr">
        <is>
          <t>A 4356-2024</t>
        </is>
      </c>
      <c r="B860" s="1" t="n">
        <v>45325.36195601852</v>
      </c>
      <c r="C860" s="1" t="n">
        <v>46129</v>
      </c>
      <c r="D860" t="inlineStr">
        <is>
          <t>SKÅNE LÄN</t>
        </is>
      </c>
      <c r="E860" t="inlineStr">
        <is>
          <t>HÄSSLEHOLM</t>
        </is>
      </c>
      <c r="G860" t="n">
        <v>3.2</v>
      </c>
      <c r="H860" t="n">
        <v>0</v>
      </c>
      <c r="I860" t="n">
        <v>0</v>
      </c>
      <c r="J860" t="n">
        <v>0</v>
      </c>
      <c r="K860" t="n">
        <v>0</v>
      </c>
      <c r="L860" t="n">
        <v>0</v>
      </c>
      <c r="M860" t="n">
        <v>0</v>
      </c>
      <c r="N860" t="n">
        <v>0</v>
      </c>
      <c r="O860" t="n">
        <v>0</v>
      </c>
      <c r="P860" t="n">
        <v>0</v>
      </c>
      <c r="Q860" t="n">
        <v>0</v>
      </c>
      <c r="R860" s="2" t="inlineStr"/>
    </row>
    <row r="861" ht="15" customHeight="1">
      <c r="A861" t="inlineStr">
        <is>
          <t>A 15881-2026</t>
        </is>
      </c>
      <c r="B861" s="1" t="n">
        <v>46107</v>
      </c>
      <c r="C861" s="1" t="n">
        <v>46129</v>
      </c>
      <c r="D861" t="inlineStr">
        <is>
          <t>SKÅNE LÄN</t>
        </is>
      </c>
      <c r="E861" t="inlineStr">
        <is>
          <t>HÄSSLEHOLM</t>
        </is>
      </c>
      <c r="F861" t="inlineStr">
        <is>
          <t>Kyrkan</t>
        </is>
      </c>
      <c r="G861" t="n">
        <v>2.2</v>
      </c>
      <c r="H861" t="n">
        <v>0</v>
      </c>
      <c r="I861" t="n">
        <v>0</v>
      </c>
      <c r="J861" t="n">
        <v>0</v>
      </c>
      <c r="K861" t="n">
        <v>0</v>
      </c>
      <c r="L861" t="n">
        <v>0</v>
      </c>
      <c r="M861" t="n">
        <v>0</v>
      </c>
      <c r="N861" t="n">
        <v>0</v>
      </c>
      <c r="O861" t="n">
        <v>0</v>
      </c>
      <c r="P861" t="n">
        <v>0</v>
      </c>
      <c r="Q861" t="n">
        <v>0</v>
      </c>
      <c r="R861" s="2" t="inlineStr"/>
    </row>
    <row r="862" ht="15" customHeight="1">
      <c r="A862" t="inlineStr">
        <is>
          <t>A 3480-2024</t>
        </is>
      </c>
      <c r="B862" s="1" t="n">
        <v>45320.43998842593</v>
      </c>
      <c r="C862" s="1" t="n">
        <v>46129</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5980-2024</t>
        </is>
      </c>
      <c r="B863" s="1" t="n">
        <v>45335</v>
      </c>
      <c r="C863" s="1" t="n">
        <v>46129</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10802-2024</t>
        </is>
      </c>
      <c r="B864" s="1" t="n">
        <v>45369</v>
      </c>
      <c r="C864" s="1" t="n">
        <v>46129</v>
      </c>
      <c r="D864" t="inlineStr">
        <is>
          <t>SKÅNE LÄN</t>
        </is>
      </c>
      <c r="E864" t="inlineStr">
        <is>
          <t>HÄSSLEHOLM</t>
        </is>
      </c>
      <c r="G864" t="n">
        <v>3.4</v>
      </c>
      <c r="H864" t="n">
        <v>0</v>
      </c>
      <c r="I864" t="n">
        <v>0</v>
      </c>
      <c r="J864" t="n">
        <v>0</v>
      </c>
      <c r="K864" t="n">
        <v>0</v>
      </c>
      <c r="L864" t="n">
        <v>0</v>
      </c>
      <c r="M864" t="n">
        <v>0</v>
      </c>
      <c r="N864" t="n">
        <v>0</v>
      </c>
      <c r="O864" t="n">
        <v>0</v>
      </c>
      <c r="P864" t="n">
        <v>0</v>
      </c>
      <c r="Q864" t="n">
        <v>0</v>
      </c>
      <c r="R864" s="2" t="inlineStr"/>
    </row>
    <row r="865" ht="15" customHeight="1">
      <c r="A865" t="inlineStr">
        <is>
          <t>A 8539-2026</t>
        </is>
      </c>
      <c r="B865" s="1" t="n">
        <v>46064</v>
      </c>
      <c r="C865" s="1" t="n">
        <v>46129</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45653-2024</t>
        </is>
      </c>
      <c r="B866" s="1" t="n">
        <v>45579.48872685185</v>
      </c>
      <c r="C866" s="1" t="n">
        <v>46129</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9322-2025</t>
        </is>
      </c>
      <c r="B867" s="1" t="n">
        <v>45714.72241898148</v>
      </c>
      <c r="C867" s="1" t="n">
        <v>46129</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8367-2026</t>
        </is>
      </c>
      <c r="B868" s="1" t="n">
        <v>46064</v>
      </c>
      <c r="C868" s="1" t="n">
        <v>46129</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260-2024</t>
        </is>
      </c>
      <c r="B869" s="1" t="n">
        <v>45294</v>
      </c>
      <c r="C869" s="1" t="n">
        <v>46129</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40780-2022</t>
        </is>
      </c>
      <c r="B870" s="1" t="n">
        <v>44820</v>
      </c>
      <c r="C870" s="1" t="n">
        <v>46129</v>
      </c>
      <c r="D870" t="inlineStr">
        <is>
          <t>SKÅNE LÄN</t>
        </is>
      </c>
      <c r="E870" t="inlineStr">
        <is>
          <t>HÄSSLEHOLM</t>
        </is>
      </c>
      <c r="G870" t="n">
        <v>7.4</v>
      </c>
      <c r="H870" t="n">
        <v>0</v>
      </c>
      <c r="I870" t="n">
        <v>0</v>
      </c>
      <c r="J870" t="n">
        <v>0</v>
      </c>
      <c r="K870" t="n">
        <v>0</v>
      </c>
      <c r="L870" t="n">
        <v>0</v>
      </c>
      <c r="M870" t="n">
        <v>0</v>
      </c>
      <c r="N870" t="n">
        <v>0</v>
      </c>
      <c r="O870" t="n">
        <v>0</v>
      </c>
      <c r="P870" t="n">
        <v>0</v>
      </c>
      <c r="Q870" t="n">
        <v>0</v>
      </c>
      <c r="R870" s="2" t="inlineStr"/>
    </row>
    <row r="871" ht="15" customHeight="1">
      <c r="A871" t="inlineStr">
        <is>
          <t>A 8674-2026</t>
        </is>
      </c>
      <c r="B871" s="1" t="n">
        <v>46066.4059837963</v>
      </c>
      <c r="C871" s="1" t="n">
        <v>46129</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5316-2023</t>
        </is>
      </c>
      <c r="B872" s="1" t="n">
        <v>44959</v>
      </c>
      <c r="C872" s="1" t="n">
        <v>46129</v>
      </c>
      <c r="D872" t="inlineStr">
        <is>
          <t>SKÅNE LÄN</t>
        </is>
      </c>
      <c r="E872" t="inlineStr">
        <is>
          <t>HÄSSLEHOLM</t>
        </is>
      </c>
      <c r="G872" t="n">
        <v>2.1</v>
      </c>
      <c r="H872" t="n">
        <v>0</v>
      </c>
      <c r="I872" t="n">
        <v>0</v>
      </c>
      <c r="J872" t="n">
        <v>0</v>
      </c>
      <c r="K872" t="n">
        <v>0</v>
      </c>
      <c r="L872" t="n">
        <v>0</v>
      </c>
      <c r="M872" t="n">
        <v>0</v>
      </c>
      <c r="N872" t="n">
        <v>0</v>
      </c>
      <c r="O872" t="n">
        <v>0</v>
      </c>
      <c r="P872" t="n">
        <v>0</v>
      </c>
      <c r="Q872" t="n">
        <v>0</v>
      </c>
      <c r="R872" s="2" t="inlineStr"/>
    </row>
    <row r="873" ht="15" customHeight="1">
      <c r="A873" t="inlineStr">
        <is>
          <t>A 8852-2026</t>
        </is>
      </c>
      <c r="B873" s="1" t="n">
        <v>46066.66105324074</v>
      </c>
      <c r="C873" s="1" t="n">
        <v>46129</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15979-2026</t>
        </is>
      </c>
      <c r="B874" s="1" t="n">
        <v>46108.35431712963</v>
      </c>
      <c r="C874" s="1" t="n">
        <v>46129</v>
      </c>
      <c r="D874" t="inlineStr">
        <is>
          <t>SKÅNE LÄN</t>
        </is>
      </c>
      <c r="E874" t="inlineStr">
        <is>
          <t>HÄSSLEHOLM</t>
        </is>
      </c>
      <c r="G874" t="n">
        <v>2.7</v>
      </c>
      <c r="H874" t="n">
        <v>0</v>
      </c>
      <c r="I874" t="n">
        <v>0</v>
      </c>
      <c r="J874" t="n">
        <v>0</v>
      </c>
      <c r="K874" t="n">
        <v>0</v>
      </c>
      <c r="L874" t="n">
        <v>0</v>
      </c>
      <c r="M874" t="n">
        <v>0</v>
      </c>
      <c r="N874" t="n">
        <v>0</v>
      </c>
      <c r="O874" t="n">
        <v>0</v>
      </c>
      <c r="P874" t="n">
        <v>0</v>
      </c>
      <c r="Q874" t="n">
        <v>0</v>
      </c>
      <c r="R874" s="2" t="inlineStr"/>
    </row>
    <row r="875" ht="15" customHeight="1">
      <c r="A875" t="inlineStr">
        <is>
          <t>A 64884-2023</t>
        </is>
      </c>
      <c r="B875" s="1" t="n">
        <v>45282.57809027778</v>
      </c>
      <c r="C875" s="1" t="n">
        <v>46129</v>
      </c>
      <c r="D875" t="inlineStr">
        <is>
          <t>SKÅNE LÄN</t>
        </is>
      </c>
      <c r="E875" t="inlineStr">
        <is>
          <t>HÄSSLEHOLM</t>
        </is>
      </c>
      <c r="G875" t="n">
        <v>4.6</v>
      </c>
      <c r="H875" t="n">
        <v>0</v>
      </c>
      <c r="I875" t="n">
        <v>0</v>
      </c>
      <c r="J875" t="n">
        <v>0</v>
      </c>
      <c r="K875" t="n">
        <v>0</v>
      </c>
      <c r="L875" t="n">
        <v>0</v>
      </c>
      <c r="M875" t="n">
        <v>0</v>
      </c>
      <c r="N875" t="n">
        <v>0</v>
      </c>
      <c r="O875" t="n">
        <v>0</v>
      </c>
      <c r="P875" t="n">
        <v>0</v>
      </c>
      <c r="Q875" t="n">
        <v>0</v>
      </c>
      <c r="R875" s="2" t="inlineStr"/>
    </row>
    <row r="876" ht="15" customHeight="1">
      <c r="A876" t="inlineStr">
        <is>
          <t>A 48112-2024</t>
        </is>
      </c>
      <c r="B876" s="1" t="n">
        <v>45589.6295949074</v>
      </c>
      <c r="C876" s="1" t="n">
        <v>46129</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6310-2025</t>
        </is>
      </c>
      <c r="B877" s="1" t="n">
        <v>45698</v>
      </c>
      <c r="C877" s="1" t="n">
        <v>46129</v>
      </c>
      <c r="D877" t="inlineStr">
        <is>
          <t>SKÅNE LÄN</t>
        </is>
      </c>
      <c r="E877" t="inlineStr">
        <is>
          <t>HÄSSLEHOLM</t>
        </is>
      </c>
      <c r="G877" t="n">
        <v>2.7</v>
      </c>
      <c r="H877" t="n">
        <v>0</v>
      </c>
      <c r="I877" t="n">
        <v>0</v>
      </c>
      <c r="J877" t="n">
        <v>0</v>
      </c>
      <c r="K877" t="n">
        <v>0</v>
      </c>
      <c r="L877" t="n">
        <v>0</v>
      </c>
      <c r="M877" t="n">
        <v>0</v>
      </c>
      <c r="N877" t="n">
        <v>0</v>
      </c>
      <c r="O877" t="n">
        <v>0</v>
      </c>
      <c r="P877" t="n">
        <v>0</v>
      </c>
      <c r="Q877" t="n">
        <v>0</v>
      </c>
      <c r="R877" s="2" t="inlineStr"/>
    </row>
    <row r="878" ht="15" customHeight="1">
      <c r="A878" t="inlineStr">
        <is>
          <t>A 16474-2025</t>
        </is>
      </c>
      <c r="B878" s="1" t="n">
        <v>45751.56834490741</v>
      </c>
      <c r="C878" s="1" t="n">
        <v>46129</v>
      </c>
      <c r="D878" t="inlineStr">
        <is>
          <t>SKÅNE LÄN</t>
        </is>
      </c>
      <c r="E878" t="inlineStr">
        <is>
          <t>HÄSSLEHOLM</t>
        </is>
      </c>
      <c r="G878" t="n">
        <v>5.9</v>
      </c>
      <c r="H878" t="n">
        <v>0</v>
      </c>
      <c r="I878" t="n">
        <v>0</v>
      </c>
      <c r="J878" t="n">
        <v>0</v>
      </c>
      <c r="K878" t="n">
        <v>0</v>
      </c>
      <c r="L878" t="n">
        <v>0</v>
      </c>
      <c r="M878" t="n">
        <v>0</v>
      </c>
      <c r="N878" t="n">
        <v>0</v>
      </c>
      <c r="O878" t="n">
        <v>0</v>
      </c>
      <c r="P878" t="n">
        <v>0</v>
      </c>
      <c r="Q878" t="n">
        <v>0</v>
      </c>
      <c r="R878" s="2" t="inlineStr"/>
    </row>
    <row r="879" ht="15" customHeight="1">
      <c r="A879" t="inlineStr">
        <is>
          <t>A 48097-2024</t>
        </is>
      </c>
      <c r="B879" s="1" t="n">
        <v>45589.61413194444</v>
      </c>
      <c r="C879" s="1" t="n">
        <v>46129</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60846-2022</t>
        </is>
      </c>
      <c r="B880" s="1" t="n">
        <v>44914</v>
      </c>
      <c r="C880" s="1" t="n">
        <v>46129</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42776-2021</t>
        </is>
      </c>
      <c r="B881" s="1" t="n">
        <v>44428</v>
      </c>
      <c r="C881" s="1" t="n">
        <v>46129</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58689-2025</t>
        </is>
      </c>
      <c r="B882" s="1" t="n">
        <v>45986</v>
      </c>
      <c r="C882" s="1" t="n">
        <v>46129</v>
      </c>
      <c r="D882" t="inlineStr">
        <is>
          <t>SKÅNE LÄN</t>
        </is>
      </c>
      <c r="E882" t="inlineStr">
        <is>
          <t>HÄSSLEHOLM</t>
        </is>
      </c>
      <c r="G882" t="n">
        <v>3.9</v>
      </c>
      <c r="H882" t="n">
        <v>0</v>
      </c>
      <c r="I882" t="n">
        <v>0</v>
      </c>
      <c r="J882" t="n">
        <v>0</v>
      </c>
      <c r="K882" t="n">
        <v>0</v>
      </c>
      <c r="L882" t="n">
        <v>0</v>
      </c>
      <c r="M882" t="n">
        <v>0</v>
      </c>
      <c r="N882" t="n">
        <v>0</v>
      </c>
      <c r="O882" t="n">
        <v>0</v>
      </c>
      <c r="P882" t="n">
        <v>0</v>
      </c>
      <c r="Q882" t="n">
        <v>0</v>
      </c>
      <c r="R882" s="2" t="inlineStr"/>
    </row>
    <row r="883" ht="15" customHeight="1">
      <c r="A883" t="inlineStr">
        <is>
          <t>A 16476-2026</t>
        </is>
      </c>
      <c r="B883" s="1" t="n">
        <v>46112.38662037037</v>
      </c>
      <c r="C883" s="1" t="n">
        <v>46129</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14700-2023</t>
        </is>
      </c>
      <c r="B884" s="1" t="n">
        <v>45014.38376157408</v>
      </c>
      <c r="C884" s="1" t="n">
        <v>46129</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39915-2023</t>
        </is>
      </c>
      <c r="B885" s="1" t="n">
        <v>45168.4684375</v>
      </c>
      <c r="C885" s="1" t="n">
        <v>46129</v>
      </c>
      <c r="D885" t="inlineStr">
        <is>
          <t>SKÅNE LÄN</t>
        </is>
      </c>
      <c r="E885" t="inlineStr">
        <is>
          <t>HÄSSLEHOLM</t>
        </is>
      </c>
      <c r="G885" t="n">
        <v>0.4</v>
      </c>
      <c r="H885" t="n">
        <v>0</v>
      </c>
      <c r="I885" t="n">
        <v>0</v>
      </c>
      <c r="J885" t="n">
        <v>0</v>
      </c>
      <c r="K885" t="n">
        <v>0</v>
      </c>
      <c r="L885" t="n">
        <v>0</v>
      </c>
      <c r="M885" t="n">
        <v>0</v>
      </c>
      <c r="N885" t="n">
        <v>0</v>
      </c>
      <c r="O885" t="n">
        <v>0</v>
      </c>
      <c r="P885" t="n">
        <v>0</v>
      </c>
      <c r="Q885" t="n">
        <v>0</v>
      </c>
      <c r="R885" s="2" t="inlineStr"/>
    </row>
    <row r="886" ht="15" customHeight="1">
      <c r="A886" t="inlineStr">
        <is>
          <t>A 16470-2026</t>
        </is>
      </c>
      <c r="B886" s="1" t="n">
        <v>46112.37516203704</v>
      </c>
      <c r="C886" s="1" t="n">
        <v>46129</v>
      </c>
      <c r="D886" t="inlineStr">
        <is>
          <t>SKÅNE LÄN</t>
        </is>
      </c>
      <c r="E886" t="inlineStr">
        <is>
          <t>HÄSSLEHOLM</t>
        </is>
      </c>
      <c r="G886" t="n">
        <v>0.7</v>
      </c>
      <c r="H886" t="n">
        <v>0</v>
      </c>
      <c r="I886" t="n">
        <v>0</v>
      </c>
      <c r="J886" t="n">
        <v>0</v>
      </c>
      <c r="K886" t="n">
        <v>0</v>
      </c>
      <c r="L886" t="n">
        <v>0</v>
      </c>
      <c r="M886" t="n">
        <v>0</v>
      </c>
      <c r="N886" t="n">
        <v>0</v>
      </c>
      <c r="O886" t="n">
        <v>0</v>
      </c>
      <c r="P886" t="n">
        <v>0</v>
      </c>
      <c r="Q886" t="n">
        <v>0</v>
      </c>
      <c r="R886" s="2" t="inlineStr"/>
    </row>
    <row r="887" ht="15" customHeight="1">
      <c r="A887" t="inlineStr">
        <is>
          <t>A 20058-2023</t>
        </is>
      </c>
      <c r="B887" s="1" t="n">
        <v>45054.68476851852</v>
      </c>
      <c r="C887" s="1" t="n">
        <v>46129</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8619-2023</t>
        </is>
      </c>
      <c r="B888" s="1" t="n">
        <v>44977.81979166667</v>
      </c>
      <c r="C888" s="1" t="n">
        <v>46129</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9543-2025</t>
        </is>
      </c>
      <c r="B889" s="1" t="n">
        <v>45715</v>
      </c>
      <c r="C889" s="1" t="n">
        <v>46129</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26857-2025</t>
        </is>
      </c>
      <c r="B890" s="1" t="n">
        <v>45810</v>
      </c>
      <c r="C890" s="1" t="n">
        <v>46129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32154-2024</t>
        </is>
      </c>
      <c r="B891" s="1" t="n">
        <v>45511</v>
      </c>
      <c r="C891" s="1" t="n">
        <v>46129</v>
      </c>
      <c r="D891" t="inlineStr">
        <is>
          <t>SKÅNE LÄN</t>
        </is>
      </c>
      <c r="E891" t="inlineStr">
        <is>
          <t>HÄSSLEHOLM</t>
        </is>
      </c>
      <c r="G891" t="n">
        <v>6.4</v>
      </c>
      <c r="H891" t="n">
        <v>0</v>
      </c>
      <c r="I891" t="n">
        <v>0</v>
      </c>
      <c r="J891" t="n">
        <v>0</v>
      </c>
      <c r="K891" t="n">
        <v>0</v>
      </c>
      <c r="L891" t="n">
        <v>0</v>
      </c>
      <c r="M891" t="n">
        <v>0</v>
      </c>
      <c r="N891" t="n">
        <v>0</v>
      </c>
      <c r="O891" t="n">
        <v>0</v>
      </c>
      <c r="P891" t="n">
        <v>0</v>
      </c>
      <c r="Q891" t="n">
        <v>0</v>
      </c>
      <c r="R891" s="2" t="inlineStr"/>
    </row>
    <row r="892" ht="15" customHeight="1">
      <c r="A892" t="inlineStr">
        <is>
          <t>A 53067-2022</t>
        </is>
      </c>
      <c r="B892" s="1" t="n">
        <v>44873</v>
      </c>
      <c r="C892" s="1" t="n">
        <v>46129</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3349-2023</t>
        </is>
      </c>
      <c r="B893" s="1" t="n">
        <v>44949</v>
      </c>
      <c r="C893" s="1" t="n">
        <v>46129</v>
      </c>
      <c r="D893" t="inlineStr">
        <is>
          <t>SKÅNE LÄN</t>
        </is>
      </c>
      <c r="E893" t="inlineStr">
        <is>
          <t>HÄSSLEHOLM</t>
        </is>
      </c>
      <c r="G893" t="n">
        <v>2.3</v>
      </c>
      <c r="H893" t="n">
        <v>0</v>
      </c>
      <c r="I893" t="n">
        <v>0</v>
      </c>
      <c r="J893" t="n">
        <v>0</v>
      </c>
      <c r="K893" t="n">
        <v>0</v>
      </c>
      <c r="L893" t="n">
        <v>0</v>
      </c>
      <c r="M893" t="n">
        <v>0</v>
      </c>
      <c r="N893" t="n">
        <v>0</v>
      </c>
      <c r="O893" t="n">
        <v>0</v>
      </c>
      <c r="P893" t="n">
        <v>0</v>
      </c>
      <c r="Q893" t="n">
        <v>0</v>
      </c>
      <c r="R893" s="2" t="inlineStr"/>
    </row>
    <row r="894" ht="15" customHeight="1">
      <c r="A894" t="inlineStr">
        <is>
          <t>A 10051-2026</t>
        </is>
      </c>
      <c r="B894" s="1" t="n">
        <v>46073</v>
      </c>
      <c r="C894" s="1" t="n">
        <v>46129</v>
      </c>
      <c r="D894" t="inlineStr">
        <is>
          <t>SKÅNE LÄN</t>
        </is>
      </c>
      <c r="E894" t="inlineStr">
        <is>
          <t>HÄSSLEHOLM</t>
        </is>
      </c>
      <c r="G894" t="n">
        <v>0.7</v>
      </c>
      <c r="H894" t="n">
        <v>0</v>
      </c>
      <c r="I894" t="n">
        <v>0</v>
      </c>
      <c r="J894" t="n">
        <v>0</v>
      </c>
      <c r="K894" t="n">
        <v>0</v>
      </c>
      <c r="L894" t="n">
        <v>0</v>
      </c>
      <c r="M894" t="n">
        <v>0</v>
      </c>
      <c r="N894" t="n">
        <v>0</v>
      </c>
      <c r="O894" t="n">
        <v>0</v>
      </c>
      <c r="P894" t="n">
        <v>0</v>
      </c>
      <c r="Q894" t="n">
        <v>0</v>
      </c>
      <c r="R894" s="2" t="inlineStr"/>
    </row>
    <row r="895" ht="15" customHeight="1">
      <c r="A895" t="inlineStr">
        <is>
          <t>A 46185-2022</t>
        </is>
      </c>
      <c r="B895" s="1" t="n">
        <v>44847</v>
      </c>
      <c r="C895" s="1" t="n">
        <v>46129</v>
      </c>
      <c r="D895" t="inlineStr">
        <is>
          <t>SKÅNE LÄN</t>
        </is>
      </c>
      <c r="E895" t="inlineStr">
        <is>
          <t>HÄSSLEHOLM</t>
        </is>
      </c>
      <c r="G895" t="n">
        <v>16.8</v>
      </c>
      <c r="H895" t="n">
        <v>0</v>
      </c>
      <c r="I895" t="n">
        <v>0</v>
      </c>
      <c r="J895" t="n">
        <v>0</v>
      </c>
      <c r="K895" t="n">
        <v>0</v>
      </c>
      <c r="L895" t="n">
        <v>0</v>
      </c>
      <c r="M895" t="n">
        <v>0</v>
      </c>
      <c r="N895" t="n">
        <v>0</v>
      </c>
      <c r="O895" t="n">
        <v>0</v>
      </c>
      <c r="P895" t="n">
        <v>0</v>
      </c>
      <c r="Q895" t="n">
        <v>0</v>
      </c>
      <c r="R895" s="2" t="inlineStr"/>
    </row>
    <row r="896" ht="15" customHeight="1">
      <c r="A896" t="inlineStr">
        <is>
          <t>A 18623-2023</t>
        </is>
      </c>
      <c r="B896" s="1" t="n">
        <v>45043</v>
      </c>
      <c r="C896" s="1" t="n">
        <v>46129</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33873-2021</t>
        </is>
      </c>
      <c r="B897" s="1" t="n">
        <v>44378</v>
      </c>
      <c r="C897" s="1" t="n">
        <v>46129</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15053-2023</t>
        </is>
      </c>
      <c r="B898" s="1" t="n">
        <v>45015</v>
      </c>
      <c r="C898" s="1" t="n">
        <v>46129</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9302-2025</t>
        </is>
      </c>
      <c r="B899" s="1" t="n">
        <v>45714.67233796296</v>
      </c>
      <c r="C899" s="1" t="n">
        <v>46129</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47907-2021</t>
        </is>
      </c>
      <c r="B900" s="1" t="n">
        <v>44448</v>
      </c>
      <c r="C900" s="1" t="n">
        <v>46129</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1197-2024</t>
        </is>
      </c>
      <c r="B901" s="1" t="n">
        <v>45302</v>
      </c>
      <c r="C901" s="1" t="n">
        <v>46129</v>
      </c>
      <c r="D901" t="inlineStr">
        <is>
          <t>SKÅNE LÄN</t>
        </is>
      </c>
      <c r="E901" t="inlineStr">
        <is>
          <t>HÄSSLEHOLM</t>
        </is>
      </c>
      <c r="G901" t="n">
        <v>1.7</v>
      </c>
      <c r="H901" t="n">
        <v>0</v>
      </c>
      <c r="I901" t="n">
        <v>0</v>
      </c>
      <c r="J901" t="n">
        <v>0</v>
      </c>
      <c r="K901" t="n">
        <v>0</v>
      </c>
      <c r="L901" t="n">
        <v>0</v>
      </c>
      <c r="M901" t="n">
        <v>0</v>
      </c>
      <c r="N901" t="n">
        <v>0</v>
      </c>
      <c r="O901" t="n">
        <v>0</v>
      </c>
      <c r="P901" t="n">
        <v>0</v>
      </c>
      <c r="Q901" t="n">
        <v>0</v>
      </c>
      <c r="R901" s="2" t="inlineStr"/>
    </row>
    <row r="902" ht="15" customHeight="1">
      <c r="A902" t="inlineStr">
        <is>
          <t>A 13712-2025</t>
        </is>
      </c>
      <c r="B902" s="1" t="n">
        <v>45737</v>
      </c>
      <c r="C902" s="1" t="n">
        <v>46129</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49950-2023</t>
        </is>
      </c>
      <c r="B903" s="1" t="n">
        <v>45215</v>
      </c>
      <c r="C903" s="1" t="n">
        <v>46129</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41694-2024</t>
        </is>
      </c>
      <c r="B904" s="1" t="n">
        <v>45560.68341435185</v>
      </c>
      <c r="C904" s="1" t="n">
        <v>46129</v>
      </c>
      <c r="D904" t="inlineStr">
        <is>
          <t>SKÅNE LÄN</t>
        </is>
      </c>
      <c r="E904" t="inlineStr">
        <is>
          <t>HÄSSLEHOLM</t>
        </is>
      </c>
      <c r="G904" t="n">
        <v>0.4</v>
      </c>
      <c r="H904" t="n">
        <v>0</v>
      </c>
      <c r="I904" t="n">
        <v>0</v>
      </c>
      <c r="J904" t="n">
        <v>0</v>
      </c>
      <c r="K904" t="n">
        <v>0</v>
      </c>
      <c r="L904" t="n">
        <v>0</v>
      </c>
      <c r="M904" t="n">
        <v>0</v>
      </c>
      <c r="N904" t="n">
        <v>0</v>
      </c>
      <c r="O904" t="n">
        <v>0</v>
      </c>
      <c r="P904" t="n">
        <v>0</v>
      </c>
      <c r="Q904" t="n">
        <v>0</v>
      </c>
      <c r="R904" s="2" t="inlineStr"/>
    </row>
    <row r="905" ht="15" customHeight="1">
      <c r="A905" t="inlineStr">
        <is>
          <t>A 36795-2023</t>
        </is>
      </c>
      <c r="B905" s="1" t="n">
        <v>45154.38245370371</v>
      </c>
      <c r="C905" s="1" t="n">
        <v>46129</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46942-2024</t>
        </is>
      </c>
      <c r="B906" s="1" t="n">
        <v>45585.6684375</v>
      </c>
      <c r="C906" s="1" t="n">
        <v>46129</v>
      </c>
      <c r="D906" t="inlineStr">
        <is>
          <t>SKÅNE LÄN</t>
        </is>
      </c>
      <c r="E906" t="inlineStr">
        <is>
          <t>HÄSSLEHOLM</t>
        </is>
      </c>
      <c r="G906" t="n">
        <v>1.8</v>
      </c>
      <c r="H906" t="n">
        <v>0</v>
      </c>
      <c r="I906" t="n">
        <v>0</v>
      </c>
      <c r="J906" t="n">
        <v>0</v>
      </c>
      <c r="K906" t="n">
        <v>0</v>
      </c>
      <c r="L906" t="n">
        <v>0</v>
      </c>
      <c r="M906" t="n">
        <v>0</v>
      </c>
      <c r="N906" t="n">
        <v>0</v>
      </c>
      <c r="O906" t="n">
        <v>0</v>
      </c>
      <c r="P906" t="n">
        <v>0</v>
      </c>
      <c r="Q906" t="n">
        <v>0</v>
      </c>
      <c r="R906" s="2" t="inlineStr"/>
    </row>
    <row r="907" ht="15" customHeight="1">
      <c r="A907" t="inlineStr">
        <is>
          <t>A 43696-2024</t>
        </is>
      </c>
      <c r="B907" s="1" t="n">
        <v>45569.58855324074</v>
      </c>
      <c r="C907" s="1" t="n">
        <v>46129</v>
      </c>
      <c r="D907" t="inlineStr">
        <is>
          <t>SKÅNE LÄN</t>
        </is>
      </c>
      <c r="E907" t="inlineStr">
        <is>
          <t>HÄSSLEHOLM</t>
        </is>
      </c>
      <c r="G907" t="n">
        <v>2.9</v>
      </c>
      <c r="H907" t="n">
        <v>0</v>
      </c>
      <c r="I907" t="n">
        <v>0</v>
      </c>
      <c r="J907" t="n">
        <v>0</v>
      </c>
      <c r="K907" t="n">
        <v>0</v>
      </c>
      <c r="L907" t="n">
        <v>0</v>
      </c>
      <c r="M907" t="n">
        <v>0</v>
      </c>
      <c r="N907" t="n">
        <v>0</v>
      </c>
      <c r="O907" t="n">
        <v>0</v>
      </c>
      <c r="P907" t="n">
        <v>0</v>
      </c>
      <c r="Q907" t="n">
        <v>0</v>
      </c>
      <c r="R907" s="2" t="inlineStr"/>
    </row>
    <row r="908" ht="15" customHeight="1">
      <c r="A908" t="inlineStr">
        <is>
          <t>A 36706-2022</t>
        </is>
      </c>
      <c r="B908" s="1" t="n">
        <v>44805.32891203704</v>
      </c>
      <c r="C908" s="1" t="n">
        <v>46129</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22594-2024</t>
        </is>
      </c>
      <c r="B909" s="1" t="n">
        <v>45447.60892361111</v>
      </c>
      <c r="C909" s="1" t="n">
        <v>46129</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25213-2023</t>
        </is>
      </c>
      <c r="B910" s="1" t="n">
        <v>45086.60010416667</v>
      </c>
      <c r="C910" s="1" t="n">
        <v>46129</v>
      </c>
      <c r="D910" t="inlineStr">
        <is>
          <t>SKÅNE LÄN</t>
        </is>
      </c>
      <c r="E910" t="inlineStr">
        <is>
          <t>HÄSSLEHOLM</t>
        </is>
      </c>
      <c r="G910" t="n">
        <v>7.2</v>
      </c>
      <c r="H910" t="n">
        <v>0</v>
      </c>
      <c r="I910" t="n">
        <v>0</v>
      </c>
      <c r="J910" t="n">
        <v>0</v>
      </c>
      <c r="K910" t="n">
        <v>0</v>
      </c>
      <c r="L910" t="n">
        <v>0</v>
      </c>
      <c r="M910" t="n">
        <v>0</v>
      </c>
      <c r="N910" t="n">
        <v>0</v>
      </c>
      <c r="O910" t="n">
        <v>0</v>
      </c>
      <c r="P910" t="n">
        <v>0</v>
      </c>
      <c r="Q910" t="n">
        <v>0</v>
      </c>
      <c r="R910" s="2" t="inlineStr"/>
    </row>
    <row r="911" ht="15" customHeight="1">
      <c r="A911" t="inlineStr">
        <is>
          <t>A 18063-2023</t>
        </is>
      </c>
      <c r="B911" s="1" t="n">
        <v>45040.62850694444</v>
      </c>
      <c r="C911" s="1" t="n">
        <v>46129</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61524-2022</t>
        </is>
      </c>
      <c r="B912" s="1" t="n">
        <v>44910</v>
      </c>
      <c r="C912" s="1" t="n">
        <v>46129</v>
      </c>
      <c r="D912" t="inlineStr">
        <is>
          <t>SKÅNE LÄN</t>
        </is>
      </c>
      <c r="E912" t="inlineStr">
        <is>
          <t>HÄSSLEHOLM</t>
        </is>
      </c>
      <c r="F912" t="inlineStr">
        <is>
          <t>Kyrkan</t>
        </is>
      </c>
      <c r="G912" t="n">
        <v>2.1</v>
      </c>
      <c r="H912" t="n">
        <v>0</v>
      </c>
      <c r="I912" t="n">
        <v>0</v>
      </c>
      <c r="J912" t="n">
        <v>0</v>
      </c>
      <c r="K912" t="n">
        <v>0</v>
      </c>
      <c r="L912" t="n">
        <v>0</v>
      </c>
      <c r="M912" t="n">
        <v>0</v>
      </c>
      <c r="N912" t="n">
        <v>0</v>
      </c>
      <c r="O912" t="n">
        <v>0</v>
      </c>
      <c r="P912" t="n">
        <v>0</v>
      </c>
      <c r="Q912" t="n">
        <v>0</v>
      </c>
      <c r="R912" s="2" t="inlineStr"/>
    </row>
    <row r="913" ht="15" customHeight="1">
      <c r="A913" t="inlineStr">
        <is>
          <t>A 61578-2023</t>
        </is>
      </c>
      <c r="B913" s="1" t="n">
        <v>45265.47399305556</v>
      </c>
      <c r="C913" s="1" t="n">
        <v>46129</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25542-2024</t>
        </is>
      </c>
      <c r="B914" s="1" t="n">
        <v>45463</v>
      </c>
      <c r="C914" s="1" t="n">
        <v>46129</v>
      </c>
      <c r="D914" t="inlineStr">
        <is>
          <t>SKÅNE LÄN</t>
        </is>
      </c>
      <c r="E914" t="inlineStr">
        <is>
          <t>HÄSSLEHOLM</t>
        </is>
      </c>
      <c r="G914" t="n">
        <v>6.9</v>
      </c>
      <c r="H914" t="n">
        <v>0</v>
      </c>
      <c r="I914" t="n">
        <v>0</v>
      </c>
      <c r="J914" t="n">
        <v>0</v>
      </c>
      <c r="K914" t="n">
        <v>0</v>
      </c>
      <c r="L914" t="n">
        <v>0</v>
      </c>
      <c r="M914" t="n">
        <v>0</v>
      </c>
      <c r="N914" t="n">
        <v>0</v>
      </c>
      <c r="O914" t="n">
        <v>0</v>
      </c>
      <c r="P914" t="n">
        <v>0</v>
      </c>
      <c r="Q914" t="n">
        <v>0</v>
      </c>
      <c r="R914" s="2" t="inlineStr"/>
    </row>
    <row r="915" ht="15" customHeight="1">
      <c r="A915" t="inlineStr">
        <is>
          <t>A 42370-2023</t>
        </is>
      </c>
      <c r="B915" s="1" t="n">
        <v>45180</v>
      </c>
      <c r="C915" s="1" t="n">
        <v>46129</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11422-2025</t>
        </is>
      </c>
      <c r="B916" s="1" t="n">
        <v>45726</v>
      </c>
      <c r="C916" s="1" t="n">
        <v>46129</v>
      </c>
      <c r="D916" t="inlineStr">
        <is>
          <t>SKÅNE LÄN</t>
        </is>
      </c>
      <c r="E916" t="inlineStr">
        <is>
          <t>HÄSSLEHOLM</t>
        </is>
      </c>
      <c r="G916" t="n">
        <v>14.9</v>
      </c>
      <c r="H916" t="n">
        <v>0</v>
      </c>
      <c r="I916" t="n">
        <v>0</v>
      </c>
      <c r="J916" t="n">
        <v>0</v>
      </c>
      <c r="K916" t="n">
        <v>0</v>
      </c>
      <c r="L916" t="n">
        <v>0</v>
      </c>
      <c r="M916" t="n">
        <v>0</v>
      </c>
      <c r="N916" t="n">
        <v>0</v>
      </c>
      <c r="O916" t="n">
        <v>0</v>
      </c>
      <c r="P916" t="n">
        <v>0</v>
      </c>
      <c r="Q916" t="n">
        <v>0</v>
      </c>
      <c r="R916" s="2" t="inlineStr"/>
    </row>
    <row r="917" ht="15" customHeight="1">
      <c r="A917" t="inlineStr">
        <is>
          <t>A 7604-2024</t>
        </is>
      </c>
      <c r="B917" s="1" t="n">
        <v>45348</v>
      </c>
      <c r="C917" s="1" t="n">
        <v>46129</v>
      </c>
      <c r="D917" t="inlineStr">
        <is>
          <t>SKÅNE LÄN</t>
        </is>
      </c>
      <c r="E917" t="inlineStr">
        <is>
          <t>HÄSSLEHOLM</t>
        </is>
      </c>
      <c r="G917" t="n">
        <v>11.1</v>
      </c>
      <c r="H917" t="n">
        <v>0</v>
      </c>
      <c r="I917" t="n">
        <v>0</v>
      </c>
      <c r="J917" t="n">
        <v>0</v>
      </c>
      <c r="K917" t="n">
        <v>0</v>
      </c>
      <c r="L917" t="n">
        <v>0</v>
      </c>
      <c r="M917" t="n">
        <v>0</v>
      </c>
      <c r="N917" t="n">
        <v>0</v>
      </c>
      <c r="O917" t="n">
        <v>0</v>
      </c>
      <c r="P917" t="n">
        <v>0</v>
      </c>
      <c r="Q917" t="n">
        <v>0</v>
      </c>
      <c r="R917" s="2" t="inlineStr"/>
    </row>
    <row r="918" ht="15" customHeight="1">
      <c r="A918" t="inlineStr">
        <is>
          <t>A 29853-2024</t>
        </is>
      </c>
      <c r="B918" s="1" t="n">
        <v>45485.65844907407</v>
      </c>
      <c r="C918" s="1" t="n">
        <v>46129</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29287-2023</t>
        </is>
      </c>
      <c r="B919" s="1" t="n">
        <v>45098</v>
      </c>
      <c r="C919" s="1" t="n">
        <v>46129</v>
      </c>
      <c r="D919" t="inlineStr">
        <is>
          <t>SKÅNE LÄN</t>
        </is>
      </c>
      <c r="E919" t="inlineStr">
        <is>
          <t>HÄSSLEHOLM</t>
        </is>
      </c>
      <c r="G919" t="n">
        <v>5.7</v>
      </c>
      <c r="H919" t="n">
        <v>0</v>
      </c>
      <c r="I919" t="n">
        <v>0</v>
      </c>
      <c r="J919" t="n">
        <v>0</v>
      </c>
      <c r="K919" t="n">
        <v>0</v>
      </c>
      <c r="L919" t="n">
        <v>0</v>
      </c>
      <c r="M919" t="n">
        <v>0</v>
      </c>
      <c r="N919" t="n">
        <v>0</v>
      </c>
      <c r="O919" t="n">
        <v>0</v>
      </c>
      <c r="P919" t="n">
        <v>0</v>
      </c>
      <c r="Q919" t="n">
        <v>0</v>
      </c>
      <c r="R919" s="2" t="inlineStr"/>
    </row>
    <row r="920" ht="15" customHeight="1">
      <c r="A920" t="inlineStr">
        <is>
          <t>A 5992-2022</t>
        </is>
      </c>
      <c r="B920" s="1" t="n">
        <v>44599</v>
      </c>
      <c r="C920" s="1" t="n">
        <v>46129</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25324-2024</t>
        </is>
      </c>
      <c r="B921" s="1" t="n">
        <v>45462.804375</v>
      </c>
      <c r="C921" s="1" t="n">
        <v>46129</v>
      </c>
      <c r="D921" t="inlineStr">
        <is>
          <t>SKÅNE LÄN</t>
        </is>
      </c>
      <c r="E921" t="inlineStr">
        <is>
          <t>HÄSSLEHOLM</t>
        </is>
      </c>
      <c r="G921" t="n">
        <v>0.2</v>
      </c>
      <c r="H921" t="n">
        <v>0</v>
      </c>
      <c r="I921" t="n">
        <v>0</v>
      </c>
      <c r="J921" t="n">
        <v>0</v>
      </c>
      <c r="K921" t="n">
        <v>0</v>
      </c>
      <c r="L921" t="n">
        <v>0</v>
      </c>
      <c r="M921" t="n">
        <v>0</v>
      </c>
      <c r="N921" t="n">
        <v>0</v>
      </c>
      <c r="O921" t="n">
        <v>0</v>
      </c>
      <c r="P921" t="n">
        <v>0</v>
      </c>
      <c r="Q921" t="n">
        <v>0</v>
      </c>
      <c r="R921" s="2" t="inlineStr"/>
    </row>
    <row r="922" ht="15" customHeight="1">
      <c r="A922" t="inlineStr">
        <is>
          <t>A 8803-2023</t>
        </is>
      </c>
      <c r="B922" s="1" t="n">
        <v>44978.61712962963</v>
      </c>
      <c r="C922" s="1" t="n">
        <v>46129</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56065-2025</t>
        </is>
      </c>
      <c r="B923" s="1" t="n">
        <v>45973</v>
      </c>
      <c r="C923" s="1" t="n">
        <v>46129</v>
      </c>
      <c r="D923" t="inlineStr">
        <is>
          <t>SKÅNE LÄN</t>
        </is>
      </c>
      <c r="E923" t="inlineStr">
        <is>
          <t>HÄSSLEHOLM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4809-2025</t>
        </is>
      </c>
      <c r="B924" s="1" t="n">
        <v>45688.60148148148</v>
      </c>
      <c r="C924" s="1" t="n">
        <v>46129</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12780-2024</t>
        </is>
      </c>
      <c r="B925" s="1" t="n">
        <v>45384.59726851852</v>
      </c>
      <c r="C925" s="1" t="n">
        <v>46129</v>
      </c>
      <c r="D925" t="inlineStr">
        <is>
          <t>SKÅNE LÄN</t>
        </is>
      </c>
      <c r="E925" t="inlineStr">
        <is>
          <t>HÄSSLEHOLM</t>
        </is>
      </c>
      <c r="G925" t="n">
        <v>0.7</v>
      </c>
      <c r="H925" t="n">
        <v>0</v>
      </c>
      <c r="I925" t="n">
        <v>0</v>
      </c>
      <c r="J925" t="n">
        <v>0</v>
      </c>
      <c r="K925" t="n">
        <v>0</v>
      </c>
      <c r="L925" t="n">
        <v>0</v>
      </c>
      <c r="M925" t="n">
        <v>0</v>
      </c>
      <c r="N925" t="n">
        <v>0</v>
      </c>
      <c r="O925" t="n">
        <v>0</v>
      </c>
      <c r="P925" t="n">
        <v>0</v>
      </c>
      <c r="Q925" t="n">
        <v>0</v>
      </c>
      <c r="R925" s="2" t="inlineStr"/>
    </row>
    <row r="926" ht="15" customHeight="1">
      <c r="A926" t="inlineStr">
        <is>
          <t>A 9375-2023</t>
        </is>
      </c>
      <c r="B926" s="1" t="n">
        <v>44981</v>
      </c>
      <c r="C926" s="1" t="n">
        <v>46129</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32008-2024</t>
        </is>
      </c>
      <c r="B927" s="1" t="n">
        <v>45510</v>
      </c>
      <c r="C927" s="1" t="n">
        <v>46129</v>
      </c>
      <c r="D927" t="inlineStr">
        <is>
          <t>SKÅNE LÄN</t>
        </is>
      </c>
      <c r="E927" t="inlineStr">
        <is>
          <t>HÄSSLEHOLM</t>
        </is>
      </c>
      <c r="G927" t="n">
        <v>5.1</v>
      </c>
      <c r="H927" t="n">
        <v>0</v>
      </c>
      <c r="I927" t="n">
        <v>0</v>
      </c>
      <c r="J927" t="n">
        <v>0</v>
      </c>
      <c r="K927" t="n">
        <v>0</v>
      </c>
      <c r="L927" t="n">
        <v>0</v>
      </c>
      <c r="M927" t="n">
        <v>0</v>
      </c>
      <c r="N927" t="n">
        <v>0</v>
      </c>
      <c r="O927" t="n">
        <v>0</v>
      </c>
      <c r="P927" t="n">
        <v>0</v>
      </c>
      <c r="Q927" t="n">
        <v>0</v>
      </c>
      <c r="R927" s="2" t="inlineStr"/>
    </row>
    <row r="928" ht="15" customHeight="1">
      <c r="A928" t="inlineStr">
        <is>
          <t>A 17835-2026</t>
        </is>
      </c>
      <c r="B928" s="1" t="n">
        <v>46121</v>
      </c>
      <c r="C928" s="1" t="n">
        <v>46129</v>
      </c>
      <c r="D928" t="inlineStr">
        <is>
          <t>SKÅNE LÄN</t>
        </is>
      </c>
      <c r="E928" t="inlineStr">
        <is>
          <t>HÄSSLEHOLM</t>
        </is>
      </c>
      <c r="G928" t="n">
        <v>12.6</v>
      </c>
      <c r="H928" t="n">
        <v>0</v>
      </c>
      <c r="I928" t="n">
        <v>0</v>
      </c>
      <c r="J928" t="n">
        <v>0</v>
      </c>
      <c r="K928" t="n">
        <v>0</v>
      </c>
      <c r="L928" t="n">
        <v>0</v>
      </c>
      <c r="M928" t="n">
        <v>0</v>
      </c>
      <c r="N928" t="n">
        <v>0</v>
      </c>
      <c r="O928" t="n">
        <v>0</v>
      </c>
      <c r="P928" t="n">
        <v>0</v>
      </c>
      <c r="Q928" t="n">
        <v>0</v>
      </c>
      <c r="R928" s="2" t="inlineStr"/>
    </row>
    <row r="929" ht="15" customHeight="1">
      <c r="A929" t="inlineStr">
        <is>
          <t>A 17844-2026</t>
        </is>
      </c>
      <c r="B929" s="1" t="n">
        <v>46121</v>
      </c>
      <c r="C929" s="1" t="n">
        <v>46129</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30006-2023</t>
        </is>
      </c>
      <c r="B930" s="1" t="n">
        <v>45109.79962962963</v>
      </c>
      <c r="C930" s="1" t="n">
        <v>46129</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49167-2022</t>
        </is>
      </c>
      <c r="B931" s="1" t="n">
        <v>44860</v>
      </c>
      <c r="C931" s="1" t="n">
        <v>46129</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57963-2023</t>
        </is>
      </c>
      <c r="B932" s="1" t="n">
        <v>45247.57732638889</v>
      </c>
      <c r="C932" s="1" t="n">
        <v>46129</v>
      </c>
      <c r="D932" t="inlineStr">
        <is>
          <t>SKÅNE LÄN</t>
        </is>
      </c>
      <c r="E932" t="inlineStr">
        <is>
          <t>HÄSSLEHOLM</t>
        </is>
      </c>
      <c r="G932" t="n">
        <v>4.6</v>
      </c>
      <c r="H932" t="n">
        <v>0</v>
      </c>
      <c r="I932" t="n">
        <v>0</v>
      </c>
      <c r="J932" t="n">
        <v>0</v>
      </c>
      <c r="K932" t="n">
        <v>0</v>
      </c>
      <c r="L932" t="n">
        <v>0</v>
      </c>
      <c r="M932" t="n">
        <v>0</v>
      </c>
      <c r="N932" t="n">
        <v>0</v>
      </c>
      <c r="O932" t="n">
        <v>0</v>
      </c>
      <c r="P932" t="n">
        <v>0</v>
      </c>
      <c r="Q932" t="n">
        <v>0</v>
      </c>
      <c r="R932" s="2" t="inlineStr"/>
    </row>
    <row r="933" ht="15" customHeight="1">
      <c r="A933" t="inlineStr">
        <is>
          <t>A 41680-2024</t>
        </is>
      </c>
      <c r="B933" s="1" t="n">
        <v>45560</v>
      </c>
      <c r="C933" s="1" t="n">
        <v>46129</v>
      </c>
      <c r="D933" t="inlineStr">
        <is>
          <t>SKÅNE LÄN</t>
        </is>
      </c>
      <c r="E933" t="inlineStr">
        <is>
          <t>HÄSSLEHOLM</t>
        </is>
      </c>
      <c r="G933" t="n">
        <v>0.2</v>
      </c>
      <c r="H933" t="n">
        <v>0</v>
      </c>
      <c r="I933" t="n">
        <v>0</v>
      </c>
      <c r="J933" t="n">
        <v>0</v>
      </c>
      <c r="K933" t="n">
        <v>0</v>
      </c>
      <c r="L933" t="n">
        <v>0</v>
      </c>
      <c r="M933" t="n">
        <v>0</v>
      </c>
      <c r="N933" t="n">
        <v>0</v>
      </c>
      <c r="O933" t="n">
        <v>0</v>
      </c>
      <c r="P933" t="n">
        <v>0</v>
      </c>
      <c r="Q933" t="n">
        <v>0</v>
      </c>
      <c r="R933" s="2" t="inlineStr"/>
    </row>
    <row r="934" ht="15" customHeight="1">
      <c r="A934" t="inlineStr">
        <is>
          <t>A 57033-2022</t>
        </is>
      </c>
      <c r="B934" s="1" t="n">
        <v>44895.31270833333</v>
      </c>
      <c r="C934" s="1" t="n">
        <v>46129</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35845-2022</t>
        </is>
      </c>
      <c r="B935" s="1" t="n">
        <v>44802</v>
      </c>
      <c r="C935" s="1" t="n">
        <v>46129</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63476-2025</t>
        </is>
      </c>
      <c r="B936" s="1" t="n">
        <v>46013.44621527778</v>
      </c>
      <c r="C936" s="1" t="n">
        <v>46129</v>
      </c>
      <c r="D936" t="inlineStr">
        <is>
          <t>SKÅNE LÄN</t>
        </is>
      </c>
      <c r="E936" t="inlineStr">
        <is>
          <t>HÄSSLEHOLM</t>
        </is>
      </c>
      <c r="F936" t="inlineStr">
        <is>
          <t>Kommuner</t>
        </is>
      </c>
      <c r="G936" t="n">
        <v>0.6</v>
      </c>
      <c r="H936" t="n">
        <v>0</v>
      </c>
      <c r="I936" t="n">
        <v>0</v>
      </c>
      <c r="J936" t="n">
        <v>0</v>
      </c>
      <c r="K936" t="n">
        <v>0</v>
      </c>
      <c r="L936" t="n">
        <v>0</v>
      </c>
      <c r="M936" t="n">
        <v>0</v>
      </c>
      <c r="N936" t="n">
        <v>0</v>
      </c>
      <c r="O936" t="n">
        <v>0</v>
      </c>
      <c r="P936" t="n">
        <v>0</v>
      </c>
      <c r="Q936" t="n">
        <v>0</v>
      </c>
      <c r="R936" s="2" t="inlineStr"/>
    </row>
    <row r="937" ht="15" customHeight="1">
      <c r="A937" t="inlineStr">
        <is>
          <t>A 22140-2023</t>
        </is>
      </c>
      <c r="B937" s="1" t="n">
        <v>45065</v>
      </c>
      <c r="C937" s="1" t="n">
        <v>46129</v>
      </c>
      <c r="D937" t="inlineStr">
        <is>
          <t>SKÅNE LÄN</t>
        </is>
      </c>
      <c r="E937" t="inlineStr">
        <is>
          <t>HÄSSLEHOLM</t>
        </is>
      </c>
      <c r="G937" t="n">
        <v>6.7</v>
      </c>
      <c r="H937" t="n">
        <v>0</v>
      </c>
      <c r="I937" t="n">
        <v>0</v>
      </c>
      <c r="J937" t="n">
        <v>0</v>
      </c>
      <c r="K937" t="n">
        <v>0</v>
      </c>
      <c r="L937" t="n">
        <v>0</v>
      </c>
      <c r="M937" t="n">
        <v>0</v>
      </c>
      <c r="N937" t="n">
        <v>0</v>
      </c>
      <c r="O937" t="n">
        <v>0</v>
      </c>
      <c r="P937" t="n">
        <v>0</v>
      </c>
      <c r="Q937" t="n">
        <v>0</v>
      </c>
      <c r="R937" s="2" t="inlineStr"/>
    </row>
    <row r="938" ht="15" customHeight="1">
      <c r="A938" t="inlineStr">
        <is>
          <t>A 7653-2024</t>
        </is>
      </c>
      <c r="B938" s="1" t="n">
        <v>45348.69043981482</v>
      </c>
      <c r="C938" s="1" t="n">
        <v>46129</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24679-2023</t>
        </is>
      </c>
      <c r="B939" s="1" t="n">
        <v>45084</v>
      </c>
      <c r="C939" s="1" t="n">
        <v>46129</v>
      </c>
      <c r="D939" t="inlineStr">
        <is>
          <t>SKÅNE LÄN</t>
        </is>
      </c>
      <c r="E939" t="inlineStr">
        <is>
          <t>HÄSSLEHOLM</t>
        </is>
      </c>
      <c r="G939" t="n">
        <v>7.1</v>
      </c>
      <c r="H939" t="n">
        <v>0</v>
      </c>
      <c r="I939" t="n">
        <v>0</v>
      </c>
      <c r="J939" t="n">
        <v>0</v>
      </c>
      <c r="K939" t="n">
        <v>0</v>
      </c>
      <c r="L939" t="n">
        <v>0</v>
      </c>
      <c r="M939" t="n">
        <v>0</v>
      </c>
      <c r="N939" t="n">
        <v>0</v>
      </c>
      <c r="O939" t="n">
        <v>0</v>
      </c>
      <c r="P939" t="n">
        <v>0</v>
      </c>
      <c r="Q939" t="n">
        <v>0</v>
      </c>
      <c r="R939" s="2" t="inlineStr"/>
    </row>
    <row r="940" ht="15" customHeight="1">
      <c r="A940" t="inlineStr">
        <is>
          <t>A 49219-2021</t>
        </is>
      </c>
      <c r="B940" s="1" t="n">
        <v>44454</v>
      </c>
      <c r="C940" s="1" t="n">
        <v>46129</v>
      </c>
      <c r="D940" t="inlineStr">
        <is>
          <t>SKÅNE LÄN</t>
        </is>
      </c>
      <c r="E940" t="inlineStr">
        <is>
          <t>HÄSSLEHOLM</t>
        </is>
      </c>
      <c r="G940" t="n">
        <v>7.8</v>
      </c>
      <c r="H940" t="n">
        <v>0</v>
      </c>
      <c r="I940" t="n">
        <v>0</v>
      </c>
      <c r="J940" t="n">
        <v>0</v>
      </c>
      <c r="K940" t="n">
        <v>0</v>
      </c>
      <c r="L940" t="n">
        <v>0</v>
      </c>
      <c r="M940" t="n">
        <v>0</v>
      </c>
      <c r="N940" t="n">
        <v>0</v>
      </c>
      <c r="O940" t="n">
        <v>0</v>
      </c>
      <c r="P940" t="n">
        <v>0</v>
      </c>
      <c r="Q940" t="n">
        <v>0</v>
      </c>
      <c r="R940" s="2" t="inlineStr"/>
    </row>
    <row r="941" ht="15" customHeight="1">
      <c r="A941" t="inlineStr">
        <is>
          <t>A 5890-2023</t>
        </is>
      </c>
      <c r="B941" s="1" t="n">
        <v>44963.64527777778</v>
      </c>
      <c r="C941" s="1" t="n">
        <v>46129</v>
      </c>
      <c r="D941" t="inlineStr">
        <is>
          <t>SKÅNE LÄN</t>
        </is>
      </c>
      <c r="E941" t="inlineStr">
        <is>
          <t>HÄSSLEHOLM</t>
        </is>
      </c>
      <c r="G941" t="n">
        <v>1.6</v>
      </c>
      <c r="H941" t="n">
        <v>0</v>
      </c>
      <c r="I941" t="n">
        <v>0</v>
      </c>
      <c r="J941" t="n">
        <v>0</v>
      </c>
      <c r="K941" t="n">
        <v>0</v>
      </c>
      <c r="L941" t="n">
        <v>0</v>
      </c>
      <c r="M941" t="n">
        <v>0</v>
      </c>
      <c r="N941" t="n">
        <v>0</v>
      </c>
      <c r="O941" t="n">
        <v>0</v>
      </c>
      <c r="P941" t="n">
        <v>0</v>
      </c>
      <c r="Q941" t="n">
        <v>0</v>
      </c>
      <c r="R941" s="2" t="inlineStr"/>
    </row>
    <row r="942" ht="15" customHeight="1">
      <c r="A942" t="inlineStr">
        <is>
          <t>A 12936-2025</t>
        </is>
      </c>
      <c r="B942" s="1" t="n">
        <v>45734</v>
      </c>
      <c r="C942" s="1" t="n">
        <v>46129</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17996-2026</t>
        </is>
      </c>
      <c r="B943" s="1" t="n">
        <v>46124.87434027778</v>
      </c>
      <c r="C943" s="1" t="n">
        <v>46129</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56062-2024</t>
        </is>
      </c>
      <c r="B944" s="1" t="n">
        <v>45624.37105324074</v>
      </c>
      <c r="C944" s="1" t="n">
        <v>46129</v>
      </c>
      <c r="D944" t="inlineStr">
        <is>
          <t>SKÅNE LÄN</t>
        </is>
      </c>
      <c r="E944" t="inlineStr">
        <is>
          <t>HÄSSLEHOLM</t>
        </is>
      </c>
      <c r="F944" t="inlineStr">
        <is>
          <t>Övriga Aktiebolag</t>
        </is>
      </c>
      <c r="G944" t="n">
        <v>0.6</v>
      </c>
      <c r="H944" t="n">
        <v>0</v>
      </c>
      <c r="I944" t="n">
        <v>0</v>
      </c>
      <c r="J944" t="n">
        <v>0</v>
      </c>
      <c r="K944" t="n">
        <v>0</v>
      </c>
      <c r="L944" t="n">
        <v>0</v>
      </c>
      <c r="M944" t="n">
        <v>0</v>
      </c>
      <c r="N944" t="n">
        <v>0</v>
      </c>
      <c r="O944" t="n">
        <v>0</v>
      </c>
      <c r="P944" t="n">
        <v>0</v>
      </c>
      <c r="Q944" t="n">
        <v>0</v>
      </c>
      <c r="R944" s="2" t="inlineStr"/>
    </row>
    <row r="945" ht="15" customHeight="1">
      <c r="A945" t="inlineStr">
        <is>
          <t>A 41209-2023</t>
        </is>
      </c>
      <c r="B945" s="1" t="n">
        <v>45174.43481481481</v>
      </c>
      <c r="C945" s="1" t="n">
        <v>46129</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57275-2023</t>
        </is>
      </c>
      <c r="B946" s="1" t="n">
        <v>45245.58886574074</v>
      </c>
      <c r="C946" s="1" t="n">
        <v>46129</v>
      </c>
      <c r="D946" t="inlineStr">
        <is>
          <t>SKÅNE LÄN</t>
        </is>
      </c>
      <c r="E946" t="inlineStr">
        <is>
          <t>HÄSSLEHOLM</t>
        </is>
      </c>
      <c r="G946" t="n">
        <v>1.7</v>
      </c>
      <c r="H946" t="n">
        <v>0</v>
      </c>
      <c r="I946" t="n">
        <v>0</v>
      </c>
      <c r="J946" t="n">
        <v>0</v>
      </c>
      <c r="K946" t="n">
        <v>0</v>
      </c>
      <c r="L946" t="n">
        <v>0</v>
      </c>
      <c r="M946" t="n">
        <v>0</v>
      </c>
      <c r="N946" t="n">
        <v>0</v>
      </c>
      <c r="O946" t="n">
        <v>0</v>
      </c>
      <c r="P946" t="n">
        <v>0</v>
      </c>
      <c r="Q946" t="n">
        <v>0</v>
      </c>
      <c r="R946" s="2" t="inlineStr"/>
    </row>
    <row r="947" ht="15" customHeight="1">
      <c r="A947" t="inlineStr">
        <is>
          <t>A 53302-2022</t>
        </is>
      </c>
      <c r="B947" s="1" t="n">
        <v>44877</v>
      </c>
      <c r="C947" s="1" t="n">
        <v>46129</v>
      </c>
      <c r="D947" t="inlineStr">
        <is>
          <t>SKÅNE LÄN</t>
        </is>
      </c>
      <c r="E947" t="inlineStr">
        <is>
          <t>HÄSSLEHOLM</t>
        </is>
      </c>
      <c r="G947" t="n">
        <v>0.1</v>
      </c>
      <c r="H947" t="n">
        <v>0</v>
      </c>
      <c r="I947" t="n">
        <v>0</v>
      </c>
      <c r="J947" t="n">
        <v>0</v>
      </c>
      <c r="K947" t="n">
        <v>0</v>
      </c>
      <c r="L947" t="n">
        <v>0</v>
      </c>
      <c r="M947" t="n">
        <v>0</v>
      </c>
      <c r="N947" t="n">
        <v>0</v>
      </c>
      <c r="O947" t="n">
        <v>0</v>
      </c>
      <c r="P947" t="n">
        <v>0</v>
      </c>
      <c r="Q947" t="n">
        <v>0</v>
      </c>
      <c r="R947" s="2" t="inlineStr"/>
    </row>
    <row r="948" ht="15" customHeight="1">
      <c r="A948" t="inlineStr">
        <is>
          <t>A 27991-2024</t>
        </is>
      </c>
      <c r="B948" s="1" t="n">
        <v>45476</v>
      </c>
      <c r="C948" s="1" t="n">
        <v>46129</v>
      </c>
      <c r="D948" t="inlineStr">
        <is>
          <t>SKÅNE LÄN</t>
        </is>
      </c>
      <c r="E948" t="inlineStr">
        <is>
          <t>HÄSSLEHOLM</t>
        </is>
      </c>
      <c r="G948" t="n">
        <v>5.8</v>
      </c>
      <c r="H948" t="n">
        <v>0</v>
      </c>
      <c r="I948" t="n">
        <v>0</v>
      </c>
      <c r="J948" t="n">
        <v>0</v>
      </c>
      <c r="K948" t="n">
        <v>0</v>
      </c>
      <c r="L948" t="n">
        <v>0</v>
      </c>
      <c r="M948" t="n">
        <v>0</v>
      </c>
      <c r="N948" t="n">
        <v>0</v>
      </c>
      <c r="O948" t="n">
        <v>0</v>
      </c>
      <c r="P948" t="n">
        <v>0</v>
      </c>
      <c r="Q948" t="n">
        <v>0</v>
      </c>
      <c r="R948" s="2" t="inlineStr"/>
    </row>
    <row r="949" ht="15" customHeight="1">
      <c r="A949" t="inlineStr">
        <is>
          <t>A 31946-2023</t>
        </is>
      </c>
      <c r="B949" s="1" t="n">
        <v>45119.35158564815</v>
      </c>
      <c r="C949" s="1" t="n">
        <v>46129</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18398-2026</t>
        </is>
      </c>
      <c r="B950" s="1" t="n">
        <v>46126.66273148148</v>
      </c>
      <c r="C950" s="1" t="n">
        <v>46129</v>
      </c>
      <c r="D950" t="inlineStr">
        <is>
          <t>SKÅNE LÄN</t>
        </is>
      </c>
      <c r="E950" t="inlineStr">
        <is>
          <t>HÄSSLEHOLM</t>
        </is>
      </c>
      <c r="G950" t="n">
        <v>1.9</v>
      </c>
      <c r="H950" t="n">
        <v>0</v>
      </c>
      <c r="I950" t="n">
        <v>0</v>
      </c>
      <c r="J950" t="n">
        <v>0</v>
      </c>
      <c r="K950" t="n">
        <v>0</v>
      </c>
      <c r="L950" t="n">
        <v>0</v>
      </c>
      <c r="M950" t="n">
        <v>0</v>
      </c>
      <c r="N950" t="n">
        <v>0</v>
      </c>
      <c r="O950" t="n">
        <v>0</v>
      </c>
      <c r="P950" t="n">
        <v>0</v>
      </c>
      <c r="Q950" t="n">
        <v>0</v>
      </c>
      <c r="R950" s="2" t="inlineStr"/>
    </row>
    <row r="951" ht="15" customHeight="1">
      <c r="A951" t="inlineStr">
        <is>
          <t>A 18483-2026</t>
        </is>
      </c>
      <c r="B951" s="1" t="n">
        <v>46127.44652777778</v>
      </c>
      <c r="C951" s="1" t="n">
        <v>46129</v>
      </c>
      <c r="D951" t="inlineStr">
        <is>
          <t>SKÅNE LÄN</t>
        </is>
      </c>
      <c r="E951" t="inlineStr">
        <is>
          <t>HÄSSLEHOLM</t>
        </is>
      </c>
      <c r="G951" t="n">
        <v>2.9</v>
      </c>
      <c r="H951" t="n">
        <v>0</v>
      </c>
      <c r="I951" t="n">
        <v>0</v>
      </c>
      <c r="J951" t="n">
        <v>0</v>
      </c>
      <c r="K951" t="n">
        <v>0</v>
      </c>
      <c r="L951" t="n">
        <v>0</v>
      </c>
      <c r="M951" t="n">
        <v>0</v>
      </c>
      <c r="N951" t="n">
        <v>0</v>
      </c>
      <c r="O951" t="n">
        <v>0</v>
      </c>
      <c r="P951" t="n">
        <v>0</v>
      </c>
      <c r="Q951" t="n">
        <v>0</v>
      </c>
      <c r="R951" s="2" t="inlineStr"/>
    </row>
    <row r="952" ht="15" customHeight="1">
      <c r="A952" t="inlineStr">
        <is>
          <t>A 18484-2026</t>
        </is>
      </c>
      <c r="B952" s="1" t="n">
        <v>46126</v>
      </c>
      <c r="C952" s="1" t="n">
        <v>46129</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48798-2023</t>
        </is>
      </c>
      <c r="B953" s="1" t="n">
        <v>45209.25318287037</v>
      </c>
      <c r="C953" s="1" t="n">
        <v>46129</v>
      </c>
      <c r="D953" t="inlineStr">
        <is>
          <t>SKÅNE LÄN</t>
        </is>
      </c>
      <c r="E953" t="inlineStr">
        <is>
          <t>HÄSSLEHOLM</t>
        </is>
      </c>
      <c r="G953" t="n">
        <v>2.1</v>
      </c>
      <c r="H953" t="n">
        <v>0</v>
      </c>
      <c r="I953" t="n">
        <v>0</v>
      </c>
      <c r="J953" t="n">
        <v>0</v>
      </c>
      <c r="K953" t="n">
        <v>0</v>
      </c>
      <c r="L953" t="n">
        <v>0</v>
      </c>
      <c r="M953" t="n">
        <v>0</v>
      </c>
      <c r="N953" t="n">
        <v>0</v>
      </c>
      <c r="O953" t="n">
        <v>0</v>
      </c>
      <c r="P953" t="n">
        <v>0</v>
      </c>
      <c r="Q953" t="n">
        <v>0</v>
      </c>
      <c r="R953" s="2" t="inlineStr"/>
    </row>
    <row r="954" ht="15" customHeight="1">
      <c r="A954" t="inlineStr">
        <is>
          <t>A 48844-2023</t>
        </is>
      </c>
      <c r="B954" s="1" t="n">
        <v>45209</v>
      </c>
      <c r="C954" s="1" t="n">
        <v>46129</v>
      </c>
      <c r="D954" t="inlineStr">
        <is>
          <t>SKÅNE LÄN</t>
        </is>
      </c>
      <c r="E954" t="inlineStr">
        <is>
          <t>HÄSSLEHOLM</t>
        </is>
      </c>
      <c r="G954" t="n">
        <v>4</v>
      </c>
      <c r="H954" t="n">
        <v>0</v>
      </c>
      <c r="I954" t="n">
        <v>0</v>
      </c>
      <c r="J954" t="n">
        <v>0</v>
      </c>
      <c r="K954" t="n">
        <v>0</v>
      </c>
      <c r="L954" t="n">
        <v>0</v>
      </c>
      <c r="M954" t="n">
        <v>0</v>
      </c>
      <c r="N954" t="n">
        <v>0</v>
      </c>
      <c r="O954" t="n">
        <v>0</v>
      </c>
      <c r="P954" t="n">
        <v>0</v>
      </c>
      <c r="Q954" t="n">
        <v>0</v>
      </c>
      <c r="R954" s="2" t="inlineStr"/>
    </row>
    <row r="955" ht="15" customHeight="1">
      <c r="A955" t="inlineStr">
        <is>
          <t>A 48877-2024</t>
        </is>
      </c>
      <c r="B955" s="1" t="n">
        <v>45594.31729166667</v>
      </c>
      <c r="C955" s="1" t="n">
        <v>46129</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45984-2021</t>
        </is>
      </c>
      <c r="B956" s="1" t="n">
        <v>44441</v>
      </c>
      <c r="C956" s="1" t="n">
        <v>46129</v>
      </c>
      <c r="D956" t="inlineStr">
        <is>
          <t>SKÅNE LÄN</t>
        </is>
      </c>
      <c r="E956" t="inlineStr">
        <is>
          <t>HÄSSLEHOLM</t>
        </is>
      </c>
      <c r="G956" t="n">
        <v>2.1</v>
      </c>
      <c r="H956" t="n">
        <v>0</v>
      </c>
      <c r="I956" t="n">
        <v>0</v>
      </c>
      <c r="J956" t="n">
        <v>0</v>
      </c>
      <c r="K956" t="n">
        <v>0</v>
      </c>
      <c r="L956" t="n">
        <v>0</v>
      </c>
      <c r="M956" t="n">
        <v>0</v>
      </c>
      <c r="N956" t="n">
        <v>0</v>
      </c>
      <c r="O956" t="n">
        <v>0</v>
      </c>
      <c r="P956" t="n">
        <v>0</v>
      </c>
      <c r="Q956" t="n">
        <v>0</v>
      </c>
      <c r="R956" s="2" t="inlineStr"/>
    </row>
    <row r="957" ht="15" customHeight="1">
      <c r="A957" t="inlineStr">
        <is>
          <t>A 8378-2023</t>
        </is>
      </c>
      <c r="B957" s="1" t="n">
        <v>44971</v>
      </c>
      <c r="C957" s="1" t="n">
        <v>46129</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45398-2024</t>
        </is>
      </c>
      <c r="B958" s="1" t="n">
        <v>45576.56260416667</v>
      </c>
      <c r="C958" s="1" t="n">
        <v>46129</v>
      </c>
      <c r="D958" t="inlineStr">
        <is>
          <t>SKÅNE LÄN</t>
        </is>
      </c>
      <c r="E958" t="inlineStr">
        <is>
          <t>HÄSSLEHOLM</t>
        </is>
      </c>
      <c r="G958" t="n">
        <v>4.2</v>
      </c>
      <c r="H958" t="n">
        <v>0</v>
      </c>
      <c r="I958" t="n">
        <v>0</v>
      </c>
      <c r="J958" t="n">
        <v>0</v>
      </c>
      <c r="K958" t="n">
        <v>0</v>
      </c>
      <c r="L958" t="n">
        <v>0</v>
      </c>
      <c r="M958" t="n">
        <v>0</v>
      </c>
      <c r="N958" t="n">
        <v>0</v>
      </c>
      <c r="O958" t="n">
        <v>0</v>
      </c>
      <c r="P958" t="n">
        <v>0</v>
      </c>
      <c r="Q958" t="n">
        <v>0</v>
      </c>
      <c r="R958" s="2" t="inlineStr"/>
    </row>
    <row r="959" ht="15" customHeight="1">
      <c r="A959" t="inlineStr">
        <is>
          <t>A 4140-2023</t>
        </is>
      </c>
      <c r="B959" s="1" t="n">
        <v>44953</v>
      </c>
      <c r="C959" s="1" t="n">
        <v>46129</v>
      </c>
      <c r="D959" t="inlineStr">
        <is>
          <t>SKÅNE LÄN</t>
        </is>
      </c>
      <c r="E959" t="inlineStr">
        <is>
          <t>HÄSSLEHOLM</t>
        </is>
      </c>
      <c r="G959" t="n">
        <v>10.6</v>
      </c>
      <c r="H959" t="n">
        <v>0</v>
      </c>
      <c r="I959" t="n">
        <v>0</v>
      </c>
      <c r="J959" t="n">
        <v>0</v>
      </c>
      <c r="K959" t="n">
        <v>0</v>
      </c>
      <c r="L959" t="n">
        <v>0</v>
      </c>
      <c r="M959" t="n">
        <v>0</v>
      </c>
      <c r="N959" t="n">
        <v>0</v>
      </c>
      <c r="O959" t="n">
        <v>0</v>
      </c>
      <c r="P959" t="n">
        <v>0</v>
      </c>
      <c r="Q959" t="n">
        <v>0</v>
      </c>
      <c r="R959" s="2" t="inlineStr"/>
    </row>
    <row r="960" ht="15" customHeight="1">
      <c r="A960" t="inlineStr">
        <is>
          <t>A 50000-2023</t>
        </is>
      </c>
      <c r="B960" s="1" t="n">
        <v>45215.4434837963</v>
      </c>
      <c r="C960" s="1" t="n">
        <v>46129</v>
      </c>
      <c r="D960" t="inlineStr">
        <is>
          <t>SKÅNE LÄN</t>
        </is>
      </c>
      <c r="E960" t="inlineStr">
        <is>
          <t>HÄSSLEHOLM</t>
        </is>
      </c>
      <c r="G960" t="n">
        <v>1.6</v>
      </c>
      <c r="H960" t="n">
        <v>0</v>
      </c>
      <c r="I960" t="n">
        <v>0</v>
      </c>
      <c r="J960" t="n">
        <v>0</v>
      </c>
      <c r="K960" t="n">
        <v>0</v>
      </c>
      <c r="L960" t="n">
        <v>0</v>
      </c>
      <c r="M960" t="n">
        <v>0</v>
      </c>
      <c r="N960" t="n">
        <v>0</v>
      </c>
      <c r="O960" t="n">
        <v>0</v>
      </c>
      <c r="P960" t="n">
        <v>0</v>
      </c>
      <c r="Q960" t="n">
        <v>0</v>
      </c>
      <c r="R960" s="2" t="inlineStr"/>
    </row>
    <row r="961" ht="15" customHeight="1">
      <c r="A961" t="inlineStr">
        <is>
          <t>A 417-2022</t>
        </is>
      </c>
      <c r="B961" s="1" t="n">
        <v>44565.84615740741</v>
      </c>
      <c r="C961" s="1" t="n">
        <v>46129</v>
      </c>
      <c r="D961" t="inlineStr">
        <is>
          <t>SKÅNE LÄN</t>
        </is>
      </c>
      <c r="E961" t="inlineStr">
        <is>
          <t>HÄSSLEHOLM</t>
        </is>
      </c>
      <c r="G961" t="n">
        <v>0</v>
      </c>
      <c r="H961" t="n">
        <v>0</v>
      </c>
      <c r="I961" t="n">
        <v>0</v>
      </c>
      <c r="J961" t="n">
        <v>0</v>
      </c>
      <c r="K961" t="n">
        <v>0</v>
      </c>
      <c r="L961" t="n">
        <v>0</v>
      </c>
      <c r="M961" t="n">
        <v>0</v>
      </c>
      <c r="N961" t="n">
        <v>0</v>
      </c>
      <c r="O961" t="n">
        <v>0</v>
      </c>
      <c r="P961" t="n">
        <v>0</v>
      </c>
      <c r="Q961" t="n">
        <v>0</v>
      </c>
      <c r="R961" s="2" t="inlineStr"/>
    </row>
    <row r="962" ht="15" customHeight="1">
      <c r="A962" t="inlineStr">
        <is>
          <t>A 51040-2024</t>
        </is>
      </c>
      <c r="B962" s="1" t="n">
        <v>45603.43222222223</v>
      </c>
      <c r="C962" s="1" t="n">
        <v>46129</v>
      </c>
      <c r="D962" t="inlineStr">
        <is>
          <t>SKÅNE LÄN</t>
        </is>
      </c>
      <c r="E962" t="inlineStr">
        <is>
          <t>HÄSSLEHOLM</t>
        </is>
      </c>
      <c r="G962" t="n">
        <v>2.7</v>
      </c>
      <c r="H962" t="n">
        <v>0</v>
      </c>
      <c r="I962" t="n">
        <v>0</v>
      </c>
      <c r="J962" t="n">
        <v>0</v>
      </c>
      <c r="K962" t="n">
        <v>0</v>
      </c>
      <c r="L962" t="n">
        <v>0</v>
      </c>
      <c r="M962" t="n">
        <v>0</v>
      </c>
      <c r="N962" t="n">
        <v>0</v>
      </c>
      <c r="O962" t="n">
        <v>0</v>
      </c>
      <c r="P962" t="n">
        <v>0</v>
      </c>
      <c r="Q962" t="n">
        <v>0</v>
      </c>
      <c r="R962" s="2" t="inlineStr"/>
    </row>
    <row r="963" ht="15" customHeight="1">
      <c r="A963" t="inlineStr">
        <is>
          <t>A 50249-2024</t>
        </is>
      </c>
      <c r="B963" s="1" t="n">
        <v>45600.56866898148</v>
      </c>
      <c r="C963" s="1" t="n">
        <v>46129</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54326-2022</t>
        </is>
      </c>
      <c r="B964" s="1" t="n">
        <v>44882.42965277778</v>
      </c>
      <c r="C964" s="1" t="n">
        <v>46129</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11999-2026</t>
        </is>
      </c>
      <c r="B965" s="1" t="n">
        <v>46085</v>
      </c>
      <c r="C965" s="1" t="n">
        <v>46129</v>
      </c>
      <c r="D965" t="inlineStr">
        <is>
          <t>SKÅNE LÄN</t>
        </is>
      </c>
      <c r="E965" t="inlineStr">
        <is>
          <t>HÄSSLEHOLM</t>
        </is>
      </c>
      <c r="G965" t="n">
        <v>0.2</v>
      </c>
      <c r="H965" t="n">
        <v>0</v>
      </c>
      <c r="I965" t="n">
        <v>0</v>
      </c>
      <c r="J965" t="n">
        <v>0</v>
      </c>
      <c r="K965" t="n">
        <v>0</v>
      </c>
      <c r="L965" t="n">
        <v>0</v>
      </c>
      <c r="M965" t="n">
        <v>0</v>
      </c>
      <c r="N965" t="n">
        <v>0</v>
      </c>
      <c r="O965" t="n">
        <v>0</v>
      </c>
      <c r="P965" t="n">
        <v>0</v>
      </c>
      <c r="Q965" t="n">
        <v>0</v>
      </c>
      <c r="R965" s="2" t="inlineStr"/>
    </row>
    <row r="966" ht="15" customHeight="1">
      <c r="A966" t="inlineStr">
        <is>
          <t>A 11998-2026</t>
        </is>
      </c>
      <c r="B966" s="1" t="n">
        <v>46085</v>
      </c>
      <c r="C966" s="1" t="n">
        <v>46129</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54174-2022</t>
        </is>
      </c>
      <c r="B967" s="1" t="n">
        <v>44881</v>
      </c>
      <c r="C967" s="1" t="n">
        <v>46129</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56767-2025</t>
        </is>
      </c>
      <c r="B968" s="1" t="n">
        <v>45978.38178240741</v>
      </c>
      <c r="C968" s="1" t="n">
        <v>46129</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56769-2025</t>
        </is>
      </c>
      <c r="B969" s="1" t="n">
        <v>45978.38429398148</v>
      </c>
      <c r="C969" s="1" t="n">
        <v>46129</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38376-2022</t>
        </is>
      </c>
      <c r="B970" s="1" t="n">
        <v>44812</v>
      </c>
      <c r="C970" s="1" t="n">
        <v>46129</v>
      </c>
      <c r="D970" t="inlineStr">
        <is>
          <t>SKÅNE LÄN</t>
        </is>
      </c>
      <c r="E970" t="inlineStr">
        <is>
          <t>HÄSSLEHOLM</t>
        </is>
      </c>
      <c r="G970" t="n">
        <v>1.9</v>
      </c>
      <c r="H970" t="n">
        <v>0</v>
      </c>
      <c r="I970" t="n">
        <v>0</v>
      </c>
      <c r="J970" t="n">
        <v>0</v>
      </c>
      <c r="K970" t="n">
        <v>0</v>
      </c>
      <c r="L970" t="n">
        <v>0</v>
      </c>
      <c r="M970" t="n">
        <v>0</v>
      </c>
      <c r="N970" t="n">
        <v>0</v>
      </c>
      <c r="O970" t="n">
        <v>0</v>
      </c>
      <c r="P970" t="n">
        <v>0</v>
      </c>
      <c r="Q970" t="n">
        <v>0</v>
      </c>
      <c r="R970" s="2" t="inlineStr"/>
    </row>
    <row r="971" ht="15" customHeight="1">
      <c r="A971" t="inlineStr">
        <is>
          <t>A 54659-2023</t>
        </is>
      </c>
      <c r="B971" s="1" t="n">
        <v>45235</v>
      </c>
      <c r="C971" s="1" t="n">
        <v>46129</v>
      </c>
      <c r="D971" t="inlineStr">
        <is>
          <t>SKÅNE LÄN</t>
        </is>
      </c>
      <c r="E971" t="inlineStr">
        <is>
          <t>HÄSSLEHOLM</t>
        </is>
      </c>
      <c r="G971" t="n">
        <v>5</v>
      </c>
      <c r="H971" t="n">
        <v>0</v>
      </c>
      <c r="I971" t="n">
        <v>0</v>
      </c>
      <c r="J971" t="n">
        <v>0</v>
      </c>
      <c r="K971" t="n">
        <v>0</v>
      </c>
      <c r="L971" t="n">
        <v>0</v>
      </c>
      <c r="M971" t="n">
        <v>0</v>
      </c>
      <c r="N971" t="n">
        <v>0</v>
      </c>
      <c r="O971" t="n">
        <v>0</v>
      </c>
      <c r="P971" t="n">
        <v>0</v>
      </c>
      <c r="Q971" t="n">
        <v>0</v>
      </c>
      <c r="R971" s="2" t="inlineStr"/>
    </row>
    <row r="972" ht="15" customHeight="1">
      <c r="A972" t="inlineStr">
        <is>
          <t>A 15036-2024</t>
        </is>
      </c>
      <c r="B972" s="1" t="n">
        <v>45399.48100694444</v>
      </c>
      <c r="C972" s="1" t="n">
        <v>46129</v>
      </c>
      <c r="D972" t="inlineStr">
        <is>
          <t>SKÅNE LÄN</t>
        </is>
      </c>
      <c r="E972" t="inlineStr">
        <is>
          <t>HÄSSLEHOLM</t>
        </is>
      </c>
      <c r="G972" t="n">
        <v>1.6</v>
      </c>
      <c r="H972" t="n">
        <v>0</v>
      </c>
      <c r="I972" t="n">
        <v>0</v>
      </c>
      <c r="J972" t="n">
        <v>0</v>
      </c>
      <c r="K972" t="n">
        <v>0</v>
      </c>
      <c r="L972" t="n">
        <v>0</v>
      </c>
      <c r="M972" t="n">
        <v>0</v>
      </c>
      <c r="N972" t="n">
        <v>0</v>
      </c>
      <c r="O972" t="n">
        <v>0</v>
      </c>
      <c r="P972" t="n">
        <v>0</v>
      </c>
      <c r="Q972" t="n">
        <v>0</v>
      </c>
      <c r="R972" s="2" t="inlineStr"/>
    </row>
    <row r="973" ht="15" customHeight="1">
      <c r="A973" t="inlineStr">
        <is>
          <t>A 9709-2023</t>
        </is>
      </c>
      <c r="B973" s="1" t="n">
        <v>44984.48376157408</v>
      </c>
      <c r="C973" s="1" t="n">
        <v>46129</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9615-2025</t>
        </is>
      </c>
      <c r="B974" s="1" t="n">
        <v>45715</v>
      </c>
      <c r="C974" s="1" t="n">
        <v>46129</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8524-2024</t>
        </is>
      </c>
      <c r="B975" s="1" t="n">
        <v>45355.48570601852</v>
      </c>
      <c r="C975" s="1" t="n">
        <v>46129</v>
      </c>
      <c r="D975" t="inlineStr">
        <is>
          <t>SKÅNE LÄN</t>
        </is>
      </c>
      <c r="E975" t="inlineStr">
        <is>
          <t>HÄSSLEHOLM</t>
        </is>
      </c>
      <c r="G975" t="n">
        <v>4</v>
      </c>
      <c r="H975" t="n">
        <v>0</v>
      </c>
      <c r="I975" t="n">
        <v>0</v>
      </c>
      <c r="J975" t="n">
        <v>0</v>
      </c>
      <c r="K975" t="n">
        <v>0</v>
      </c>
      <c r="L975" t="n">
        <v>0</v>
      </c>
      <c r="M975" t="n">
        <v>0</v>
      </c>
      <c r="N975" t="n">
        <v>0</v>
      </c>
      <c r="O975" t="n">
        <v>0</v>
      </c>
      <c r="P975" t="n">
        <v>0</v>
      </c>
      <c r="Q975" t="n">
        <v>0</v>
      </c>
      <c r="R975" s="2" t="inlineStr"/>
    </row>
    <row r="976" ht="15" customHeight="1">
      <c r="A976" t="inlineStr">
        <is>
          <t>A 23987-2024</t>
        </is>
      </c>
      <c r="B976" s="1" t="n">
        <v>45456</v>
      </c>
      <c r="C976" s="1" t="n">
        <v>46129</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4042-2023</t>
        </is>
      </c>
      <c r="B977" s="1" t="n">
        <v>44952.59950231481</v>
      </c>
      <c r="C977" s="1" t="n">
        <v>46129</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31160-2024</t>
        </is>
      </c>
      <c r="B978" s="1" t="n">
        <v>45503</v>
      </c>
      <c r="C978" s="1" t="n">
        <v>46129</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5054-2022</t>
        </is>
      </c>
      <c r="B979" s="1" t="n">
        <v>44593.69065972222</v>
      </c>
      <c r="C979" s="1" t="n">
        <v>46129</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31391-2023</t>
        </is>
      </c>
      <c r="B980" s="1" t="n">
        <v>45114.56143518518</v>
      </c>
      <c r="C980" s="1" t="n">
        <v>46129</v>
      </c>
      <c r="D980" t="inlineStr">
        <is>
          <t>SKÅNE LÄN</t>
        </is>
      </c>
      <c r="E980" t="inlineStr">
        <is>
          <t>HÄSSLEHOLM</t>
        </is>
      </c>
      <c r="G980" t="n">
        <v>3.1</v>
      </c>
      <c r="H980" t="n">
        <v>0</v>
      </c>
      <c r="I980" t="n">
        <v>0</v>
      </c>
      <c r="J980" t="n">
        <v>0</v>
      </c>
      <c r="K980" t="n">
        <v>0</v>
      </c>
      <c r="L980" t="n">
        <v>0</v>
      </c>
      <c r="M980" t="n">
        <v>0</v>
      </c>
      <c r="N980" t="n">
        <v>0</v>
      </c>
      <c r="O980" t="n">
        <v>0</v>
      </c>
      <c r="P980" t="n">
        <v>0</v>
      </c>
      <c r="Q980" t="n">
        <v>0</v>
      </c>
      <c r="R980" s="2" t="inlineStr"/>
    </row>
    <row r="981" ht="15" customHeight="1">
      <c r="A981" t="inlineStr">
        <is>
          <t>A 23723-2023</t>
        </is>
      </c>
      <c r="B981" s="1" t="n">
        <v>45077</v>
      </c>
      <c r="C981" s="1" t="n">
        <v>46129</v>
      </c>
      <c r="D981" t="inlineStr">
        <is>
          <t>SKÅNE LÄN</t>
        </is>
      </c>
      <c r="E981" t="inlineStr">
        <is>
          <t>HÄSSLEHOLM</t>
        </is>
      </c>
      <c r="G981" t="n">
        <v>3.9</v>
      </c>
      <c r="H981" t="n">
        <v>0</v>
      </c>
      <c r="I981" t="n">
        <v>0</v>
      </c>
      <c r="J981" t="n">
        <v>0</v>
      </c>
      <c r="K981" t="n">
        <v>0</v>
      </c>
      <c r="L981" t="n">
        <v>0</v>
      </c>
      <c r="M981" t="n">
        <v>0</v>
      </c>
      <c r="N981" t="n">
        <v>0</v>
      </c>
      <c r="O981" t="n">
        <v>0</v>
      </c>
      <c r="P981" t="n">
        <v>0</v>
      </c>
      <c r="Q981" t="n">
        <v>0</v>
      </c>
      <c r="R981" s="2" t="inlineStr"/>
    </row>
    <row r="982" ht="15" customHeight="1">
      <c r="A982" t="inlineStr">
        <is>
          <t>A 31933-2024</t>
        </is>
      </c>
      <c r="B982" s="1" t="n">
        <v>45510.41123842593</v>
      </c>
      <c r="C982" s="1" t="n">
        <v>46129</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31581-2023</t>
        </is>
      </c>
      <c r="B983" s="1" t="n">
        <v>45117.45165509259</v>
      </c>
      <c r="C983" s="1" t="n">
        <v>46129</v>
      </c>
      <c r="D983" t="inlineStr">
        <is>
          <t>SKÅNE LÄN</t>
        </is>
      </c>
      <c r="E983" t="inlineStr">
        <is>
          <t>HÄSSLEHOLM</t>
        </is>
      </c>
      <c r="G983" t="n">
        <v>1.7</v>
      </c>
      <c r="H983" t="n">
        <v>0</v>
      </c>
      <c r="I983" t="n">
        <v>0</v>
      </c>
      <c r="J983" t="n">
        <v>0</v>
      </c>
      <c r="K983" t="n">
        <v>0</v>
      </c>
      <c r="L983" t="n">
        <v>0</v>
      </c>
      <c r="M983" t="n">
        <v>0</v>
      </c>
      <c r="N983" t="n">
        <v>0</v>
      </c>
      <c r="O983" t="n">
        <v>0</v>
      </c>
      <c r="P983" t="n">
        <v>0</v>
      </c>
      <c r="Q983" t="n">
        <v>0</v>
      </c>
      <c r="R983" s="2" t="inlineStr"/>
    </row>
    <row r="984" ht="15" customHeight="1">
      <c r="A984" t="inlineStr">
        <is>
          <t>A 55303-2024</t>
        </is>
      </c>
      <c r="B984" s="1" t="n">
        <v>45621.6434837963</v>
      </c>
      <c r="C984" s="1" t="n">
        <v>46129</v>
      </c>
      <c r="D984" t="inlineStr">
        <is>
          <t>SKÅNE LÄN</t>
        </is>
      </c>
      <c r="E984" t="inlineStr">
        <is>
          <t>HÄSSLEHOLM</t>
        </is>
      </c>
      <c r="G984" t="n">
        <v>3.3</v>
      </c>
      <c r="H984" t="n">
        <v>0</v>
      </c>
      <c r="I984" t="n">
        <v>0</v>
      </c>
      <c r="J984" t="n">
        <v>0</v>
      </c>
      <c r="K984" t="n">
        <v>0</v>
      </c>
      <c r="L984" t="n">
        <v>0</v>
      </c>
      <c r="M984" t="n">
        <v>0</v>
      </c>
      <c r="N984" t="n">
        <v>0</v>
      </c>
      <c r="O984" t="n">
        <v>0</v>
      </c>
      <c r="P984" t="n">
        <v>0</v>
      </c>
      <c r="Q984" t="n">
        <v>0</v>
      </c>
      <c r="R984" s="2" t="inlineStr"/>
    </row>
    <row r="985" ht="15" customHeight="1">
      <c r="A985" t="inlineStr">
        <is>
          <t>A 40202-2022</t>
        </is>
      </c>
      <c r="B985" s="1" t="n">
        <v>44820.60614583334</v>
      </c>
      <c r="C985" s="1" t="n">
        <v>46129</v>
      </c>
      <c r="D985" t="inlineStr">
        <is>
          <t>SKÅNE LÄN</t>
        </is>
      </c>
      <c r="E985" t="inlineStr">
        <is>
          <t>HÄSSLEHOLM</t>
        </is>
      </c>
      <c r="G985" t="n">
        <v>1.1</v>
      </c>
      <c r="H985" t="n">
        <v>0</v>
      </c>
      <c r="I985" t="n">
        <v>0</v>
      </c>
      <c r="J985" t="n">
        <v>0</v>
      </c>
      <c r="K985" t="n">
        <v>0</v>
      </c>
      <c r="L985" t="n">
        <v>0</v>
      </c>
      <c r="M985" t="n">
        <v>0</v>
      </c>
      <c r="N985" t="n">
        <v>0</v>
      </c>
      <c r="O985" t="n">
        <v>0</v>
      </c>
      <c r="P985" t="n">
        <v>0</v>
      </c>
      <c r="Q985" t="n">
        <v>0</v>
      </c>
      <c r="R985" s="2" t="inlineStr"/>
    </row>
    <row r="986" ht="15" customHeight="1">
      <c r="A986" t="inlineStr">
        <is>
          <t>A 4382-2023</t>
        </is>
      </c>
      <c r="B986" s="1" t="n">
        <v>44955.61152777778</v>
      </c>
      <c r="C986" s="1" t="n">
        <v>46129</v>
      </c>
      <c r="D986" t="inlineStr">
        <is>
          <t>SKÅNE LÄN</t>
        </is>
      </c>
      <c r="E986" t="inlineStr">
        <is>
          <t>HÄSSLEHOLM</t>
        </is>
      </c>
      <c r="G986" t="n">
        <v>0.3</v>
      </c>
      <c r="H986" t="n">
        <v>0</v>
      </c>
      <c r="I986" t="n">
        <v>0</v>
      </c>
      <c r="J986" t="n">
        <v>0</v>
      </c>
      <c r="K986" t="n">
        <v>0</v>
      </c>
      <c r="L986" t="n">
        <v>0</v>
      </c>
      <c r="M986" t="n">
        <v>0</v>
      </c>
      <c r="N986" t="n">
        <v>0</v>
      </c>
      <c r="O986" t="n">
        <v>0</v>
      </c>
      <c r="P986" t="n">
        <v>0</v>
      </c>
      <c r="Q986" t="n">
        <v>0</v>
      </c>
      <c r="R986" s="2" t="inlineStr"/>
    </row>
    <row r="987" ht="15" customHeight="1">
      <c r="A987" t="inlineStr">
        <is>
          <t>A 52608-2023</t>
        </is>
      </c>
      <c r="B987" s="1" t="n">
        <v>45219</v>
      </c>
      <c r="C987" s="1" t="n">
        <v>46129</v>
      </c>
      <c r="D987" t="inlineStr">
        <is>
          <t>SKÅNE LÄN</t>
        </is>
      </c>
      <c r="E987" t="inlineStr">
        <is>
          <t>HÄSSLEHOLM</t>
        </is>
      </c>
      <c r="F987" t="inlineStr">
        <is>
          <t>Övriga Aktiebolag</t>
        </is>
      </c>
      <c r="G987" t="n">
        <v>2.1</v>
      </c>
      <c r="H987" t="n">
        <v>0</v>
      </c>
      <c r="I987" t="n">
        <v>0</v>
      </c>
      <c r="J987" t="n">
        <v>0</v>
      </c>
      <c r="K987" t="n">
        <v>0</v>
      </c>
      <c r="L987" t="n">
        <v>0</v>
      </c>
      <c r="M987" t="n">
        <v>0</v>
      </c>
      <c r="N987" t="n">
        <v>0</v>
      </c>
      <c r="O987" t="n">
        <v>0</v>
      </c>
      <c r="P987" t="n">
        <v>0</v>
      </c>
      <c r="Q987" t="n">
        <v>0</v>
      </c>
      <c r="R987" s="2" t="inlineStr"/>
    </row>
    <row r="988" ht="15" customHeight="1">
      <c r="A988" t="inlineStr">
        <is>
          <t>A 27954-2022</t>
        </is>
      </c>
      <c r="B988" s="1" t="n">
        <v>44743</v>
      </c>
      <c r="C988" s="1" t="n">
        <v>46129</v>
      </c>
      <c r="D988" t="inlineStr">
        <is>
          <t>SKÅNE LÄN</t>
        </is>
      </c>
      <c r="E988" t="inlineStr">
        <is>
          <t>HÄSSLEHOLM</t>
        </is>
      </c>
      <c r="G988" t="n">
        <v>9.4</v>
      </c>
      <c r="H988" t="n">
        <v>0</v>
      </c>
      <c r="I988" t="n">
        <v>0</v>
      </c>
      <c r="J988" t="n">
        <v>0</v>
      </c>
      <c r="K988" t="n">
        <v>0</v>
      </c>
      <c r="L988" t="n">
        <v>0</v>
      </c>
      <c r="M988" t="n">
        <v>0</v>
      </c>
      <c r="N988" t="n">
        <v>0</v>
      </c>
      <c r="O988" t="n">
        <v>0</v>
      </c>
      <c r="P988" t="n">
        <v>0</v>
      </c>
      <c r="Q988" t="n">
        <v>0</v>
      </c>
      <c r="R988" s="2" t="inlineStr"/>
    </row>
    <row r="989" ht="15" customHeight="1">
      <c r="A989" t="inlineStr">
        <is>
          <t>A 20493-2024</t>
        </is>
      </c>
      <c r="B989" s="1" t="n">
        <v>45435</v>
      </c>
      <c r="C989" s="1" t="n">
        <v>46129</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41873-2023</t>
        </is>
      </c>
      <c r="B990" s="1" t="n">
        <v>45176</v>
      </c>
      <c r="C990" s="1" t="n">
        <v>46129</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41998-2021</t>
        </is>
      </c>
      <c r="B991" s="1" t="n">
        <v>44425</v>
      </c>
      <c r="C991" s="1" t="n">
        <v>46129</v>
      </c>
      <c r="D991" t="inlineStr">
        <is>
          <t>SKÅNE LÄN</t>
        </is>
      </c>
      <c r="E991" t="inlineStr">
        <is>
          <t>HÄSSLEHOLM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35712-2024</t>
        </is>
      </c>
      <c r="B992" s="1" t="n">
        <v>45532</v>
      </c>
      <c r="C992" s="1" t="n">
        <v>46129</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61691-2021</t>
        </is>
      </c>
      <c r="B993" s="1" t="n">
        <v>44501</v>
      </c>
      <c r="C993" s="1" t="n">
        <v>46129</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57647-2024</t>
        </is>
      </c>
      <c r="B994" s="1" t="n">
        <v>45630</v>
      </c>
      <c r="C994" s="1" t="n">
        <v>46129</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20564-2023</t>
        </is>
      </c>
      <c r="B995" s="1" t="n">
        <v>45057</v>
      </c>
      <c r="C995" s="1" t="n">
        <v>46129</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46641-2023</t>
        </is>
      </c>
      <c r="B996" s="1" t="n">
        <v>45198.44523148148</v>
      </c>
      <c r="C996" s="1" t="n">
        <v>46129</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8239-2025</t>
        </is>
      </c>
      <c r="B997" s="1" t="n">
        <v>45708.47984953703</v>
      </c>
      <c r="C997" s="1" t="n">
        <v>46129</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46645-2023</t>
        </is>
      </c>
      <c r="B998" s="1" t="n">
        <v>45198.44686342592</v>
      </c>
      <c r="C998" s="1" t="n">
        <v>46129</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31986-2023</t>
        </is>
      </c>
      <c r="B999" s="1" t="n">
        <v>45119</v>
      </c>
      <c r="C999" s="1" t="n">
        <v>46129</v>
      </c>
      <c r="D999" t="inlineStr">
        <is>
          <t>SKÅNE LÄN</t>
        </is>
      </c>
      <c r="E999" t="inlineStr">
        <is>
          <t>HÄSSLEHOLM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62044-2022</t>
        </is>
      </c>
      <c r="B1000" s="1" t="n">
        <v>44918.55976851852</v>
      </c>
      <c r="C1000" s="1" t="n">
        <v>46129</v>
      </c>
      <c r="D1000" t="inlineStr">
        <is>
          <t>SKÅNE LÄN</t>
        </is>
      </c>
      <c r="E1000" t="inlineStr">
        <is>
          <t>HÄSSLEHOLM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6619-2024</t>
        </is>
      </c>
      <c r="B1001" s="1" t="n">
        <v>45341.6021412037</v>
      </c>
      <c r="C1001" s="1" t="n">
        <v>46129</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52341-2023</t>
        </is>
      </c>
      <c r="B1002" s="1" t="n">
        <v>45224.67006944444</v>
      </c>
      <c r="C1002" s="1" t="n">
        <v>46129</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27464-2022</t>
        </is>
      </c>
      <c r="B1003" s="1" t="n">
        <v>44742.58704861111</v>
      </c>
      <c r="C1003" s="1" t="n">
        <v>46129</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6798-2025</t>
        </is>
      </c>
      <c r="B1004" s="1" t="n">
        <v>45700.668125</v>
      </c>
      <c r="C1004" s="1" t="n">
        <v>46129</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10752-2025</t>
        </is>
      </c>
      <c r="B1005" s="1" t="n">
        <v>45722</v>
      </c>
      <c r="C1005" s="1" t="n">
        <v>46129</v>
      </c>
      <c r="D1005" t="inlineStr">
        <is>
          <t>SKÅNE LÄN</t>
        </is>
      </c>
      <c r="E1005" t="inlineStr">
        <is>
          <t>HÄSSLEHOLM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14008-2023</t>
        </is>
      </c>
      <c r="B1006" s="1" t="n">
        <v>45008.56725694444</v>
      </c>
      <c r="C1006" s="1" t="n">
        <v>46129</v>
      </c>
      <c r="D1006" t="inlineStr">
        <is>
          <t>SKÅNE LÄN</t>
        </is>
      </c>
      <c r="E1006" t="inlineStr">
        <is>
          <t>HÄSSLEHOLM</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315-2022</t>
        </is>
      </c>
      <c r="B1007" s="1" t="n">
        <v>44565.55630787037</v>
      </c>
      <c r="C1007" s="1" t="n">
        <v>46129</v>
      </c>
      <c r="D1007" t="inlineStr">
        <is>
          <t>SKÅNE LÄN</t>
        </is>
      </c>
      <c r="E1007" t="inlineStr">
        <is>
          <t>HÄSSLEHOLM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42372-2024</t>
        </is>
      </c>
      <c r="B1008" s="1" t="n">
        <v>45564.5127199074</v>
      </c>
      <c r="C1008" s="1" t="n">
        <v>46129</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17138-2025</t>
        </is>
      </c>
      <c r="B1009" s="1" t="n">
        <v>45755.80378472222</v>
      </c>
      <c r="C1009" s="1" t="n">
        <v>46129</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57695-2023</t>
        </is>
      </c>
      <c r="B1010" s="1" t="n">
        <v>45246</v>
      </c>
      <c r="C1010" s="1" t="n">
        <v>46129</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12162-2023</t>
        </is>
      </c>
      <c r="B1011" s="1" t="n">
        <v>44998.49619212963</v>
      </c>
      <c r="C1011" s="1" t="n">
        <v>46129</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13347-2025</t>
        </is>
      </c>
      <c r="B1012" s="1" t="n">
        <v>45735.63175925926</v>
      </c>
      <c r="C1012" s="1" t="n">
        <v>46129</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4916-2024</t>
        </is>
      </c>
      <c r="B1013" s="1" t="n">
        <v>45329</v>
      </c>
      <c r="C1013" s="1" t="n">
        <v>46129</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27175-2024</t>
        </is>
      </c>
      <c r="B1014" s="1" t="n">
        <v>45471.57111111111</v>
      </c>
      <c r="C1014" s="1" t="n">
        <v>46129</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54658-2023</t>
        </is>
      </c>
      <c r="B1015" s="1" t="n">
        <v>45235</v>
      </c>
      <c r="C1015" s="1" t="n">
        <v>46129</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23666-2023</t>
        </is>
      </c>
      <c r="B1016" s="1" t="n">
        <v>45077</v>
      </c>
      <c r="C1016" s="1" t="n">
        <v>46129</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3726-2024</t>
        </is>
      </c>
      <c r="B1017" s="1" t="n">
        <v>45321</v>
      </c>
      <c r="C1017" s="1" t="n">
        <v>46129</v>
      </c>
      <c r="D1017" t="inlineStr">
        <is>
          <t>SKÅNE LÄN</t>
        </is>
      </c>
      <c r="E1017" t="inlineStr">
        <is>
          <t>HÄSSLEHOLM</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53085-2022</t>
        </is>
      </c>
      <c r="B1018" s="1" t="n">
        <v>44873</v>
      </c>
      <c r="C1018" s="1" t="n">
        <v>46129</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28211-2022</t>
        </is>
      </c>
      <c r="B1019" s="1" t="n">
        <v>44746</v>
      </c>
      <c r="C1019" s="1" t="n">
        <v>46129</v>
      </c>
      <c r="D1019" t="inlineStr">
        <is>
          <t>SKÅNE LÄN</t>
        </is>
      </c>
      <c r="E1019" t="inlineStr">
        <is>
          <t>HÄSSLEHOLM</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15990-2023</t>
        </is>
      </c>
      <c r="B1020" s="1" t="n">
        <v>45023.39584490741</v>
      </c>
      <c r="C1020" s="1" t="n">
        <v>46129</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26207-2021</t>
        </is>
      </c>
      <c r="B1021" s="1" t="n">
        <v>44347</v>
      </c>
      <c r="C1021" s="1" t="n">
        <v>46129</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62199-2022</t>
        </is>
      </c>
      <c r="B1022" s="1" t="n">
        <v>44915</v>
      </c>
      <c r="C1022" s="1" t="n">
        <v>46129</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9098-2022</t>
        </is>
      </c>
      <c r="B1023" s="1" t="n">
        <v>44615</v>
      </c>
      <c r="C1023" s="1" t="n">
        <v>46129</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19151-2023</t>
        </is>
      </c>
      <c r="B1024" s="1" t="n">
        <v>45044</v>
      </c>
      <c r="C1024" s="1" t="n">
        <v>46129</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2688-2024</t>
        </is>
      </c>
      <c r="B1025" s="1" t="n">
        <v>45314</v>
      </c>
      <c r="C1025" s="1" t="n">
        <v>46129</v>
      </c>
      <c r="D1025" t="inlineStr">
        <is>
          <t>SKÅNE LÄN</t>
        </is>
      </c>
      <c r="E1025" t="inlineStr">
        <is>
          <t>HÄSSLEHOLM</t>
        </is>
      </c>
      <c r="F1025" t="inlineStr">
        <is>
          <t>Övriga Aktiebolag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29850-2024</t>
        </is>
      </c>
      <c r="B1026" s="1" t="n">
        <v>45485.64620370371</v>
      </c>
      <c r="C1026" s="1" t="n">
        <v>46129</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30007-2023</t>
        </is>
      </c>
      <c r="B1027" s="1" t="n">
        <v>45109.80349537037</v>
      </c>
      <c r="C1027" s="1" t="n">
        <v>46129</v>
      </c>
      <c r="D1027" t="inlineStr">
        <is>
          <t>SKÅNE LÄN</t>
        </is>
      </c>
      <c r="E1027" t="inlineStr">
        <is>
          <t>HÄSSLEHOLM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4187-2023</t>
        </is>
      </c>
      <c r="B1028" s="1" t="n">
        <v>44953</v>
      </c>
      <c r="C1028" s="1" t="n">
        <v>46129</v>
      </c>
      <c r="D1028" t="inlineStr">
        <is>
          <t>SKÅNE LÄN</t>
        </is>
      </c>
      <c r="E1028" t="inlineStr">
        <is>
          <t>HÄSSLEHOLM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42231-2022</t>
        </is>
      </c>
      <c r="B1029" s="1" t="n">
        <v>44830.77003472222</v>
      </c>
      <c r="C1029" s="1" t="n">
        <v>46129</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59390-2021</t>
        </is>
      </c>
      <c r="B1030" s="1" t="n">
        <v>44490</v>
      </c>
      <c r="C1030" s="1" t="n">
        <v>46129</v>
      </c>
      <c r="D1030" t="inlineStr">
        <is>
          <t>SKÅNE LÄN</t>
        </is>
      </c>
      <c r="E1030" t="inlineStr">
        <is>
          <t>HÄSSLEHOLM</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3452-2023</t>
        </is>
      </c>
      <c r="B1031" s="1" t="n">
        <v>44949</v>
      </c>
      <c r="C1031" s="1" t="n">
        <v>46129</v>
      </c>
      <c r="D1031" t="inlineStr">
        <is>
          <t>SKÅNE LÄN</t>
        </is>
      </c>
      <c r="E1031" t="inlineStr">
        <is>
          <t>HÄSSLEHOLM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50525-2024</t>
        </is>
      </c>
      <c r="B1032" s="1" t="n">
        <v>45601</v>
      </c>
      <c r="C1032" s="1" t="n">
        <v>46129</v>
      </c>
      <c r="D1032" t="inlineStr">
        <is>
          <t>SKÅNE LÄN</t>
        </is>
      </c>
      <c r="E1032" t="inlineStr">
        <is>
          <t>HÄSSLEHOLM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260-2024</t>
        </is>
      </c>
      <c r="B1033" s="1" t="n">
        <v>45294</v>
      </c>
      <c r="C1033" s="1" t="n">
        <v>46129</v>
      </c>
      <c r="D1033" t="inlineStr">
        <is>
          <t>SKÅNE LÄN</t>
        </is>
      </c>
      <c r="E1033" t="inlineStr">
        <is>
          <t>HÄSSLEHOLM</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5016-2024</t>
        </is>
      </c>
      <c r="B1034" s="1" t="n">
        <v>45329</v>
      </c>
      <c r="C1034" s="1" t="n">
        <v>46129</v>
      </c>
      <c r="D1034" t="inlineStr">
        <is>
          <t>SKÅNE LÄN</t>
        </is>
      </c>
      <c r="E1034" t="inlineStr">
        <is>
          <t>HÄSSLEHOLM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11603-2025</t>
        </is>
      </c>
      <c r="B1035" s="1" t="n">
        <v>45727</v>
      </c>
      <c r="C1035" s="1" t="n">
        <v>46129</v>
      </c>
      <c r="D1035" t="inlineStr">
        <is>
          <t>SKÅNE LÄN</t>
        </is>
      </c>
      <c r="E1035" t="inlineStr">
        <is>
          <t>HÄSSLEHOLM</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25206-2023</t>
        </is>
      </c>
      <c r="B1036" s="1" t="n">
        <v>45086.59318287037</v>
      </c>
      <c r="C1036" s="1" t="n">
        <v>46129</v>
      </c>
      <c r="D1036" t="inlineStr">
        <is>
          <t>SKÅNE LÄN</t>
        </is>
      </c>
      <c r="E1036" t="inlineStr">
        <is>
          <t>HÄSSLEHOLM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25221-2023</t>
        </is>
      </c>
      <c r="B1037" s="1" t="n">
        <v>45086.60842592592</v>
      </c>
      <c r="C1037" s="1" t="n">
        <v>46129</v>
      </c>
      <c r="D1037" t="inlineStr">
        <is>
          <t>SKÅNE LÄN</t>
        </is>
      </c>
      <c r="E1037" t="inlineStr">
        <is>
          <t>HÄSSLEHOLM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57272-2023</t>
        </is>
      </c>
      <c r="B1038" s="1" t="n">
        <v>45245</v>
      </c>
      <c r="C1038" s="1" t="n">
        <v>46129</v>
      </c>
      <c r="D1038" t="inlineStr">
        <is>
          <t>SKÅNE LÄN</t>
        </is>
      </c>
      <c r="E1038" t="inlineStr">
        <is>
          <t>HÄSSLEHOLM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13856-2025</t>
        </is>
      </c>
      <c r="B1039" s="1" t="n">
        <v>45737.57289351852</v>
      </c>
      <c r="C1039" s="1" t="n">
        <v>46129</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48889-2024</t>
        </is>
      </c>
      <c r="B1040" s="1" t="n">
        <v>45594.33754629629</v>
      </c>
      <c r="C1040" s="1" t="n">
        <v>46129</v>
      </c>
      <c r="D1040" t="inlineStr">
        <is>
          <t>SKÅNE LÄN</t>
        </is>
      </c>
      <c r="E1040" t="inlineStr">
        <is>
          <t>HÄSSLEHOLM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8263-2025</t>
        </is>
      </c>
      <c r="B1041" s="1" t="n">
        <v>45708.50398148148</v>
      </c>
      <c r="C1041" s="1" t="n">
        <v>46129</v>
      </c>
      <c r="D1041" t="inlineStr">
        <is>
          <t>SKÅNE LÄN</t>
        </is>
      </c>
      <c r="E1041" t="inlineStr">
        <is>
          <t>HÄSSLEHOLM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29275-2023</t>
        </is>
      </c>
      <c r="B1042" s="1" t="n">
        <v>45105</v>
      </c>
      <c r="C1042" s="1" t="n">
        <v>46129</v>
      </c>
      <c r="D1042" t="inlineStr">
        <is>
          <t>SKÅNE LÄN</t>
        </is>
      </c>
      <c r="E1042" t="inlineStr">
        <is>
          <t>HÄSSLEHOLM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13018-2024</t>
        </is>
      </c>
      <c r="B1043" s="1" t="n">
        <v>45385.58274305556</v>
      </c>
      <c r="C1043" s="1" t="n">
        <v>46129</v>
      </c>
      <c r="D1043" t="inlineStr">
        <is>
          <t>SKÅNE LÄN</t>
        </is>
      </c>
      <c r="E1043" t="inlineStr">
        <is>
          <t>HÄSSLEHOLM</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22595-2024</t>
        </is>
      </c>
      <c r="B1044" s="1" t="n">
        <v>45447.61053240741</v>
      </c>
      <c r="C1044" s="1" t="n">
        <v>46129</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60704-2023</t>
        </is>
      </c>
      <c r="B1045" s="1" t="n">
        <v>45260.51340277777</v>
      </c>
      <c r="C1045" s="1" t="n">
        <v>46129</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20279-2025</t>
        </is>
      </c>
      <c r="B1046" s="1" t="n">
        <v>45774.38643518519</v>
      </c>
      <c r="C1046" s="1" t="n">
        <v>46129</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59431-2023</t>
        </is>
      </c>
      <c r="B1047" s="1" t="n">
        <v>45254.29207175926</v>
      </c>
      <c r="C1047" s="1" t="n">
        <v>46129</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59433-2023</t>
        </is>
      </c>
      <c r="B1048" s="1" t="n">
        <v>45254.29768518519</v>
      </c>
      <c r="C1048" s="1" t="n">
        <v>46129</v>
      </c>
      <c r="D1048" t="inlineStr">
        <is>
          <t>SKÅNE LÄN</t>
        </is>
      </c>
      <c r="E1048" t="inlineStr">
        <is>
          <t>HÄSSLEHOLM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55416-2021</t>
        </is>
      </c>
      <c r="B1049" s="1" t="n">
        <v>44475</v>
      </c>
      <c r="C1049" s="1" t="n">
        <v>46129</v>
      </c>
      <c r="D1049" t="inlineStr">
        <is>
          <t>SKÅNE LÄN</t>
        </is>
      </c>
      <c r="E1049" t="inlineStr">
        <is>
          <t>HÄSSLEHOLM</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4579-2025</t>
        </is>
      </c>
      <c r="B1050" s="1" t="n">
        <v>45687.5009375</v>
      </c>
      <c r="C1050" s="1" t="n">
        <v>46129</v>
      </c>
      <c r="D1050" t="inlineStr">
        <is>
          <t>SKÅNE LÄN</t>
        </is>
      </c>
      <c r="E1050" t="inlineStr">
        <is>
          <t>HÄSSLEHOLM</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21141-2024</t>
        </is>
      </c>
      <c r="B1051" s="1" t="n">
        <v>45440.39012731481</v>
      </c>
      <c r="C1051" s="1" t="n">
        <v>46129</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49379-2021</t>
        </is>
      </c>
      <c r="B1052" s="1" t="n">
        <v>44454</v>
      </c>
      <c r="C1052" s="1" t="n">
        <v>46129</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36240-2023</t>
        </is>
      </c>
      <c r="B1053" s="1" t="n">
        <v>45150.89295138889</v>
      </c>
      <c r="C1053" s="1" t="n">
        <v>46129</v>
      </c>
      <c r="D1053" t="inlineStr">
        <is>
          <t>SKÅNE LÄN</t>
        </is>
      </c>
      <c r="E1053" t="inlineStr">
        <is>
          <t>HÄSSLEHOLM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13851-2025</t>
        </is>
      </c>
      <c r="B1054" s="1" t="n">
        <v>45737.56777777777</v>
      </c>
      <c r="C1054" s="1" t="n">
        <v>46129</v>
      </c>
      <c r="D1054" t="inlineStr">
        <is>
          <t>SKÅNE LÄN</t>
        </is>
      </c>
      <c r="E1054" t="inlineStr">
        <is>
          <t>HÄSSLEHOLM</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12469-2023</t>
        </is>
      </c>
      <c r="B1055" s="1" t="n">
        <v>44999.62109953703</v>
      </c>
      <c r="C1055" s="1" t="n">
        <v>46129</v>
      </c>
      <c r="D1055" t="inlineStr">
        <is>
          <t>SKÅNE LÄN</t>
        </is>
      </c>
      <c r="E1055" t="inlineStr">
        <is>
          <t>HÄSSLEHOLM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45400-2022</t>
        </is>
      </c>
      <c r="B1056" s="1" t="n">
        <v>44844.713125</v>
      </c>
      <c r="C1056" s="1" t="n">
        <v>46129</v>
      </c>
      <c r="D1056" t="inlineStr">
        <is>
          <t>SKÅNE LÄN</t>
        </is>
      </c>
      <c r="E1056" t="inlineStr">
        <is>
          <t>HÄSSLEHOLM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13961-2023</t>
        </is>
      </c>
      <c r="B1057" s="1" t="n">
        <v>45008</v>
      </c>
      <c r="C1057" s="1" t="n">
        <v>46129</v>
      </c>
      <c r="D1057" t="inlineStr">
        <is>
          <t>SKÅNE LÄN</t>
        </is>
      </c>
      <c r="E1057" t="inlineStr">
        <is>
          <t>HÄSSLEHOLM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7581-2023</t>
        </is>
      </c>
      <c r="B1058" s="1" t="n">
        <v>44972.39556712963</v>
      </c>
      <c r="C1058" s="1" t="n">
        <v>46129</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48191-2021</t>
        </is>
      </c>
      <c r="B1059" s="1" t="n">
        <v>44449</v>
      </c>
      <c r="C1059" s="1" t="n">
        <v>46129</v>
      </c>
      <c r="D1059" t="inlineStr">
        <is>
          <t>SKÅNE LÄN</t>
        </is>
      </c>
      <c r="E1059" t="inlineStr">
        <is>
          <t>HÄSSLEHOLM</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5282-2023</t>
        </is>
      </c>
      <c r="B1060" s="1" t="n">
        <v>44959.50471064815</v>
      </c>
      <c r="C1060" s="1" t="n">
        <v>46129</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52548-2023</t>
        </is>
      </c>
      <c r="B1061" s="1" t="n">
        <v>45218</v>
      </c>
      <c r="C1061" s="1" t="n">
        <v>46129</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12503-2022</t>
        </is>
      </c>
      <c r="B1062" s="1" t="n">
        <v>44638</v>
      </c>
      <c r="C1062" s="1" t="n">
        <v>46129</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9485-2023</t>
        </is>
      </c>
      <c r="B1063" s="1" t="n">
        <v>44981.60901620371</v>
      </c>
      <c r="C1063" s="1" t="n">
        <v>46129</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54777-2022</t>
        </is>
      </c>
      <c r="B1064" s="1" t="n">
        <v>44883</v>
      </c>
      <c r="C1064" s="1" t="n">
        <v>46129</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61929-2023</t>
        </is>
      </c>
      <c r="B1065" s="1" t="n">
        <v>45266</v>
      </c>
      <c r="C1065" s="1" t="n">
        <v>46129</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13555-2025</t>
        </is>
      </c>
      <c r="B1066" s="1" t="n">
        <v>45736</v>
      </c>
      <c r="C1066" s="1" t="n">
        <v>46129</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44940-2023</t>
        </is>
      </c>
      <c r="B1067" s="1" t="n">
        <v>45190.68653935185</v>
      </c>
      <c r="C1067" s="1" t="n">
        <v>46129</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25533-2024</t>
        </is>
      </c>
      <c r="B1068" s="1" t="n">
        <v>45463</v>
      </c>
      <c r="C1068" s="1" t="n">
        <v>46129</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61498-2022</t>
        </is>
      </c>
      <c r="B1069" s="1" t="n">
        <v>44910</v>
      </c>
      <c r="C1069" s="1" t="n">
        <v>46129</v>
      </c>
      <c r="D1069" t="inlineStr">
        <is>
          <t>SKÅNE LÄN</t>
        </is>
      </c>
      <c r="E1069" t="inlineStr">
        <is>
          <t>HÄSSLEHOLM</t>
        </is>
      </c>
      <c r="F1069" t="inlineStr">
        <is>
          <t>Kyrkan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22696-2023</t>
        </is>
      </c>
      <c r="B1070" s="1" t="n">
        <v>45071.69464120371</v>
      </c>
      <c r="C1070" s="1" t="n">
        <v>46129</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52337-2023</t>
        </is>
      </c>
      <c r="B1071" s="1" t="n">
        <v>45224.66359953704</v>
      </c>
      <c r="C1071" s="1" t="n">
        <v>46129</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23955-2023</t>
        </is>
      </c>
      <c r="B1072" s="1" t="n">
        <v>45078.62217592593</v>
      </c>
      <c r="C1072" s="1" t="n">
        <v>46129</v>
      </c>
      <c r="D1072" t="inlineStr">
        <is>
          <t>SKÅNE LÄN</t>
        </is>
      </c>
      <c r="E1072" t="inlineStr">
        <is>
          <t>HÄSSLEHOLM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10897-2023</t>
        </is>
      </c>
      <c r="B1073" s="1" t="n">
        <v>44985</v>
      </c>
      <c r="C1073" s="1" t="n">
        <v>46129</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50571-2023</t>
        </is>
      </c>
      <c r="B1074" s="1" t="n">
        <v>45217.38359953704</v>
      </c>
      <c r="C1074" s="1" t="n">
        <v>46129</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18908-2023</t>
        </is>
      </c>
      <c r="B1075" s="1" t="n">
        <v>45044</v>
      </c>
      <c r="C1075" s="1" t="n">
        <v>46129</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10028-2024</t>
        </is>
      </c>
      <c r="B1076" s="1" t="n">
        <v>45363.97292824074</v>
      </c>
      <c r="C1076" s="1" t="n">
        <v>46129</v>
      </c>
      <c r="D1076" t="inlineStr">
        <is>
          <t>SKÅNE LÄN</t>
        </is>
      </c>
      <c r="E1076" t="inlineStr">
        <is>
          <t>HÄSSLEHOLM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13084-2025</t>
        </is>
      </c>
      <c r="B1077" s="1" t="n">
        <v>45734</v>
      </c>
      <c r="C1077" s="1" t="n">
        <v>46129</v>
      </c>
      <c r="D1077" t="inlineStr">
        <is>
          <t>SKÅNE LÄN</t>
        </is>
      </c>
      <c r="E1077" t="inlineStr">
        <is>
          <t>HÄSSLEHOLM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16285-2025</t>
        </is>
      </c>
      <c r="B1078" s="1" t="n">
        <v>45751.30045138889</v>
      </c>
      <c r="C1078" s="1" t="n">
        <v>46129</v>
      </c>
      <c r="D1078" t="inlineStr">
        <is>
          <t>SKÅNE LÄN</t>
        </is>
      </c>
      <c r="E1078" t="inlineStr">
        <is>
          <t>HÄSSLEHOLM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46000-2021</t>
        </is>
      </c>
      <c r="B1079" s="1" t="n">
        <v>44441</v>
      </c>
      <c r="C1079" s="1" t="n">
        <v>46129</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4009-2024</t>
        </is>
      </c>
      <c r="B1080" s="1" t="n">
        <v>45323</v>
      </c>
      <c r="C1080" s="1" t="n">
        <v>46129</v>
      </c>
      <c r="D1080" t="inlineStr">
        <is>
          <t>SKÅNE LÄN</t>
        </is>
      </c>
      <c r="E1080" t="inlineStr">
        <is>
          <t>HÄSSLEHOLM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10928-2024</t>
        </is>
      </c>
      <c r="B1081" s="1" t="n">
        <v>45370</v>
      </c>
      <c r="C1081" s="1" t="n">
        <v>46129</v>
      </c>
      <c r="D1081" t="inlineStr">
        <is>
          <t>SKÅNE LÄN</t>
        </is>
      </c>
      <c r="E1081" t="inlineStr">
        <is>
          <t>HÄSSLEHOLM</t>
        </is>
      </c>
      <c r="F1081" t="inlineStr">
        <is>
          <t>Övriga Aktiebolag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10944-2024</t>
        </is>
      </c>
      <c r="B1082" s="1" t="n">
        <v>45370</v>
      </c>
      <c r="C1082" s="1" t="n">
        <v>46129</v>
      </c>
      <c r="D1082" t="inlineStr">
        <is>
          <t>SKÅNE LÄN</t>
        </is>
      </c>
      <c r="E1082" t="inlineStr">
        <is>
          <t>HÄSSLEHOLM</t>
        </is>
      </c>
      <c r="F1082" t="inlineStr">
        <is>
          <t>Övriga Aktiebolag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6087-2025</t>
        </is>
      </c>
      <c r="B1083" s="1" t="n">
        <v>45697.69782407407</v>
      </c>
      <c r="C1083" s="1" t="n">
        <v>46129</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33466-2024</t>
        </is>
      </c>
      <c r="B1084" s="1" t="n">
        <v>45519</v>
      </c>
      <c r="C1084" s="1" t="n">
        <v>46129</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6612-2024</t>
        </is>
      </c>
      <c r="B1085" s="1" t="n">
        <v>45341.58859953703</v>
      </c>
      <c r="C1085" s="1" t="n">
        <v>46129</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26879-2024</t>
        </is>
      </c>
      <c r="B1086" s="1" t="n">
        <v>45470</v>
      </c>
      <c r="C1086" s="1" t="n">
        <v>46129</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54473-2023</t>
        </is>
      </c>
      <c r="B1087" s="1" t="n">
        <v>45233</v>
      </c>
      <c r="C1087" s="1" t="n">
        <v>46129</v>
      </c>
      <c r="D1087" t="inlineStr">
        <is>
          <t>SKÅNE LÄN</t>
        </is>
      </c>
      <c r="E1087" t="inlineStr">
        <is>
          <t>HÄSSLEHOLM</t>
        </is>
      </c>
      <c r="G1087" t="n">
        <v>24.5</v>
      </c>
      <c r="H1087" t="n">
        <v>0</v>
      </c>
      <c r="I1087" t="n">
        <v>0</v>
      </c>
      <c r="J1087" t="n">
        <v>0</v>
      </c>
      <c r="K1087" t="n">
        <v>0</v>
      </c>
      <c r="L1087" t="n">
        <v>0</v>
      </c>
      <c r="M1087" t="n">
        <v>0</v>
      </c>
      <c r="N1087" t="n">
        <v>0</v>
      </c>
      <c r="O1087" t="n">
        <v>0</v>
      </c>
      <c r="P1087" t="n">
        <v>0</v>
      </c>
      <c r="Q1087" t="n">
        <v>0</v>
      </c>
      <c r="R1087" s="2" t="inlineStr"/>
    </row>
    <row r="1088" ht="15" customHeight="1">
      <c r="A1088" t="inlineStr">
        <is>
          <t>A 11240-2023</t>
        </is>
      </c>
      <c r="B1088" s="1" t="n">
        <v>44992</v>
      </c>
      <c r="C1088" s="1" t="n">
        <v>46129</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16108-2025</t>
        </is>
      </c>
      <c r="B1089" s="1" t="n">
        <v>45750.34667824074</v>
      </c>
      <c r="C1089" s="1" t="n">
        <v>46129</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48326-2023</t>
        </is>
      </c>
      <c r="B1090" s="1" t="n">
        <v>45205</v>
      </c>
      <c r="C1090" s="1" t="n">
        <v>46129</v>
      </c>
      <c r="D1090" t="inlineStr">
        <is>
          <t>SKÅNE LÄN</t>
        </is>
      </c>
      <c r="E1090" t="inlineStr">
        <is>
          <t>HÄSSLEHOLM</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54518-2022</t>
        </is>
      </c>
      <c r="B1091" s="1" t="n">
        <v>44882</v>
      </c>
      <c r="C1091" s="1" t="n">
        <v>46129</v>
      </c>
      <c r="D1091" t="inlineStr">
        <is>
          <t>SKÅNE LÄN</t>
        </is>
      </c>
      <c r="E1091" t="inlineStr">
        <is>
          <t>HÄSSLEHOLM</t>
        </is>
      </c>
      <c r="F1091" t="inlineStr">
        <is>
          <t>Övriga Aktiebolag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57491-2024</t>
        </is>
      </c>
      <c r="B1092" s="1" t="n">
        <v>45629</v>
      </c>
      <c r="C1092" s="1" t="n">
        <v>46129</v>
      </c>
      <c r="D1092" t="inlineStr">
        <is>
          <t>SKÅNE LÄN</t>
        </is>
      </c>
      <c r="E1092" t="inlineStr">
        <is>
          <t>HÄSSLEHOLM</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52912-2022</t>
        </is>
      </c>
      <c r="B1093" s="1" t="n">
        <v>44872</v>
      </c>
      <c r="C1093" s="1" t="n">
        <v>46129</v>
      </c>
      <c r="D1093" t="inlineStr">
        <is>
          <t>SKÅNE LÄN</t>
        </is>
      </c>
      <c r="E1093" t="inlineStr">
        <is>
          <t>HÄSSLEHOLM</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16950-2025</t>
        </is>
      </c>
      <c r="B1094" s="1" t="n">
        <v>45755</v>
      </c>
      <c r="C1094" s="1" t="n">
        <v>46129</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27502-2023</t>
        </is>
      </c>
      <c r="B1095" s="1" t="n">
        <v>45092</v>
      </c>
      <c r="C1095" s="1" t="n">
        <v>46129</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6836-2023</t>
        </is>
      </c>
      <c r="B1096" s="1" t="n">
        <v>44967</v>
      </c>
      <c r="C1096" s="1" t="n">
        <v>46129</v>
      </c>
      <c r="D1096" t="inlineStr">
        <is>
          <t>SKÅNE LÄN</t>
        </is>
      </c>
      <c r="E1096" t="inlineStr">
        <is>
          <t>HÄSSLEHOLM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6845-2023</t>
        </is>
      </c>
      <c r="B1097" s="1" t="n">
        <v>44967</v>
      </c>
      <c r="C1097" s="1" t="n">
        <v>46129</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53887-2023</t>
        </is>
      </c>
      <c r="B1098" s="1" t="n">
        <v>45231.52675925926</v>
      </c>
      <c r="C1098" s="1" t="n">
        <v>46129</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21329-2023</t>
        </is>
      </c>
      <c r="B1099" s="1" t="n">
        <v>45062</v>
      </c>
      <c r="C1099" s="1" t="n">
        <v>46129</v>
      </c>
      <c r="D1099" t="inlineStr">
        <is>
          <t>SKÅNE LÄN</t>
        </is>
      </c>
      <c r="E1099" t="inlineStr">
        <is>
          <t>HÄSSLEHOLM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1543-2024</t>
        </is>
      </c>
      <c r="B1100" s="1" t="n">
        <v>45306</v>
      </c>
      <c r="C1100" s="1" t="n">
        <v>46129</v>
      </c>
      <c r="D1100" t="inlineStr">
        <is>
          <t>SKÅNE LÄN</t>
        </is>
      </c>
      <c r="E1100" t="inlineStr">
        <is>
          <t>HÄSSLEHOLM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18800-2023</t>
        </is>
      </c>
      <c r="B1101" s="1" t="n">
        <v>45044</v>
      </c>
      <c r="C1101" s="1" t="n">
        <v>46129</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25077-2024</t>
        </is>
      </c>
      <c r="B1102" s="1" t="n">
        <v>45462</v>
      </c>
      <c r="C1102" s="1" t="n">
        <v>46129</v>
      </c>
      <c r="D1102" t="inlineStr">
        <is>
          <t>SKÅNE LÄN</t>
        </is>
      </c>
      <c r="E1102" t="inlineStr">
        <is>
          <t>HÄSSLEHOLM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22535-2024</t>
        </is>
      </c>
      <c r="B1103" s="1" t="n">
        <v>45447</v>
      </c>
      <c r="C1103" s="1" t="n">
        <v>46129</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15060-2023</t>
        </is>
      </c>
      <c r="B1104" s="1" t="n">
        <v>45015.69832175926</v>
      </c>
      <c r="C1104" s="1" t="n">
        <v>46129</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4787-2023</t>
        </is>
      </c>
      <c r="B1105" s="1" t="n">
        <v>44957.60079861111</v>
      </c>
      <c r="C1105" s="1" t="n">
        <v>46129</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4788-2023</t>
        </is>
      </c>
      <c r="B1106" s="1" t="n">
        <v>44957.60130787037</v>
      </c>
      <c r="C1106" s="1" t="n">
        <v>46129</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34348-2022</t>
        </is>
      </c>
      <c r="B1107" s="1" t="n">
        <v>44792</v>
      </c>
      <c r="C1107" s="1" t="n">
        <v>46129</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45399-2022</t>
        </is>
      </c>
      <c r="B1108" s="1" t="n">
        <v>44844.70513888889</v>
      </c>
      <c r="C1108" s="1" t="n">
        <v>46129</v>
      </c>
      <c r="D1108" t="inlineStr">
        <is>
          <t>SKÅNE LÄN</t>
        </is>
      </c>
      <c r="E1108" t="inlineStr">
        <is>
          <t>HÄSSLEHOLM</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35640-2023</t>
        </is>
      </c>
      <c r="B1109" s="1" t="n">
        <v>45147</v>
      </c>
      <c r="C1109" s="1" t="n">
        <v>46129</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2681-2024</t>
        </is>
      </c>
      <c r="B1110" s="1" t="n">
        <v>45314</v>
      </c>
      <c r="C1110" s="1" t="n">
        <v>46129</v>
      </c>
      <c r="D1110" t="inlineStr">
        <is>
          <t>SKÅNE LÄN</t>
        </is>
      </c>
      <c r="E1110" t="inlineStr">
        <is>
          <t>HÄSSLEHOLM</t>
        </is>
      </c>
      <c r="F1110" t="inlineStr">
        <is>
          <t>Övriga Aktiebolag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27177-2024</t>
        </is>
      </c>
      <c r="B1111" s="1" t="n">
        <v>45471.57201388889</v>
      </c>
      <c r="C1111" s="1" t="n">
        <v>46129</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49219-2024</t>
        </is>
      </c>
      <c r="B1112" s="1" t="n">
        <v>45595.40923611111</v>
      </c>
      <c r="C1112" s="1" t="n">
        <v>46129</v>
      </c>
      <c r="D1112" t="inlineStr">
        <is>
          <t>SKÅNE LÄN</t>
        </is>
      </c>
      <c r="E1112" t="inlineStr">
        <is>
          <t>HÄSSLEHOLM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13646-2024</t>
        </is>
      </c>
      <c r="B1113" s="1" t="n">
        <v>45387</v>
      </c>
      <c r="C1113" s="1" t="n">
        <v>46129</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4750-2024</t>
        </is>
      </c>
      <c r="B1114" s="1" t="n">
        <v>45328</v>
      </c>
      <c r="C1114" s="1" t="n">
        <v>46129</v>
      </c>
      <c r="D1114" t="inlineStr">
        <is>
          <t>SKÅNE LÄN</t>
        </is>
      </c>
      <c r="E1114" t="inlineStr">
        <is>
          <t>HÄSSLEHOLM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58891-2022</t>
        </is>
      </c>
      <c r="B1115" s="1" t="n">
        <v>44896</v>
      </c>
      <c r="C1115" s="1" t="n">
        <v>46129</v>
      </c>
      <c r="D1115" t="inlineStr">
        <is>
          <t>SKÅNE LÄN</t>
        </is>
      </c>
      <c r="E1115" t="inlineStr">
        <is>
          <t>HÄSSLEHOLM</t>
        </is>
      </c>
      <c r="F1115" t="inlineStr">
        <is>
          <t>Kyrkan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36568-2024</t>
        </is>
      </c>
      <c r="B1116" s="1" t="n">
        <v>45537</v>
      </c>
      <c r="C1116" s="1" t="n">
        <v>46129</v>
      </c>
      <c r="D1116" t="inlineStr">
        <is>
          <t>SKÅNE LÄN</t>
        </is>
      </c>
      <c r="E1116" t="inlineStr">
        <is>
          <t>HÄSSLEHOLM</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9323-2025</t>
        </is>
      </c>
      <c r="B1117" s="1" t="n">
        <v>45714.73532407408</v>
      </c>
      <c r="C1117" s="1" t="n">
        <v>46129</v>
      </c>
      <c r="D1117" t="inlineStr">
        <is>
          <t>SKÅNE LÄN</t>
        </is>
      </c>
      <c r="E1117" t="inlineStr">
        <is>
          <t>HÄSSLEHOLM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19593-2023</t>
        </is>
      </c>
      <c r="B1118" s="1" t="n">
        <v>45050.75895833333</v>
      </c>
      <c r="C1118" s="1" t="n">
        <v>46129</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16017-2023</t>
        </is>
      </c>
      <c r="B1119" s="1" t="n">
        <v>45026</v>
      </c>
      <c r="C1119" s="1" t="n">
        <v>46129</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524-2024</t>
        </is>
      </c>
      <c r="B1120" s="1" t="n">
        <v>45299</v>
      </c>
      <c r="C1120" s="1" t="n">
        <v>46129</v>
      </c>
      <c r="D1120" t="inlineStr">
        <is>
          <t>SKÅNE LÄN</t>
        </is>
      </c>
      <c r="E1120" t="inlineStr">
        <is>
          <t>HÄSSLEHOLM</t>
        </is>
      </c>
      <c r="G1120" t="n">
        <v>29.4</v>
      </c>
      <c r="H1120" t="n">
        <v>0</v>
      </c>
      <c r="I1120" t="n">
        <v>0</v>
      </c>
      <c r="J1120" t="n">
        <v>0</v>
      </c>
      <c r="K1120" t="n">
        <v>0</v>
      </c>
      <c r="L1120" t="n">
        <v>0</v>
      </c>
      <c r="M1120" t="n">
        <v>0</v>
      </c>
      <c r="N1120" t="n">
        <v>0</v>
      </c>
      <c r="O1120" t="n">
        <v>0</v>
      </c>
      <c r="P1120" t="n">
        <v>0</v>
      </c>
      <c r="Q1120" t="n">
        <v>0</v>
      </c>
      <c r="R1120" s="2" t="inlineStr"/>
    </row>
    <row r="1121" ht="15" customHeight="1">
      <c r="A1121" t="inlineStr">
        <is>
          <t>A 9394-2025</t>
        </is>
      </c>
      <c r="B1121" s="1" t="n">
        <v>45715.36387731481</v>
      </c>
      <c r="C1121" s="1" t="n">
        <v>46129</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39223-2024</t>
        </is>
      </c>
      <c r="B1122" s="1" t="n">
        <v>45550</v>
      </c>
      <c r="C1122" s="1" t="n">
        <v>46129</v>
      </c>
      <c r="D1122" t="inlineStr">
        <is>
          <t>SKÅNE LÄN</t>
        </is>
      </c>
      <c r="E1122" t="inlineStr">
        <is>
          <t>HÄSSLEHOLM</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27304-2023</t>
        </is>
      </c>
      <c r="B1123" s="1" t="n">
        <v>45096.65199074074</v>
      </c>
      <c r="C1123" s="1" t="n">
        <v>46129</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22693-2022</t>
        </is>
      </c>
      <c r="B1124" s="1" t="n">
        <v>44714.54729166667</v>
      </c>
      <c r="C1124" s="1" t="n">
        <v>46129</v>
      </c>
      <c r="D1124" t="inlineStr">
        <is>
          <t>SKÅNE LÄN</t>
        </is>
      </c>
      <c r="E1124" t="inlineStr">
        <is>
          <t>HÄSSLEHOLM</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15104-2023</t>
        </is>
      </c>
      <c r="B1125" s="1" t="n">
        <v>45016.40576388889</v>
      </c>
      <c r="C1125" s="1" t="n">
        <v>46129</v>
      </c>
      <c r="D1125" t="inlineStr">
        <is>
          <t>SKÅNE LÄN</t>
        </is>
      </c>
      <c r="E1125" t="inlineStr">
        <is>
          <t>HÄSSLEHOLM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12507-2022</t>
        </is>
      </c>
      <c r="B1126" s="1" t="n">
        <v>44638</v>
      </c>
      <c r="C1126" s="1" t="n">
        <v>46129</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2597-2024</t>
        </is>
      </c>
      <c r="B1127" s="1" t="n">
        <v>45313</v>
      </c>
      <c r="C1127" s="1" t="n">
        <v>46129</v>
      </c>
      <c r="D1127" t="inlineStr">
        <is>
          <t>SKÅNE LÄN</t>
        </is>
      </c>
      <c r="E1127" t="inlineStr">
        <is>
          <t>HÄSSLEHOLM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3531-2023</t>
        </is>
      </c>
      <c r="B1128" s="1" t="n">
        <v>44950</v>
      </c>
      <c r="C1128" s="1" t="n">
        <v>46129</v>
      </c>
      <c r="D1128" t="inlineStr">
        <is>
          <t>SKÅNE LÄN</t>
        </is>
      </c>
      <c r="E1128" t="inlineStr">
        <is>
          <t>HÄSSLEHOLM</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15417-2022</t>
        </is>
      </c>
      <c r="B1129" s="1" t="n">
        <v>44659</v>
      </c>
      <c r="C1129" s="1" t="n">
        <v>46129</v>
      </c>
      <c r="D1129" t="inlineStr">
        <is>
          <t>SKÅNE LÄN</t>
        </is>
      </c>
      <c r="E1129" t="inlineStr">
        <is>
          <t>HÄSSLEHOLM</t>
        </is>
      </c>
      <c r="F1129" t="inlineStr">
        <is>
          <t>Kyrkan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44262-2021</t>
        </is>
      </c>
      <c r="B1130" s="1" t="n">
        <v>44434</v>
      </c>
      <c r="C1130" s="1" t="n">
        <v>46129</v>
      </c>
      <c r="D1130" t="inlineStr">
        <is>
          <t>SKÅNE LÄN</t>
        </is>
      </c>
      <c r="E1130" t="inlineStr">
        <is>
          <t>HÄSSLEHOLM</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50659-2023</t>
        </is>
      </c>
      <c r="B1131" s="1" t="n">
        <v>45217</v>
      </c>
      <c r="C1131" s="1" t="n">
        <v>46129</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67801-2021</t>
        </is>
      </c>
      <c r="B1132" s="1" t="n">
        <v>44525</v>
      </c>
      <c r="C1132" s="1" t="n">
        <v>46129</v>
      </c>
      <c r="D1132" t="inlineStr">
        <is>
          <t>SKÅNE LÄN</t>
        </is>
      </c>
      <c r="E1132" t="inlineStr">
        <is>
          <t>HÄSSLEHOLM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2144-2023</t>
        </is>
      </c>
      <c r="B1133" s="1" t="n">
        <v>44940.79054398148</v>
      </c>
      <c r="C1133" s="1" t="n">
        <v>46129</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37141-2021</t>
        </is>
      </c>
      <c r="B1134" s="1" t="n">
        <v>44396</v>
      </c>
      <c r="C1134" s="1" t="n">
        <v>46129</v>
      </c>
      <c r="D1134" t="inlineStr">
        <is>
          <t>SKÅNE LÄN</t>
        </is>
      </c>
      <c r="E1134" t="inlineStr">
        <is>
          <t>HÄSSLEHOLM</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7202-2022</t>
        </is>
      </c>
      <c r="B1135" s="1" t="n">
        <v>44606</v>
      </c>
      <c r="C1135" s="1" t="n">
        <v>46129</v>
      </c>
      <c r="D1135" t="inlineStr">
        <is>
          <t>SKÅNE LÄN</t>
        </is>
      </c>
      <c r="E1135" t="inlineStr">
        <is>
          <t>HÄSSLEHOLM</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21494-2023</t>
        </is>
      </c>
      <c r="B1136" s="1" t="n">
        <v>45063</v>
      </c>
      <c r="C1136" s="1" t="n">
        <v>46129</v>
      </c>
      <c r="D1136" t="inlineStr">
        <is>
          <t>SKÅNE LÄN</t>
        </is>
      </c>
      <c r="E1136" t="inlineStr">
        <is>
          <t>HÄSSLEHOLM</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21495-2023</t>
        </is>
      </c>
      <c r="B1137" s="1" t="n">
        <v>45063</v>
      </c>
      <c r="C1137" s="1" t="n">
        <v>46129</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62167-2022</t>
        </is>
      </c>
      <c r="B1138" s="1" t="n">
        <v>44915</v>
      </c>
      <c r="C1138" s="1" t="n">
        <v>46129</v>
      </c>
      <c r="D1138" t="inlineStr">
        <is>
          <t>SKÅNE LÄN</t>
        </is>
      </c>
      <c r="E1138" t="inlineStr">
        <is>
          <t>HÄSSLEHOLM</t>
        </is>
      </c>
      <c r="F1138" t="inlineStr">
        <is>
          <t>Kyrkan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62234-2022</t>
        </is>
      </c>
      <c r="B1139" s="1" t="n">
        <v>44922</v>
      </c>
      <c r="C1139" s="1" t="n">
        <v>46129</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34299-2024</t>
        </is>
      </c>
      <c r="B1140" s="1" t="n">
        <v>45524</v>
      </c>
      <c r="C1140" s="1" t="n">
        <v>46129</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9697-2023</t>
        </is>
      </c>
      <c r="B1141" s="1" t="n">
        <v>44984</v>
      </c>
      <c r="C1141" s="1" t="n">
        <v>46129</v>
      </c>
      <c r="D1141" t="inlineStr">
        <is>
          <t>SKÅNE LÄN</t>
        </is>
      </c>
      <c r="E1141" t="inlineStr">
        <is>
          <t>HÄSSLEHOLM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42232-2022</t>
        </is>
      </c>
      <c r="B1142" s="1" t="n">
        <v>44830.77591435185</v>
      </c>
      <c r="C1142" s="1" t="n">
        <v>46129</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37038-2022</t>
        </is>
      </c>
      <c r="B1143" s="1" t="n">
        <v>44806.44232638889</v>
      </c>
      <c r="C1143" s="1" t="n">
        <v>46129</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5894-2023</t>
        </is>
      </c>
      <c r="B1144" s="1" t="n">
        <v>44963.65148148148</v>
      </c>
      <c r="C1144" s="1" t="n">
        <v>46129</v>
      </c>
      <c r="D1144" t="inlineStr">
        <is>
          <t>SKÅNE LÄN</t>
        </is>
      </c>
      <c r="E1144" t="inlineStr">
        <is>
          <t>HÄSSLEHOLM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9502-2023</t>
        </is>
      </c>
      <c r="B1145" s="1" t="n">
        <v>44981.63278935185</v>
      </c>
      <c r="C1145" s="1" t="n">
        <v>46129</v>
      </c>
      <c r="D1145" t="inlineStr">
        <is>
          <t>SKÅNE LÄN</t>
        </is>
      </c>
      <c r="E1145" t="inlineStr">
        <is>
          <t>HÄSSLEHOLM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48046-2023</t>
        </is>
      </c>
      <c r="B1146" s="1" t="n">
        <v>45204.85201388889</v>
      </c>
      <c r="C1146" s="1" t="n">
        <v>46129</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57749-2023</t>
        </is>
      </c>
      <c r="B1147" s="1" t="n">
        <v>45246</v>
      </c>
      <c r="C1147" s="1" t="n">
        <v>46129</v>
      </c>
      <c r="D1147" t="inlineStr">
        <is>
          <t>SKÅNE LÄN</t>
        </is>
      </c>
      <c r="E1147" t="inlineStr">
        <is>
          <t>HÄSSLEHOLM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1538-2024</t>
        </is>
      </c>
      <c r="B1148" s="1" t="n">
        <v>45306</v>
      </c>
      <c r="C1148" s="1" t="n">
        <v>46129</v>
      </c>
      <c r="D1148" t="inlineStr">
        <is>
          <t>SKÅNE LÄN</t>
        </is>
      </c>
      <c r="E1148" t="inlineStr">
        <is>
          <t>HÄSSLEHOLM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3135-2023</t>
        </is>
      </c>
      <c r="B1149" s="1" t="n">
        <v>44946.51672453704</v>
      </c>
      <c r="C1149" s="1" t="n">
        <v>46129</v>
      </c>
      <c r="D1149" t="inlineStr">
        <is>
          <t>SKÅNE LÄN</t>
        </is>
      </c>
      <c r="E1149" t="inlineStr">
        <is>
          <t>HÄSSLEHOLM</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34342-2021</t>
        </is>
      </c>
      <c r="B1150" s="1" t="n">
        <v>44379</v>
      </c>
      <c r="C1150" s="1" t="n">
        <v>46129</v>
      </c>
      <c r="D1150" t="inlineStr">
        <is>
          <t>SKÅNE LÄN</t>
        </is>
      </c>
      <c r="E1150" t="inlineStr">
        <is>
          <t>HÄSSLEHOLM</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3507-2024</t>
        </is>
      </c>
      <c r="B1151" s="1" t="n">
        <v>45320.4906712963</v>
      </c>
      <c r="C1151" s="1" t="n">
        <v>46129</v>
      </c>
      <c r="D1151" t="inlineStr">
        <is>
          <t>SKÅNE LÄN</t>
        </is>
      </c>
      <c r="E1151" t="inlineStr">
        <is>
          <t>HÄSSLEHOLM</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49111-2023</t>
        </is>
      </c>
      <c r="B1152" s="1" t="n">
        <v>45210.44464120371</v>
      </c>
      <c r="C1152" s="1" t="n">
        <v>46129</v>
      </c>
      <c r="D1152" t="inlineStr">
        <is>
          <t>SKÅNE LÄN</t>
        </is>
      </c>
      <c r="E1152" t="inlineStr">
        <is>
          <t>HÄSSLEHOLM</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61178-2022</t>
        </is>
      </c>
      <c r="B1153" s="1" t="n">
        <v>44915</v>
      </c>
      <c r="C1153" s="1" t="n">
        <v>46129</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61185-2022</t>
        </is>
      </c>
      <c r="B1154" s="1" t="n">
        <v>44915</v>
      </c>
      <c r="C1154" s="1" t="n">
        <v>46129</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58915-2023</t>
        </is>
      </c>
      <c r="B1155" s="1" t="n">
        <v>45250</v>
      </c>
      <c r="C1155" s="1" t="n">
        <v>46129</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15508-2023</t>
        </is>
      </c>
      <c r="B1156" s="1" t="n">
        <v>45020.50045138889</v>
      </c>
      <c r="C1156" s="1" t="n">
        <v>46129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61934-2023</t>
        </is>
      </c>
      <c r="B1157" s="1" t="n">
        <v>45266.54125</v>
      </c>
      <c r="C1157" s="1" t="n">
        <v>46129</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11715-2023</t>
        </is>
      </c>
      <c r="B1158" s="1" t="n">
        <v>44992</v>
      </c>
      <c r="C1158" s="1" t="n">
        <v>46129</v>
      </c>
      <c r="D1158" t="inlineStr">
        <is>
          <t>SKÅNE LÄN</t>
        </is>
      </c>
      <c r="E1158" t="inlineStr">
        <is>
          <t>HÄSSLEHOLM</t>
        </is>
      </c>
      <c r="F1158" t="inlineStr">
        <is>
          <t>Övriga Aktiebolag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38888-2023</t>
        </is>
      </c>
      <c r="B1159" s="1" t="n">
        <v>45161</v>
      </c>
      <c r="C1159" s="1" t="n">
        <v>46129</v>
      </c>
      <c r="D1159" t="inlineStr">
        <is>
          <t>SKÅNE LÄN</t>
        </is>
      </c>
      <c r="E1159" t="inlineStr">
        <is>
          <t>HÄSSLEHOLM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59030-2024</t>
        </is>
      </c>
      <c r="B1160" s="1" t="n">
        <v>45636.68916666666</v>
      </c>
      <c r="C1160" s="1" t="n">
        <v>46129</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48663-2024</t>
        </is>
      </c>
      <c r="B1161" s="1" t="n">
        <v>45593.48892361111</v>
      </c>
      <c r="C1161" s="1" t="n">
        <v>46129</v>
      </c>
      <c r="D1161" t="inlineStr">
        <is>
          <t>SKÅNE LÄN</t>
        </is>
      </c>
      <c r="E1161" t="inlineStr">
        <is>
          <t>HÄSSLEHOLM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7153-2025</t>
        </is>
      </c>
      <c r="B1162" s="1" t="n">
        <v>45702.38512731482</v>
      </c>
      <c r="C1162" s="1" t="n">
        <v>46129</v>
      </c>
      <c r="D1162" t="inlineStr">
        <is>
          <t>SKÅNE LÄN</t>
        </is>
      </c>
      <c r="E1162" t="inlineStr">
        <is>
          <t>HÄSSLEHOLM</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48771-2024</t>
        </is>
      </c>
      <c r="B1163" s="1" t="n">
        <v>45593.61284722222</v>
      </c>
      <c r="C1163" s="1" t="n">
        <v>46129</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12344-2023</t>
        </is>
      </c>
      <c r="B1164" s="1" t="n">
        <v>44999</v>
      </c>
      <c r="C1164" s="1" t="n">
        <v>46129</v>
      </c>
      <c r="D1164" t="inlineStr">
        <is>
          <t>SKÅNE LÄN</t>
        </is>
      </c>
      <c r="E1164" t="inlineStr">
        <is>
          <t>HÄSSLEHOLM</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61197-2024</t>
        </is>
      </c>
      <c r="B1165" s="1" t="n">
        <v>45645.63184027778</v>
      </c>
      <c r="C1165" s="1" t="n">
        <v>46129</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6165-2023</t>
        </is>
      </c>
      <c r="B1166" s="1" t="n">
        <v>44964.67114583333</v>
      </c>
      <c r="C1166" s="1" t="n">
        <v>46129</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33938-2023</t>
        </is>
      </c>
      <c r="B1167" s="1" t="n">
        <v>45124</v>
      </c>
      <c r="C1167" s="1" t="n">
        <v>46129</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61533-2022</t>
        </is>
      </c>
      <c r="B1168" s="1" t="n">
        <v>44910</v>
      </c>
      <c r="C1168" s="1" t="n">
        <v>46129</v>
      </c>
      <c r="D1168" t="inlineStr">
        <is>
          <t>SKÅNE LÄN</t>
        </is>
      </c>
      <c r="E1168" t="inlineStr">
        <is>
          <t>HÄSSLEHOLM</t>
        </is>
      </c>
      <c r="F1168" t="inlineStr">
        <is>
          <t>Kyrkan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677-2024</t>
        </is>
      </c>
      <c r="B1169" s="1" t="n">
        <v>45300</v>
      </c>
      <c r="C1169" s="1" t="n">
        <v>46129</v>
      </c>
      <c r="D1169" t="inlineStr">
        <is>
          <t>SKÅNE LÄN</t>
        </is>
      </c>
      <c r="E1169" t="inlineStr">
        <is>
          <t>HÄSSLEHOLM</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20872-2025</t>
        </is>
      </c>
      <c r="B1170" s="1" t="n">
        <v>45777.34688657407</v>
      </c>
      <c r="C1170" s="1" t="n">
        <v>46129</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29994-2023</t>
        </is>
      </c>
      <c r="B1171" s="1" t="n">
        <v>45109.60038194444</v>
      </c>
      <c r="C1171" s="1" t="n">
        <v>46129</v>
      </c>
      <c r="D1171" t="inlineStr">
        <is>
          <t>SKÅNE LÄN</t>
        </is>
      </c>
      <c r="E1171" t="inlineStr">
        <is>
          <t>HÄSSLEHOLM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21206-2025</t>
        </is>
      </c>
      <c r="B1172" s="1" t="n">
        <v>45779.48318287037</v>
      </c>
      <c r="C1172" s="1" t="n">
        <v>46129</v>
      </c>
      <c r="D1172" t="inlineStr">
        <is>
          <t>SKÅNE LÄN</t>
        </is>
      </c>
      <c r="E1172" t="inlineStr">
        <is>
          <t>HÄSSLEHOLM</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21091-2025</t>
        </is>
      </c>
      <c r="B1173" s="1" t="n">
        <v>45777</v>
      </c>
      <c r="C1173" s="1" t="n">
        <v>46129</v>
      </c>
      <c r="D1173" t="inlineStr">
        <is>
          <t>SKÅNE LÄN</t>
        </is>
      </c>
      <c r="E1173" t="inlineStr">
        <is>
          <t>HÄSSLEHOLM</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317-2025</t>
        </is>
      </c>
      <c r="B1174" s="1" t="n">
        <v>45660</v>
      </c>
      <c r="C1174" s="1" t="n">
        <v>46129</v>
      </c>
      <c r="D1174" t="inlineStr">
        <is>
          <t>SKÅNE LÄN</t>
        </is>
      </c>
      <c r="E1174" t="inlineStr">
        <is>
          <t>HÄSSLEHOLM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21638-2025</t>
        </is>
      </c>
      <c r="B1175" s="1" t="n">
        <v>45783.43087962963</v>
      </c>
      <c r="C1175" s="1" t="n">
        <v>46129</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39111-2023</t>
        </is>
      </c>
      <c r="B1176" s="1" t="n">
        <v>45164.87140046297</v>
      </c>
      <c r="C1176" s="1" t="n">
        <v>46129</v>
      </c>
      <c r="D1176" t="inlineStr">
        <is>
          <t>SKÅNE LÄN</t>
        </is>
      </c>
      <c r="E1176" t="inlineStr">
        <is>
          <t>HÄSSLEHOLM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60851-2024</t>
        </is>
      </c>
      <c r="B1177" s="1" t="n">
        <v>45644.66182870371</v>
      </c>
      <c r="C1177" s="1" t="n">
        <v>46129</v>
      </c>
      <c r="D1177" t="inlineStr">
        <is>
          <t>SKÅNE LÄN</t>
        </is>
      </c>
      <c r="E1177" t="inlineStr">
        <is>
          <t>HÄSSLEHOLM</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21625-2025</t>
        </is>
      </c>
      <c r="B1178" s="1" t="n">
        <v>45783.41252314814</v>
      </c>
      <c r="C1178" s="1" t="n">
        <v>46129</v>
      </c>
      <c r="D1178" t="inlineStr">
        <is>
          <t>SKÅNE LÄN</t>
        </is>
      </c>
      <c r="E1178" t="inlineStr">
        <is>
          <t>HÄSSLEHOLM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7818-2024</t>
        </is>
      </c>
      <c r="B1179" s="1" t="n">
        <v>45349.68872685185</v>
      </c>
      <c r="C1179" s="1" t="n">
        <v>46129</v>
      </c>
      <c r="D1179" t="inlineStr">
        <is>
          <t>SKÅNE LÄN</t>
        </is>
      </c>
      <c r="E1179" t="inlineStr">
        <is>
          <t>HÄSSLEHOLM</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13149-2024</t>
        </is>
      </c>
      <c r="B1180" s="1" t="n">
        <v>45386</v>
      </c>
      <c r="C1180" s="1" t="n">
        <v>46129</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29845-2024</t>
        </is>
      </c>
      <c r="B1181" s="1" t="n">
        <v>45485.6212037037</v>
      </c>
      <c r="C1181" s="1" t="n">
        <v>46129</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1703-2025</t>
        </is>
      </c>
      <c r="B1182" s="1" t="n">
        <v>45670.80732638889</v>
      </c>
      <c r="C1182" s="1" t="n">
        <v>46129</v>
      </c>
      <c r="D1182" t="inlineStr">
        <is>
          <t>SKÅNE LÄN</t>
        </is>
      </c>
      <c r="E1182" t="inlineStr">
        <is>
          <t>HÄSSLEHOLM</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53466-2024</t>
        </is>
      </c>
      <c r="B1183" s="1" t="n">
        <v>45614.55304398148</v>
      </c>
      <c r="C1183" s="1" t="n">
        <v>46129</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61533-2024</t>
        </is>
      </c>
      <c r="B1184" s="1" t="n">
        <v>45646</v>
      </c>
      <c r="C1184" s="1" t="n">
        <v>46129</v>
      </c>
      <c r="D1184" t="inlineStr">
        <is>
          <t>SKÅNE LÄN</t>
        </is>
      </c>
      <c r="E1184" t="inlineStr">
        <is>
          <t>HÄSSLEHOLM</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19735-2023</t>
        </is>
      </c>
      <c r="B1185" s="1" t="n">
        <v>45051.52199074074</v>
      </c>
      <c r="C1185" s="1" t="n">
        <v>46129</v>
      </c>
      <c r="D1185" t="inlineStr">
        <is>
          <t>SKÅNE LÄN</t>
        </is>
      </c>
      <c r="E1185" t="inlineStr">
        <is>
          <t>HÄSSLEHOLM</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2490-2024</t>
        </is>
      </c>
      <c r="B1186" s="1" t="n">
        <v>45313.43649305555</v>
      </c>
      <c r="C1186" s="1" t="n">
        <v>46129</v>
      </c>
      <c r="D1186" t="inlineStr">
        <is>
          <t>SKÅNE LÄN</t>
        </is>
      </c>
      <c r="E1186" t="inlineStr">
        <is>
          <t>HÄSSLEHOLM</t>
        </is>
      </c>
      <c r="G1186" t="n">
        <v>4</v>
      </c>
      <c r="H1186" t="n">
        <v>0</v>
      </c>
      <c r="I1186" t="n">
        <v>0</v>
      </c>
      <c r="J1186" t="n">
        <v>0</v>
      </c>
      <c r="K1186" t="n">
        <v>0</v>
      </c>
      <c r="L1186" t="n">
        <v>0</v>
      </c>
      <c r="M1186" t="n">
        <v>0</v>
      </c>
      <c r="N1186" t="n">
        <v>0</v>
      </c>
      <c r="O1186" t="n">
        <v>0</v>
      </c>
      <c r="P1186" t="n">
        <v>0</v>
      </c>
      <c r="Q1186" t="n">
        <v>0</v>
      </c>
      <c r="R1186" s="2" t="inlineStr"/>
    </row>
    <row r="1187">
      <c r="A1187" t="inlineStr">
        <is>
          <t>A 61537-2024</t>
        </is>
      </c>
      <c r="B1187" s="1" t="n">
        <v>45646</v>
      </c>
      <c r="C1187" s="1" t="n">
        <v>46129</v>
      </c>
      <c r="D1187" t="inlineStr">
        <is>
          <t>SKÅNE LÄN</t>
        </is>
      </c>
      <c r="E1187" t="inlineStr">
        <is>
          <t>HÄSSLEHOLM</t>
        </is>
      </c>
      <c r="G1187" t="n">
        <v>3.7</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2026-04-17T10:28:48Z</dcterms:created>
  <dcterms:modified xmlns:dcterms="http://purl.org/dc/terms/" xmlns:xsi="http://www.w3.org/2001/XMLSchema-instance" xsi:type="dcterms:W3CDTF">2026-04-17T10:28:49Z</dcterms:modified>
</cp:coreProperties>
</file>